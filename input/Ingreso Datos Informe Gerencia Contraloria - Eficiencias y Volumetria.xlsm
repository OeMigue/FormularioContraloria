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ED4E6650-F0D5-46D5-B61F-0654084D93A6}" xr6:coauthVersionLast="47" xr6:coauthVersionMax="47" xr10:uidLastSave="{00000000-0000-0000-0000-000000000000}"/>
  <bookViews>
    <workbookView xWindow="-110" yWindow="-110" windowWidth="19420" windowHeight="10300" tabRatio="851" firstSheet="1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0" hidden="1">'Conceptos Ant'!$A$1:$E$76</definedName>
    <definedName name="_xlnm._FilterDatabase" localSheetId="9" hidden="1">'data consol'!$A$1:$R$168</definedName>
  </definedNames>
  <calcPr calcId="181029"/>
  <pivotCaches>
    <pivotCache cacheId="0" r:id="rId11"/>
  </pivotCaches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F171" i="8"/>
  <c r="E171" i="8"/>
  <c r="C171" i="8"/>
  <c r="J170" i="8"/>
  <c r="I170" i="8"/>
  <c r="F170" i="8"/>
  <c r="E170" i="8"/>
  <c r="C170" i="8"/>
  <c r="J169" i="8"/>
  <c r="I169" i="8"/>
  <c r="F169" i="8"/>
  <c r="E169" i="8"/>
  <c r="C169" i="8"/>
  <c r="J168" i="8"/>
  <c r="I168" i="8"/>
  <c r="F168" i="8"/>
  <c r="E168" i="8"/>
  <c r="C168" i="8"/>
  <c r="J167" i="8"/>
  <c r="I167" i="8"/>
  <c r="F167" i="8"/>
  <c r="E167" i="8"/>
  <c r="C167" i="8"/>
  <c r="J166" i="8"/>
  <c r="I166" i="8"/>
  <c r="F166" i="8"/>
  <c r="E166" i="8"/>
  <c r="C166" i="8"/>
  <c r="J165" i="8"/>
  <c r="I165" i="8"/>
  <c r="F165" i="8"/>
  <c r="E165" i="8"/>
  <c r="C165" i="8"/>
  <c r="J164" i="8"/>
  <c r="I164" i="8"/>
  <c r="F164" i="8"/>
  <c r="E164" i="8"/>
  <c r="C164" i="8"/>
  <c r="J163" i="8"/>
  <c r="I163" i="8"/>
  <c r="F163" i="8"/>
  <c r="E163" i="8"/>
  <c r="C163" i="8"/>
  <c r="J162" i="8"/>
  <c r="I162" i="8"/>
  <c r="F162" i="8"/>
  <c r="E162" i="8"/>
  <c r="C162" i="8"/>
  <c r="J161" i="8"/>
  <c r="I161" i="8"/>
  <c r="F161" i="8"/>
  <c r="E161" i="8"/>
  <c r="C161" i="8"/>
  <c r="J160" i="8"/>
  <c r="I160" i="8"/>
  <c r="F160" i="8"/>
  <c r="E160" i="8"/>
  <c r="C160" i="8"/>
  <c r="J159" i="8"/>
  <c r="I159" i="8"/>
  <c r="F159" i="8"/>
  <c r="E159" i="8"/>
  <c r="C159" i="8"/>
  <c r="J158" i="8"/>
  <c r="I158" i="8"/>
  <c r="F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F220" i="7"/>
  <c r="E220" i="7"/>
  <c r="C220" i="7"/>
  <c r="J219" i="7"/>
  <c r="I219" i="7"/>
  <c r="F219" i="7"/>
  <c r="E219" i="7"/>
  <c r="C219" i="7"/>
  <c r="J218" i="7"/>
  <c r="I218" i="7"/>
  <c r="F218" i="7"/>
  <c r="E218" i="7"/>
  <c r="C218" i="7"/>
  <c r="J217" i="7"/>
  <c r="I217" i="7"/>
  <c r="F217" i="7"/>
  <c r="E217" i="7"/>
  <c r="C217" i="7"/>
  <c r="J216" i="7"/>
  <c r="I216" i="7"/>
  <c r="F216" i="7"/>
  <c r="E216" i="7"/>
  <c r="C216" i="7"/>
  <c r="J215" i="7"/>
  <c r="I215" i="7"/>
  <c r="F215" i="7"/>
  <c r="E215" i="7"/>
  <c r="C215" i="7"/>
  <c r="J214" i="7"/>
  <c r="I214" i="7"/>
  <c r="F214" i="7"/>
  <c r="E214" i="7"/>
  <c r="C214" i="7"/>
  <c r="J213" i="7"/>
  <c r="I213" i="7"/>
  <c r="F213" i="7"/>
  <c r="E213" i="7"/>
  <c r="C213" i="7"/>
  <c r="J212" i="7"/>
  <c r="I212" i="7"/>
  <c r="F212" i="7"/>
  <c r="E212" i="7"/>
  <c r="C212" i="7"/>
  <c r="J211" i="7"/>
  <c r="I211" i="7"/>
  <c r="F211" i="7"/>
  <c r="E211" i="7"/>
  <c r="C211" i="7"/>
  <c r="J210" i="7"/>
  <c r="I210" i="7"/>
  <c r="F210" i="7"/>
  <c r="E210" i="7"/>
  <c r="C210" i="7"/>
  <c r="J209" i="7"/>
  <c r="I209" i="7"/>
  <c r="F209" i="7"/>
  <c r="E209" i="7"/>
  <c r="C209" i="7"/>
  <c r="J208" i="7"/>
  <c r="I208" i="7"/>
  <c r="F208" i="7"/>
  <c r="E208" i="7"/>
  <c r="C208" i="7"/>
  <c r="J207" i="7"/>
  <c r="I207" i="7"/>
  <c r="F207" i="7"/>
  <c r="E207" i="7"/>
  <c r="C207" i="7"/>
  <c r="J206" i="7"/>
  <c r="I206" i="7"/>
  <c r="F206" i="7"/>
  <c r="E206" i="7"/>
  <c r="C206" i="7"/>
  <c r="J205" i="7"/>
  <c r="I205" i="7"/>
  <c r="F205" i="7"/>
  <c r="E205" i="7"/>
  <c r="C205" i="7"/>
  <c r="J204" i="7"/>
  <c r="I204" i="7"/>
  <c r="F204" i="7"/>
  <c r="E204" i="7"/>
  <c r="C204" i="7"/>
  <c r="J203" i="7"/>
  <c r="I203" i="7"/>
  <c r="F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F277" i="6"/>
  <c r="E277" i="6"/>
  <c r="C277" i="6"/>
  <c r="J276" i="6"/>
  <c r="I276" i="6"/>
  <c r="F276" i="6"/>
  <c r="E276" i="6"/>
  <c r="C276" i="6"/>
  <c r="J275" i="6"/>
  <c r="I275" i="6"/>
  <c r="F275" i="6"/>
  <c r="E275" i="6"/>
  <c r="C275" i="6"/>
  <c r="J274" i="6"/>
  <c r="I274" i="6"/>
  <c r="F274" i="6"/>
  <c r="E274" i="6"/>
  <c r="C274" i="6"/>
  <c r="J273" i="6"/>
  <c r="I273" i="6"/>
  <c r="F273" i="6"/>
  <c r="E273" i="6"/>
  <c r="C273" i="6"/>
  <c r="J272" i="6"/>
  <c r="I272" i="6"/>
  <c r="F272" i="6"/>
  <c r="E272" i="6"/>
  <c r="C272" i="6"/>
  <c r="J271" i="6"/>
  <c r="I271" i="6"/>
  <c r="F271" i="6"/>
  <c r="E271" i="6"/>
  <c r="C271" i="6"/>
  <c r="J270" i="6"/>
  <c r="I270" i="6"/>
  <c r="F270" i="6"/>
  <c r="E270" i="6"/>
  <c r="C270" i="6"/>
  <c r="J269" i="6"/>
  <c r="I269" i="6"/>
  <c r="F269" i="6"/>
  <c r="E269" i="6"/>
  <c r="C269" i="6"/>
  <c r="J268" i="6"/>
  <c r="I268" i="6"/>
  <c r="F268" i="6"/>
  <c r="E268" i="6"/>
  <c r="C268" i="6"/>
  <c r="J267" i="6"/>
  <c r="I267" i="6"/>
  <c r="F267" i="6"/>
  <c r="E267" i="6"/>
  <c r="C267" i="6"/>
  <c r="J266" i="6"/>
  <c r="I266" i="6"/>
  <c r="F266" i="6"/>
  <c r="E266" i="6"/>
  <c r="C266" i="6"/>
  <c r="J265" i="6"/>
  <c r="I265" i="6"/>
  <c r="F265" i="6"/>
  <c r="E265" i="6"/>
  <c r="C265" i="6"/>
  <c r="J264" i="6"/>
  <c r="I264" i="6"/>
  <c r="F264" i="6"/>
  <c r="E264" i="6"/>
  <c r="C264" i="6"/>
  <c r="J263" i="6"/>
  <c r="I263" i="6"/>
  <c r="F263" i="6"/>
  <c r="E263" i="6"/>
  <c r="C263" i="6"/>
  <c r="J262" i="6"/>
  <c r="I262" i="6"/>
  <c r="F262" i="6"/>
  <c r="E262" i="6"/>
  <c r="C262" i="6"/>
  <c r="J261" i="6"/>
  <c r="I261" i="6"/>
  <c r="F261" i="6"/>
  <c r="E261" i="6"/>
  <c r="C261" i="6"/>
  <c r="J260" i="6"/>
  <c r="I260" i="6"/>
  <c r="F260" i="6"/>
  <c r="E260" i="6"/>
  <c r="C260" i="6"/>
  <c r="J259" i="6"/>
  <c r="I259" i="6"/>
  <c r="F259" i="6"/>
  <c r="E259" i="6"/>
  <c r="C259" i="6"/>
  <c r="J258" i="6"/>
  <c r="I258" i="6"/>
  <c r="F258" i="6"/>
  <c r="E258" i="6"/>
  <c r="C258" i="6"/>
  <c r="J257" i="6"/>
  <c r="I257" i="6"/>
  <c r="F257" i="6"/>
  <c r="E257" i="6"/>
  <c r="C257" i="6"/>
  <c r="J256" i="6"/>
  <c r="I256" i="6"/>
  <c r="F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F382" i="5"/>
  <c r="E382" i="5"/>
  <c r="C382" i="5"/>
  <c r="J381" i="5"/>
  <c r="I381" i="5"/>
  <c r="F381" i="5"/>
  <c r="E381" i="5"/>
  <c r="C381" i="5"/>
  <c r="J380" i="5"/>
  <c r="I380" i="5"/>
  <c r="F380" i="5"/>
  <c r="E380" i="5"/>
  <c r="C380" i="5"/>
  <c r="J379" i="5"/>
  <c r="I379" i="5"/>
  <c r="F379" i="5"/>
  <c r="E379" i="5"/>
  <c r="C379" i="5"/>
  <c r="J378" i="5"/>
  <c r="I378" i="5"/>
  <c r="F378" i="5"/>
  <c r="E378" i="5"/>
  <c r="C378" i="5"/>
  <c r="J377" i="5"/>
  <c r="I377" i="5"/>
  <c r="F377" i="5"/>
  <c r="E377" i="5"/>
  <c r="C377" i="5"/>
  <c r="J376" i="5"/>
  <c r="I376" i="5"/>
  <c r="F376" i="5"/>
  <c r="E376" i="5"/>
  <c r="C376" i="5"/>
  <c r="J375" i="5"/>
  <c r="I375" i="5"/>
  <c r="F375" i="5"/>
  <c r="E375" i="5"/>
  <c r="C375" i="5"/>
  <c r="J374" i="5"/>
  <c r="I374" i="5"/>
  <c r="F374" i="5"/>
  <c r="E374" i="5"/>
  <c r="C374" i="5"/>
  <c r="J373" i="5"/>
  <c r="I373" i="5"/>
  <c r="F373" i="5"/>
  <c r="E373" i="5"/>
  <c r="C373" i="5"/>
  <c r="J372" i="5"/>
  <c r="I372" i="5"/>
  <c r="F372" i="5"/>
  <c r="E372" i="5"/>
  <c r="C372" i="5"/>
  <c r="J371" i="5"/>
  <c r="I371" i="5"/>
  <c r="F371" i="5"/>
  <c r="E371" i="5"/>
  <c r="C371" i="5"/>
  <c r="J370" i="5"/>
  <c r="I370" i="5"/>
  <c r="F370" i="5"/>
  <c r="E370" i="5"/>
  <c r="C370" i="5"/>
  <c r="J369" i="5"/>
  <c r="I369" i="5"/>
  <c r="F369" i="5"/>
  <c r="E369" i="5"/>
  <c r="C369" i="5"/>
  <c r="J368" i="5"/>
  <c r="I368" i="5"/>
  <c r="F368" i="5"/>
  <c r="E368" i="5"/>
  <c r="C368" i="5"/>
  <c r="J367" i="5"/>
  <c r="I367" i="5"/>
  <c r="F367" i="5"/>
  <c r="E367" i="5"/>
  <c r="C367" i="5"/>
  <c r="J366" i="5"/>
  <c r="I366" i="5"/>
  <c r="F366" i="5"/>
  <c r="E366" i="5"/>
  <c r="C366" i="5"/>
  <c r="J365" i="5"/>
  <c r="I365" i="5"/>
  <c r="F365" i="5"/>
  <c r="E365" i="5"/>
  <c r="C365" i="5"/>
  <c r="J364" i="5"/>
  <c r="I364" i="5"/>
  <c r="F364" i="5"/>
  <c r="E364" i="5"/>
  <c r="C364" i="5"/>
  <c r="J363" i="5"/>
  <c r="I363" i="5"/>
  <c r="F363" i="5"/>
  <c r="E363" i="5"/>
  <c r="C363" i="5"/>
  <c r="J362" i="5"/>
  <c r="I362" i="5"/>
  <c r="F362" i="5"/>
  <c r="E362" i="5"/>
  <c r="C362" i="5"/>
  <c r="J361" i="5"/>
  <c r="I361" i="5"/>
  <c r="F361" i="5"/>
  <c r="E361" i="5"/>
  <c r="C361" i="5"/>
  <c r="J360" i="5"/>
  <c r="I360" i="5"/>
  <c r="F360" i="5"/>
  <c r="E360" i="5"/>
  <c r="C360" i="5"/>
  <c r="J359" i="5"/>
  <c r="I359" i="5"/>
  <c r="F359" i="5"/>
  <c r="E359" i="5"/>
  <c r="C359" i="5"/>
  <c r="J358" i="5"/>
  <c r="I358" i="5"/>
  <c r="F358" i="5"/>
  <c r="E358" i="5"/>
  <c r="C358" i="5"/>
  <c r="J357" i="5"/>
  <c r="I357" i="5"/>
  <c r="F357" i="5"/>
  <c r="E357" i="5"/>
  <c r="C357" i="5"/>
  <c r="J356" i="5"/>
  <c r="I356" i="5"/>
  <c r="F356" i="5"/>
  <c r="E356" i="5"/>
  <c r="C356" i="5"/>
  <c r="J355" i="5"/>
  <c r="I355" i="5"/>
  <c r="F355" i="5"/>
  <c r="E355" i="5"/>
  <c r="C355" i="5"/>
  <c r="J354" i="5"/>
  <c r="I354" i="5"/>
  <c r="F354" i="5"/>
  <c r="E354" i="5"/>
  <c r="C354" i="5"/>
  <c r="J353" i="5"/>
  <c r="I353" i="5"/>
  <c r="F353" i="5"/>
  <c r="E353" i="5"/>
  <c r="C353" i="5"/>
  <c r="J352" i="5"/>
  <c r="I352" i="5"/>
  <c r="F352" i="5"/>
  <c r="E352" i="5"/>
  <c r="C352" i="5"/>
  <c r="J351" i="5"/>
  <c r="I351" i="5"/>
  <c r="F351" i="5"/>
  <c r="E351" i="5"/>
  <c r="C351" i="5"/>
  <c r="J350" i="5"/>
  <c r="I350" i="5"/>
  <c r="F350" i="5"/>
  <c r="E350" i="5"/>
  <c r="C350" i="5"/>
  <c r="J349" i="5"/>
  <c r="I349" i="5"/>
  <c r="F349" i="5"/>
  <c r="E349" i="5"/>
  <c r="C349" i="5"/>
  <c r="J348" i="5"/>
  <c r="I348" i="5"/>
  <c r="F348" i="5"/>
  <c r="E348" i="5"/>
  <c r="C348" i="5"/>
  <c r="J347" i="5"/>
  <c r="I347" i="5"/>
  <c r="F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F361" i="4"/>
  <c r="E361" i="4"/>
  <c r="C361" i="4"/>
  <c r="J360" i="4"/>
  <c r="I360" i="4"/>
  <c r="F360" i="4"/>
  <c r="E360" i="4"/>
  <c r="C360" i="4"/>
  <c r="J359" i="4"/>
  <c r="I359" i="4"/>
  <c r="F359" i="4"/>
  <c r="E359" i="4"/>
  <c r="C359" i="4"/>
  <c r="J358" i="4"/>
  <c r="I358" i="4"/>
  <c r="F358" i="4"/>
  <c r="E358" i="4"/>
  <c r="C358" i="4"/>
  <c r="J357" i="4"/>
  <c r="I357" i="4"/>
  <c r="F357" i="4"/>
  <c r="E357" i="4"/>
  <c r="C357" i="4"/>
  <c r="J356" i="4"/>
  <c r="I356" i="4"/>
  <c r="F356" i="4"/>
  <c r="E356" i="4"/>
  <c r="C356" i="4"/>
  <c r="J355" i="4"/>
  <c r="I355" i="4"/>
  <c r="F355" i="4"/>
  <c r="E355" i="4"/>
  <c r="C355" i="4"/>
  <c r="J354" i="4"/>
  <c r="I354" i="4"/>
  <c r="F354" i="4"/>
  <c r="E354" i="4"/>
  <c r="C354" i="4"/>
  <c r="J353" i="4"/>
  <c r="I353" i="4"/>
  <c r="F353" i="4"/>
  <c r="E353" i="4"/>
  <c r="C353" i="4"/>
  <c r="J352" i="4"/>
  <c r="I352" i="4"/>
  <c r="F352" i="4"/>
  <c r="E352" i="4"/>
  <c r="C352" i="4"/>
  <c r="J351" i="4"/>
  <c r="I351" i="4"/>
  <c r="F351" i="4"/>
  <c r="E351" i="4"/>
  <c r="C351" i="4"/>
  <c r="J350" i="4"/>
  <c r="I350" i="4"/>
  <c r="F350" i="4"/>
  <c r="E350" i="4"/>
  <c r="C350" i="4"/>
  <c r="J349" i="4"/>
  <c r="I349" i="4"/>
  <c r="F349" i="4"/>
  <c r="E349" i="4"/>
  <c r="C349" i="4"/>
  <c r="J348" i="4"/>
  <c r="I348" i="4"/>
  <c r="F348" i="4"/>
  <c r="E348" i="4"/>
  <c r="C348" i="4"/>
  <c r="J347" i="4"/>
  <c r="I347" i="4"/>
  <c r="F347" i="4"/>
  <c r="E347" i="4"/>
  <c r="C347" i="4"/>
  <c r="J346" i="4"/>
  <c r="I346" i="4"/>
  <c r="F346" i="4"/>
  <c r="E346" i="4"/>
  <c r="C346" i="4"/>
  <c r="J345" i="4"/>
  <c r="I345" i="4"/>
  <c r="F345" i="4"/>
  <c r="E345" i="4"/>
  <c r="C345" i="4"/>
  <c r="J344" i="4"/>
  <c r="I344" i="4"/>
  <c r="F344" i="4"/>
  <c r="E344" i="4"/>
  <c r="C344" i="4"/>
  <c r="J343" i="4"/>
  <c r="I343" i="4"/>
  <c r="F343" i="4"/>
  <c r="E343" i="4"/>
  <c r="C343" i="4"/>
  <c r="J342" i="4"/>
  <c r="I342" i="4"/>
  <c r="F342" i="4"/>
  <c r="E342" i="4"/>
  <c r="C342" i="4"/>
  <c r="J341" i="4"/>
  <c r="I341" i="4"/>
  <c r="F341" i="4"/>
  <c r="E341" i="4"/>
  <c r="C341" i="4"/>
  <c r="J340" i="4"/>
  <c r="I340" i="4"/>
  <c r="F340" i="4"/>
  <c r="E340" i="4"/>
  <c r="C340" i="4"/>
  <c r="J339" i="4"/>
  <c r="I339" i="4"/>
  <c r="F339" i="4"/>
  <c r="E339" i="4"/>
  <c r="C339" i="4"/>
  <c r="J338" i="4"/>
  <c r="I338" i="4"/>
  <c r="F338" i="4"/>
  <c r="E338" i="4"/>
  <c r="C338" i="4"/>
  <c r="J337" i="4"/>
  <c r="I337" i="4"/>
  <c r="F337" i="4"/>
  <c r="E337" i="4"/>
  <c r="C337" i="4"/>
  <c r="J336" i="4"/>
  <c r="I336" i="4"/>
  <c r="F336" i="4"/>
  <c r="E336" i="4"/>
  <c r="C336" i="4"/>
  <c r="J335" i="4"/>
  <c r="I335" i="4"/>
  <c r="F335" i="4"/>
  <c r="E335" i="4"/>
  <c r="C335" i="4"/>
  <c r="J334" i="4"/>
  <c r="I334" i="4"/>
  <c r="F334" i="4"/>
  <c r="E334" i="4"/>
  <c r="C334" i="4"/>
  <c r="J333" i="4"/>
  <c r="I333" i="4"/>
  <c r="F333" i="4"/>
  <c r="E333" i="4"/>
  <c r="C333" i="4"/>
  <c r="J332" i="4"/>
  <c r="I332" i="4"/>
  <c r="F332" i="4"/>
  <c r="E332" i="4"/>
  <c r="C332" i="4"/>
  <c r="J331" i="4"/>
  <c r="I331" i="4"/>
  <c r="F331" i="4"/>
  <c r="E331" i="4"/>
  <c r="C331" i="4"/>
  <c r="J330" i="4"/>
  <c r="I330" i="4"/>
  <c r="F330" i="4"/>
  <c r="E330" i="4"/>
  <c r="C330" i="4"/>
  <c r="J329" i="4"/>
  <c r="I329" i="4"/>
  <c r="F329" i="4"/>
  <c r="E329" i="4"/>
  <c r="C329" i="4"/>
  <c r="J328" i="4"/>
  <c r="I328" i="4"/>
  <c r="F328" i="4"/>
  <c r="E328" i="4"/>
  <c r="C328" i="4"/>
  <c r="J327" i="4"/>
  <c r="I327" i="4"/>
  <c r="F327" i="4"/>
  <c r="E327" i="4"/>
  <c r="C327" i="4"/>
  <c r="J326" i="4"/>
  <c r="I326" i="4"/>
  <c r="F326" i="4"/>
  <c r="E326" i="4"/>
  <c r="C326" i="4"/>
  <c r="J325" i="4"/>
  <c r="I325" i="4"/>
  <c r="F325" i="4"/>
  <c r="E325" i="4"/>
  <c r="C325" i="4"/>
  <c r="J324" i="4"/>
  <c r="I324" i="4"/>
  <c r="F324" i="4"/>
  <c r="E324" i="4"/>
  <c r="C324" i="4"/>
  <c r="J323" i="4"/>
  <c r="I323" i="4"/>
  <c r="F323" i="4"/>
  <c r="E323" i="4"/>
  <c r="C323" i="4"/>
  <c r="J322" i="4"/>
  <c r="I322" i="4"/>
  <c r="F322" i="4"/>
  <c r="E322" i="4"/>
  <c r="C322" i="4"/>
  <c r="J321" i="4"/>
  <c r="I321" i="4"/>
  <c r="F321" i="4"/>
  <c r="E321" i="4"/>
  <c r="C321" i="4"/>
  <c r="J320" i="4"/>
  <c r="I320" i="4"/>
  <c r="F320" i="4"/>
  <c r="E320" i="4"/>
  <c r="C320" i="4"/>
  <c r="J319" i="4"/>
  <c r="I319" i="4"/>
  <c r="F319" i="4"/>
  <c r="E319" i="4"/>
  <c r="C319" i="4"/>
  <c r="J318" i="4"/>
  <c r="I318" i="4"/>
  <c r="F318" i="4"/>
  <c r="E318" i="4"/>
  <c r="C318" i="4"/>
  <c r="J317" i="4"/>
  <c r="I317" i="4"/>
  <c r="F317" i="4"/>
  <c r="E317" i="4"/>
  <c r="C317" i="4"/>
  <c r="J316" i="4"/>
  <c r="I316" i="4"/>
  <c r="F316" i="4"/>
  <c r="E316" i="4"/>
  <c r="C316" i="4"/>
  <c r="J315" i="4"/>
  <c r="I315" i="4"/>
  <c r="F315" i="4"/>
  <c r="E315" i="4"/>
  <c r="C315" i="4"/>
  <c r="J314" i="4"/>
  <c r="I314" i="4"/>
  <c r="F314" i="4"/>
  <c r="E314" i="4"/>
  <c r="C314" i="4"/>
  <c r="J313" i="4"/>
  <c r="I313" i="4"/>
  <c r="F313" i="4"/>
  <c r="E313" i="4"/>
  <c r="C313" i="4"/>
  <c r="J312" i="4"/>
  <c r="I312" i="4"/>
  <c r="F312" i="4"/>
  <c r="E312" i="4"/>
  <c r="C312" i="4"/>
  <c r="J311" i="4"/>
  <c r="I311" i="4"/>
  <c r="F311" i="4"/>
  <c r="E311" i="4"/>
  <c r="C311" i="4"/>
  <c r="J310" i="4"/>
  <c r="I310" i="4"/>
  <c r="F310" i="4"/>
  <c r="E310" i="4"/>
  <c r="C310" i="4"/>
  <c r="J309" i="4"/>
  <c r="I309" i="4"/>
  <c r="F309" i="4"/>
  <c r="E309" i="4"/>
  <c r="C309" i="4"/>
  <c r="J308" i="4"/>
  <c r="I308" i="4"/>
  <c r="F308" i="4"/>
  <c r="E308" i="4"/>
  <c r="C308" i="4"/>
  <c r="J307" i="4"/>
  <c r="I307" i="4"/>
  <c r="F307" i="4"/>
  <c r="E307" i="4"/>
  <c r="C307" i="4"/>
  <c r="J306" i="4"/>
  <c r="I306" i="4"/>
  <c r="F306" i="4"/>
  <c r="E306" i="4"/>
  <c r="C306" i="4"/>
  <c r="J305" i="4"/>
  <c r="I305" i="4"/>
  <c r="F305" i="4"/>
  <c r="E305" i="4"/>
  <c r="C305" i="4"/>
  <c r="J304" i="4"/>
  <c r="I304" i="4"/>
  <c r="F304" i="4"/>
  <c r="E304" i="4"/>
  <c r="C304" i="4"/>
  <c r="J303" i="4"/>
  <c r="I303" i="4"/>
  <c r="F303" i="4"/>
  <c r="E303" i="4"/>
  <c r="C303" i="4"/>
  <c r="J302" i="4"/>
  <c r="I302" i="4"/>
  <c r="F302" i="4"/>
  <c r="E302" i="4"/>
  <c r="C302" i="4"/>
  <c r="J301" i="4"/>
  <c r="I301" i="4"/>
  <c r="F301" i="4"/>
  <c r="E301" i="4"/>
  <c r="C301" i="4"/>
  <c r="J300" i="4"/>
  <c r="I300" i="4"/>
  <c r="F300" i="4"/>
  <c r="E300" i="4"/>
  <c r="C300" i="4"/>
  <c r="J299" i="4"/>
  <c r="I299" i="4"/>
  <c r="F299" i="4"/>
  <c r="E299" i="4"/>
  <c r="C299" i="4"/>
  <c r="J298" i="4"/>
  <c r="I298" i="4"/>
  <c r="F298" i="4"/>
  <c r="E298" i="4"/>
  <c r="C298" i="4"/>
  <c r="J297" i="4"/>
  <c r="I297" i="4"/>
  <c r="F297" i="4"/>
  <c r="E297" i="4"/>
  <c r="C297" i="4"/>
  <c r="J296" i="4"/>
  <c r="I296" i="4"/>
  <c r="F296" i="4"/>
  <c r="E296" i="4"/>
  <c r="C296" i="4"/>
  <c r="J295" i="4"/>
  <c r="I295" i="4"/>
  <c r="F295" i="4"/>
  <c r="E295" i="4"/>
  <c r="C295" i="4"/>
  <c r="J294" i="4"/>
  <c r="I294" i="4"/>
  <c r="F294" i="4"/>
  <c r="E294" i="4"/>
  <c r="C294" i="4"/>
  <c r="J293" i="4"/>
  <c r="I293" i="4"/>
  <c r="F293" i="4"/>
  <c r="E293" i="4"/>
  <c r="C293" i="4"/>
  <c r="J292" i="4"/>
  <c r="I292" i="4"/>
  <c r="F292" i="4"/>
  <c r="E292" i="4"/>
  <c r="C292" i="4"/>
  <c r="J291" i="4"/>
  <c r="I291" i="4"/>
  <c r="F291" i="4"/>
  <c r="E291" i="4"/>
  <c r="C291" i="4"/>
  <c r="J290" i="4"/>
  <c r="I290" i="4"/>
  <c r="F290" i="4"/>
  <c r="E290" i="4"/>
  <c r="C290" i="4"/>
  <c r="J289" i="4"/>
  <c r="I289" i="4"/>
  <c r="F289" i="4"/>
  <c r="E289" i="4"/>
  <c r="C289" i="4"/>
  <c r="J288" i="4"/>
  <c r="I288" i="4"/>
  <c r="F288" i="4"/>
  <c r="E288" i="4"/>
  <c r="C288" i="4"/>
  <c r="J287" i="4"/>
  <c r="I287" i="4"/>
  <c r="F287" i="4"/>
  <c r="E287" i="4"/>
  <c r="C287" i="4"/>
  <c r="J286" i="4"/>
  <c r="I286" i="4"/>
  <c r="F286" i="4"/>
  <c r="E286" i="4"/>
  <c r="C286" i="4"/>
  <c r="J285" i="4"/>
  <c r="I285" i="4"/>
  <c r="F285" i="4"/>
  <c r="E285" i="4"/>
  <c r="C285" i="4"/>
  <c r="J284" i="4"/>
  <c r="I284" i="4"/>
  <c r="F284" i="4"/>
  <c r="E284" i="4"/>
  <c r="C284" i="4"/>
  <c r="J283" i="4"/>
  <c r="I283" i="4"/>
  <c r="F283" i="4"/>
  <c r="E283" i="4"/>
  <c r="C283" i="4"/>
  <c r="J282" i="4"/>
  <c r="I282" i="4"/>
  <c r="F282" i="4"/>
  <c r="E282" i="4"/>
  <c r="C282" i="4"/>
  <c r="J281" i="4"/>
  <c r="I281" i="4"/>
  <c r="F281" i="4"/>
  <c r="E281" i="4"/>
  <c r="C281" i="4"/>
  <c r="J280" i="4"/>
  <c r="I280" i="4"/>
  <c r="F280" i="4"/>
  <c r="E280" i="4"/>
  <c r="C280" i="4"/>
  <c r="J279" i="4"/>
  <c r="I279" i="4"/>
  <c r="F279" i="4"/>
  <c r="E279" i="4"/>
  <c r="C279" i="4"/>
  <c r="J278" i="4"/>
  <c r="I278" i="4"/>
  <c r="F278" i="4"/>
  <c r="E278" i="4"/>
  <c r="C278" i="4"/>
  <c r="J277" i="4"/>
  <c r="I277" i="4"/>
  <c r="F277" i="4"/>
  <c r="E277" i="4"/>
  <c r="C277" i="4"/>
  <c r="J276" i="4"/>
  <c r="I276" i="4"/>
  <c r="F276" i="4"/>
  <c r="E276" i="4"/>
  <c r="C276" i="4"/>
  <c r="J275" i="4"/>
  <c r="I275" i="4"/>
  <c r="F275" i="4"/>
  <c r="E275" i="4"/>
  <c r="C275" i="4"/>
  <c r="J274" i="4"/>
  <c r="I274" i="4"/>
  <c r="F274" i="4"/>
  <c r="E274" i="4"/>
  <c r="C274" i="4"/>
  <c r="J273" i="4"/>
  <c r="I273" i="4"/>
  <c r="F273" i="4"/>
  <c r="E273" i="4"/>
  <c r="C273" i="4"/>
  <c r="J272" i="4"/>
  <c r="I272" i="4"/>
  <c r="F272" i="4"/>
  <c r="E272" i="4"/>
  <c r="C272" i="4"/>
  <c r="J271" i="4"/>
  <c r="I271" i="4"/>
  <c r="F271" i="4"/>
  <c r="E271" i="4"/>
  <c r="C271" i="4"/>
  <c r="J270" i="4"/>
  <c r="I270" i="4"/>
  <c r="F270" i="4"/>
  <c r="E270" i="4"/>
  <c r="C270" i="4"/>
  <c r="J269" i="4"/>
  <c r="I269" i="4"/>
  <c r="F269" i="4"/>
  <c r="E269" i="4"/>
  <c r="C269" i="4"/>
  <c r="J268" i="4"/>
  <c r="I268" i="4"/>
  <c r="F268" i="4"/>
  <c r="E268" i="4"/>
  <c r="C268" i="4"/>
  <c r="J267" i="4"/>
  <c r="I267" i="4"/>
  <c r="F267" i="4"/>
  <c r="E267" i="4"/>
  <c r="C267" i="4"/>
  <c r="J266" i="4"/>
  <c r="I266" i="4"/>
  <c r="F266" i="4"/>
  <c r="E266" i="4"/>
  <c r="C266" i="4"/>
  <c r="J265" i="4"/>
  <c r="I265" i="4"/>
  <c r="F265" i="4"/>
  <c r="E265" i="4"/>
  <c r="C265" i="4"/>
  <c r="J264" i="4"/>
  <c r="I264" i="4"/>
  <c r="F264" i="4"/>
  <c r="E264" i="4"/>
  <c r="C264" i="4"/>
  <c r="J263" i="4"/>
  <c r="I263" i="4"/>
  <c r="F263" i="4"/>
  <c r="E263" i="4"/>
  <c r="C263" i="4"/>
  <c r="J262" i="4"/>
  <c r="I262" i="4"/>
  <c r="F262" i="4"/>
  <c r="E262" i="4"/>
  <c r="C262" i="4"/>
  <c r="J261" i="4"/>
  <c r="I261" i="4"/>
  <c r="F261" i="4"/>
  <c r="E261" i="4"/>
  <c r="C261" i="4"/>
  <c r="J260" i="4"/>
  <c r="I260" i="4"/>
  <c r="F260" i="4"/>
  <c r="E260" i="4"/>
  <c r="C260" i="4"/>
  <c r="J259" i="4"/>
  <c r="I259" i="4"/>
  <c r="F259" i="4"/>
  <c r="E259" i="4"/>
  <c r="C259" i="4"/>
  <c r="J258" i="4"/>
  <c r="I258" i="4"/>
  <c r="F258" i="4"/>
  <c r="E258" i="4"/>
  <c r="C258" i="4"/>
  <c r="J257" i="4"/>
  <c r="I257" i="4"/>
  <c r="F257" i="4"/>
  <c r="E257" i="4"/>
  <c r="C257" i="4"/>
  <c r="J256" i="4"/>
  <c r="I256" i="4"/>
  <c r="F256" i="4"/>
  <c r="E256" i="4"/>
  <c r="C256" i="4"/>
  <c r="J255" i="4"/>
  <c r="I255" i="4"/>
  <c r="F255" i="4"/>
  <c r="E255" i="4"/>
  <c r="C255" i="4"/>
  <c r="J254" i="4"/>
  <c r="I254" i="4"/>
  <c r="F254" i="4"/>
  <c r="E254" i="4"/>
  <c r="C254" i="4"/>
  <c r="J253" i="4"/>
  <c r="I253" i="4"/>
  <c r="F253" i="4"/>
  <c r="E253" i="4"/>
  <c r="C253" i="4"/>
  <c r="J252" i="4"/>
  <c r="I252" i="4"/>
  <c r="F252" i="4"/>
  <c r="E252" i="4"/>
  <c r="C252" i="4"/>
  <c r="J251" i="4"/>
  <c r="I251" i="4"/>
  <c r="F251" i="4"/>
  <c r="E251" i="4"/>
  <c r="C251" i="4"/>
  <c r="J250" i="4"/>
  <c r="I250" i="4"/>
  <c r="F250" i="4"/>
  <c r="E250" i="4"/>
  <c r="C250" i="4"/>
  <c r="J249" i="4"/>
  <c r="I249" i="4"/>
  <c r="F249" i="4"/>
  <c r="E249" i="4"/>
  <c r="C249" i="4"/>
  <c r="J248" i="4"/>
  <c r="I248" i="4"/>
  <c r="F248" i="4"/>
  <c r="E248" i="4"/>
  <c r="C248" i="4"/>
  <c r="J247" i="4"/>
  <c r="I247" i="4"/>
  <c r="F247" i="4"/>
  <c r="E247" i="4"/>
  <c r="C247" i="4"/>
  <c r="J246" i="4"/>
  <c r="I246" i="4"/>
  <c r="F246" i="4"/>
  <c r="E246" i="4"/>
  <c r="C246" i="4"/>
  <c r="J245" i="4"/>
  <c r="I245" i="4"/>
  <c r="F245" i="4"/>
  <c r="E245" i="4"/>
  <c r="C245" i="4"/>
  <c r="J244" i="4"/>
  <c r="I244" i="4"/>
  <c r="F244" i="4"/>
  <c r="E244" i="4"/>
  <c r="C244" i="4"/>
  <c r="J243" i="4"/>
  <c r="I243" i="4"/>
  <c r="F243" i="4"/>
  <c r="E243" i="4"/>
  <c r="C243" i="4"/>
  <c r="J242" i="4"/>
  <c r="I242" i="4"/>
  <c r="F242" i="4"/>
  <c r="E242" i="4"/>
  <c r="C242" i="4"/>
  <c r="J241" i="4"/>
  <c r="I241" i="4"/>
  <c r="F241" i="4"/>
  <c r="E241" i="4"/>
  <c r="C241" i="4"/>
  <c r="J240" i="4"/>
  <c r="I240" i="4"/>
  <c r="F240" i="4"/>
  <c r="E240" i="4"/>
  <c r="C240" i="4"/>
  <c r="J239" i="4"/>
  <c r="I239" i="4"/>
  <c r="F239" i="4"/>
  <c r="E239" i="4"/>
  <c r="C239" i="4"/>
  <c r="J238" i="4"/>
  <c r="I238" i="4"/>
  <c r="F238" i="4"/>
  <c r="E238" i="4"/>
  <c r="C238" i="4"/>
  <c r="J237" i="4"/>
  <c r="I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E205" i="4"/>
  <c r="C205" i="4"/>
  <c r="J204" i="4"/>
  <c r="I204" i="4"/>
  <c r="E204" i="4"/>
  <c r="C204" i="4"/>
  <c r="J203" i="4"/>
  <c r="I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F643" i="3"/>
  <c r="E643" i="3"/>
  <c r="C643" i="3"/>
  <c r="J642" i="3"/>
  <c r="I642" i="3"/>
  <c r="F642" i="3"/>
  <c r="E642" i="3"/>
  <c r="C642" i="3"/>
  <c r="J641" i="3"/>
  <c r="I641" i="3"/>
  <c r="F641" i="3"/>
  <c r="E641" i="3"/>
  <c r="C641" i="3"/>
  <c r="J640" i="3"/>
  <c r="I640" i="3"/>
  <c r="F640" i="3"/>
  <c r="E640" i="3"/>
  <c r="C640" i="3"/>
  <c r="J639" i="3"/>
  <c r="I639" i="3"/>
  <c r="F639" i="3"/>
  <c r="E639" i="3"/>
  <c r="C639" i="3"/>
  <c r="J638" i="3"/>
  <c r="I638" i="3"/>
  <c r="F638" i="3"/>
  <c r="E638" i="3"/>
  <c r="C638" i="3"/>
  <c r="J637" i="3"/>
  <c r="I637" i="3"/>
  <c r="F637" i="3"/>
  <c r="E637" i="3"/>
  <c r="C637" i="3"/>
  <c r="J636" i="3"/>
  <c r="I636" i="3"/>
  <c r="F636" i="3"/>
  <c r="E636" i="3"/>
  <c r="C636" i="3"/>
  <c r="J635" i="3"/>
  <c r="I635" i="3"/>
  <c r="F635" i="3"/>
  <c r="E635" i="3"/>
  <c r="C635" i="3"/>
  <c r="J634" i="3"/>
  <c r="I634" i="3"/>
  <c r="F634" i="3"/>
  <c r="E634" i="3"/>
  <c r="C634" i="3"/>
  <c r="J633" i="3"/>
  <c r="I633" i="3"/>
  <c r="F633" i="3"/>
  <c r="E633" i="3"/>
  <c r="C633" i="3"/>
  <c r="J632" i="3"/>
  <c r="I632" i="3"/>
  <c r="F632" i="3"/>
  <c r="E632" i="3"/>
  <c r="C632" i="3"/>
  <c r="J631" i="3"/>
  <c r="I631" i="3"/>
  <c r="F631" i="3"/>
  <c r="E631" i="3"/>
  <c r="C631" i="3"/>
  <c r="J630" i="3"/>
  <c r="I630" i="3"/>
  <c r="F630" i="3"/>
  <c r="E630" i="3"/>
  <c r="C630" i="3"/>
  <c r="J629" i="3"/>
  <c r="I629" i="3"/>
  <c r="F629" i="3"/>
  <c r="E629" i="3"/>
  <c r="C629" i="3"/>
  <c r="J628" i="3"/>
  <c r="I628" i="3"/>
  <c r="F628" i="3"/>
  <c r="E628" i="3"/>
  <c r="C628" i="3"/>
  <c r="J627" i="3"/>
  <c r="I627" i="3"/>
  <c r="F627" i="3"/>
  <c r="E627" i="3"/>
  <c r="C627" i="3"/>
  <c r="J626" i="3"/>
  <c r="I626" i="3"/>
  <c r="F626" i="3"/>
  <c r="E626" i="3"/>
  <c r="C626" i="3"/>
  <c r="J625" i="3"/>
  <c r="I625" i="3"/>
  <c r="F625" i="3"/>
  <c r="E625" i="3"/>
  <c r="C625" i="3"/>
  <c r="J624" i="3"/>
  <c r="I624" i="3"/>
  <c r="F624" i="3"/>
  <c r="E624" i="3"/>
  <c r="C624" i="3"/>
  <c r="J623" i="3"/>
  <c r="I623" i="3"/>
  <c r="F623" i="3"/>
  <c r="E623" i="3"/>
  <c r="C623" i="3"/>
  <c r="J622" i="3"/>
  <c r="I622" i="3"/>
  <c r="F622" i="3"/>
  <c r="E622" i="3"/>
  <c r="C622" i="3"/>
  <c r="J621" i="3"/>
  <c r="I621" i="3"/>
  <c r="F621" i="3"/>
  <c r="E621" i="3"/>
  <c r="C621" i="3"/>
  <c r="J620" i="3"/>
  <c r="I620" i="3"/>
  <c r="F620" i="3"/>
  <c r="E620" i="3"/>
  <c r="C620" i="3"/>
  <c r="J619" i="3"/>
  <c r="I619" i="3"/>
  <c r="F619" i="3"/>
  <c r="E619" i="3"/>
  <c r="C619" i="3"/>
  <c r="J618" i="3"/>
  <c r="I618" i="3"/>
  <c r="F618" i="3"/>
  <c r="E618" i="3"/>
  <c r="C618" i="3"/>
  <c r="J617" i="3"/>
  <c r="I617" i="3"/>
  <c r="F617" i="3"/>
  <c r="E617" i="3"/>
  <c r="C617" i="3"/>
  <c r="J616" i="3"/>
  <c r="I616" i="3"/>
  <c r="F616" i="3"/>
  <c r="E616" i="3"/>
  <c r="C616" i="3"/>
  <c r="J615" i="3"/>
  <c r="I615" i="3"/>
  <c r="F615" i="3"/>
  <c r="E615" i="3"/>
  <c r="C615" i="3"/>
  <c r="J614" i="3"/>
  <c r="I614" i="3"/>
  <c r="F614" i="3"/>
  <c r="E614" i="3"/>
  <c r="C614" i="3"/>
  <c r="J613" i="3"/>
  <c r="I613" i="3"/>
  <c r="F613" i="3"/>
  <c r="E613" i="3"/>
  <c r="C613" i="3"/>
  <c r="J612" i="3"/>
  <c r="I612" i="3"/>
  <c r="F612" i="3"/>
  <c r="E612" i="3"/>
  <c r="C612" i="3"/>
  <c r="J611" i="3"/>
  <c r="I611" i="3"/>
  <c r="F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AN5" i="2"/>
  <c r="AO5" i="2" s="1"/>
  <c r="X5" i="2"/>
  <c r="X6" i="2" s="1"/>
  <c r="BE4" i="2"/>
  <c r="BD4" i="2"/>
  <c r="BD5" i="2" s="1"/>
  <c r="AV4" i="2"/>
  <c r="AW4" i="2" s="1"/>
  <c r="AN4" i="2"/>
  <c r="AO4" i="2" s="1"/>
  <c r="AG4" i="2"/>
  <c r="AF4" i="2"/>
  <c r="AF5" i="2" s="1"/>
  <c r="X4" i="2"/>
  <c r="Y4" i="2" s="1"/>
  <c r="M4" i="2"/>
  <c r="L4" i="2"/>
  <c r="L5" i="2" s="1"/>
  <c r="BE3" i="2"/>
  <c r="AW3" i="2"/>
  <c r="AO3" i="2"/>
  <c r="AG3" i="2"/>
  <c r="Y3" i="2"/>
  <c r="M3" i="2"/>
  <c r="F207" i="3" s="1"/>
  <c r="C3" i="2"/>
  <c r="A3" i="2"/>
  <c r="F228" i="6" l="1"/>
  <c r="F144" i="6"/>
  <c r="F120" i="6"/>
  <c r="F242" i="6"/>
  <c r="F158" i="6"/>
  <c r="F98" i="6"/>
  <c r="F172" i="6"/>
  <c r="F186" i="6"/>
  <c r="F109" i="6"/>
  <c r="F200" i="6"/>
  <c r="F87" i="6"/>
  <c r="F75" i="6"/>
  <c r="F63" i="6"/>
  <c r="F51" i="6"/>
  <c r="F39" i="6"/>
  <c r="F27" i="6"/>
  <c r="F15" i="6"/>
  <c r="F3" i="6"/>
  <c r="F214" i="6"/>
  <c r="F130" i="6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BE5" i="2"/>
  <c r="BD6" i="2"/>
  <c r="X7" i="2"/>
  <c r="Y6" i="2"/>
  <c r="F216" i="6"/>
  <c r="F132" i="6"/>
  <c r="F230" i="6"/>
  <c r="F146" i="6"/>
  <c r="F110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AG5" i="2"/>
  <c r="AF6" i="2"/>
  <c r="L6" i="2"/>
  <c r="M5" i="2"/>
  <c r="F78" i="4"/>
  <c r="F54" i="4"/>
  <c r="F232" i="4"/>
  <c r="F3" i="4"/>
  <c r="F94" i="4"/>
  <c r="F70" i="4"/>
  <c r="F46" i="4"/>
  <c r="F234" i="4"/>
  <c r="F29" i="4"/>
  <c r="F12" i="4"/>
  <c r="F86" i="4"/>
  <c r="F62" i="4"/>
  <c r="F38" i="4"/>
  <c r="F21" i="4"/>
  <c r="F233" i="4"/>
  <c r="F173" i="3"/>
  <c r="F144" i="3"/>
  <c r="F57" i="3"/>
  <c r="F318" i="3"/>
  <c r="F289" i="3"/>
  <c r="F222" i="5"/>
  <c r="F102" i="5"/>
  <c r="F42" i="5"/>
  <c r="F272" i="5"/>
  <c r="F92" i="5"/>
  <c r="F32" i="5"/>
  <c r="F147" i="5"/>
  <c r="F322" i="5"/>
  <c r="F82" i="5"/>
  <c r="F22" i="5"/>
  <c r="F72" i="5"/>
  <c r="F12" i="5"/>
  <c r="F247" i="5"/>
  <c r="F122" i="5"/>
  <c r="F62" i="5"/>
  <c r="F2" i="5"/>
  <c r="F297" i="5"/>
  <c r="F172" i="5"/>
  <c r="F112" i="5"/>
  <c r="F52" i="5"/>
  <c r="F197" i="5"/>
  <c r="AV5" i="2"/>
  <c r="F178" i="3"/>
  <c r="F347" i="3"/>
  <c r="Y5" i="2"/>
  <c r="F236" i="4" s="1"/>
  <c r="F62" i="3"/>
  <c r="F115" i="3"/>
  <c r="F323" i="5"/>
  <c r="F83" i="5"/>
  <c r="F23" i="5"/>
  <c r="F198" i="5"/>
  <c r="F73" i="5"/>
  <c r="F13" i="5"/>
  <c r="F248" i="5"/>
  <c r="F123" i="5"/>
  <c r="F63" i="5"/>
  <c r="F3" i="5"/>
  <c r="F298" i="5"/>
  <c r="F223" i="5"/>
  <c r="F103" i="5"/>
  <c r="F43" i="5"/>
  <c r="F273" i="5"/>
  <c r="F93" i="5"/>
  <c r="F33" i="5"/>
  <c r="F148" i="5"/>
  <c r="F53" i="5"/>
  <c r="F173" i="5"/>
  <c r="F113" i="5"/>
  <c r="AN6" i="2"/>
  <c r="F218" i="4"/>
  <c r="F206" i="4"/>
  <c r="F213" i="4"/>
  <c r="F191" i="4"/>
  <c r="F102" i="4"/>
  <c r="F208" i="4"/>
  <c r="F121" i="4"/>
  <c r="F85" i="4"/>
  <c r="F61" i="4"/>
  <c r="F37" i="4"/>
  <c r="F215" i="4"/>
  <c r="F152" i="4"/>
  <c r="F20" i="4"/>
  <c r="F210" i="4"/>
  <c r="F111" i="4"/>
  <c r="F217" i="4"/>
  <c r="F178" i="4"/>
  <c r="F130" i="4"/>
  <c r="F212" i="4"/>
  <c r="F77" i="4"/>
  <c r="F53" i="4"/>
  <c r="F207" i="4"/>
  <c r="F219" i="4"/>
  <c r="F214" i="4"/>
  <c r="F139" i="4"/>
  <c r="F231" i="4"/>
  <c r="F209" i="4"/>
  <c r="F2" i="4"/>
  <c r="F216" i="4"/>
  <c r="F165" i="4"/>
  <c r="F93" i="4"/>
  <c r="F69" i="4"/>
  <c r="F45" i="4"/>
  <c r="F211" i="4"/>
  <c r="F28" i="4"/>
  <c r="F11" i="4"/>
  <c r="F28" i="3"/>
  <c r="F149" i="3"/>
  <c r="F120" i="3"/>
  <c r="F33" i="3"/>
  <c r="F294" i="3"/>
  <c r="F265" i="3"/>
  <c r="F202" i="3"/>
  <c r="F108" i="6"/>
  <c r="F86" i="6"/>
  <c r="F74" i="6"/>
  <c r="F62" i="6"/>
  <c r="F50" i="6"/>
  <c r="F38" i="6"/>
  <c r="F26" i="6"/>
  <c r="F14" i="6"/>
  <c r="F2" i="6"/>
  <c r="F119" i="6"/>
  <c r="F97" i="6"/>
  <c r="F231" i="3"/>
  <c r="F236" i="3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F86" i="3"/>
  <c r="F91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4" i="3"/>
  <c r="F260" i="3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F323" i="3"/>
  <c r="F235" i="4" l="1"/>
  <c r="F237" i="4"/>
  <c r="F348" i="3"/>
  <c r="F261" i="3"/>
  <c r="F29" i="3"/>
  <c r="F203" i="3"/>
  <c r="F116" i="3"/>
  <c r="F58" i="3"/>
  <c r="F174" i="3"/>
  <c r="F319" i="3"/>
  <c r="F290" i="3"/>
  <c r="F87" i="3"/>
  <c r="F232" i="3"/>
  <c r="F145" i="3"/>
  <c r="F140" i="4"/>
  <c r="F80" i="4"/>
  <c r="F56" i="4"/>
  <c r="F166" i="4"/>
  <c r="F5" i="4"/>
  <c r="F96" i="4"/>
  <c r="F72" i="4"/>
  <c r="F48" i="4"/>
  <c r="F192" i="4"/>
  <c r="F103" i="4"/>
  <c r="F31" i="4"/>
  <c r="F122" i="4"/>
  <c r="F14" i="4"/>
  <c r="F153" i="4"/>
  <c r="F112" i="4"/>
  <c r="F88" i="4"/>
  <c r="F64" i="4"/>
  <c r="F40" i="4"/>
  <c r="F179" i="4"/>
  <c r="F131" i="4"/>
  <c r="F23" i="4"/>
  <c r="L7" i="2"/>
  <c r="M6" i="2"/>
  <c r="Y7" i="2"/>
  <c r="X8" i="2"/>
  <c r="AG6" i="2"/>
  <c r="AF7" i="2"/>
  <c r="BE6" i="2"/>
  <c r="BD7" i="2"/>
  <c r="AN7" i="2"/>
  <c r="AO6" i="2"/>
  <c r="F30" i="4"/>
  <c r="F13" i="4"/>
  <c r="F87" i="4"/>
  <c r="F63" i="4"/>
  <c r="F39" i="4"/>
  <c r="F22" i="4"/>
  <c r="F79" i="4"/>
  <c r="F55" i="4"/>
  <c r="F4" i="4"/>
  <c r="F95" i="4"/>
  <c r="F71" i="4"/>
  <c r="F47" i="4"/>
  <c r="F299" i="5"/>
  <c r="F174" i="5"/>
  <c r="F114" i="5"/>
  <c r="F54" i="5"/>
  <c r="F224" i="5"/>
  <c r="F104" i="5"/>
  <c r="F44" i="5"/>
  <c r="F274" i="5"/>
  <c r="F94" i="5"/>
  <c r="F34" i="5"/>
  <c r="F324" i="5"/>
  <c r="F84" i="5"/>
  <c r="F24" i="5"/>
  <c r="F199" i="5"/>
  <c r="F74" i="5"/>
  <c r="F14" i="5"/>
  <c r="F249" i="5"/>
  <c r="F124" i="5"/>
  <c r="F64" i="5"/>
  <c r="F4" i="5"/>
  <c r="F149" i="5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AW5" i="2"/>
  <c r="AV6" i="2"/>
  <c r="F233" i="3" l="1"/>
  <c r="F204" i="3"/>
  <c r="F117" i="3"/>
  <c r="F349" i="3"/>
  <c r="F175" i="3"/>
  <c r="F320" i="3"/>
  <c r="F291" i="3"/>
  <c r="F262" i="3"/>
  <c r="F88" i="3"/>
  <c r="F146" i="3"/>
  <c r="F30" i="3"/>
  <c r="F59" i="3"/>
  <c r="L8" i="2"/>
  <c r="M7" i="2"/>
  <c r="F175" i="6"/>
  <c r="F122" i="6"/>
  <c r="F189" i="6"/>
  <c r="F100" i="6"/>
  <c r="F203" i="6"/>
  <c r="F217" i="6"/>
  <c r="F133" i="6"/>
  <c r="F231" i="6"/>
  <c r="F147" i="6"/>
  <c r="F111" i="6"/>
  <c r="F245" i="6"/>
  <c r="F161" i="6"/>
  <c r="F89" i="6"/>
  <c r="F77" i="6"/>
  <c r="F65" i="6"/>
  <c r="F53" i="6"/>
  <c r="F41" i="6"/>
  <c r="F29" i="6"/>
  <c r="F17" i="6"/>
  <c r="F5" i="6"/>
  <c r="F6" i="4"/>
  <c r="F97" i="4"/>
  <c r="F73" i="4"/>
  <c r="F49" i="4"/>
  <c r="F32" i="4"/>
  <c r="F15" i="4"/>
  <c r="F89" i="4"/>
  <c r="F65" i="4"/>
  <c r="F41" i="4"/>
  <c r="F24" i="4"/>
  <c r="F81" i="4"/>
  <c r="F57" i="4"/>
  <c r="AN8" i="2"/>
  <c r="AO7" i="2"/>
  <c r="BE7" i="2"/>
  <c r="BD8" i="2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AG7" i="2"/>
  <c r="AF8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F95" i="5"/>
  <c r="F35" i="5"/>
  <c r="F85" i="5"/>
  <c r="F25" i="5"/>
  <c r="F75" i="5"/>
  <c r="F15" i="5"/>
  <c r="F115" i="5"/>
  <c r="F55" i="5"/>
  <c r="F105" i="5"/>
  <c r="F45" i="5"/>
  <c r="F65" i="5"/>
  <c r="F5" i="5"/>
  <c r="AW6" i="2"/>
  <c r="AV7" i="2"/>
  <c r="X9" i="2"/>
  <c r="Y8" i="2"/>
  <c r="F66" i="5" l="1"/>
  <c r="F6" i="5"/>
  <c r="F116" i="5"/>
  <c r="F56" i="5"/>
  <c r="F106" i="5"/>
  <c r="F46" i="5"/>
  <c r="F96" i="5"/>
  <c r="F36" i="5"/>
  <c r="F86" i="5"/>
  <c r="F26" i="5"/>
  <c r="F76" i="5"/>
  <c r="F16" i="5"/>
  <c r="AN9" i="2"/>
  <c r="AO8" i="2"/>
  <c r="AG8" i="2"/>
  <c r="AF9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X10" i="2"/>
  <c r="Y9" i="2"/>
  <c r="AW7" i="2"/>
  <c r="AV8" i="2"/>
  <c r="F247" i="6"/>
  <c r="F163" i="6"/>
  <c r="F177" i="6"/>
  <c r="F112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M8" i="2"/>
  <c r="L9" i="2"/>
  <c r="F90" i="4"/>
  <c r="F66" i="4"/>
  <c r="F42" i="4"/>
  <c r="F25" i="4"/>
  <c r="F82" i="4"/>
  <c r="F58" i="4"/>
  <c r="F7" i="4"/>
  <c r="F98" i="4"/>
  <c r="F74" i="4"/>
  <c r="F50" i="4"/>
  <c r="F33" i="4"/>
  <c r="F16" i="4"/>
  <c r="BE8" i="2"/>
  <c r="BD9" i="2"/>
  <c r="F36" i="3"/>
  <c r="F297" i="3"/>
  <c r="F181" i="3"/>
  <c r="F268" i="3"/>
  <c r="F152" i="3"/>
  <c r="F94" i="3"/>
  <c r="F239" i="3"/>
  <c r="F210" i="3"/>
  <c r="F65" i="3"/>
  <c r="F7" i="3"/>
  <c r="F326" i="3"/>
  <c r="F123" i="3"/>
  <c r="M9" i="2" l="1"/>
  <c r="L10" i="2"/>
  <c r="AW8" i="2"/>
  <c r="AV9" i="2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AG9" i="2"/>
  <c r="AF10" i="2"/>
  <c r="F230" i="4"/>
  <c r="F194" i="4"/>
  <c r="F182" i="4"/>
  <c r="F225" i="4"/>
  <c r="F220" i="4"/>
  <c r="F8" i="4"/>
  <c r="F227" i="4"/>
  <c r="F99" i="4"/>
  <c r="F75" i="4"/>
  <c r="F51" i="4"/>
  <c r="F222" i="4"/>
  <c r="F142" i="4"/>
  <c r="F106" i="4"/>
  <c r="F34" i="4"/>
  <c r="F229" i="4"/>
  <c r="F125" i="4"/>
  <c r="F17" i="4"/>
  <c r="F224" i="4"/>
  <c r="F168" i="4"/>
  <c r="F156" i="4"/>
  <c r="F115" i="4"/>
  <c r="F91" i="4"/>
  <c r="F67" i="4"/>
  <c r="F43" i="4"/>
  <c r="F226" i="4"/>
  <c r="F134" i="4"/>
  <c r="F26" i="4"/>
  <c r="F221" i="4"/>
  <c r="F228" i="4"/>
  <c r="F223" i="4"/>
  <c r="F83" i="4"/>
  <c r="F59" i="4"/>
  <c r="F107" i="5"/>
  <c r="F47" i="5"/>
  <c r="F282" i="5"/>
  <c r="F157" i="5"/>
  <c r="F97" i="5"/>
  <c r="F37" i="5"/>
  <c r="F332" i="5"/>
  <c r="F207" i="5"/>
  <c r="F87" i="5"/>
  <c r="F27" i="5"/>
  <c r="F132" i="5"/>
  <c r="F307" i="5"/>
  <c r="F67" i="5"/>
  <c r="F7" i="5"/>
  <c r="F182" i="5"/>
  <c r="F117" i="5"/>
  <c r="F57" i="5"/>
  <c r="F232" i="5"/>
  <c r="F77" i="5"/>
  <c r="F17" i="5"/>
  <c r="F257" i="5"/>
  <c r="BE9" i="2"/>
  <c r="BD10" i="2"/>
  <c r="Y10" i="2"/>
  <c r="X11" i="2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48" i="6"/>
  <c r="F164" i="6"/>
  <c r="F178" i="6"/>
  <c r="F113" i="6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AN10" i="2"/>
  <c r="AO9" i="2"/>
  <c r="Y11" i="2" l="1"/>
  <c r="X12" i="2"/>
  <c r="F50" i="8"/>
  <c r="F57" i="8"/>
  <c r="F64" i="8"/>
  <c r="F71" i="8"/>
  <c r="F78" i="8"/>
  <c r="F85" i="8"/>
  <c r="F8" i="8"/>
  <c r="F15" i="8"/>
  <c r="F22" i="8"/>
  <c r="F29" i="8"/>
  <c r="F36" i="8"/>
  <c r="F43" i="8"/>
  <c r="F180" i="6"/>
  <c r="F103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W9" i="2"/>
  <c r="AV10" i="2"/>
  <c r="BE10" i="2"/>
  <c r="BD11" i="2"/>
  <c r="BE11" i="2" s="1"/>
  <c r="AF11" i="2"/>
  <c r="AG10" i="2"/>
  <c r="F97" i="7"/>
  <c r="F37" i="7"/>
  <c r="F87" i="7"/>
  <c r="F27" i="7"/>
  <c r="F77" i="7"/>
  <c r="F17" i="7"/>
  <c r="F67" i="7"/>
  <c r="F7" i="7"/>
  <c r="F117" i="7"/>
  <c r="F57" i="7"/>
  <c r="F107" i="7"/>
  <c r="F47" i="7"/>
  <c r="F78" i="5"/>
  <c r="F18" i="5"/>
  <c r="F68" i="5"/>
  <c r="F8" i="5"/>
  <c r="F118" i="5"/>
  <c r="F58" i="5"/>
  <c r="F108" i="5"/>
  <c r="F48" i="5"/>
  <c r="F98" i="5"/>
  <c r="F38" i="5"/>
  <c r="F88" i="5"/>
  <c r="F28" i="5"/>
  <c r="M10" i="2"/>
  <c r="L11" i="2"/>
  <c r="F196" i="4"/>
  <c r="F18" i="4"/>
  <c r="F92" i="4"/>
  <c r="F68" i="4"/>
  <c r="F44" i="4"/>
  <c r="F27" i="4"/>
  <c r="F144" i="4"/>
  <c r="F108" i="4"/>
  <c r="F84" i="4"/>
  <c r="F60" i="4"/>
  <c r="F127" i="4"/>
  <c r="F170" i="4"/>
  <c r="F158" i="4"/>
  <c r="F117" i="4"/>
  <c r="F9" i="4"/>
  <c r="F136" i="4"/>
  <c r="F100" i="4"/>
  <c r="F76" i="4"/>
  <c r="F52" i="4"/>
  <c r="F184" i="4"/>
  <c r="F35" i="4"/>
  <c r="AN11" i="2"/>
  <c r="AO10" i="2"/>
  <c r="F68" i="7" l="1"/>
  <c r="F8" i="7"/>
  <c r="F118" i="7"/>
  <c r="F58" i="7"/>
  <c r="F108" i="7"/>
  <c r="F48" i="7"/>
  <c r="F98" i="7"/>
  <c r="F38" i="7"/>
  <c r="F88" i="7"/>
  <c r="F28" i="7"/>
  <c r="F78" i="7"/>
  <c r="F18" i="7"/>
  <c r="AW10" i="2"/>
  <c r="AV11" i="2"/>
  <c r="M11" i="2"/>
  <c r="L12" i="2"/>
  <c r="AN12" i="2"/>
  <c r="AO11" i="2"/>
  <c r="F119" i="5"/>
  <c r="F59" i="5"/>
  <c r="F109" i="5"/>
  <c r="F49" i="5"/>
  <c r="F99" i="5"/>
  <c r="F39" i="5"/>
  <c r="F79" i="5"/>
  <c r="F19" i="5"/>
  <c r="F69" i="5"/>
  <c r="F9" i="5"/>
  <c r="F29" i="5"/>
  <c r="F89" i="5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195" i="6"/>
  <c r="F209" i="6"/>
  <c r="AF12" i="2"/>
  <c r="AG11" i="2"/>
  <c r="F141" i="8"/>
  <c r="F117" i="8"/>
  <c r="F93" i="8"/>
  <c r="F157" i="8"/>
  <c r="F133" i="8"/>
  <c r="F109" i="8"/>
  <c r="F149" i="8"/>
  <c r="F125" i="8"/>
  <c r="F101" i="8"/>
  <c r="Y12" i="2"/>
  <c r="X13" i="2"/>
  <c r="F136" i="8"/>
  <c r="F112" i="8"/>
  <c r="F88" i="8"/>
  <c r="F152" i="8"/>
  <c r="F128" i="8"/>
  <c r="F104" i="8"/>
  <c r="F144" i="8"/>
  <c r="F120" i="8"/>
  <c r="F96" i="8"/>
  <c r="F145" i="4"/>
  <c r="F171" i="4"/>
  <c r="F159" i="4"/>
  <c r="F10" i="4"/>
  <c r="F185" i="4"/>
  <c r="F36" i="4"/>
  <c r="F197" i="4"/>
  <c r="F19" i="4"/>
  <c r="F119" i="4"/>
  <c r="F252" i="6" l="1"/>
  <c r="F168" i="6"/>
  <c r="F127" i="6"/>
  <c r="F182" i="6"/>
  <c r="F105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AN13" i="2"/>
  <c r="AO12" i="2"/>
  <c r="F234" i="5"/>
  <c r="F90" i="5"/>
  <c r="F30" i="5"/>
  <c r="F284" i="5"/>
  <c r="F80" i="5"/>
  <c r="F20" i="5"/>
  <c r="F159" i="5"/>
  <c r="F334" i="5"/>
  <c r="F70" i="5"/>
  <c r="F10" i="5"/>
  <c r="F120" i="5"/>
  <c r="F60" i="5"/>
  <c r="F259" i="5"/>
  <c r="F134" i="5"/>
  <c r="F110" i="5"/>
  <c r="F50" i="5"/>
  <c r="F309" i="5"/>
  <c r="F184" i="5"/>
  <c r="F100" i="5"/>
  <c r="F40" i="5"/>
  <c r="F209" i="5"/>
  <c r="L13" i="2"/>
  <c r="M12" i="2"/>
  <c r="Y13" i="2"/>
  <c r="X14" i="2"/>
  <c r="AG12" i="2"/>
  <c r="AF13" i="2"/>
  <c r="F293" i="3"/>
  <c r="F264" i="3"/>
  <c r="F177" i="3"/>
  <c r="F206" i="3"/>
  <c r="F119" i="3"/>
  <c r="F61" i="3"/>
  <c r="F3" i="3"/>
  <c r="F322" i="3"/>
  <c r="F148" i="3"/>
  <c r="F90" i="3"/>
  <c r="F235" i="3"/>
  <c r="F32" i="3"/>
  <c r="F138" i="4"/>
  <c r="F164" i="4"/>
  <c r="F190" i="4"/>
  <c r="F101" i="4"/>
  <c r="F120" i="4"/>
  <c r="F151" i="4"/>
  <c r="F110" i="4"/>
  <c r="F177" i="4"/>
  <c r="F129" i="4"/>
  <c r="AW11" i="2"/>
  <c r="AV12" i="2"/>
  <c r="F109" i="7"/>
  <c r="F49" i="7"/>
  <c r="F99" i="7"/>
  <c r="F39" i="7"/>
  <c r="F89" i="7"/>
  <c r="F29" i="7"/>
  <c r="F79" i="7"/>
  <c r="F19" i="7"/>
  <c r="F69" i="7"/>
  <c r="F9" i="7"/>
  <c r="F119" i="7"/>
  <c r="F59" i="7"/>
  <c r="F287" i="5" l="1"/>
  <c r="F71" i="5"/>
  <c r="F11" i="5"/>
  <c r="F162" i="5"/>
  <c r="F337" i="5"/>
  <c r="F121" i="5"/>
  <c r="F61" i="5"/>
  <c r="F212" i="5"/>
  <c r="F111" i="5"/>
  <c r="F51" i="5"/>
  <c r="F262" i="5"/>
  <c r="F312" i="5"/>
  <c r="F187" i="5"/>
  <c r="F91" i="5"/>
  <c r="F31" i="5"/>
  <c r="F237" i="5"/>
  <c r="F81" i="5"/>
  <c r="F21" i="5"/>
  <c r="F41" i="5"/>
  <c r="F137" i="5"/>
  <c r="F101" i="5"/>
  <c r="F193" i="4"/>
  <c r="F104" i="4"/>
  <c r="F123" i="4"/>
  <c r="F154" i="4"/>
  <c r="F113" i="4"/>
  <c r="F180" i="4"/>
  <c r="F132" i="4"/>
  <c r="F141" i="4"/>
  <c r="F167" i="4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53" i="6"/>
  <c r="F169" i="6"/>
  <c r="F128" i="6"/>
  <c r="F183" i="6"/>
  <c r="F106" i="6"/>
  <c r="F197" i="6"/>
  <c r="X15" i="2"/>
  <c r="Y14" i="2"/>
  <c r="F605" i="3"/>
  <c r="F437" i="3"/>
  <c r="F89" i="3"/>
  <c r="F576" i="3"/>
  <c r="F408" i="3"/>
  <c r="F60" i="3"/>
  <c r="F321" i="3"/>
  <c r="F205" i="3"/>
  <c r="F147" i="3"/>
  <c r="F234" i="3"/>
  <c r="F31" i="3"/>
  <c r="F524" i="3"/>
  <c r="F466" i="3"/>
  <c r="F118" i="3"/>
  <c r="F176" i="3"/>
  <c r="F350" i="3"/>
  <c r="F263" i="3"/>
  <c r="F2" i="3"/>
  <c r="F495" i="3"/>
  <c r="F379" i="3"/>
  <c r="F292" i="3"/>
  <c r="AO13" i="2"/>
  <c r="AN14" i="2"/>
  <c r="M13" i="2"/>
  <c r="L14" i="2"/>
  <c r="AV13" i="2"/>
  <c r="AW12" i="2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AG13" i="2"/>
  <c r="AF14" i="2"/>
  <c r="F193" i="7" l="1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AW13" i="2"/>
  <c r="AV14" i="2"/>
  <c r="AW14" i="2" s="1"/>
  <c r="L15" i="2"/>
  <c r="M14" i="2"/>
  <c r="F525" i="3"/>
  <c r="F496" i="3"/>
  <c r="F606" i="3"/>
  <c r="F438" i="3"/>
  <c r="F577" i="3"/>
  <c r="F409" i="3"/>
  <c r="F467" i="3"/>
  <c r="F351" i="3"/>
  <c r="F380" i="3"/>
  <c r="F114" i="4"/>
  <c r="F181" i="4"/>
  <c r="F133" i="4"/>
  <c r="F198" i="4"/>
  <c r="F147" i="4"/>
  <c r="F173" i="4"/>
  <c r="F105" i="4"/>
  <c r="F124" i="4"/>
  <c r="F155" i="4"/>
  <c r="AN15" i="2"/>
  <c r="AO14" i="2"/>
  <c r="X16" i="2"/>
  <c r="Y15" i="2"/>
  <c r="F275" i="5"/>
  <c r="F150" i="5"/>
  <c r="F325" i="5"/>
  <c r="F200" i="5"/>
  <c r="F250" i="5"/>
  <c r="F300" i="5"/>
  <c r="F175" i="5"/>
  <c r="F225" i="5"/>
  <c r="F125" i="5"/>
  <c r="F240" i="6"/>
  <c r="F156" i="6"/>
  <c r="F96" i="6"/>
  <c r="F84" i="6"/>
  <c r="F72" i="6"/>
  <c r="F60" i="6"/>
  <c r="F48" i="6"/>
  <c r="F36" i="6"/>
  <c r="F24" i="6"/>
  <c r="F12" i="6"/>
  <c r="F254" i="6"/>
  <c r="F170" i="6"/>
  <c r="F129" i="6"/>
  <c r="F184" i="6"/>
  <c r="F107" i="6"/>
  <c r="F198" i="6"/>
  <c r="F212" i="6"/>
  <c r="F226" i="6"/>
  <c r="F142" i="6"/>
  <c r="F118" i="6"/>
  <c r="AG14" i="2"/>
  <c r="AF15" i="2"/>
  <c r="F183" i="7" l="1"/>
  <c r="F147" i="7"/>
  <c r="F192" i="7"/>
  <c r="F156" i="7"/>
  <c r="F201" i="7"/>
  <c r="F165" i="7"/>
  <c r="F129" i="7"/>
  <c r="F174" i="7"/>
  <c r="F138" i="7"/>
  <c r="F199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AN16" i="2"/>
  <c r="AO15" i="2"/>
  <c r="M15" i="2"/>
  <c r="L16" i="2"/>
  <c r="F126" i="4"/>
  <c r="F169" i="4"/>
  <c r="F157" i="4"/>
  <c r="F116" i="4"/>
  <c r="F135" i="4"/>
  <c r="F183" i="4"/>
  <c r="F195" i="4"/>
  <c r="F143" i="4"/>
  <c r="F107" i="4"/>
  <c r="F171" i="7"/>
  <c r="F135" i="7"/>
  <c r="F180" i="7"/>
  <c r="F144" i="7"/>
  <c r="F189" i="7"/>
  <c r="F153" i="7"/>
  <c r="F198" i="7"/>
  <c r="F162" i="7"/>
  <c r="F126" i="7"/>
  <c r="AF16" i="2"/>
  <c r="AG15" i="2"/>
  <c r="F251" i="5"/>
  <c r="F126" i="5"/>
  <c r="F301" i="5"/>
  <c r="F176" i="5"/>
  <c r="F226" i="5"/>
  <c r="F276" i="5"/>
  <c r="F151" i="5"/>
  <c r="F326" i="5"/>
  <c r="F201" i="5"/>
  <c r="Y16" i="2"/>
  <c r="X17" i="2"/>
  <c r="F497" i="3"/>
  <c r="F600" i="3"/>
  <c r="F468" i="3"/>
  <c r="F324" i="3"/>
  <c r="F571" i="3"/>
  <c r="F439" i="3"/>
  <c r="F381" i="3"/>
  <c r="F237" i="3"/>
  <c r="F34" i="3"/>
  <c r="F410" i="3"/>
  <c r="F208" i="3"/>
  <c r="F121" i="3"/>
  <c r="F179" i="3"/>
  <c r="F526" i="3"/>
  <c r="F5" i="3"/>
  <c r="F295" i="3"/>
  <c r="F92" i="3"/>
  <c r="F266" i="3"/>
  <c r="F150" i="3"/>
  <c r="F63" i="3"/>
  <c r="F352" i="3"/>
  <c r="X18" i="2" l="1"/>
  <c r="Y17" i="2"/>
  <c r="F109" i="4"/>
  <c r="F128" i="4"/>
  <c r="F118" i="4"/>
  <c r="F137" i="4"/>
  <c r="M16" i="2"/>
  <c r="L17" i="2"/>
  <c r="AG16" i="2"/>
  <c r="AF17" i="2"/>
  <c r="F353" i="3"/>
  <c r="F209" i="3"/>
  <c r="F180" i="3"/>
  <c r="F93" i="3"/>
  <c r="F599" i="3"/>
  <c r="F527" i="3"/>
  <c r="F570" i="3"/>
  <c r="F498" i="3"/>
  <c r="F469" i="3"/>
  <c r="F325" i="3"/>
  <c r="F440" i="3"/>
  <c r="F6" i="3"/>
  <c r="F296" i="3"/>
  <c r="F267" i="3"/>
  <c r="F151" i="3"/>
  <c r="F238" i="3"/>
  <c r="F35" i="3"/>
  <c r="F382" i="3"/>
  <c r="F64" i="3"/>
  <c r="F411" i="3"/>
  <c r="F122" i="3"/>
  <c r="F187" i="6"/>
  <c r="F201" i="6"/>
  <c r="F215" i="6"/>
  <c r="F131" i="6"/>
  <c r="F229" i="6"/>
  <c r="F145" i="6"/>
  <c r="F243" i="6"/>
  <c r="F159" i="6"/>
  <c r="F173" i="6"/>
  <c r="AO16" i="2"/>
  <c r="AN17" i="2"/>
  <c r="AO17" i="2" s="1"/>
  <c r="F227" i="5"/>
  <c r="F277" i="5"/>
  <c r="F152" i="5"/>
  <c r="F327" i="5"/>
  <c r="F202" i="5"/>
  <c r="F252" i="5"/>
  <c r="F127" i="5"/>
  <c r="F302" i="5"/>
  <c r="F177" i="5"/>
  <c r="Y18" i="2" l="1"/>
  <c r="X19" i="2"/>
  <c r="F203" i="5"/>
  <c r="F253" i="5"/>
  <c r="F128" i="5"/>
  <c r="F303" i="5"/>
  <c r="F178" i="5"/>
  <c r="F228" i="5"/>
  <c r="F278" i="5"/>
  <c r="F153" i="5"/>
  <c r="F328" i="5"/>
  <c r="AF18" i="2"/>
  <c r="AG17" i="2"/>
  <c r="L18" i="2"/>
  <c r="M17" i="2"/>
  <c r="F569" i="3"/>
  <c r="F269" i="3"/>
  <c r="F528" i="3"/>
  <c r="F240" i="3"/>
  <c r="F499" i="3"/>
  <c r="F441" i="3"/>
  <c r="F153" i="3"/>
  <c r="F412" i="3"/>
  <c r="F354" i="3"/>
  <c r="F211" i="3"/>
  <c r="F66" i="3"/>
  <c r="F124" i="3"/>
  <c r="F383" i="3"/>
  <c r="F182" i="3"/>
  <c r="F8" i="3"/>
  <c r="F327" i="3"/>
  <c r="F298" i="3"/>
  <c r="F95" i="3"/>
  <c r="F598" i="3"/>
  <c r="F37" i="3"/>
  <c r="F470" i="3"/>
  <c r="F235" i="6"/>
  <c r="F151" i="6"/>
  <c r="F249" i="6"/>
  <c r="F165" i="6"/>
  <c r="F179" i="6"/>
  <c r="F193" i="6"/>
  <c r="F207" i="6"/>
  <c r="F221" i="6"/>
  <c r="F137" i="6"/>
  <c r="F204" i="6"/>
  <c r="F218" i="6"/>
  <c r="F134" i="6"/>
  <c r="F232" i="6"/>
  <c r="F148" i="6"/>
  <c r="F246" i="6"/>
  <c r="F162" i="6"/>
  <c r="F176" i="6"/>
  <c r="F190" i="6"/>
  <c r="F205" i="4"/>
  <c r="F200" i="4"/>
  <c r="F204" i="4"/>
  <c r="F187" i="4"/>
  <c r="F146" i="4"/>
  <c r="F172" i="4"/>
  <c r="F160" i="4"/>
  <c r="AG18" i="2" l="1"/>
  <c r="AF19" i="2"/>
  <c r="F413" i="3"/>
  <c r="F125" i="3"/>
  <c r="F384" i="3"/>
  <c r="F96" i="3"/>
  <c r="F9" i="3"/>
  <c r="F270" i="3"/>
  <c r="F601" i="3"/>
  <c r="F529" i="3"/>
  <c r="F241" i="3"/>
  <c r="F572" i="3"/>
  <c r="F500" i="3"/>
  <c r="F328" i="3"/>
  <c r="F299" i="3"/>
  <c r="F442" i="3"/>
  <c r="F154" i="3"/>
  <c r="F38" i="3"/>
  <c r="F471" i="3"/>
  <c r="F212" i="3"/>
  <c r="F67" i="3"/>
  <c r="F183" i="3"/>
  <c r="F355" i="3"/>
  <c r="M18" i="2"/>
  <c r="L19" i="2"/>
  <c r="X20" i="2"/>
  <c r="Y20" i="2" s="1"/>
  <c r="Y19" i="2"/>
  <c r="F179" i="5"/>
  <c r="F229" i="5"/>
  <c r="F279" i="5"/>
  <c r="F154" i="5"/>
  <c r="F204" i="5"/>
  <c r="F254" i="5"/>
  <c r="F129" i="5"/>
  <c r="F304" i="5"/>
  <c r="F329" i="5"/>
  <c r="F174" i="4"/>
  <c r="F203" i="4"/>
  <c r="F186" i="4"/>
  <c r="F161" i="4"/>
  <c r="F199" i="4"/>
  <c r="F148" i="4"/>
  <c r="F162" i="4" l="1"/>
  <c r="F150" i="4"/>
  <c r="F176" i="4"/>
  <c r="F188" i="4"/>
  <c r="F202" i="4"/>
  <c r="F593" i="3"/>
  <c r="F557" i="3"/>
  <c r="F533" i="3"/>
  <c r="F509" i="3"/>
  <c r="F485" i="3"/>
  <c r="F473" i="3"/>
  <c r="F449" i="3"/>
  <c r="F425" i="3"/>
  <c r="F389" i="3"/>
  <c r="F365" i="3"/>
  <c r="F341" i="3"/>
  <c r="F329" i="3"/>
  <c r="F305" i="3"/>
  <c r="F281" i="3"/>
  <c r="F245" i="3"/>
  <c r="F221" i="3"/>
  <c r="F185" i="3"/>
  <c r="F161" i="3"/>
  <c r="F137" i="3"/>
  <c r="F101" i="3"/>
  <c r="F77" i="3"/>
  <c r="F588" i="3"/>
  <c r="F564" i="3"/>
  <c r="F540" i="3"/>
  <c r="F504" i="3"/>
  <c r="F480" i="3"/>
  <c r="F456" i="3"/>
  <c r="F444" i="3"/>
  <c r="F420" i="3"/>
  <c r="F396" i="3"/>
  <c r="F360" i="3"/>
  <c r="F336" i="3"/>
  <c r="F312" i="3"/>
  <c r="F300" i="3"/>
  <c r="F276" i="3"/>
  <c r="F252" i="3"/>
  <c r="F216" i="3"/>
  <c r="F192" i="3"/>
  <c r="F156" i="3"/>
  <c r="F132" i="3"/>
  <c r="F108" i="3"/>
  <c r="F72" i="3"/>
  <c r="F48" i="3"/>
  <c r="F12" i="3"/>
  <c r="F595" i="3"/>
  <c r="F583" i="3"/>
  <c r="F559" i="3"/>
  <c r="F535" i="3"/>
  <c r="F511" i="3"/>
  <c r="F475" i="3"/>
  <c r="F451" i="3"/>
  <c r="F585" i="3"/>
  <c r="F561" i="3"/>
  <c r="F537" i="3"/>
  <c r="F513" i="3"/>
  <c r="F501" i="3"/>
  <c r="F477" i="3"/>
  <c r="F453" i="3"/>
  <c r="F417" i="3"/>
  <c r="F393" i="3"/>
  <c r="F369" i="3"/>
  <c r="F357" i="3"/>
  <c r="F333" i="3"/>
  <c r="F309" i="3"/>
  <c r="F273" i="3"/>
  <c r="F249" i="3"/>
  <c r="F225" i="3"/>
  <c r="F213" i="3"/>
  <c r="F189" i="3"/>
  <c r="F165" i="3"/>
  <c r="F129" i="3"/>
  <c r="F105" i="3"/>
  <c r="F69" i="3"/>
  <c r="F45" i="3"/>
  <c r="F21" i="3"/>
  <c r="F592" i="3"/>
  <c r="F556" i="3"/>
  <c r="F532" i="3"/>
  <c r="F508" i="3"/>
  <c r="F484" i="3"/>
  <c r="F472" i="3"/>
  <c r="F448" i="3"/>
  <c r="F424" i="3"/>
  <c r="F388" i="3"/>
  <c r="F364" i="3"/>
  <c r="F587" i="3"/>
  <c r="F563" i="3"/>
  <c r="F539" i="3"/>
  <c r="F503" i="3"/>
  <c r="F479" i="3"/>
  <c r="F594" i="3"/>
  <c r="F582" i="3"/>
  <c r="F558" i="3"/>
  <c r="F534" i="3"/>
  <c r="F510" i="3"/>
  <c r="F474" i="3"/>
  <c r="F450" i="3"/>
  <c r="F426" i="3"/>
  <c r="F414" i="3"/>
  <c r="F390" i="3"/>
  <c r="F366" i="3"/>
  <c r="F330" i="3"/>
  <c r="F306" i="3"/>
  <c r="F282" i="3"/>
  <c r="F246" i="3"/>
  <c r="F589" i="3"/>
  <c r="F565" i="3"/>
  <c r="F553" i="3"/>
  <c r="F541" i="3"/>
  <c r="F505" i="3"/>
  <c r="F481" i="3"/>
  <c r="F445" i="3"/>
  <c r="F421" i="3"/>
  <c r="F397" i="3"/>
  <c r="F385" i="3"/>
  <c r="F361" i="3"/>
  <c r="F337" i="3"/>
  <c r="F301" i="3"/>
  <c r="F277" i="3"/>
  <c r="F253" i="3"/>
  <c r="F217" i="3"/>
  <c r="F193" i="3"/>
  <c r="F591" i="3"/>
  <c r="F586" i="3"/>
  <c r="F514" i="3"/>
  <c r="F478" i="3"/>
  <c r="F331" i="3"/>
  <c r="F310" i="3"/>
  <c r="F242" i="3"/>
  <c r="F104" i="3"/>
  <c r="F99" i="3"/>
  <c r="F49" i="3"/>
  <c r="F39" i="3"/>
  <c r="F19" i="3"/>
  <c r="F71" i="3"/>
  <c r="F14" i="3"/>
  <c r="F536" i="3"/>
  <c r="F302" i="3"/>
  <c r="F247" i="3"/>
  <c r="F167" i="3"/>
  <c r="F162" i="3"/>
  <c r="F157" i="3"/>
  <c r="F109" i="3"/>
  <c r="F76" i="3"/>
  <c r="F555" i="3"/>
  <c r="F483" i="3"/>
  <c r="F418" i="3"/>
  <c r="F394" i="3"/>
  <c r="F386" i="3"/>
  <c r="F362" i="3"/>
  <c r="F307" i="3"/>
  <c r="F244" i="3"/>
  <c r="F190" i="3"/>
  <c r="F134" i="3"/>
  <c r="F51" i="3"/>
  <c r="F46" i="3"/>
  <c r="F41" i="3"/>
  <c r="F566" i="3"/>
  <c r="F530" i="3"/>
  <c r="F423" i="3"/>
  <c r="F359" i="3"/>
  <c r="F304" i="3"/>
  <c r="F278" i="3"/>
  <c r="F195" i="3"/>
  <c r="F164" i="3"/>
  <c r="F159" i="3"/>
  <c r="F106" i="3"/>
  <c r="F68" i="3"/>
  <c r="F16" i="3"/>
  <c r="F11" i="3"/>
  <c r="F538" i="3"/>
  <c r="F502" i="3"/>
  <c r="F447" i="3"/>
  <c r="F415" i="3"/>
  <c r="F391" i="3"/>
  <c r="F367" i="3"/>
  <c r="F338" i="3"/>
  <c r="F283" i="3"/>
  <c r="F275" i="3"/>
  <c r="F223" i="3"/>
  <c r="F218" i="3"/>
  <c r="F187" i="3"/>
  <c r="F136" i="3"/>
  <c r="F131" i="3"/>
  <c r="F126" i="3"/>
  <c r="F78" i="3"/>
  <c r="F73" i="3"/>
  <c r="F166" i="3"/>
  <c r="F560" i="3"/>
  <c r="F455" i="3"/>
  <c r="F356" i="3"/>
  <c r="F335" i="3"/>
  <c r="F280" i="3"/>
  <c r="F254" i="3"/>
  <c r="F215" i="3"/>
  <c r="F103" i="3"/>
  <c r="F98" i="3"/>
  <c r="F18" i="3"/>
  <c r="F70" i="3"/>
  <c r="F13" i="3"/>
  <c r="F543" i="3"/>
  <c r="F507" i="3"/>
  <c r="F340" i="3"/>
  <c r="F272" i="3"/>
  <c r="F220" i="3"/>
  <c r="F184" i="3"/>
  <c r="F75" i="3"/>
  <c r="F590" i="3"/>
  <c r="F554" i="3"/>
  <c r="F482" i="3"/>
  <c r="F452" i="3"/>
  <c r="F332" i="3"/>
  <c r="F311" i="3"/>
  <c r="F243" i="3"/>
  <c r="F138" i="3"/>
  <c r="F133" i="3"/>
  <c r="F100" i="3"/>
  <c r="F50" i="3"/>
  <c r="F40" i="3"/>
  <c r="F20" i="3"/>
  <c r="F128" i="3"/>
  <c r="F562" i="3"/>
  <c r="F422" i="3"/>
  <c r="F398" i="3"/>
  <c r="F358" i="3"/>
  <c r="F303" i="3"/>
  <c r="F248" i="3"/>
  <c r="F194" i="3"/>
  <c r="F163" i="3"/>
  <c r="F158" i="3"/>
  <c r="F15" i="3"/>
  <c r="F10" i="3"/>
  <c r="F102" i="3"/>
  <c r="F22" i="3"/>
  <c r="F188" i="3"/>
  <c r="F251" i="3"/>
  <c r="F80" i="3"/>
  <c r="F584" i="3"/>
  <c r="F512" i="3"/>
  <c r="F476" i="3"/>
  <c r="F446" i="3"/>
  <c r="F419" i="3"/>
  <c r="F395" i="3"/>
  <c r="F387" i="3"/>
  <c r="F363" i="3"/>
  <c r="F308" i="3"/>
  <c r="F274" i="3"/>
  <c r="F222" i="3"/>
  <c r="F191" i="3"/>
  <c r="F186" i="3"/>
  <c r="F135" i="3"/>
  <c r="F130" i="3"/>
  <c r="F47" i="3"/>
  <c r="F42" i="3"/>
  <c r="F214" i="3"/>
  <c r="F160" i="3"/>
  <c r="F97" i="3"/>
  <c r="F368" i="3"/>
  <c r="F250" i="3"/>
  <c r="F219" i="3"/>
  <c r="F43" i="3"/>
  <c r="F531" i="3"/>
  <c r="F454" i="3"/>
  <c r="F443" i="3"/>
  <c r="F427" i="3"/>
  <c r="F334" i="3"/>
  <c r="F279" i="3"/>
  <c r="F196" i="3"/>
  <c r="F155" i="3"/>
  <c r="F107" i="3"/>
  <c r="F17" i="3"/>
  <c r="F339" i="3"/>
  <c r="F271" i="3"/>
  <c r="F127" i="3"/>
  <c r="F79" i="3"/>
  <c r="F44" i="3"/>
  <c r="F542" i="3"/>
  <c r="F506" i="3"/>
  <c r="F416" i="3"/>
  <c r="F392" i="3"/>
  <c r="F224" i="3"/>
  <c r="F74" i="3"/>
  <c r="F149" i="4"/>
  <c r="F175" i="4"/>
  <c r="F163" i="4"/>
  <c r="F189" i="4"/>
  <c r="F201" i="4"/>
  <c r="AF20" i="2"/>
  <c r="AG19" i="2"/>
  <c r="L20" i="2"/>
  <c r="M19" i="2"/>
  <c r="F155" i="5"/>
  <c r="F330" i="5"/>
  <c r="F205" i="5"/>
  <c r="F255" i="5"/>
  <c r="F130" i="5"/>
  <c r="F180" i="5"/>
  <c r="F230" i="5"/>
  <c r="F280" i="5"/>
  <c r="F305" i="5"/>
  <c r="F197" i="3" l="1"/>
  <c r="F168" i="3"/>
  <c r="F81" i="3"/>
  <c r="F544" i="3"/>
  <c r="F515" i="3"/>
  <c r="F486" i="3"/>
  <c r="F342" i="3"/>
  <c r="F457" i="3"/>
  <c r="F313" i="3"/>
  <c r="F255" i="3"/>
  <c r="F370" i="3"/>
  <c r="F226" i="3"/>
  <c r="F139" i="3"/>
  <c r="F399" i="3"/>
  <c r="F428" i="3"/>
  <c r="F23" i="3"/>
  <c r="F596" i="3"/>
  <c r="F110" i="3"/>
  <c r="F52" i="3"/>
  <c r="F567" i="3"/>
  <c r="F284" i="3"/>
  <c r="M20" i="2"/>
  <c r="L21" i="2"/>
  <c r="F131" i="5"/>
  <c r="F306" i="5"/>
  <c r="F181" i="5"/>
  <c r="F231" i="5"/>
  <c r="F156" i="5"/>
  <c r="F331" i="5"/>
  <c r="F206" i="5"/>
  <c r="F256" i="5"/>
  <c r="F281" i="5"/>
  <c r="AG20" i="2"/>
  <c r="AF21" i="2"/>
  <c r="AF22" i="2" l="1"/>
  <c r="AG21" i="2"/>
  <c r="F545" i="3"/>
  <c r="F516" i="3"/>
  <c r="F24" i="3"/>
  <c r="F487" i="3"/>
  <c r="F597" i="3"/>
  <c r="F429" i="3"/>
  <c r="F285" i="3"/>
  <c r="F568" i="3"/>
  <c r="F400" i="3"/>
  <c r="F169" i="3"/>
  <c r="F198" i="3"/>
  <c r="F111" i="3"/>
  <c r="F458" i="3"/>
  <c r="F53" i="3"/>
  <c r="F343" i="3"/>
  <c r="F314" i="3"/>
  <c r="F256" i="3"/>
  <c r="F371" i="3"/>
  <c r="F227" i="3"/>
  <c r="F140" i="3"/>
  <c r="F82" i="3"/>
  <c r="L22" i="2"/>
  <c r="M21" i="2"/>
  <c r="F258" i="5"/>
  <c r="F133" i="5"/>
  <c r="F308" i="5"/>
  <c r="F183" i="5"/>
  <c r="F283" i="5"/>
  <c r="F158" i="5"/>
  <c r="F333" i="5"/>
  <c r="F208" i="5"/>
  <c r="F233" i="5"/>
  <c r="F335" i="5" l="1"/>
  <c r="F210" i="5"/>
  <c r="F260" i="5"/>
  <c r="F135" i="5"/>
  <c r="F310" i="5"/>
  <c r="F235" i="5"/>
  <c r="F285" i="5"/>
  <c r="F160" i="5"/>
  <c r="F185" i="5"/>
  <c r="M22" i="2"/>
  <c r="L23" i="2"/>
  <c r="F401" i="3"/>
  <c r="F257" i="3"/>
  <c r="F372" i="3"/>
  <c r="F228" i="3"/>
  <c r="F607" i="3"/>
  <c r="F141" i="3"/>
  <c r="F546" i="3"/>
  <c r="F517" i="3"/>
  <c r="F344" i="3"/>
  <c r="F170" i="3"/>
  <c r="F315" i="3"/>
  <c r="F286" i="3"/>
  <c r="F83" i="3"/>
  <c r="F488" i="3"/>
  <c r="F430" i="3"/>
  <c r="F199" i="3"/>
  <c r="F25" i="3"/>
  <c r="F112" i="3"/>
  <c r="F54" i="3"/>
  <c r="F578" i="3"/>
  <c r="F459" i="3"/>
  <c r="AF23" i="2"/>
  <c r="AG22" i="2"/>
  <c r="F311" i="5" l="1"/>
  <c r="F186" i="5"/>
  <c r="F236" i="5"/>
  <c r="F286" i="5"/>
  <c r="F336" i="5"/>
  <c r="F211" i="5"/>
  <c r="F261" i="5"/>
  <c r="F136" i="5"/>
  <c r="F161" i="5"/>
  <c r="F547" i="3"/>
  <c r="F573" i="3"/>
  <c r="F489" i="3"/>
  <c r="F460" i="3"/>
  <c r="F402" i="3"/>
  <c r="F373" i="3"/>
  <c r="F431" i="3"/>
  <c r="F602" i="3"/>
  <c r="F518" i="3"/>
  <c r="AG23" i="2"/>
  <c r="AF24" i="2"/>
  <c r="L24" i="2"/>
  <c r="M23" i="2"/>
  <c r="L25" i="2" l="1"/>
  <c r="M24" i="2"/>
  <c r="AF25" i="2"/>
  <c r="AG24" i="2"/>
  <c r="F461" i="3"/>
  <c r="F113" i="3"/>
  <c r="F432" i="3"/>
  <c r="F84" i="3"/>
  <c r="F345" i="3"/>
  <c r="F258" i="3"/>
  <c r="F229" i="3"/>
  <c r="F603" i="3"/>
  <c r="F142" i="3"/>
  <c r="F519" i="3"/>
  <c r="F200" i="3"/>
  <c r="F26" i="3"/>
  <c r="F574" i="3"/>
  <c r="F171" i="3"/>
  <c r="F55" i="3"/>
  <c r="F490" i="3"/>
  <c r="F374" i="3"/>
  <c r="F316" i="3"/>
  <c r="F548" i="3"/>
  <c r="F287" i="3"/>
  <c r="F403" i="3"/>
  <c r="F263" i="5"/>
  <c r="F138" i="5"/>
  <c r="F313" i="5"/>
  <c r="F188" i="5"/>
  <c r="F238" i="5"/>
  <c r="F288" i="5"/>
  <c r="F163" i="5"/>
  <c r="F338" i="5"/>
  <c r="F213" i="5"/>
  <c r="F239" i="5" l="1"/>
  <c r="F289" i="5"/>
  <c r="F164" i="5"/>
  <c r="F339" i="5"/>
  <c r="F214" i="5"/>
  <c r="F264" i="5"/>
  <c r="F139" i="5"/>
  <c r="F314" i="5"/>
  <c r="F189" i="5"/>
  <c r="AF26" i="2"/>
  <c r="AG25" i="2"/>
  <c r="F317" i="3"/>
  <c r="F288" i="3"/>
  <c r="F549" i="3"/>
  <c r="F201" i="3"/>
  <c r="F604" i="3"/>
  <c r="F520" i="3"/>
  <c r="F575" i="3"/>
  <c r="F491" i="3"/>
  <c r="F462" i="3"/>
  <c r="F433" i="3"/>
  <c r="F114" i="3"/>
  <c r="F56" i="3"/>
  <c r="F172" i="3"/>
  <c r="F375" i="3"/>
  <c r="F346" i="3"/>
  <c r="F404" i="3"/>
  <c r="F143" i="3"/>
  <c r="F85" i="3"/>
  <c r="F230" i="3"/>
  <c r="F27" i="3"/>
  <c r="F259" i="3"/>
  <c r="L26" i="2"/>
  <c r="M25" i="2"/>
  <c r="L27" i="2" l="1"/>
  <c r="M26" i="2"/>
  <c r="F215" i="5"/>
  <c r="F265" i="5"/>
  <c r="F140" i="5"/>
  <c r="F315" i="5"/>
  <c r="F190" i="5"/>
  <c r="F240" i="5"/>
  <c r="F290" i="5"/>
  <c r="F165" i="5"/>
  <c r="F340" i="5"/>
  <c r="F521" i="3"/>
  <c r="F492" i="3"/>
  <c r="F463" i="3"/>
  <c r="F405" i="3"/>
  <c r="F376" i="3"/>
  <c r="F550" i="3"/>
  <c r="F434" i="3"/>
  <c r="F608" i="3"/>
  <c r="F579" i="3"/>
  <c r="AG26" i="2"/>
  <c r="AF27" i="2"/>
  <c r="AF28" i="2" l="1"/>
  <c r="AG27" i="2"/>
  <c r="F191" i="5"/>
  <c r="F241" i="5"/>
  <c r="F291" i="5"/>
  <c r="F166" i="5"/>
  <c r="F216" i="5"/>
  <c r="F266" i="5"/>
  <c r="F141" i="5"/>
  <c r="F316" i="5"/>
  <c r="F341" i="5"/>
  <c r="F377" i="3"/>
  <c r="F609" i="3"/>
  <c r="F580" i="3"/>
  <c r="F551" i="3"/>
  <c r="F522" i="3"/>
  <c r="F493" i="3"/>
  <c r="F464" i="3"/>
  <c r="F406" i="3"/>
  <c r="F435" i="3"/>
  <c r="M27" i="2"/>
  <c r="L28" i="2"/>
  <c r="M28" i="2" s="1"/>
  <c r="F581" i="3" l="1"/>
  <c r="F552" i="3"/>
  <c r="F523" i="3"/>
  <c r="F465" i="3"/>
  <c r="F436" i="3"/>
  <c r="F378" i="3"/>
  <c r="F494" i="3"/>
  <c r="F407" i="3"/>
  <c r="F610" i="3"/>
  <c r="F167" i="5"/>
  <c r="F342" i="5"/>
  <c r="F217" i="5"/>
  <c r="F267" i="5"/>
  <c r="F142" i="5"/>
  <c r="F192" i="5"/>
  <c r="F242" i="5"/>
  <c r="F292" i="5"/>
  <c r="F317" i="5"/>
  <c r="AF29" i="2"/>
  <c r="AG28" i="2"/>
  <c r="F143" i="5" l="1"/>
  <c r="F318" i="5"/>
  <c r="F193" i="5"/>
  <c r="F243" i="5"/>
  <c r="F168" i="5"/>
  <c r="F343" i="5"/>
  <c r="F218" i="5"/>
  <c r="F268" i="5"/>
  <c r="F293" i="5"/>
  <c r="AF30" i="2"/>
  <c r="AG29" i="2"/>
  <c r="F294" i="5" l="1"/>
  <c r="F169" i="5"/>
  <c r="F344" i="5"/>
  <c r="F219" i="5"/>
  <c r="F144" i="5"/>
  <c r="F319" i="5"/>
  <c r="F194" i="5"/>
  <c r="F244" i="5"/>
  <c r="F269" i="5"/>
  <c r="AF31" i="2"/>
  <c r="AG31" i="2" s="1"/>
  <c r="AG30" i="2"/>
  <c r="F246" i="5" l="1"/>
  <c r="F296" i="5"/>
  <c r="F171" i="5"/>
  <c r="F346" i="5"/>
  <c r="F271" i="5"/>
  <c r="F146" i="5"/>
  <c r="F321" i="5"/>
  <c r="F196" i="5"/>
  <c r="F221" i="5"/>
  <c r="F270" i="5"/>
  <c r="F145" i="5"/>
  <c r="F320" i="5"/>
  <c r="F195" i="5"/>
  <c r="F295" i="5"/>
  <c r="F170" i="5"/>
  <c r="F345" i="5"/>
  <c r="F220" i="5"/>
  <c r="F24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00000000-0006-0000-0900-00000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00000000-0006-0000-0900-00000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00000000-0006-0000-0900-00000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00000000-0006-0000-0900-00000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00000000-0006-0000-0900-00000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00000000-0006-0000-0900-00000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00000000-0006-0000-0900-00000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00000000-0006-0000-0900-00000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00000000-0006-0000-0900-00000C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00000000-0006-0000-0900-00000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00000000-0006-0000-0900-00000E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00000000-0006-0000-0900-00000F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00000000-0006-0000-0900-00001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00000000-0006-0000-0900-00001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00000000-0006-0000-0900-00001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00000000-0006-0000-0900-00001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00000000-0006-0000-0900-00001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00000000-0006-0000-0900-00001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00000000-0006-0000-0900-00001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00000000-0006-0000-0900-00001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00000000-0006-0000-0900-00001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00000000-0006-0000-0900-00001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00000000-0006-0000-0900-00001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00000000-0006-0000-0900-00001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00000000-0006-0000-0900-00001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00000000-0006-0000-0900-00001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00000000-0006-0000-0900-00001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00000000-0006-0000-0900-00001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00000000-0006-0000-0900-00002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0000000-0006-0000-0900-00002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00000000-0006-0000-0900-00002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00000000-0006-0000-0900-00002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00000000-0006-0000-0900-00002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00000000-0006-0000-0900-00002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00000000-0006-0000-0900-00002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00000000-0006-0000-0900-00002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00000000-0006-0000-0900-00002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00000000-0006-0000-0900-00002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00000000-0006-0000-0900-00002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00000000-0006-0000-0900-00002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00000000-0006-0000-0900-00002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00000000-0006-0000-0900-00002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00000000-0006-0000-0900-00002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00000000-0006-0000-0900-00002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00000000-0006-0000-0900-00003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00000000-0006-0000-0900-00003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00000000-0006-0000-0900-00003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00000000-0006-0000-0900-00003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00000000-0006-0000-0900-00003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00000000-0006-0000-0900-00003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00000000-0006-0000-0900-00003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00000000-0006-0000-0900-00003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00000000-0006-0000-0900-00003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00000000-0006-0000-0900-00003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00000000-0006-0000-0900-00003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00000000-0006-0000-0900-00003B000000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00000000-0006-0000-0900-00003C000000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00000000-0006-0000-0900-00003D000000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00000000-0006-0000-0900-00003E000000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00000000-0006-0000-0900-00003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00000000-0006-0000-0900-00004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0000000-0006-0000-0900-00004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00000000-0006-0000-0900-00004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00000000-0006-0000-0900-00004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00000000-0006-0000-0900-00004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00000000-0006-0000-0900-00004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00000000-0006-0000-0900-00004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00000000-0006-0000-0900-00004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00000000-0006-0000-0900-00004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00000000-0006-0000-0900-00004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00000000-0006-0000-0900-00004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00000000-0006-0000-0900-00004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00000000-0006-0000-0900-00004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00000000-0006-0000-0900-00004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00000000-0006-0000-0900-00004E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00000000-0006-0000-0900-00004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00000000-0006-0000-0900-00005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0000000-0006-0000-0900-00005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00000000-0006-0000-0900-000052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00000000-0006-0000-0900-000053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00000000-0006-0000-0900-00005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00000000-0006-0000-0900-00005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00000000-0006-0000-0900-000056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00000000-0006-0000-0900-000057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00000000-0006-0000-0900-000058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00000000-0006-0000-0900-00005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00000000-0006-0000-0900-00005A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00000000-0006-0000-0900-00005B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00000000-0006-0000-0900-00005C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00000000-0006-0000-0900-00005D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00000000-0006-0000-0900-00005E00000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00000000-0006-0000-0900-00005F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000000-0006-0000-0900-000060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00000000-0006-0000-0900-00006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00000000-0006-0000-0900-000062000000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00000000-0006-0000-0900-000063000000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00000000-0006-0000-0900-000064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00000000-0006-0000-0900-000065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<sst xmlns="http://schemas.openxmlformats.org/spreadsheetml/2006/main" count="9200" uniqueCount="411">
  <si>
    <t>id_concepto</t>
  </si>
  <si>
    <t>Concepto</t>
  </si>
  <si>
    <t>Tipo</t>
  </si>
  <si>
    <t>Unidad</t>
  </si>
  <si>
    <t>id_area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</si>
  <si>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</si>
  <si>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</si>
  <si>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</si>
  <si>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</si>
  <si>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</si>
  <si>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</si>
  <si>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</si>
  <si>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</si>
  <si>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</si>
  <si>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</si>
  <si>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</si>
  <si>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</si>
  <si>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</si>
  <si>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</si>
  <si>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</si>
  <si>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</si>
  <si>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</si>
  <si>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</si>
  <si>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</si>
  <si>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</si>
  <si>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</si>
  <si>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</si>
  <si>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</si>
  <si>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</si>
  <si>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</si>
  <si>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</si>
  <si>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</si>
  <si>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</si>
  <si>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</si>
  <si>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</si>
  <si>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Ajustes sobrevaloración acumulada de inventarios "Unified"</t>
  </si>
  <si>
    <t>Cifras</t>
  </si>
  <si>
    <t>Automatizaciones descarga y reconversión archivos stock España Mango</t>
  </si>
  <si>
    <t>cantidad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</si>
  <si>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</si>
  <si>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</si>
  <si>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</si>
  <si>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</si>
  <si>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</si>
  <si>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</si>
  <si>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</si>
  <si>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</si>
  <si>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</si>
  <si>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</si>
  <si>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</si>
  <si>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Fusiones</t>
  </si>
  <si>
    <t>Recuperación de embargos</t>
  </si>
  <si>
    <t>Cantidad de cuentas de balance que conciliamos</t>
  </si>
  <si>
    <t>Apertura y reconversiones Tiendas​</t>
  </si>
  <si>
    <t>Arqueos​</t>
  </si>
  <si>
    <t>Capacitaciones​</t>
  </si>
  <si>
    <t>Causación y Política Caja Menor​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</si>
  <si>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</si>
  <si>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</si>
  <si>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</si>
  <si>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</si>
  <si>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</si>
  <si>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</si>
  <si>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Recuperaciones descuadres en caja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</si>
  <si>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</si>
  <si>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</si>
  <si>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</si>
  <si>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</si>
  <si>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</si>
  <si>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</si>
  <si>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</si>
  <si>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</si>
  <si>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</si>
  <si>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Registro y cancelacion RIT fusiones</t>
  </si>
  <si>
    <t>Cancelación NIT</t>
  </si>
  <si>
    <t>Apoyo otras áreas fiscalizaciones</t>
  </si>
  <si>
    <t>Capacitaciones otras áreas</t>
  </si>
  <si>
    <t>Iva descontable en la corrección de regalias</t>
  </si>
  <si>
    <t>Ahorro en retención en la fuente asumida por precencia economica significativa</t>
  </si>
  <si>
    <t>Numero de razones sociales atendidas directas</t>
  </si>
  <si>
    <t>Numero de razones sociales atendidas indirectas</t>
  </si>
  <si>
    <t>Identificación relaciones con posible conflicto de interes</t>
  </si>
  <si>
    <t>Comunicados para generación de cultura de riesgos</t>
  </si>
  <si>
    <t>Público Capacitado </t>
  </si>
  <si>
    <t>Registro Clientes Mayoristas​</t>
  </si>
  <si>
    <t>Gasto caja menor no deducible</t>
  </si>
  <si>
    <t>Gasto caja menor deducible</t>
  </si>
  <si>
    <t>Administrativa</t>
  </si>
  <si>
    <t>Analítica de contraloría</t>
  </si>
  <si>
    <t>Contabilidad</t>
  </si>
  <si>
    <t>Control de operaciones</t>
  </si>
  <si>
    <t>Impuestos</t>
  </si>
  <si>
    <t>Riesgos y Cumplimiento</t>
  </si>
  <si>
    <t>Areas</t>
  </si>
  <si>
    <t>fecha actual</t>
  </si>
  <si>
    <t>año actual</t>
  </si>
  <si>
    <t>Meses</t>
  </si>
  <si>
    <t>Concepto Anterior</t>
  </si>
  <si>
    <t>Tipo informe</t>
  </si>
  <si>
    <t>Concepto Nuevo</t>
  </si>
  <si>
    <t>consecutivo_concepto</t>
  </si>
  <si>
    <t>Marca_Empresa</t>
  </si>
  <si>
    <t>Ciudad Centro</t>
  </si>
  <si>
    <t>Nombre_area</t>
  </si>
  <si>
    <t>Responsable</t>
  </si>
  <si>
    <t>enero</t>
  </si>
  <si>
    <t>Cantidad de tiendas remodeladas</t>
  </si>
  <si>
    <t>Acumulativo</t>
  </si>
  <si>
    <t>AMCNO</t>
  </si>
  <si>
    <t>Acacías</t>
  </si>
  <si>
    <t>Ajustes Inventarios Cíclico</t>
  </si>
  <si>
    <t>Mes actual</t>
  </si>
  <si>
    <t>Cuentas Contables Conciliadas</t>
  </si>
  <si>
    <t>Apertura, cierre y reconversiones de tiendas</t>
  </si>
  <si>
    <t>Atención fiscalizaciones</t>
  </si>
  <si>
    <t xml:space="preserve">Fiscalizaciones DIAN - Municipios </t>
  </si>
  <si>
    <t>Oscar Yepes</t>
  </si>
  <si>
    <t>febrero</t>
  </si>
  <si>
    <t>CHEVIGNON</t>
  </si>
  <si>
    <t>Aguachica</t>
  </si>
  <si>
    <t>Facturas Contabilizada</t>
  </si>
  <si>
    <t>Analítica de Contraloría</t>
  </si>
  <si>
    <t>Jorge Herrera</t>
  </si>
  <si>
    <t>marzo</t>
  </si>
  <si>
    <t>Tickets proceso</t>
  </si>
  <si>
    <t>EAGLE</t>
  </si>
  <si>
    <t>Agustín Codazzi</t>
  </si>
  <si>
    <t>Capacitaciones</t>
  </si>
  <si>
    <t>declaraciones tributarias</t>
  </si>
  <si>
    <t xml:space="preserve">Ana Romero </t>
  </si>
  <si>
    <t>abril</t>
  </si>
  <si>
    <t>ESPRIT</t>
  </si>
  <si>
    <t>Apartadó</t>
  </si>
  <si>
    <t>Cantidad de registros (consecutivos) a conciliar (Facturas 94%, otros movimientos 6%)</t>
  </si>
  <si>
    <t>información exógena</t>
  </si>
  <si>
    <t>Control de Operaciones</t>
  </si>
  <si>
    <t>Alberto Cortes</t>
  </si>
  <si>
    <t>mayo</t>
  </si>
  <si>
    <t>cumplimiento en el ANS de tickets</t>
  </si>
  <si>
    <t>Porcentaje</t>
  </si>
  <si>
    <t>% Tickets Cumplimiento</t>
  </si>
  <si>
    <t>FAMILY</t>
  </si>
  <si>
    <t>Arauca</t>
  </si>
  <si>
    <t>Cantidad de unds a conciliar</t>
  </si>
  <si>
    <t>Devolución saldos a favor en renta</t>
  </si>
  <si>
    <t>Numeros de terceros evaluados</t>
  </si>
  <si>
    <t>Zaneida Restrepo</t>
  </si>
  <si>
    <t>junio</t>
  </si>
  <si>
    <t>Tickets cerrados con ANS de meses posteriores</t>
  </si>
  <si>
    <t>Total Tickets</t>
  </si>
  <si>
    <t>GSTAR</t>
  </si>
  <si>
    <t>Arjona</t>
  </si>
  <si>
    <t>Desatrase de facturación merma franquicias</t>
  </si>
  <si>
    <t>Cumplimiento ANS de trámite de facturas</t>
  </si>
  <si>
    <t>el 95 % del cumplimiento (sale del promedio de la fila)</t>
  </si>
  <si>
    <t>Público Capacitado</t>
  </si>
  <si>
    <t>Dora Gomez</t>
  </si>
  <si>
    <t>julio</t>
  </si>
  <si>
    <t>Tickets cerrados con ANS del mes</t>
  </si>
  <si>
    <t>LACERO</t>
  </si>
  <si>
    <t>Armenia</t>
  </si>
  <si>
    <t>Puntos a conciliar</t>
  </si>
  <si>
    <t>Gestiones descuadres en caja</t>
  </si>
  <si>
    <t>Gerencia Contraloría</t>
  </si>
  <si>
    <t>Paola Chica</t>
  </si>
  <si>
    <t>agosto</t>
  </si>
  <si>
    <t>Tickets recibidos con ANS del mes</t>
  </si>
  <si>
    <t>MANGO</t>
  </si>
  <si>
    <t>Baranoa</t>
  </si>
  <si>
    <t>Puntos x marca a conciliar</t>
  </si>
  <si>
    <t>Informes realizados</t>
  </si>
  <si>
    <t>Otros</t>
  </si>
  <si>
    <t>Na</t>
  </si>
  <si>
    <t>septiembre</t>
  </si>
  <si>
    <t>MMARCA</t>
  </si>
  <si>
    <t>Barbosa</t>
  </si>
  <si>
    <t>Ajuste Costo Merma Desconocida - Tiendas y Grandes S.</t>
  </si>
  <si>
    <t>Informes Contables</t>
  </si>
  <si>
    <t>Registro Clientes Mayoristas​ (Franquicias, Acces, Outlets)</t>
  </si>
  <si>
    <t>octubre</t>
  </si>
  <si>
    <t>Ahorros en gastos de energia</t>
  </si>
  <si>
    <t>Ahorro energía</t>
  </si>
  <si>
    <t>MOFT</t>
  </si>
  <si>
    <t>Barrancabermeja</t>
  </si>
  <si>
    <t>Ajuste Unds Merma Desconocida - Tiendas y Grandes S.</t>
  </si>
  <si>
    <t>Gestión Gastos No deducibles + recuperación de embargos</t>
  </si>
  <si>
    <t>Registro, renovacion y cancelacion matriculas mercantiles</t>
  </si>
  <si>
    <t>Trámites, Aperturas y Cierres de Tiendas</t>
  </si>
  <si>
    <t>noviembre</t>
  </si>
  <si>
    <t>Apertura, cierre, remodelación y reconversiones de tiendas</t>
  </si>
  <si>
    <t xml:space="preserve">Cant. reformas tiendas </t>
  </si>
  <si>
    <t>NAFNAF</t>
  </si>
  <si>
    <t>Barranquilla</t>
  </si>
  <si>
    <t>Cantidad de unidades a conciliar</t>
  </si>
  <si>
    <t>Cantidad de legalizaciones anticipos manual</t>
  </si>
  <si>
    <t>Cantidad de personas naturales que atendemos</t>
  </si>
  <si>
    <t>diciembre</t>
  </si>
  <si>
    <t>contratos de arrendamientos (rent roll)</t>
  </si>
  <si>
    <t xml:space="preserve">Contratos de arrendamientos </t>
  </si>
  <si>
    <t>RIFLE</t>
  </si>
  <si>
    <t>Bello</t>
  </si>
  <si>
    <t>Presentación Resultados Inventarios a Dirección Comercial</t>
  </si>
  <si>
    <t>Cantidad de legalizaciones de rindegastos</t>
  </si>
  <si>
    <t>Tickets mesa de servicio</t>
  </si>
  <si>
    <t>Control Ingresos cede Dogama</t>
  </si>
  <si>
    <t>TRANSV</t>
  </si>
  <si>
    <t>Bogotá, D.C.</t>
  </si>
  <si>
    <t>Puntos Conciliados</t>
  </si>
  <si>
    <t>Cantidad de legalizaciones TC manual</t>
  </si>
  <si>
    <t>Cantidad de Inventarios cíclicos</t>
  </si>
  <si>
    <t>Emisiones de co2</t>
  </si>
  <si>
    <t>Emisiones CO²</t>
  </si>
  <si>
    <t>VIVANT</t>
  </si>
  <si>
    <t>Bosconia</t>
  </si>
  <si>
    <t>Recuperación de la merma franquicias y grandes superficies</t>
  </si>
  <si>
    <t>Cantidad de legalizaciones TC rindegastos</t>
  </si>
  <si>
    <t>Dinero recuperado de viajes- tomas fisicas RGIS</t>
  </si>
  <si>
    <t>Facturas de arrendamientos y administración</t>
  </si>
  <si>
    <t>DOGAMA</t>
  </si>
  <si>
    <t>Bucaramanga</t>
  </si>
  <si>
    <t>Cierres de tienda</t>
  </si>
  <si>
    <t>Cantidad de solicitudes anticipos rindegastos</t>
  </si>
  <si>
    <t>Gestion merma inventario</t>
  </si>
  <si>
    <t>Facturas procesadas comodin</t>
  </si>
  <si>
    <t>Facturas Procesadas por Marca</t>
  </si>
  <si>
    <t>ILOGISTIC</t>
  </si>
  <si>
    <t>Buenaventura</t>
  </si>
  <si>
    <t>Cambios de Razón Social</t>
  </si>
  <si>
    <t>Creación liviana terceros para registro gastos deducibles legalizaciones</t>
  </si>
  <si>
    <t>Facturas procesadas Dogama - GUC - CSN</t>
  </si>
  <si>
    <t>No aplica</t>
  </si>
  <si>
    <t>Caicedonia</t>
  </si>
  <si>
    <t>Automatizaciones</t>
  </si>
  <si>
    <t>Creación liviana terceros para registro gastos deducibles TC</t>
  </si>
  <si>
    <t>Facturas procesadas Ilogistic</t>
  </si>
  <si>
    <t>Cajicá</t>
  </si>
  <si>
    <t>Inventarios Maestra</t>
  </si>
  <si>
    <t>Gastos no deducibles (foco rindegastos)</t>
  </si>
  <si>
    <t xml:space="preserve">Ahorro reformas tiendas </t>
  </si>
  <si>
    <t>Caldas</t>
  </si>
  <si>
    <t>Noches de hospedaje de hoteles</t>
  </si>
  <si>
    <t>Noches hospedaje</t>
  </si>
  <si>
    <t>Cali</t>
  </si>
  <si>
    <t>Numero de razones sociales atendidas indirectas (matricial)</t>
  </si>
  <si>
    <t>Recuperaciones Siniestros</t>
  </si>
  <si>
    <t>California</t>
  </si>
  <si>
    <t>Activos fijos creados Comodín</t>
  </si>
  <si>
    <t>Gestión de Polizas</t>
  </si>
  <si>
    <t>Campoalegre</t>
  </si>
  <si>
    <t>Activos fijos creados Dogama</t>
  </si>
  <si>
    <t>Total tickets recibidos</t>
  </si>
  <si>
    <t>Carepa</t>
  </si>
  <si>
    <t>Instructivos en proceso</t>
  </si>
  <si>
    <t>Tickets Cerrados con ANS</t>
  </si>
  <si>
    <t>Cartagena De Indias</t>
  </si>
  <si>
    <t>Instructivos en validación PMO</t>
  </si>
  <si>
    <t>Tickets Vencidos</t>
  </si>
  <si>
    <t>Cartago</t>
  </si>
  <si>
    <t>Instructivos aprobados</t>
  </si>
  <si>
    <t>% Cumplimiento tickets</t>
  </si>
  <si>
    <t>Caucasia</t>
  </si>
  <si>
    <t>Políticas en proceso</t>
  </si>
  <si>
    <t>Cereté</t>
  </si>
  <si>
    <t>Políticas aprobadas</t>
  </si>
  <si>
    <t>Chía</t>
  </si>
  <si>
    <t>Facturas contabilizadas Triplematch</t>
  </si>
  <si>
    <t>Ciénaga De Oro</t>
  </si>
  <si>
    <t>Facturas contabilizadas Script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</si>
  <si>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</si>
  <si>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</si>
  <si>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</si>
  <si>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</si>
  <si>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</si>
  <si>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</si>
  <si>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</si>
  <si>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</si>
  <si>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</si>
  <si>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</si>
  <si>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</si>
  <si>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</si>
  <si>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</si>
  <si>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</si>
  <si>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</si>
  <si>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</si>
  <si>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</si>
  <si>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</si>
  <si>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</si>
  <si>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</si>
  <si>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</si>
  <si>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</si>
  <si>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</si>
  <si>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</si>
  <si>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</si>
  <si>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</si>
  <si>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</si>
  <si>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</si>
  <si>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</si>
  <si>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</si>
  <si>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</si>
  <si>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</si>
  <si>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</si>
  <si>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</si>
  <si>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</si>
  <si>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</si>
  <si>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</si>
  <si>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</si>
  <si>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</si>
  <si>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</si>
  <si>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</si>
  <si>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</si>
  <si>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</si>
  <si>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</si>
  <si>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</si>
  <si>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</si>
  <si>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</si>
  <si>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</si>
  <si>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</si>
  <si>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</si>
  <si>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</si>
  <si>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</si>
  <si>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</si>
  <si>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</si>
  <si>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</si>
  <si>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</si>
  <si>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</si>
  <si>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</si>
  <si>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</si>
  <si>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</si>
  <si>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</si>
  <si>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</si>
  <si>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</si>
  <si>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</si>
  <si>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</si>
  <si>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</si>
  <si>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</si>
  <si>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</si>
  <si>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</si>
  <si>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</si>
  <si>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</si>
  <si>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</si>
  <si>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</si>
  <si>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</si>
  <si>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</si>
  <si>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</si>
  <si>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</si>
  <si>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</si>
  <si>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</si>
  <si>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</si>
  <si>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</si>
  <si>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</si>
  <si>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</si>
  <si>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</si>
  <si>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</si>
  <si>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</si>
  <si>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</si>
  <si>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</si>
  <si>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</si>
  <si>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</si>
  <si>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</si>
  <si>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</si>
  <si>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</si>
  <si>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Año</t>
  </si>
  <si>
    <t>Mes</t>
  </si>
  <si>
    <t>Ultimodía_mes</t>
  </si>
  <si>
    <t>Especificación</t>
  </si>
  <si>
    <t>Ciudad</t>
  </si>
  <si>
    <t>Valor</t>
  </si>
  <si>
    <t>Contratos de arrendamientos (rent roll)</t>
  </si>
  <si>
    <t>Mayo</t>
  </si>
  <si>
    <t>Junio</t>
  </si>
  <si>
    <t>Julio</t>
  </si>
  <si>
    <t>Agosto</t>
  </si>
  <si>
    <t>Septiembre</t>
  </si>
  <si>
    <t>Enero</t>
  </si>
  <si>
    <t>Noviembre</t>
  </si>
  <si>
    <t>Febrero</t>
  </si>
  <si>
    <t>Abril</t>
  </si>
  <si>
    <t>Marzo</t>
  </si>
  <si>
    <t>Area</t>
  </si>
  <si>
    <t>Riesgos y cumplimiento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</si>
  <si>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</si>
  <si>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</si>
  <si>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</si>
  <si>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</si>
  <si>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</si>
  <si>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</si>
  <si>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</si>
  <si>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</si>
  <si>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</si>
  <si>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</si>
  <si>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</si>
  <si>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</si>
  <si>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</si>
  <si>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Cumplimiento ans de tramite de facturas</t>
  </si>
  <si>
    <t>Total general</t>
  </si>
  <si>
    <t>Octubre</t>
  </si>
  <si>
    <t>Diciembre</t>
  </si>
  <si>
    <t>Administrativa y contabilidad</t>
  </si>
  <si>
    <t>cumplimiento en el ANS de radicacion, aprobacion y contabilizacion de facturas</t>
  </si>
  <si>
    <t xml:space="preserve">Capacitaciones </t>
  </si>
  <si>
    <t>Registro, renovacion y cancelacion  matriculas mercantiles</t>
  </si>
  <si>
    <t>Ajustes Inventarios Cíclicos</t>
  </si>
  <si>
    <t>Intervenciones directas​ reformas y tiendas nuevas​ (No Contrataciones)​</t>
  </si>
  <si>
    <t>Cumplimiento en el ANS de tickets</t>
  </si>
  <si>
    <t xml:space="preserve">Noches de hospedaje de hoteles </t>
  </si>
  <si>
    <t>Cumplimiento en el ANS de radicación, aprobación y contabilización de facturas</t>
  </si>
  <si>
    <t>Administrativa y Control Operaciones</t>
  </si>
  <si>
    <t xml:space="preserve">Presentación Resultados Inventarios a Dirección Comercial </t>
  </si>
  <si>
    <t>Causación y política caja menor​</t>
  </si>
  <si>
    <t xml:space="preserve">Cantidad de Inventarios cíclicos </t>
  </si>
  <si>
    <t>Control de operaciones y analitica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</si>
</sst>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$-409]* #,##0_ ;_-[$$-409]* \-#,##0\ ;_-[$$-409]* &quot;-&quot;??_ ;_-@_ "/>
    <numFmt numFmtId="165" formatCode="_-* #,##0_-;\-* #,##0_-;_-* &quot;-&quot;??_-;_-@_-"/>
    <numFmt numFmtId="166" formatCode="_(* #,##0_);_(* \(#,##0\);_(* &quot;-&quot;??_);_(@_)"/>
    <numFmt numFmtId="167" formatCode="_(&quot;$&quot;* #,##0_);_(&quot;$&quot;* \(#,##0\);_(&quot;$&quot;* &quot;-&quot;??_);_(@_)"/>
    <numFmt numFmtId="168" formatCode="_-[$$-240A]\ * #,##0.00_-;\-[$$-240A]\ * #,##0.00_-;_-[$$-240A]\ * &quot;-&quot;??_-;_-@_-"/>
    <numFmt numFmtId="169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/>
    <xf numFmtId="44" fontId="1" fillId="0" borderId="0"/>
    <xf numFmtId="9" fontId="1" fillId="0" borderId="0"/>
  </cellStyleXfs>
  <cellXfs count="15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4" fontId="7" fillId="3" borderId="2" xfId="0" applyNumberFormat="1" applyFont="1" applyFill="1" applyBorder="1"/>
    <xf numFmtId="165" fontId="7" fillId="4" borderId="3" xfId="0" applyNumberFormat="1" applyFont="1" applyFill="1" applyBorder="1"/>
    <xf numFmtId="166" fontId="7" fillId="4" borderId="4" xfId="1" applyNumberFormat="1" applyFont="1" applyFill="1" applyBorder="1"/>
    <xf numFmtId="166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5" fontId="0" fillId="0" borderId="2" xfId="0" applyNumberFormat="1" applyBorder="1"/>
    <xf numFmtId="165" fontId="0" fillId="0" borderId="2" xfId="0" applyNumberFormat="1" applyBorder="1" applyAlignment="1">
      <alignment vertical="center"/>
    </xf>
    <xf numFmtId="165" fontId="0" fillId="3" borderId="2" xfId="0" applyNumberFormat="1" applyFill="1" applyBorder="1"/>
    <xf numFmtId="164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6" fontId="7" fillId="0" borderId="2" xfId="1" applyNumberFormat="1" applyFont="1" applyBorder="1" applyAlignment="1">
      <alignment horizontal="right"/>
    </xf>
    <xf numFmtId="165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6" fontId="7" fillId="3" borderId="2" xfId="1" applyNumberFormat="1" applyFont="1" applyFill="1" applyBorder="1" applyAlignment="1">
      <alignment horizontal="right"/>
    </xf>
    <xf numFmtId="165" fontId="7" fillId="3" borderId="2" xfId="0" applyNumberFormat="1" applyFont="1" applyFill="1" applyBorder="1"/>
    <xf numFmtId="166" fontId="7" fillId="0" borderId="2" xfId="1" quotePrefix="1" applyNumberFormat="1" applyFont="1" applyBorder="1" applyAlignment="1">
      <alignment horizontal="right"/>
    </xf>
    <xf numFmtId="166" fontId="7" fillId="3" borderId="2" xfId="1" quotePrefix="1" applyNumberFormat="1" applyFont="1" applyFill="1" applyBorder="1" applyAlignment="1">
      <alignment horizontal="right"/>
    </xf>
    <xf numFmtId="166" fontId="0" fillId="3" borderId="2" xfId="1" applyNumberFormat="1" applyFont="1" applyFill="1" applyBorder="1" applyAlignment="1">
      <alignment vertical="center" wrapText="1"/>
    </xf>
    <xf numFmtId="166" fontId="0" fillId="0" borderId="2" xfId="1" applyNumberFormat="1" applyFont="1" applyBorder="1" applyAlignment="1">
      <alignment vertical="center" wrapText="1"/>
    </xf>
    <xf numFmtId="164" fontId="0" fillId="3" borderId="2" xfId="0" applyNumberFormat="1" applyFill="1" applyBorder="1"/>
    <xf numFmtId="166" fontId="0" fillId="0" borderId="2" xfId="1" applyNumberFormat="1" applyFont="1" applyBorder="1"/>
    <xf numFmtId="167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7" fontId="9" fillId="0" borderId="2" xfId="2" applyNumberFormat="1" applyFont="1" applyBorder="1"/>
    <xf numFmtId="167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7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0" fillId="3" borderId="2" xfId="0" applyFont="1" applyFill="1" applyBorder="1" applyAlignment="1">
      <alignment wrapText="1"/>
    </xf>
    <xf numFmtId="0" fontId="10" fillId="0" borderId="2" xfId="0" applyFont="1" applyBorder="1" applyAlignment="1">
      <alignment wrapText="1"/>
    </xf>
    <xf numFmtId="167" fontId="5" fillId="3" borderId="2" xfId="2" applyNumberFormat="1" applyFont="1" applyFill="1" applyBorder="1"/>
    <xf numFmtId="167" fontId="11" fillId="3" borderId="2" xfId="2" applyNumberFormat="1" applyFont="1" applyFill="1" applyBorder="1"/>
    <xf numFmtId="167" fontId="0" fillId="0" borderId="2" xfId="2" applyNumberFormat="1" applyFont="1" applyBorder="1"/>
    <xf numFmtId="167" fontId="5" fillId="0" borderId="2" xfId="2" applyNumberFormat="1" applyFont="1" applyBorder="1"/>
    <xf numFmtId="167" fontId="11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1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5" fontId="0" fillId="3" borderId="2" xfId="0" applyNumberFormat="1" applyFill="1" applyBorder="1" applyAlignment="1">
      <alignment vertical="center"/>
    </xf>
    <xf numFmtId="165" fontId="0" fillId="3" borderId="3" xfId="0" applyNumberFormat="1" applyFill="1" applyBorder="1" applyAlignment="1">
      <alignment vertical="center"/>
    </xf>
    <xf numFmtId="165" fontId="0" fillId="0" borderId="2" xfId="0" applyNumberFormat="1" applyBorder="1" applyAlignment="1">
      <alignment horizontal="right"/>
    </xf>
    <xf numFmtId="164" fontId="7" fillId="3" borderId="2" xfId="0" applyNumberFormat="1" applyFont="1" applyFill="1" applyBorder="1" applyAlignment="1">
      <alignment horizontal="right"/>
    </xf>
    <xf numFmtId="164" fontId="7" fillId="0" borderId="2" xfId="0" applyNumberFormat="1" applyFont="1" applyBorder="1" applyAlignment="1">
      <alignment horizontal="right"/>
    </xf>
    <xf numFmtId="168" fontId="0" fillId="3" borderId="2" xfId="0" applyNumberFormat="1" applyFill="1" applyBorder="1"/>
    <xf numFmtId="168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1" fillId="3" borderId="1" xfId="0" applyFont="1" applyFill="1" applyBorder="1"/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right"/>
    </xf>
    <xf numFmtId="165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5" fontId="7" fillId="0" borderId="2" xfId="1" applyNumberFormat="1" applyFont="1" applyBorder="1" applyAlignment="1">
      <alignment horizontal="right"/>
    </xf>
    <xf numFmtId="166" fontId="0" fillId="3" borderId="2" xfId="1" applyNumberFormat="1" applyFont="1" applyFill="1" applyBorder="1" applyAlignment="1">
      <alignment horizontal="right" vertical="center" wrapText="1"/>
    </xf>
    <xf numFmtId="166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6" fontId="7" fillId="0" borderId="2" xfId="1" applyNumberFormat="1" applyFont="1" applyBorder="1"/>
    <xf numFmtId="169" fontId="0" fillId="3" borderId="2" xfId="0" applyNumberFormat="1" applyFill="1" applyBorder="1"/>
    <xf numFmtId="166" fontId="0" fillId="3" borderId="2" xfId="1" applyNumberFormat="1" applyFont="1" applyFill="1" applyBorder="1"/>
    <xf numFmtId="169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5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5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1" fillId="0" borderId="1" xfId="0" applyFont="1" applyBorder="1"/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2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3" fillId="13" borderId="0" xfId="0" applyFont="1" applyFill="1"/>
    <xf numFmtId="0" fontId="14" fillId="14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  <xf numFmtId="3" fontId="0" fillId="0" borderId="0" xfId="0" applyNumberFormat="1" applyProtection="1">
      <protection locked="0"/>
    </xf>
    <xf numFmtId="0" fontId="2" fillId="16" borderId="5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numFmt numFmtId="170" formatCode="yyyy/mm/dd"/>
      <protection locked="0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strike val="0"/>
        <condense val="0"/>
        <extend val="0"/>
        <outline val="0"/>
        <shadow val="0"/>
        <vertAlign val="baseline"/>
        <sz val="11"/>
        <color rgb="FF000000"/>
        <name val="Aptos Narrow"/>
        <family val="2"/>
      </font>
    </dxf>
    <dxf>
      <font>
        <b/>
        <strike val="0"/>
        <condense val="0"/>
        <extend val="0"/>
        <outline val="0"/>
        <shadow val="0"/>
        <vertAlign val="baseline"/>
        <sz val="11"/>
        <color rgb="FFFFFFFF"/>
        <name val="Aptos Narrow"/>
        <family val="2"/>
      </font>
      <fill>
        <patternFill patternType="solid">
          <fgColor rgb="FF145F82"/>
          <bgColor rgb="FF145F82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Segoe UI"/>
        <family val="2"/>
      </font>
      <alignment horizontal="general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00000000-000A-0000-FFFF-FFFF00000000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"/>
    <n v="0.5469387755102041"/>
    <n v="0.8507734303912647"/>
    <n v="0.8088235294117647"/>
    <n v="0.9090909090909091"/>
    <n v="0.8095652173913044"/>
    <n v="0.702755905511811"/>
    <n v="0.7233532934131737"/>
    <n v="0.8864864864864865"/>
    <n v="0.9232456140350878"/>
    <n v="0.9106203995793901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"/>
    <n v="0.7852995676343422"/>
    <n v="0.8208974196008644"/>
    <n v="0.876206408441642"/>
    <n v="0.5742942942942943"/>
    <n v="0.6207820032137118"/>
    <n v="0.6783901377810008"/>
    <n v="0.8765215355805244"/>
    <n v="0.6758061203532553"/>
    <n v="0.7516729401923882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6"/>
    <n v="0.9091"/>
    <n v="0.8995"/>
    <n v="0.9018"/>
    <n v="0.9042"/>
    <n v="0.903"/>
    <n v="0.8957000000000001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4"/>
    <n v="0.6096807415036045"/>
    <n v="0.6452830188679245"/>
    <n v="0.8303501945525292"/>
    <n v="0.8806078147612156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4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"/>
    <m/>
    <m/>
    <m/>
    <m/>
    <m/>
  </r>
  <r>
    <x v="0"/>
    <x v="1"/>
    <x v="15"/>
    <x v="6"/>
    <x v="1"/>
    <x v="2"/>
    <x v="52"/>
    <n v="37"/>
    <n v="38"/>
    <n v="76"/>
    <n v="40"/>
    <n v="43"/>
    <n v="43.03365906013874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1"/>
    <m/>
    <m/>
    <m/>
    <m/>
    <m/>
  </r>
  <r>
    <x v="0"/>
    <x v="1"/>
    <x v="15"/>
    <x v="16"/>
    <x v="1"/>
    <x v="2"/>
    <x v="15"/>
    <n v="0"/>
    <n v="0"/>
    <n v="0"/>
    <n v="786"/>
    <n v="173"/>
    <n v="265.3925392714211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"/>
    <m/>
    <m/>
    <m/>
    <m/>
    <m/>
  </r>
  <r>
    <x v="0"/>
    <x v="1"/>
    <x v="15"/>
    <x v="13"/>
    <x v="1"/>
    <x v="2"/>
    <x v="59"/>
    <n v="53"/>
    <n v="38"/>
    <n v="29"/>
    <n v="60"/>
    <n v="54"/>
    <n v="75.79513039353837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2"/>
        <item x="4"/>
        <item x="0"/>
        <item x="3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2"/>
        <item x="4"/>
        <item x="0"/>
        <item x="3"/>
        <item x="1"/>
      </items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ceptos_Administrativa" displayName="Conceptos_Administrativa" ref="G2:M28" totalsRowShown="0" headerRowDxfId="139">
  <tableColumns count="7">
    <tableColumn id="1" xr3:uid="{00000000-0010-0000-0000-000001000000}" name="Concepto Anterior" dataDxfId="138"/>
    <tableColumn id="2" xr3:uid="{00000000-0010-0000-0000-000002000000}" name="Tipo" dataDxfId="137"/>
    <tableColumn id="3" xr3:uid="{00000000-0010-0000-0000-000003000000}" name="Unidad" dataDxfId="136"/>
    <tableColumn id="7" xr3:uid="{00000000-0010-0000-0000-000007000000}" name="Tipo informe"/>
    <tableColumn id="4" xr3:uid="{00000000-0010-0000-0000-000004000000}" name="Concepto Nuevo" dataDxfId="135"/>
    <tableColumn id="6" xr3:uid="{00000000-0010-0000-0000-000006000000}" name="consecutivo_concepto"/>
    <tableColumn id="5" xr3:uid="{00000000-0010-0000-0000-000005000000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arca_Empresa" displayName="Marca_Empresa" ref="O2:O19" totalsRowShown="0">
  <autoFilter ref="O2:O19" xr:uid="{00000000-0009-0000-0100-000002000000}"/>
  <tableColumns count="1">
    <tableColumn id="1" xr3:uid="{00000000-0010-0000-0100-000001000000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im_ciudades" displayName="Dim_ciudades" ref="Q2:Q125" totalsRowShown="0" headerRowDxfId="133" dataDxfId="132">
  <autoFilter ref="Q2:Q125" xr:uid="{00000000-0009-0000-0100-000003000000}"/>
  <tableColumns count="1">
    <tableColumn id="1" xr3:uid="{00000000-0010-0000-0200-000001000000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Conceptos_Analítica_contraloría" displayName="Conceptos_Analítica_contraloría" ref="S2:Y20" totalsRowShown="0" headerRowDxfId="130" dataDxfId="128" headerRowBorderDxfId="129">
  <autoFilter ref="S2:Y20" xr:uid="{00000000-0009-0000-0100-000004000000}"/>
  <tableColumns count="7">
    <tableColumn id="1" xr3:uid="{00000000-0010-0000-0300-000001000000}" name="Concepto Anterior" dataDxfId="127"/>
    <tableColumn id="2" xr3:uid="{00000000-0010-0000-0300-000002000000}" name="Tipo" dataDxfId="126"/>
    <tableColumn id="3" xr3:uid="{00000000-0010-0000-0300-000003000000}" name="Unidad" dataDxfId="125"/>
    <tableColumn id="7" xr3:uid="{00000000-0010-0000-0300-000007000000}" name="Tipo informe" dataDxfId="124"/>
    <tableColumn id="4" xr3:uid="{00000000-0010-0000-0300-000004000000}" name="Concepto Nuevo" dataDxfId="123"/>
    <tableColumn id="5" xr3:uid="{00000000-0010-0000-0300-000005000000}" name="consecutivo_concepto" dataDxfId="122"/>
    <tableColumn id="6" xr3:uid="{00000000-0010-0000-0300-000006000000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Conceptos_Contabilidad" displayName="Conceptos_Contabilidad" ref="AA2:AG31" totalsRowShown="0" headerRowDxfId="120" dataDxfId="118" headerRowBorderDxfId="119">
  <autoFilter ref="AA2:AG31" xr:uid="{00000000-0009-0000-0100-000005000000}"/>
  <tableColumns count="7">
    <tableColumn id="1" xr3:uid="{00000000-0010-0000-0400-000001000000}" name="Concepto Anterior" dataDxfId="117"/>
    <tableColumn id="2" xr3:uid="{00000000-0010-0000-0400-000002000000}" name="Tipo" dataDxfId="116"/>
    <tableColumn id="3" xr3:uid="{00000000-0010-0000-0400-000003000000}" name="Unidad" dataDxfId="115"/>
    <tableColumn id="7" xr3:uid="{00000000-0010-0000-0400-000007000000}" name="Tipo informe"/>
    <tableColumn id="4" xr3:uid="{00000000-0010-0000-0400-000004000000}" name="Concepto Nuevo" dataDxfId="114"/>
    <tableColumn id="5" xr3:uid="{00000000-0010-0000-0400-000005000000}" name="consecutivo_concepto" dataDxfId="113"/>
    <tableColumn id="6" xr3:uid="{00000000-0010-0000-0400-000006000000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nceptos_Control_Operaciones" displayName="Conceptos_Control_Operaciones" ref="AI2:AO17" totalsRowShown="0" headerRowDxfId="111" headerRowBorderDxfId="110">
  <autoFilter ref="AI2:AO17" xr:uid="{00000000-0009-0000-0100-000006000000}"/>
  <tableColumns count="7">
    <tableColumn id="1" xr3:uid="{00000000-0010-0000-0500-000001000000}" name="Concepto Anterior" dataDxfId="109"/>
    <tableColumn id="2" xr3:uid="{00000000-0010-0000-0500-000002000000}" name="Tipo" dataDxfId="108"/>
    <tableColumn id="3" xr3:uid="{00000000-0010-0000-0500-000003000000}" name="Unidad"/>
    <tableColumn id="7" xr3:uid="{00000000-0010-0000-0500-000007000000}" name="Tipo informe"/>
    <tableColumn id="4" xr3:uid="{00000000-0010-0000-0500-000004000000}" name="Concepto Nuevo" dataDxfId="107"/>
    <tableColumn id="5" xr3:uid="{00000000-0010-0000-0500-000005000000}" name="consecutivo_concepto"/>
    <tableColumn id="6" xr3:uid="{00000000-0010-0000-0500-000006000000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onceptos_Impuestos" displayName="Conceptos_Impuestos" ref="AQ2:AW14" totalsRowShown="0" headerRowDxfId="105" headerRowBorderDxfId="104">
  <autoFilter ref="AQ2:AW14" xr:uid="{00000000-0009-0000-0100-000007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7" xr3:uid="{00000000-0010-0000-0600-000007000000}" name="Tipo informe"/>
    <tableColumn id="4" xr3:uid="{00000000-0010-0000-0600-000004000000}" name="Concepto Nuevo" dataDxfId="103"/>
    <tableColumn id="5" xr3:uid="{00000000-0010-0000-0600-000005000000}" name="consecutivo_concepto"/>
    <tableColumn id="6" xr3:uid="{00000000-0010-0000-0600-000006000000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onceptos_Cumplimiento" displayName="Conceptos_Cumplimiento" ref="AY2:BE11" totalsRowShown="0" headerRowDxfId="101" dataDxfId="99" headerRowBorderDxfId="100" tableBorderDxfId="98">
  <autoFilter ref="AY2:BE11" xr:uid="{00000000-0009-0000-0100-000008000000}"/>
  <tableColumns count="7">
    <tableColumn id="1" xr3:uid="{00000000-0010-0000-0700-000001000000}" name="Concepto Anterior" dataDxfId="97"/>
    <tableColumn id="2" xr3:uid="{00000000-0010-0000-0700-000002000000}" name="Tipo" dataDxfId="96"/>
    <tableColumn id="3" xr3:uid="{00000000-0010-0000-0700-000003000000}" name="Unidad" dataDxfId="95"/>
    <tableColumn id="7" xr3:uid="{00000000-0010-0000-0700-000007000000}" name="Tipo informe"/>
    <tableColumn id="4" xr3:uid="{00000000-0010-0000-0700-000004000000}" name="Concepto Nuevo"/>
    <tableColumn id="5" xr3:uid="{00000000-0010-0000-0700-000005000000}" name="consecutivo_concepto" dataDxfId="94"/>
    <tableColumn id="6" xr3:uid="{00000000-0010-0000-0700-000006000000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Dim_Areas" displayName="Dim_Areas" ref="BG2:BI10" totalsRowShown="0" headerRowDxfId="92" dataDxfId="91">
  <autoFilter ref="BG2:BI10" xr:uid="{00000000-0009-0000-0100-000009000000}"/>
  <tableColumns count="3">
    <tableColumn id="1" xr3:uid="{00000000-0010-0000-0800-000001000000}" name="id_area" dataDxfId="90"/>
    <tableColumn id="2" xr3:uid="{00000000-0010-0000-0800-000002000000}" name="Nombre_area" dataDxfId="89"/>
    <tableColumn id="3" xr3:uid="{00000000-0010-0000-0800-000003000000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Fact_Administrativa" displayName="Fact_Administrativa" ref="A1:K3000" totalsRowShown="0" headerRowDxfId="87" dataDxfId="86">
  <autoFilter ref="A1:K3000" xr:uid="{00000000-0009-0000-0100-00000A000000}"/>
  <tableColumns count="11">
    <tableColumn id="1" xr3:uid="{00000000-0010-0000-0900-000001000000}" name="Año" dataDxfId="85"/>
    <tableColumn id="2" xr3:uid="{00000000-0010-0000-0900-000002000000}" name="Mes" dataDxfId="84"/>
    <tableColumn id="3" xr3:uid="{00000000-0010-0000-0900-000003000000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00000000-0010-0000-0900-000004000000}" name="Concepto Anterior" dataDxfId="82"/>
    <tableColumn id="10" xr3:uid="{00000000-0010-0000-0900-00000A000000}" name="Concepto Nuevo" dataDxfId="81">
      <calculatedColumnFormula>+IFERROR(VLOOKUP(Fact_Administrativa[[#This Row],[Concepto Anterior]],Conceptos_Administrativa[#All],5,0),"")</calculatedColumnFormula>
    </tableColumn>
    <tableColumn id="12" xr3:uid="{00000000-0010-0000-0900-00000C000000}" name="id_concepto" dataDxfId="80">
      <calculatedColumnFormula>+IFERROR(VLOOKUP(Fact_Administrativa[[#This Row],[Concepto Anterior]],Conceptos_Administrativa[#All],7,0),"")</calculatedColumnFormula>
    </tableColumn>
    <tableColumn id="5" xr3:uid="{00000000-0010-0000-0900-000005000000}" name="Especificación" dataDxfId="79"/>
    <tableColumn id="6" xr3:uid="{00000000-0010-0000-0900-000006000000}" name="Ciudad" dataDxfId="78"/>
    <tableColumn id="7" xr3:uid="{00000000-0010-0000-0900-000007000000}" name="Tipo" dataDxfId="77">
      <calculatedColumnFormula>+IFERROR(VLOOKUP(D2,Conceptos_Administrativa[#All],2,0),"")</calculatedColumnFormula>
    </tableColumn>
    <tableColumn id="8" xr3:uid="{00000000-0010-0000-0900-000008000000}" name="Unidad" dataDxfId="76">
      <calculatedColumnFormula>+IFERROR(VLOOKUP(D2,Conceptos_Administrativa[#All],3,0),"")</calculatedColumnFormula>
    </tableColumn>
    <tableColumn id="9" xr3:uid="{00000000-0010-0000-0900-000009000000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Fact_Analitica" displayName="Fact_Analitica" ref="A1:K3000" totalsRowShown="0" headerRowDxfId="74" dataDxfId="72" headerRowBorderDxfId="73" tableBorderDxfId="71">
  <autoFilter ref="A1:K3000" xr:uid="{00000000-0009-0000-0100-00000B000000}"/>
  <sortState xmlns:xlrd2="http://schemas.microsoft.com/office/spreadsheetml/2017/richdata2" ref="A2:K137">
    <sortCondition ref="C137"/>
  </sortState>
  <tableColumns count="11">
    <tableColumn id="1" xr3:uid="{00000000-0010-0000-0A00-000001000000}" name="Año" dataDxfId="70"/>
    <tableColumn id="2" xr3:uid="{00000000-0010-0000-0A00-000002000000}" name="Mes" dataDxfId="69"/>
    <tableColumn id="3" xr3:uid="{00000000-0010-0000-0A00-000003000000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00000000-0010-0000-0A00-000004000000}" name="Concepto Anterior" dataDxfId="67"/>
    <tableColumn id="10" xr3:uid="{00000000-0010-0000-0A00-00000A000000}" name="Concepto Nuevo" dataDxfId="66">
      <calculatedColumnFormula>+IFERROR(VLOOKUP(Fact_Analitica[[#This Row],[Concepto Anterior]],Conceptos_Analítica_contraloría[#All],5,0),"")</calculatedColumnFormula>
    </tableColumn>
    <tableColumn id="11" xr3:uid="{00000000-0010-0000-0A00-00000B000000}" name="id_concepto" dataDxfId="65">
      <calculatedColumnFormula>+IFERROR(VLOOKUP(Fact_Analitica[[#This Row],[Concepto Anterior]],Conceptos_Analítica_contraloría[#All],7,0),"")</calculatedColumnFormula>
    </tableColumn>
    <tableColumn id="5" xr3:uid="{00000000-0010-0000-0A00-000005000000}" name="Especificación" dataDxfId="64"/>
    <tableColumn id="6" xr3:uid="{00000000-0010-0000-0A00-000006000000}" name="Ciudad" dataDxfId="63"/>
    <tableColumn id="7" xr3:uid="{00000000-0010-0000-0A00-000007000000}" name="Tipo" dataDxfId="62">
      <calculatedColumnFormula>+IFERROR(VLOOKUP(D2,Conceptos_Analítica_contraloría[#All],2,0),"")</calculatedColumnFormula>
    </tableColumn>
    <tableColumn id="8" xr3:uid="{00000000-0010-0000-0A00-000008000000}" name="Unidad" dataDxfId="61">
      <calculatedColumnFormula>+IFERROR(VLOOKUP(D2,Conceptos_Analítica_contraloría[#All],3,0),"")</calculatedColumnFormula>
    </tableColumn>
    <tableColumn id="9" xr3:uid="{00000000-0010-0000-0A00-000009000000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Fact_Contabilidad" displayName="Fact_Contabilidad" ref="A1:K3000" totalsRowShown="0" headerRowDxfId="59" dataDxfId="57" headerRowBorderDxfId="58" tableBorderDxfId="56">
  <autoFilter ref="A1:K3000" xr:uid="{00000000-0009-0000-0100-00000C000000}"/>
  <sortState xmlns:xlrd2="http://schemas.microsoft.com/office/spreadsheetml/2017/richdata2" ref="A2:K3000">
    <sortCondition ref="C336:C3000"/>
  </sortState>
  <tableColumns count="11">
    <tableColumn id="1" xr3:uid="{00000000-0010-0000-0B00-000001000000}" name="Año" dataDxfId="55"/>
    <tableColumn id="2" xr3:uid="{00000000-0010-0000-0B00-000002000000}" name="Mes" dataDxfId="54"/>
    <tableColumn id="3" xr3:uid="{00000000-0010-0000-0B00-000003000000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00000000-0010-0000-0B00-000004000000}" name="Concepto Anterior" dataDxfId="52"/>
    <tableColumn id="10" xr3:uid="{00000000-0010-0000-0B00-00000A000000}" name="Concepto Nuevo" dataDxfId="51">
      <calculatedColumnFormula>+IFERROR(VLOOKUP(Fact_Contabilidad[[#This Row],[Concepto Anterior]],Conceptos_Contabilidad[#All],5,0),"")</calculatedColumnFormula>
    </tableColumn>
    <tableColumn id="11" xr3:uid="{00000000-0010-0000-0B00-00000B000000}" name="id_concepto" dataDxfId="50">
      <calculatedColumnFormula>+IFERROR(VLOOKUP(Fact_Contabilidad[[#This Row],[Concepto Anterior]],Conceptos_Contabilidad[#All],7,0),"")</calculatedColumnFormula>
    </tableColumn>
    <tableColumn id="5" xr3:uid="{00000000-0010-0000-0B00-000005000000}" name="Especificación" dataDxfId="49"/>
    <tableColumn id="6" xr3:uid="{00000000-0010-0000-0B00-000006000000}" name="Ciudad" dataDxfId="48"/>
    <tableColumn id="7" xr3:uid="{00000000-0010-0000-0B00-000007000000}" name="Tipo" dataDxfId="47">
      <calculatedColumnFormula>+IFERROR(VLOOKUP(D2,Conceptos_Contabilidad[#All],2,0),"")</calculatedColumnFormula>
    </tableColumn>
    <tableColumn id="8" xr3:uid="{00000000-0010-0000-0B00-000008000000}" name="Unidad" dataDxfId="46">
      <calculatedColumnFormula>+IFERROR(VLOOKUP(D2,Conceptos_Contabilidad[#All],3,0),"")</calculatedColumnFormula>
    </tableColumn>
    <tableColumn id="9" xr3:uid="{00000000-0010-0000-0B00-000009000000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Fact_Control_Operaciones" displayName="Fact_Control_Operaciones" ref="A1:K3000" totalsRowShown="0" headerRowDxfId="44" dataDxfId="42" headerRowBorderDxfId="43" tableBorderDxfId="41">
  <autoFilter ref="A1:K3000" xr:uid="{00000000-0009-0000-0100-00000D000000}"/>
  <tableColumns count="11">
    <tableColumn id="1" xr3:uid="{00000000-0010-0000-0C00-000001000000}" name="Año" dataDxfId="40"/>
    <tableColumn id="2" xr3:uid="{00000000-0010-0000-0C00-000002000000}" name="Mes" dataDxfId="39"/>
    <tableColumn id="3" xr3:uid="{00000000-0010-0000-0C00-000003000000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00000000-0010-0000-0C00-000004000000}" name="Concepto Anterior" dataDxfId="37"/>
    <tableColumn id="10" xr3:uid="{00000000-0010-0000-0C00-00000A000000}" name="Concepto Nuevo" dataDxfId="36">
      <calculatedColumnFormula>+IFERROR(VLOOKUP(Fact_Control_Operaciones[[#This Row],[Concepto Anterior]],Conceptos_Control_Operaciones[#All],5,0),"")</calculatedColumnFormula>
    </tableColumn>
    <tableColumn id="11" xr3:uid="{00000000-0010-0000-0C00-00000B000000}" name="id_concepto" dataDxfId="35">
      <calculatedColumnFormula>+IFERROR(VLOOKUP(Fact_Control_Operaciones[[#This Row],[Concepto Anterior]],Conceptos_Control_Operaciones[#All],7,0),"")</calculatedColumnFormula>
    </tableColumn>
    <tableColumn id="5" xr3:uid="{00000000-0010-0000-0C00-000005000000}" name="Especificación" dataDxfId="34"/>
    <tableColumn id="6" xr3:uid="{00000000-0010-0000-0C00-000006000000}" name="Ciudad" dataDxfId="33"/>
    <tableColumn id="7" xr3:uid="{00000000-0010-0000-0C00-000007000000}" name="Tipo" dataDxfId="32">
      <calculatedColumnFormula>+IFERROR(VLOOKUP(D2,Conceptos_Control_Operaciones[#All],2,0),"")</calculatedColumnFormula>
    </tableColumn>
    <tableColumn id="8" xr3:uid="{00000000-0010-0000-0C00-000008000000}" name="Unidad" dataDxfId="31">
      <calculatedColumnFormula>+IFERROR(VLOOKUP(D2,Conceptos_Control_Operaciones[#All],3,0),"")</calculatedColumnFormula>
    </tableColumn>
    <tableColumn id="9" xr3:uid="{00000000-0010-0000-0C00-000009000000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Fact_Impuestos" displayName="Fact_Impuestos" ref="A1:K3000" totalsRowShown="0" headerRowDxfId="29" dataDxfId="27" headerRowBorderDxfId="28" tableBorderDxfId="26">
  <autoFilter ref="A1:K3000" xr:uid="{00000000-0009-0000-0100-00000E000000}"/>
  <tableColumns count="11">
    <tableColumn id="1" xr3:uid="{00000000-0010-0000-0D00-000001000000}" name="Año" dataDxfId="25"/>
    <tableColumn id="2" xr3:uid="{00000000-0010-0000-0D00-000002000000}" name="Mes" dataDxfId="24"/>
    <tableColumn id="3" xr3:uid="{00000000-0010-0000-0D00-000003000000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00000000-0010-0000-0D00-000004000000}" name="Concepto Anterior" dataDxfId="22"/>
    <tableColumn id="10" xr3:uid="{00000000-0010-0000-0D00-00000A000000}" name="Concepto Nuevo" dataDxfId="21">
      <calculatedColumnFormula>+IFERROR(VLOOKUP(Fact_Impuestos[[#This Row],[Concepto Anterior]],Conceptos_Impuestos[#All],5,0),"")</calculatedColumnFormula>
    </tableColumn>
    <tableColumn id="11" xr3:uid="{00000000-0010-0000-0D00-00000B000000}" name="id_concepto" dataDxfId="20">
      <calculatedColumnFormula>+IFERROR(VLOOKUP(Fact_Impuestos[[#This Row],[Concepto Anterior]],Conceptos_Impuestos[#All],7,0),"")</calculatedColumnFormula>
    </tableColumn>
    <tableColumn id="5" xr3:uid="{00000000-0010-0000-0D00-000005000000}" name="Especificación" dataDxfId="19"/>
    <tableColumn id="6" xr3:uid="{00000000-0010-0000-0D00-000006000000}" name="Ciudad" dataDxfId="18"/>
    <tableColumn id="7" xr3:uid="{00000000-0010-0000-0D00-000007000000}" name="Tipo" dataDxfId="17">
      <calculatedColumnFormula>+IFERROR(VLOOKUP(D2,Conceptos_Impuestos[[#All],[Concepto Anterior]:[Unidad]],2,0),"")</calculatedColumnFormula>
    </tableColumn>
    <tableColumn id="8" xr3:uid="{00000000-0010-0000-0D00-000008000000}" name="Unidad" dataDxfId="16">
      <calculatedColumnFormula>+IFERROR(VLOOKUP(D2,Conceptos_Impuestos[[#All],[Concepto Anterior]:[Unidad]],3,0),"")</calculatedColumnFormula>
    </tableColumn>
    <tableColumn id="9" xr3:uid="{00000000-0010-0000-0D00-000009000000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Fact_Cumplimiento" displayName="Fact_Cumplimiento" ref="A1:K3000" totalsRowShown="0" headerRowDxfId="14" dataDxfId="12" headerRowBorderDxfId="13" tableBorderDxfId="11">
  <autoFilter ref="A1:K3000" xr:uid="{00000000-0009-0000-0100-00000F000000}"/>
  <tableColumns count="11">
    <tableColumn id="1" xr3:uid="{00000000-0010-0000-0E00-000001000000}" name="Año" dataDxfId="10"/>
    <tableColumn id="2" xr3:uid="{00000000-0010-0000-0E00-000002000000}" name="Mes" dataDxfId="9"/>
    <tableColumn id="3" xr3:uid="{00000000-0010-0000-0E00-000003000000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00000000-0010-0000-0E00-000004000000}" name="Concepto Anterior" dataDxfId="7"/>
    <tableColumn id="10" xr3:uid="{00000000-0010-0000-0E00-00000A000000}" name="Concepto Nuevo" dataDxfId="6">
      <calculatedColumnFormula>+IFERROR(VLOOKUP(Fact_Cumplimiento[[#This Row],[Concepto Anterior]],Conceptos_Cumplimiento[#All],5,0),"")</calculatedColumnFormula>
    </tableColumn>
    <tableColumn id="11" xr3:uid="{00000000-0010-0000-0E00-00000B000000}" name="id_concepto" dataDxfId="5">
      <calculatedColumnFormula>+IFERROR(VLOOKUP(Fact_Cumplimiento[[#This Row],[Concepto Anterior]],Conceptos_Cumplimiento[#All],7,0),"")</calculatedColumnFormula>
    </tableColumn>
    <tableColumn id="5" xr3:uid="{00000000-0010-0000-0E00-000005000000}" name="Especificación" dataDxfId="4"/>
    <tableColumn id="6" xr3:uid="{00000000-0010-0000-0E00-000006000000}" name="Ciudad" dataDxfId="3"/>
    <tableColumn id="7" xr3:uid="{00000000-0010-0000-0E00-000007000000}" name="Tipo" dataDxfId="2">
      <calculatedColumnFormula>+IFERROR(VLOOKUP(D2,Conceptos_Cumplimiento[[#All],[Concepto Anterior]:[Unidad]],2,0),"")</calculatedColumnFormula>
    </tableColumn>
    <tableColumn id="8" xr3:uid="{00000000-0010-0000-0E00-000008000000}" name="Unidad" dataDxfId="1">
      <calculatedColumnFormula>+IFERROR(VLOOKUP(D2,Conceptos_Cumplimiento[[#All],[Concepto Anterior]:[Unidad]],3,0),"")</calculatedColumnFormula>
    </tableColumn>
    <tableColumn id="9" xr3:uid="{00000000-0010-0000-0E00-000009000000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0</v>
      </c>
      <c r="B1" s="130" t="s">
        <v>1</v>
      </c>
      <c r="C1" s="130" t="s">
        <v>2</v>
      </c>
      <c r="D1" s="130" t="s">
        <v>3</v>
      </c>
      <c r="E1" s="130" t="s">
        <v>4</v>
      </c>
    </row>
    <row r="2" spans="1:5" x14ac:dyDescent="0.35">
      <c r="A2" s="131">
        <v>1</v>
      </c>
      <c r="B2" s="131" t="s">
        <v>5</v>
      </c>
      <c r="C2" s="131" t="s">
        <v>6</v>
      </c>
      <c r="D2" s="131" t="s">
        <v>7</v>
      </c>
      <c r="E2" s="131">
        <v>1</v>
      </c>
    </row>
    <row r="3" spans="1:5" hidden="1" x14ac:dyDescent="0.35">
      <c r="A3" s="132">
        <v>2</v>
      </c>
      <c r="B3" s="132" t="s">
        <v>8</v>
      </c>
      <c r="C3" s="132" t="s">
        <v>9</v>
      </c>
      <c r="D3" s="132" t="s">
        <v>10</v>
      </c>
      <c r="E3" s="132">
        <v>1</v>
      </c>
    </row>
    <row r="4" spans="1:5" hidden="1" x14ac:dyDescent="0.35">
      <c r="A4" s="131">
        <v>3</v>
      </c>
      <c r="B4" s="131" t="s">
        <v>11</v>
      </c>
      <c r="C4" s="131" t="s">
        <v>9</v>
      </c>
      <c r="D4" s="131" t="s">
        <v>12</v>
      </c>
      <c r="E4" s="131">
        <v>1</v>
      </c>
    </row>
    <row r="5" spans="1:5" x14ac:dyDescent="0.35">
      <c r="A5" s="132">
        <v>4</v>
      </c>
      <c r="B5" s="132" t="s">
        <v>13</v>
      </c>
      <c r="C5" s="132" t="s">
        <v>6</v>
      </c>
      <c r="D5" s="132" t="s">
        <v>7</v>
      </c>
      <c r="E5" s="132">
        <v>1</v>
      </c>
    </row>
    <row r="6" spans="1:5" x14ac:dyDescent="0.35">
      <c r="A6" s="131">
        <v>5</v>
      </c>
      <c r="B6" s="131" t="s">
        <v>14</v>
      </c>
      <c r="C6" s="131" t="s">
        <v>6</v>
      </c>
      <c r="D6" s="131" t="s">
        <v>7</v>
      </c>
      <c r="E6" s="131">
        <v>1</v>
      </c>
    </row>
    <row r="7" spans="1:5" x14ac:dyDescent="0.35">
      <c r="A7" s="132">
        <v>6</v>
      </c>
      <c r="B7" s="132" t="s">
        <v>15</v>
      </c>
      <c r="C7" s="132" t="s">
        <v>6</v>
      </c>
      <c r="D7" s="132" t="s">
        <v>7</v>
      </c>
      <c r="E7" s="132">
        <v>1</v>
      </c>
    </row>
    <row r="8" spans="1:5" x14ac:dyDescent="0.35">
      <c r="A8" s="131">
        <v>7</v>
      </c>
      <c r="B8" s="131" t="s">
        <v>16</v>
      </c>
      <c r="C8" s="131" t="s">
        <v>6</v>
      </c>
      <c r="D8" s="131" t="s">
        <v>7</v>
      </c>
      <c r="E8" s="131">
        <v>1</v>
      </c>
    </row>
    <row r="9" spans="1:5" hidden="1" x14ac:dyDescent="0.35">
      <c r="A9" s="132">
        <v>8</v>
      </c>
      <c r="B9" s="132" t="s">
        <v>17</v>
      </c>
      <c r="C9" s="132" t="s">
        <v>9</v>
      </c>
      <c r="D9" s="132" t="s">
        <v>12</v>
      </c>
      <c r="E9" s="132">
        <v>1</v>
      </c>
    </row>
    <row r="10" spans="1:5" hidden="1" x14ac:dyDescent="0.35">
      <c r="A10" s="131">
        <v>9</v>
      </c>
      <c r="B10" s="131" t="s">
        <v>18</v>
      </c>
      <c r="C10" s="131" t="s">
        <v>9</v>
      </c>
      <c r="D10" s="131" t="s">
        <v>12</v>
      </c>
      <c r="E10" s="131">
        <v>1</v>
      </c>
    </row>
    <row r="11" spans="1:5" hidden="1" x14ac:dyDescent="0.35">
      <c r="A11" s="132">
        <v>10</v>
      </c>
      <c r="B11" s="132" t="s">
        <v>19</v>
      </c>
      <c r="C11" s="132" t="s">
        <v>9</v>
      </c>
      <c r="D11" s="132" t="s">
        <v>12</v>
      </c>
      <c r="E11" s="132">
        <v>1</v>
      </c>
    </row>
    <row r="12" spans="1:5" hidden="1" x14ac:dyDescent="0.35">
      <c r="A12" s="131">
        <v>11</v>
      </c>
      <c r="B12" s="131" t="s">
        <v>20</v>
      </c>
      <c r="C12" s="131" t="s">
        <v>9</v>
      </c>
      <c r="D12" s="131" t="s">
        <v>12</v>
      </c>
      <c r="E12" s="131">
        <v>1</v>
      </c>
    </row>
    <row r="13" spans="1:5" hidden="1" x14ac:dyDescent="0.35">
      <c r="A13" s="132">
        <v>12</v>
      </c>
      <c r="B13" s="132" t="s">
        <v>21</v>
      </c>
      <c r="C13" s="132" t="s">
        <v>9</v>
      </c>
      <c r="D13" s="132" t="s">
        <v>12</v>
      </c>
      <c r="E13" s="132">
        <v>1</v>
      </c>
    </row>
    <row r="14" spans="1:5" hidden="1" x14ac:dyDescent="0.35">
      <c r="A14" s="131">
        <v>13</v>
      </c>
      <c r="B14" s="131" t="s">
        <v>22</v>
      </c>
      <c r="C14" s="131" t="s">
        <v>9</v>
      </c>
      <c r="D14" s="131" t="s">
        <v>12</v>
      </c>
      <c r="E14" s="131">
        <v>1</v>
      </c>
    </row>
    <row r="15" spans="1:5" hidden="1" x14ac:dyDescent="0.35">
      <c r="A15" s="132">
        <v>14</v>
      </c>
      <c r="B15" s="132" t="s">
        <v>23</v>
      </c>
      <c r="C15" s="132" t="s">
        <v>9</v>
      </c>
      <c r="D15" s="132" t="s">
        <v>12</v>
      </c>
      <c r="E15" s="132">
        <v>1</v>
      </c>
    </row>
    <row r="16" spans="1:5" hidden="1" x14ac:dyDescent="0.35">
      <c r="A16" s="131">
        <v>15</v>
      </c>
      <c r="B16" s="131" t="s">
        <v>24</v>
      </c>
      <c r="C16" s="131" t="s">
        <v>9</v>
      </c>
      <c r="D16" s="131" t="s">
        <v>12</v>
      </c>
      <c r="E16" s="131">
        <v>1</v>
      </c>
    </row>
    <row r="17" spans="1:5" hidden="1" x14ac:dyDescent="0.35">
      <c r="A17" s="132">
        <v>16</v>
      </c>
      <c r="B17" s="132" t="s">
        <v>25</v>
      </c>
      <c r="C17" s="132" t="s">
        <v>9</v>
      </c>
      <c r="D17" s="132" t="s">
        <v>12</v>
      </c>
      <c r="E17" s="132">
        <v>1</v>
      </c>
    </row>
    <row r="18" spans="1:5" hidden="1" x14ac:dyDescent="0.35">
      <c r="A18" s="131">
        <v>17</v>
      </c>
      <c r="B18" s="131" t="s">
        <v>26</v>
      </c>
      <c r="C18" s="131" t="s">
        <v>9</v>
      </c>
      <c r="D18" s="131" t="s">
        <v>12</v>
      </c>
      <c r="E18" s="131">
        <v>1</v>
      </c>
    </row>
    <row r="19" spans="1:5" hidden="1" x14ac:dyDescent="0.35">
      <c r="A19" s="132">
        <v>18</v>
      </c>
      <c r="B19" s="132" t="s">
        <v>27</v>
      </c>
      <c r="C19" s="132" t="s">
        <v>9</v>
      </c>
      <c r="D19" s="132" t="s">
        <v>12</v>
      </c>
      <c r="E19" s="132">
        <v>1</v>
      </c>
    </row>
    <row r="20" spans="1:5" hidden="1" x14ac:dyDescent="0.35">
      <c r="A20" s="131">
        <v>19</v>
      </c>
      <c r="B20" s="131" t="s">
        <v>28</v>
      </c>
      <c r="C20" s="131" t="s">
        <v>9</v>
      </c>
      <c r="D20" s="131" t="s">
        <v>12</v>
      </c>
      <c r="E20" s="131">
        <v>1</v>
      </c>
    </row>
    <row r="21" spans="1:5" hidden="1" x14ac:dyDescent="0.35">
      <c r="A21" s="132">
        <v>20</v>
      </c>
      <c r="B21" s="132" t="s">
        <v>29</v>
      </c>
      <c r="C21" s="132" t="s">
        <v>9</v>
      </c>
      <c r="D21" s="132" t="s">
        <v>12</v>
      </c>
      <c r="E21" s="132">
        <v>1</v>
      </c>
    </row>
    <row r="22" spans="1:5" hidden="1" x14ac:dyDescent="0.35">
      <c r="A22" s="131">
        <v>21</v>
      </c>
      <c r="B22" s="131" t="s">
        <v>30</v>
      </c>
      <c r="C22" s="131" t="s">
        <v>9</v>
      </c>
      <c r="D22" s="131" t="s">
        <v>12</v>
      </c>
      <c r="E22" s="131">
        <v>1</v>
      </c>
    </row>
    <row r="23" spans="1:5" hidden="1" x14ac:dyDescent="0.35">
      <c r="A23" s="132">
        <v>22</v>
      </c>
      <c r="B23" s="132" t="s">
        <v>31</v>
      </c>
      <c r="C23" s="132" t="s">
        <v>9</v>
      </c>
      <c r="D23" s="132" t="s">
        <v>12</v>
      </c>
      <c r="E23" s="132">
        <v>1</v>
      </c>
    </row>
    <row r="24" spans="1:5" hidden="1" x14ac:dyDescent="0.35">
      <c r="A24" s="131">
        <v>23</v>
      </c>
      <c r="B24" s="131" t="s">
        <v>32</v>
      </c>
      <c r="C24" s="131" t="s">
        <v>9</v>
      </c>
      <c r="D24" s="131" t="s">
        <v>12</v>
      </c>
      <c r="E24" s="131">
        <v>1</v>
      </c>
    </row>
    <row r="25" spans="1:5" hidden="1" x14ac:dyDescent="0.35">
      <c r="A25" s="132">
        <v>24</v>
      </c>
      <c r="B25" s="132" t="s">
        <v>33</v>
      </c>
      <c r="C25" s="132" t="s">
        <v>9</v>
      </c>
      <c r="D25" s="132" t="s">
        <v>12</v>
      </c>
      <c r="E25" s="132">
        <v>1</v>
      </c>
    </row>
    <row r="26" spans="1:5" hidden="1" x14ac:dyDescent="0.35">
      <c r="A26" s="131">
        <v>25</v>
      </c>
      <c r="B26" s="131" t="s">
        <v>34</v>
      </c>
      <c r="C26" s="131" t="s">
        <v>9</v>
      </c>
      <c r="D26" s="131" t="s">
        <v>12</v>
      </c>
      <c r="E26" s="131">
        <v>1</v>
      </c>
    </row>
    <row r="27" spans="1:5" hidden="1" x14ac:dyDescent="0.35">
      <c r="A27" s="132">
        <v>26</v>
      </c>
      <c r="B27" s="132" t="s">
        <v>35</v>
      </c>
      <c r="C27" s="132"/>
      <c r="D27" s="132" t="s">
        <v>36</v>
      </c>
      <c r="E27" s="132">
        <v>2</v>
      </c>
    </row>
    <row r="28" spans="1:5" hidden="1" x14ac:dyDescent="0.35">
      <c r="A28" s="131">
        <v>27</v>
      </c>
      <c r="B28" s="131" t="s">
        <v>37</v>
      </c>
      <c r="C28" s="131"/>
      <c r="D28" s="131" t="s">
        <v>38</v>
      </c>
      <c r="E28" s="131">
        <v>2</v>
      </c>
    </row>
    <row r="29" spans="1:5" hidden="1" x14ac:dyDescent="0.35">
      <c r="A29" s="132">
        <v>28</v>
      </c>
      <c r="B29" s="132" t="s">
        <v>39</v>
      </c>
      <c r="C29" s="132"/>
      <c r="D29" s="132" t="s">
        <v>40</v>
      </c>
      <c r="E29" s="132">
        <v>2</v>
      </c>
    </row>
    <row r="30" spans="1:5" hidden="1" x14ac:dyDescent="0.35">
      <c r="A30" s="131">
        <v>29</v>
      </c>
      <c r="B30" s="131" t="s">
        <v>41</v>
      </c>
      <c r="C30" s="131"/>
      <c r="D30" s="131" t="s">
        <v>40</v>
      </c>
      <c r="E30" s="131">
        <v>2</v>
      </c>
    </row>
    <row r="31" spans="1:5" hidden="1" x14ac:dyDescent="0.35">
      <c r="A31" s="132">
        <v>30</v>
      </c>
      <c r="B31" s="132" t="s">
        <v>42</v>
      </c>
      <c r="C31" s="132"/>
      <c r="D31" s="132" t="s">
        <v>40</v>
      </c>
      <c r="E31" s="132">
        <v>2</v>
      </c>
    </row>
    <row r="32" spans="1:5" hidden="1" x14ac:dyDescent="0.35">
      <c r="A32" s="131">
        <v>31</v>
      </c>
      <c r="B32" s="131" t="s">
        <v>43</v>
      </c>
      <c r="C32" s="131"/>
      <c r="D32" s="131" t="s">
        <v>40</v>
      </c>
      <c r="E32" s="131">
        <v>2</v>
      </c>
    </row>
    <row r="33" spans="1:5" hidden="1" x14ac:dyDescent="0.35">
      <c r="A33" s="132">
        <v>32</v>
      </c>
      <c r="B33" s="132" t="s">
        <v>44</v>
      </c>
      <c r="C33" s="132"/>
      <c r="D33" s="132" t="s">
        <v>40</v>
      </c>
      <c r="E33" s="132">
        <v>2</v>
      </c>
    </row>
    <row r="34" spans="1:5" hidden="1" x14ac:dyDescent="0.35">
      <c r="A34" s="131">
        <v>33</v>
      </c>
      <c r="B34" s="131" t="s">
        <v>45</v>
      </c>
      <c r="C34" s="131" t="s">
        <v>9</v>
      </c>
      <c r="D34" s="131" t="s">
        <v>12</v>
      </c>
      <c r="E34" s="131">
        <v>3</v>
      </c>
    </row>
    <row r="35" spans="1:5" hidden="1" x14ac:dyDescent="0.35">
      <c r="A35" s="132">
        <v>34</v>
      </c>
      <c r="B35" s="132" t="s">
        <v>46</v>
      </c>
      <c r="C35" s="132" t="s">
        <v>9</v>
      </c>
      <c r="D35" s="132" t="s">
        <v>12</v>
      </c>
      <c r="E35" s="132">
        <v>3</v>
      </c>
    </row>
    <row r="36" spans="1:5" hidden="1" x14ac:dyDescent="0.35">
      <c r="A36" s="131">
        <v>35</v>
      </c>
      <c r="B36" s="131" t="s">
        <v>47</v>
      </c>
      <c r="C36" s="131" t="s">
        <v>9</v>
      </c>
      <c r="D36" s="131" t="s">
        <v>12</v>
      </c>
      <c r="E36" s="131">
        <v>3</v>
      </c>
    </row>
    <row r="37" spans="1:5" hidden="1" x14ac:dyDescent="0.35">
      <c r="A37" s="132">
        <v>36</v>
      </c>
      <c r="B37" s="132" t="s">
        <v>48</v>
      </c>
      <c r="C37" s="132" t="s">
        <v>9</v>
      </c>
      <c r="D37" s="132" t="s">
        <v>12</v>
      </c>
      <c r="E37" s="132">
        <v>3</v>
      </c>
    </row>
    <row r="38" spans="1:5" hidden="1" x14ac:dyDescent="0.35">
      <c r="A38" s="131">
        <v>37</v>
      </c>
      <c r="B38" s="131" t="s">
        <v>49</v>
      </c>
      <c r="C38" s="131" t="s">
        <v>6</v>
      </c>
      <c r="D38" s="131" t="s">
        <v>7</v>
      </c>
      <c r="E38" s="131">
        <v>3</v>
      </c>
    </row>
    <row r="39" spans="1:5" hidden="1" x14ac:dyDescent="0.35">
      <c r="A39" s="132">
        <v>38</v>
      </c>
      <c r="B39" s="132" t="s">
        <v>50</v>
      </c>
      <c r="C39" s="132" t="s">
        <v>9</v>
      </c>
      <c r="D39" s="132" t="s">
        <v>12</v>
      </c>
      <c r="E39" s="132">
        <v>3</v>
      </c>
    </row>
    <row r="40" spans="1:5" hidden="1" x14ac:dyDescent="0.35">
      <c r="A40" s="131">
        <v>39</v>
      </c>
      <c r="B40" s="131" t="s">
        <v>51</v>
      </c>
      <c r="C40" s="131" t="s">
        <v>6</v>
      </c>
      <c r="D40" s="131" t="s">
        <v>7</v>
      </c>
      <c r="E40" s="131">
        <v>3</v>
      </c>
    </row>
    <row r="41" spans="1:5" hidden="1" x14ac:dyDescent="0.35">
      <c r="A41" s="132">
        <v>40</v>
      </c>
      <c r="B41" s="132" t="s">
        <v>52</v>
      </c>
      <c r="C41" s="132" t="s">
        <v>9</v>
      </c>
      <c r="D41" s="132" t="s">
        <v>12</v>
      </c>
      <c r="E41" s="132">
        <v>3</v>
      </c>
    </row>
    <row r="42" spans="1:5" hidden="1" x14ac:dyDescent="0.35">
      <c r="A42" s="131">
        <v>41</v>
      </c>
      <c r="B42" s="131" t="s">
        <v>53</v>
      </c>
      <c r="C42" s="131" t="s">
        <v>9</v>
      </c>
      <c r="D42" s="131" t="s">
        <v>12</v>
      </c>
      <c r="E42" s="131">
        <v>4</v>
      </c>
    </row>
    <row r="43" spans="1:5" hidden="1" x14ac:dyDescent="0.35">
      <c r="A43" s="132">
        <v>42</v>
      </c>
      <c r="B43" s="132" t="s">
        <v>54</v>
      </c>
      <c r="C43" s="132" t="s">
        <v>9</v>
      </c>
      <c r="D43" s="132" t="s">
        <v>12</v>
      </c>
      <c r="E43" s="132">
        <v>4</v>
      </c>
    </row>
    <row r="44" spans="1:5" hidden="1" x14ac:dyDescent="0.35">
      <c r="A44" s="131">
        <v>43</v>
      </c>
      <c r="B44" s="131" t="s">
        <v>55</v>
      </c>
      <c r="C44" s="131" t="s">
        <v>9</v>
      </c>
      <c r="D44" s="131" t="s">
        <v>12</v>
      </c>
      <c r="E44" s="131">
        <v>4</v>
      </c>
    </row>
    <row r="45" spans="1:5" hidden="1" x14ac:dyDescent="0.35">
      <c r="A45" s="132">
        <v>44</v>
      </c>
      <c r="B45" s="132" t="s">
        <v>56</v>
      </c>
      <c r="C45" s="132" t="s">
        <v>9</v>
      </c>
      <c r="D45" s="132" t="s">
        <v>12</v>
      </c>
      <c r="E45" s="132">
        <v>4</v>
      </c>
    </row>
    <row r="46" spans="1:5" hidden="1" x14ac:dyDescent="0.35">
      <c r="A46" s="131">
        <v>45</v>
      </c>
      <c r="B46" s="131" t="s">
        <v>57</v>
      </c>
      <c r="C46" s="131" t="s">
        <v>9</v>
      </c>
      <c r="D46" s="131" t="s">
        <v>12</v>
      </c>
      <c r="E46" s="131">
        <v>4</v>
      </c>
    </row>
    <row r="47" spans="1:5" hidden="1" x14ac:dyDescent="0.35">
      <c r="A47" s="132">
        <v>46</v>
      </c>
      <c r="B47" s="132" t="s">
        <v>58</v>
      </c>
      <c r="C47" s="132" t="s">
        <v>9</v>
      </c>
      <c r="D47" s="132" t="s">
        <v>12</v>
      </c>
      <c r="E47" s="132">
        <v>4</v>
      </c>
    </row>
    <row r="48" spans="1:5" hidden="1" x14ac:dyDescent="0.35">
      <c r="A48" s="131">
        <v>47</v>
      </c>
      <c r="B48" s="131" t="s">
        <v>59</v>
      </c>
      <c r="C48" s="131" t="s">
        <v>9</v>
      </c>
      <c r="D48" s="131" t="s">
        <v>12</v>
      </c>
      <c r="E48" s="131">
        <v>4</v>
      </c>
    </row>
    <row r="49" spans="1:5" hidden="1" x14ac:dyDescent="0.35">
      <c r="A49" s="132">
        <v>48</v>
      </c>
      <c r="B49" s="132" t="s">
        <v>60</v>
      </c>
      <c r="C49" s="132" t="s">
        <v>9</v>
      </c>
      <c r="D49" s="132" t="s">
        <v>12</v>
      </c>
      <c r="E49" s="132">
        <v>4</v>
      </c>
    </row>
    <row r="50" spans="1:5" hidden="1" x14ac:dyDescent="0.35">
      <c r="A50" s="131">
        <v>49</v>
      </c>
      <c r="B50" s="131" t="s">
        <v>61</v>
      </c>
      <c r="C50" s="131" t="s">
        <v>9</v>
      </c>
      <c r="D50" s="131" t="s">
        <v>12</v>
      </c>
      <c r="E50" s="131">
        <v>4</v>
      </c>
    </row>
    <row r="51" spans="1:5" hidden="1" x14ac:dyDescent="0.35">
      <c r="A51" s="132">
        <v>50</v>
      </c>
      <c r="B51" s="132" t="s">
        <v>62</v>
      </c>
      <c r="C51" s="132" t="s">
        <v>9</v>
      </c>
      <c r="D51" s="132" t="s">
        <v>12</v>
      </c>
      <c r="E51" s="132">
        <v>4</v>
      </c>
    </row>
    <row r="52" spans="1:5" hidden="1" x14ac:dyDescent="0.35">
      <c r="A52" s="131">
        <v>51</v>
      </c>
      <c r="B52" s="131" t="s">
        <v>63</v>
      </c>
      <c r="C52" s="131" t="s">
        <v>6</v>
      </c>
      <c r="D52" s="131" t="s">
        <v>7</v>
      </c>
      <c r="E52" s="131">
        <v>4</v>
      </c>
    </row>
    <row r="53" spans="1:5" hidden="1" x14ac:dyDescent="0.35">
      <c r="A53" s="132">
        <v>52</v>
      </c>
      <c r="B53" s="132" t="s">
        <v>64</v>
      </c>
      <c r="C53" s="132" t="s">
        <v>9</v>
      </c>
      <c r="D53" s="132" t="s">
        <v>12</v>
      </c>
      <c r="E53" s="132">
        <v>5</v>
      </c>
    </row>
    <row r="54" spans="1:5" hidden="1" x14ac:dyDescent="0.35">
      <c r="A54" s="131">
        <v>53</v>
      </c>
      <c r="B54" s="131" t="s">
        <v>65</v>
      </c>
      <c r="C54" s="131" t="s">
        <v>9</v>
      </c>
      <c r="D54" s="131" t="s">
        <v>12</v>
      </c>
      <c r="E54" s="131">
        <v>5</v>
      </c>
    </row>
    <row r="55" spans="1:5" hidden="1" x14ac:dyDescent="0.35">
      <c r="A55" s="132">
        <v>54</v>
      </c>
      <c r="B55" s="132" t="s">
        <v>66</v>
      </c>
      <c r="C55" s="132" t="s">
        <v>9</v>
      </c>
      <c r="D55" s="132" t="s">
        <v>12</v>
      </c>
      <c r="E55" s="132">
        <v>5</v>
      </c>
    </row>
    <row r="56" spans="1:5" hidden="1" x14ac:dyDescent="0.35">
      <c r="A56" s="131">
        <v>55</v>
      </c>
      <c r="B56" s="131" t="s">
        <v>67</v>
      </c>
      <c r="C56" s="131" t="s">
        <v>9</v>
      </c>
      <c r="D56" s="131" t="s">
        <v>12</v>
      </c>
      <c r="E56" s="131">
        <v>5</v>
      </c>
    </row>
    <row r="57" spans="1:5" hidden="1" x14ac:dyDescent="0.35">
      <c r="A57" s="132">
        <v>56</v>
      </c>
      <c r="B57" s="132" t="s">
        <v>68</v>
      </c>
      <c r="C57" s="132" t="s">
        <v>9</v>
      </c>
      <c r="D57" s="132" t="s">
        <v>12</v>
      </c>
      <c r="E57" s="132">
        <v>5</v>
      </c>
    </row>
    <row r="58" spans="1:5" hidden="1" x14ac:dyDescent="0.35">
      <c r="A58" s="131">
        <v>57</v>
      </c>
      <c r="B58" s="131" t="s">
        <v>69</v>
      </c>
      <c r="C58" s="131" t="s">
        <v>9</v>
      </c>
      <c r="D58" s="131" t="s">
        <v>12</v>
      </c>
      <c r="E58" s="131">
        <v>5</v>
      </c>
    </row>
    <row r="59" spans="1:5" hidden="1" x14ac:dyDescent="0.35">
      <c r="A59" s="132">
        <v>58</v>
      </c>
      <c r="B59" s="132" t="s">
        <v>70</v>
      </c>
      <c r="C59" s="132" t="s">
        <v>9</v>
      </c>
      <c r="D59" s="132" t="s">
        <v>12</v>
      </c>
      <c r="E59" s="132">
        <v>5</v>
      </c>
    </row>
    <row r="60" spans="1:5" hidden="1" x14ac:dyDescent="0.35">
      <c r="A60" s="131">
        <v>59</v>
      </c>
      <c r="B60" s="131" t="s">
        <v>71</v>
      </c>
      <c r="C60" s="131" t="s">
        <v>6</v>
      </c>
      <c r="D60" s="131" t="s">
        <v>7</v>
      </c>
      <c r="E60" s="131">
        <v>5</v>
      </c>
    </row>
    <row r="61" spans="1:5" hidden="1" x14ac:dyDescent="0.35">
      <c r="A61" s="132">
        <v>60</v>
      </c>
      <c r="B61" s="132" t="s">
        <v>72</v>
      </c>
      <c r="C61" s="132" t="s">
        <v>6</v>
      </c>
      <c r="D61" s="132" t="s">
        <v>7</v>
      </c>
      <c r="E61" s="132">
        <v>5</v>
      </c>
    </row>
    <row r="62" spans="1:5" hidden="1" x14ac:dyDescent="0.35">
      <c r="A62" s="131">
        <v>61</v>
      </c>
      <c r="B62" s="131" t="s">
        <v>50</v>
      </c>
      <c r="C62" s="131" t="s">
        <v>9</v>
      </c>
      <c r="D62" s="131" t="s">
        <v>12</v>
      </c>
      <c r="E62" s="131">
        <v>5</v>
      </c>
    </row>
    <row r="63" spans="1:5" hidden="1" x14ac:dyDescent="0.35">
      <c r="A63" s="132">
        <v>62</v>
      </c>
      <c r="B63" s="132" t="s">
        <v>73</v>
      </c>
      <c r="C63" s="132" t="s">
        <v>9</v>
      </c>
      <c r="D63" s="132" t="s">
        <v>12</v>
      </c>
      <c r="E63" s="132">
        <v>5</v>
      </c>
    </row>
    <row r="64" spans="1:5" hidden="1" x14ac:dyDescent="0.35">
      <c r="A64" s="131">
        <v>63</v>
      </c>
      <c r="B64" s="131" t="s">
        <v>74</v>
      </c>
      <c r="C64" s="131" t="s">
        <v>9</v>
      </c>
      <c r="D64" s="131" t="s">
        <v>12</v>
      </c>
      <c r="E64" s="131">
        <v>5</v>
      </c>
    </row>
    <row r="65" spans="1:5" hidden="1" x14ac:dyDescent="0.35">
      <c r="A65" s="132">
        <v>64</v>
      </c>
      <c r="B65" s="132" t="s">
        <v>75</v>
      </c>
      <c r="C65" s="132" t="s">
        <v>9</v>
      </c>
      <c r="D65" s="132" t="s">
        <v>12</v>
      </c>
      <c r="E65" s="132">
        <v>5</v>
      </c>
    </row>
    <row r="66" spans="1:5" hidden="1" x14ac:dyDescent="0.35">
      <c r="A66" s="131">
        <v>65</v>
      </c>
      <c r="B66" s="131" t="s">
        <v>76</v>
      </c>
      <c r="C66" s="131" t="s">
        <v>9</v>
      </c>
      <c r="D66" s="131" t="s">
        <v>12</v>
      </c>
      <c r="E66" s="131">
        <v>5</v>
      </c>
    </row>
    <row r="67" spans="1:5" hidden="1" x14ac:dyDescent="0.35">
      <c r="A67" s="132">
        <v>66</v>
      </c>
      <c r="B67" s="132" t="s">
        <v>77</v>
      </c>
      <c r="C67" s="132" t="s">
        <v>6</v>
      </c>
      <c r="D67" s="132" t="s">
        <v>7</v>
      </c>
      <c r="E67" s="132">
        <v>5</v>
      </c>
    </row>
    <row r="68" spans="1:5" hidden="1" x14ac:dyDescent="0.35">
      <c r="A68" s="131">
        <v>67</v>
      </c>
      <c r="B68" s="131" t="s">
        <v>78</v>
      </c>
      <c r="C68" s="131" t="s">
        <v>6</v>
      </c>
      <c r="D68" s="131" t="s">
        <v>7</v>
      </c>
      <c r="E68" s="131">
        <v>5</v>
      </c>
    </row>
    <row r="69" spans="1:5" hidden="1" x14ac:dyDescent="0.35">
      <c r="A69" s="132">
        <v>68</v>
      </c>
      <c r="B69" s="132" t="s">
        <v>79</v>
      </c>
      <c r="C69" s="132" t="s">
        <v>9</v>
      </c>
      <c r="D69" s="132" t="s">
        <v>12</v>
      </c>
      <c r="E69" s="132">
        <v>6</v>
      </c>
    </row>
    <row r="70" spans="1:5" hidden="1" x14ac:dyDescent="0.35">
      <c r="A70" s="131">
        <v>69</v>
      </c>
      <c r="B70" s="131" t="s">
        <v>80</v>
      </c>
      <c r="C70" s="131" t="s">
        <v>9</v>
      </c>
      <c r="D70" s="131" t="s">
        <v>12</v>
      </c>
      <c r="E70" s="131">
        <v>6</v>
      </c>
    </row>
    <row r="71" spans="1:5" hidden="1" x14ac:dyDescent="0.35">
      <c r="A71" s="132">
        <v>70</v>
      </c>
      <c r="B71" s="132" t="s">
        <v>81</v>
      </c>
      <c r="C71" s="132" t="s">
        <v>9</v>
      </c>
      <c r="D71" s="132" t="s">
        <v>12</v>
      </c>
      <c r="E71" s="132">
        <v>6</v>
      </c>
    </row>
    <row r="72" spans="1:5" hidden="1" x14ac:dyDescent="0.35">
      <c r="A72" s="131">
        <v>71</v>
      </c>
      <c r="B72" s="131" t="s">
        <v>82</v>
      </c>
      <c r="C72" s="131" t="s">
        <v>9</v>
      </c>
      <c r="D72" s="131" t="s">
        <v>12</v>
      </c>
      <c r="E72" s="131">
        <v>6</v>
      </c>
    </row>
    <row r="73" spans="1:5" hidden="1" x14ac:dyDescent="0.35">
      <c r="A73" s="132">
        <v>72</v>
      </c>
      <c r="B73" s="132" t="s">
        <v>83</v>
      </c>
      <c r="C73" s="132" t="s">
        <v>9</v>
      </c>
      <c r="D73" s="132" t="s">
        <v>12</v>
      </c>
      <c r="E73" s="132">
        <v>6</v>
      </c>
    </row>
    <row r="74" spans="1:5" hidden="1" x14ac:dyDescent="0.35">
      <c r="A74" s="131">
        <v>73</v>
      </c>
      <c r="B74" s="131" t="s">
        <v>84</v>
      </c>
      <c r="C74" s="131" t="s">
        <v>9</v>
      </c>
      <c r="D74" s="131" t="s">
        <v>12</v>
      </c>
      <c r="E74" s="131">
        <v>6</v>
      </c>
    </row>
    <row r="75" spans="1:5" hidden="1" x14ac:dyDescent="0.35">
      <c r="A75" s="132">
        <v>74</v>
      </c>
      <c r="B75" s="132" t="s">
        <v>85</v>
      </c>
      <c r="C75" s="132" t="s">
        <v>6</v>
      </c>
      <c r="D75" s="132" t="s">
        <v>7</v>
      </c>
      <c r="E75" s="132">
        <v>4</v>
      </c>
    </row>
    <row r="76" spans="1:5" hidden="1" x14ac:dyDescent="0.35">
      <c r="A76" s="131">
        <v>75</v>
      </c>
      <c r="B76" s="131" t="s">
        <v>86</v>
      </c>
      <c r="C76" s="131" t="s">
        <v>6</v>
      </c>
      <c r="D76" s="131" t="s">
        <v>7</v>
      </c>
      <c r="E76" s="131">
        <v>4</v>
      </c>
    </row>
  </sheetData>
  <autoFilter ref="A1:E76" xr:uid="{00000000-0009-0000-0000-00000000000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rgb="FFFFC000"/>
  </sheetPr>
  <dimension ref="A1:BI130"/>
  <sheetViews>
    <sheetView topLeftCell="A28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87</v>
      </c>
      <c r="S1" s="128" t="s">
        <v>88</v>
      </c>
      <c r="AA1" s="128" t="s">
        <v>89</v>
      </c>
      <c r="AI1" s="128" t="s">
        <v>90</v>
      </c>
      <c r="AQ1" s="128" t="s">
        <v>91</v>
      </c>
      <c r="AY1" s="128" t="s">
        <v>92</v>
      </c>
      <c r="BG1" s="128" t="s">
        <v>93</v>
      </c>
    </row>
    <row r="2" spans="1:61" ht="16.5" customHeight="1" x14ac:dyDescent="0.35">
      <c r="A2" s="128" t="s">
        <v>94</v>
      </c>
      <c r="C2" s="128" t="s">
        <v>95</v>
      </c>
      <c r="E2" s="128" t="s">
        <v>96</v>
      </c>
      <c r="G2" s="128" t="s">
        <v>97</v>
      </c>
      <c r="H2" s="128" t="s">
        <v>2</v>
      </c>
      <c r="I2" s="128" t="s">
        <v>3</v>
      </c>
      <c r="J2" s="128" t="s">
        <v>98</v>
      </c>
      <c r="K2" s="128" t="s">
        <v>99</v>
      </c>
      <c r="L2" s="128" t="s">
        <v>100</v>
      </c>
      <c r="M2" s="128" t="s">
        <v>0</v>
      </c>
      <c r="O2" t="s">
        <v>101</v>
      </c>
      <c r="Q2" s="135" t="s">
        <v>102</v>
      </c>
      <c r="S2" s="128" t="s">
        <v>97</v>
      </c>
      <c r="T2" s="128" t="s">
        <v>2</v>
      </c>
      <c r="U2" s="128" t="s">
        <v>3</v>
      </c>
      <c r="V2" s="128" t="s">
        <v>98</v>
      </c>
      <c r="W2" s="128" t="s">
        <v>99</v>
      </c>
      <c r="X2" s="145" t="s">
        <v>100</v>
      </c>
      <c r="Y2" s="145" t="s">
        <v>0</v>
      </c>
      <c r="AA2" s="128" t="s">
        <v>97</v>
      </c>
      <c r="AB2" s="128" t="s">
        <v>2</v>
      </c>
      <c r="AC2" s="128" t="s">
        <v>3</v>
      </c>
      <c r="AD2" s="128" t="s">
        <v>98</v>
      </c>
      <c r="AE2" s="128" t="s">
        <v>99</v>
      </c>
      <c r="AF2" s="145" t="s">
        <v>100</v>
      </c>
      <c r="AG2" s="145" t="s">
        <v>0</v>
      </c>
      <c r="AI2" s="128" t="s">
        <v>97</v>
      </c>
      <c r="AJ2" s="128" t="s">
        <v>2</v>
      </c>
      <c r="AK2" s="128" t="s">
        <v>3</v>
      </c>
      <c r="AL2" s="128" t="s">
        <v>98</v>
      </c>
      <c r="AM2" s="128" t="s">
        <v>99</v>
      </c>
      <c r="AN2" s="145" t="s">
        <v>100</v>
      </c>
      <c r="AO2" s="145" t="s">
        <v>0</v>
      </c>
      <c r="AQ2" s="128" t="s">
        <v>97</v>
      </c>
      <c r="AR2" s="128" t="s">
        <v>2</v>
      </c>
      <c r="AS2" s="128" t="s">
        <v>3</v>
      </c>
      <c r="AT2" s="128" t="s">
        <v>98</v>
      </c>
      <c r="AU2" s="128" t="s">
        <v>99</v>
      </c>
      <c r="AV2" s="145" t="s">
        <v>100</v>
      </c>
      <c r="AW2" s="145" t="s">
        <v>0</v>
      </c>
      <c r="AY2" s="128" t="s">
        <v>97</v>
      </c>
      <c r="AZ2" s="128" t="s">
        <v>2</v>
      </c>
      <c r="BA2" s="128" t="s">
        <v>3</v>
      </c>
      <c r="BB2" s="128" t="s">
        <v>98</v>
      </c>
      <c r="BC2" s="128" t="s">
        <v>99</v>
      </c>
      <c r="BD2" s="145" t="s">
        <v>100</v>
      </c>
      <c r="BE2" s="145" t="s">
        <v>0</v>
      </c>
      <c r="BG2" s="130" t="s">
        <v>4</v>
      </c>
      <c r="BH2" s="130" t="s">
        <v>103</v>
      </c>
      <c r="BI2" s="130" t="s">
        <v>104</v>
      </c>
    </row>
    <row r="3" spans="1:61" ht="16.5" customHeight="1" x14ac:dyDescent="0.35">
      <c r="A3" s="129">
        <f ca="1">+TODAY()</f>
        <v>45975</v>
      </c>
      <c r="C3">
        <f ca="1">+YEAR(TODAY())</f>
        <v>2025</v>
      </c>
      <c r="E3" t="s">
        <v>105</v>
      </c>
      <c r="G3" s="20" t="s">
        <v>106</v>
      </c>
      <c r="H3" t="s">
        <v>9</v>
      </c>
      <c r="I3" t="s">
        <v>12</v>
      </c>
      <c r="J3" s="152" t="s">
        <v>107</v>
      </c>
      <c r="K3" s="20" t="s">
        <v>106</v>
      </c>
      <c r="L3">
        <v>1</v>
      </c>
      <c r="M3" t="e">
        <f ca="1">+_xlfn.CONCAT("1_",TEXT(Conceptos_Administrativa[[#This Row],[consecutivo_concepto]],"00"))</f>
        <v>#NAME?</v>
      </c>
      <c r="O3" t="s">
        <v>108</v>
      </c>
      <c r="Q3" s="136" t="s">
        <v>109</v>
      </c>
      <c r="S3" t="s">
        <v>110</v>
      </c>
      <c r="T3" t="s">
        <v>9</v>
      </c>
      <c r="U3" t="s">
        <v>12</v>
      </c>
      <c r="V3" s="152" t="s">
        <v>107</v>
      </c>
      <c r="W3" t="s">
        <v>110</v>
      </c>
      <c r="X3">
        <v>1</v>
      </c>
      <c r="Y3" t="e">
        <f ca="1">+_xlfn.CONCAT("2_",TEXT(Conceptos_Analítica_contraloría[[#This Row],[consecutivo_concepto]],"00"))</f>
        <v>#NAME?</v>
      </c>
      <c r="AA3" s="152" t="s">
        <v>52</v>
      </c>
      <c r="AB3" t="s">
        <v>9</v>
      </c>
      <c r="AC3" t="s">
        <v>12</v>
      </c>
      <c r="AD3" t="s">
        <v>111</v>
      </c>
      <c r="AE3" t="s">
        <v>112</v>
      </c>
      <c r="AF3">
        <v>1</v>
      </c>
      <c r="AG3" t="e">
        <f ca="1">+_xlfn.CONCAT("3_",TEXT(Conceptos_Contabilidad[[#This Row],[consecutivo_concepto]],"00"))</f>
        <v>#NAME?</v>
      </c>
      <c r="AI3" t="s">
        <v>113</v>
      </c>
      <c r="AJ3" t="s">
        <v>9</v>
      </c>
      <c r="AK3" t="s">
        <v>12</v>
      </c>
      <c r="AL3" t="s">
        <v>107</v>
      </c>
      <c r="AM3" s="137" t="s">
        <v>113</v>
      </c>
      <c r="AN3">
        <v>1</v>
      </c>
      <c r="AO3" t="e">
        <f ca="1">+_xlfn.CONCAT("4_",TEXT(Conceptos_Control_Operaciones[[#This Row],[consecutivo_concepto]],"00"))</f>
        <v>#NAME?</v>
      </c>
      <c r="AQ3" t="s">
        <v>114</v>
      </c>
      <c r="AR3" t="s">
        <v>9</v>
      </c>
      <c r="AS3" t="s">
        <v>12</v>
      </c>
      <c r="AT3" t="s">
        <v>107</v>
      </c>
      <c r="AU3" t="s">
        <v>115</v>
      </c>
      <c r="AV3">
        <v>1</v>
      </c>
      <c r="AW3" t="e">
        <f ca="1">+_xlfn.CONCAT("5_",TEXT(Conceptos_Impuestos[[#This Row],[consecutivo_concepto]],"00"))</f>
        <v>#NAME?</v>
      </c>
      <c r="AY3" t="s">
        <v>82</v>
      </c>
      <c r="AZ3" t="s">
        <v>9</v>
      </c>
      <c r="BA3" t="s">
        <v>12</v>
      </c>
      <c r="BB3" t="s">
        <v>107</v>
      </c>
      <c r="BC3" t="s">
        <v>82</v>
      </c>
      <c r="BD3">
        <v>1</v>
      </c>
      <c r="BE3" t="e">
        <f ca="1">+_xlfn.CONCAT("6_",TEXT(Conceptos_Cumplimiento[[#This Row],[consecutivo_concepto]],"00"))</f>
        <v>#NAME?</v>
      </c>
      <c r="BG3" s="131">
        <v>1</v>
      </c>
      <c r="BH3" s="131" t="s">
        <v>87</v>
      </c>
      <c r="BI3" s="131" t="s">
        <v>116</v>
      </c>
    </row>
    <row r="4" spans="1:61" ht="16.5" customHeight="1" x14ac:dyDescent="0.35">
      <c r="E4" t="s">
        <v>117</v>
      </c>
      <c r="G4" s="20" t="s">
        <v>18</v>
      </c>
      <c r="H4" t="s">
        <v>9</v>
      </c>
      <c r="I4" t="s">
        <v>12</v>
      </c>
      <c r="J4" s="152" t="s">
        <v>107</v>
      </c>
      <c r="K4" s="20" t="s">
        <v>18</v>
      </c>
      <c r="L4">
        <f t="shared" ref="L4:L28" si="0">+L3+1</f>
        <v>2</v>
      </c>
      <c r="M4" t="e">
        <f ca="1">+_xlfn.CONCAT("1_",TEXT(Conceptos_Administrativa[[#This Row],[consecutivo_concepto]],"00"))</f>
        <v>#NAME?</v>
      </c>
      <c r="O4" t="s">
        <v>118</v>
      </c>
      <c r="Q4" s="136" t="s">
        <v>119</v>
      </c>
      <c r="S4" t="s">
        <v>35</v>
      </c>
      <c r="T4" t="s">
        <v>6</v>
      </c>
      <c r="U4" t="s">
        <v>7</v>
      </c>
      <c r="V4" s="152" t="s">
        <v>107</v>
      </c>
      <c r="W4" t="s">
        <v>35</v>
      </c>
      <c r="X4">
        <f t="shared" ref="X4:X20" si="1">+X3+1</f>
        <v>2</v>
      </c>
      <c r="Y4" t="e">
        <f ca="1">+_xlfn.CONCAT("2_",TEXT(Conceptos_Analítica_contraloría[[#This Row],[consecutivo_concepto]],"00"))</f>
        <v>#NAME?</v>
      </c>
      <c r="AA4" t="s">
        <v>45</v>
      </c>
      <c r="AB4" t="s">
        <v>9</v>
      </c>
      <c r="AC4" t="s">
        <v>12</v>
      </c>
      <c r="AD4" t="s">
        <v>107</v>
      </c>
      <c r="AE4" t="s">
        <v>120</v>
      </c>
      <c r="AF4">
        <f t="shared" ref="AF4:AF31" si="2">+AF3+1</f>
        <v>2</v>
      </c>
      <c r="AG4" t="e">
        <f ca="1">+_xlfn.CONCAT("3_",TEXT(Conceptos_Contabilidad[[#This Row],[consecutivo_concepto]],"00"))</f>
        <v>#NAME?</v>
      </c>
      <c r="AI4" t="s">
        <v>54</v>
      </c>
      <c r="AJ4" t="s">
        <v>9</v>
      </c>
      <c r="AK4" t="s">
        <v>12</v>
      </c>
      <c r="AL4" t="s">
        <v>107</v>
      </c>
      <c r="AM4" s="137" t="s">
        <v>54</v>
      </c>
      <c r="AN4">
        <f t="shared" ref="AN4:AN17" si="3">+AN3+1</f>
        <v>2</v>
      </c>
      <c r="AO4" t="e">
        <f ca="1">+_xlfn.CONCAT("4_",TEXT(Conceptos_Control_Operaciones[[#This Row],[consecutivo_concepto]],"00"))</f>
        <v>#NAME?</v>
      </c>
      <c r="AQ4" t="s">
        <v>74</v>
      </c>
      <c r="AR4" t="s">
        <v>9</v>
      </c>
      <c r="AS4" t="s">
        <v>12</v>
      </c>
      <c r="AT4" t="s">
        <v>107</v>
      </c>
      <c r="AU4" t="s">
        <v>74</v>
      </c>
      <c r="AV4">
        <f t="shared" ref="AV4:AV14" si="4">+AV3+1</f>
        <v>2</v>
      </c>
      <c r="AW4" t="e">
        <f ca="1">+_xlfn.CONCAT("5_",TEXT(Conceptos_Impuestos[[#This Row],[consecutivo_concepto]],"00"))</f>
        <v>#NAME?</v>
      </c>
      <c r="AY4" t="s">
        <v>81</v>
      </c>
      <c r="AZ4" t="s">
        <v>9</v>
      </c>
      <c r="BA4" t="s">
        <v>12</v>
      </c>
      <c r="BB4" t="s">
        <v>107</v>
      </c>
      <c r="BC4" t="s">
        <v>81</v>
      </c>
      <c r="BD4">
        <f t="shared" ref="BD4:BD11" si="5">+BD3+1</f>
        <v>2</v>
      </c>
      <c r="BE4" t="e">
        <f ca="1">+_xlfn.CONCAT("6_",TEXT(Conceptos_Cumplimiento[[#This Row],[consecutivo_concepto]],"00"))</f>
        <v>#NAME?</v>
      </c>
      <c r="BG4" s="132">
        <v>2</v>
      </c>
      <c r="BH4" s="132" t="s">
        <v>121</v>
      </c>
      <c r="BI4" s="132" t="s">
        <v>122</v>
      </c>
    </row>
    <row r="5" spans="1:61" ht="16.5" customHeight="1" x14ac:dyDescent="0.35">
      <c r="E5" t="s">
        <v>123</v>
      </c>
      <c r="G5" s="20" t="s">
        <v>124</v>
      </c>
      <c r="H5" t="s">
        <v>9</v>
      </c>
      <c r="I5" t="s">
        <v>12</v>
      </c>
      <c r="J5" s="152" t="s">
        <v>107</v>
      </c>
      <c r="K5" s="20" t="s">
        <v>124</v>
      </c>
      <c r="L5">
        <f t="shared" si="0"/>
        <v>3</v>
      </c>
      <c r="M5" t="e">
        <f ca="1">+_xlfn.CONCAT("1_",TEXT(Conceptos_Administrativa[[#This Row],[consecutivo_concepto]],"00"))</f>
        <v>#NAME?</v>
      </c>
      <c r="O5" t="s">
        <v>125</v>
      </c>
      <c r="Q5" s="136" t="s">
        <v>126</v>
      </c>
      <c r="S5" t="s">
        <v>37</v>
      </c>
      <c r="T5" t="s">
        <v>9</v>
      </c>
      <c r="U5" t="s">
        <v>12</v>
      </c>
      <c r="V5" s="152" t="s">
        <v>107</v>
      </c>
      <c r="W5" t="s">
        <v>37</v>
      </c>
      <c r="X5">
        <f t="shared" si="1"/>
        <v>3</v>
      </c>
      <c r="Y5" t="e">
        <f ca="1">+_xlfn.CONCAT("2_",TEXT(Conceptos_Analítica_contraloría[[#This Row],[consecutivo_concepto]],"00"))</f>
        <v>#NAME?</v>
      </c>
      <c r="AA5" t="s">
        <v>46</v>
      </c>
      <c r="AB5" t="s">
        <v>9</v>
      </c>
      <c r="AC5" t="s">
        <v>12</v>
      </c>
      <c r="AD5" t="s">
        <v>107</v>
      </c>
      <c r="AE5" t="s">
        <v>120</v>
      </c>
      <c r="AF5">
        <f t="shared" si="2"/>
        <v>3</v>
      </c>
      <c r="AG5" t="e">
        <f ca="1">+_xlfn.CONCAT("3_",TEXT(Conceptos_Contabilidad[[#This Row],[consecutivo_concepto]],"00"))</f>
        <v>#NAME?</v>
      </c>
      <c r="AI5" t="s">
        <v>127</v>
      </c>
      <c r="AJ5" t="s">
        <v>9</v>
      </c>
      <c r="AK5" t="s">
        <v>12</v>
      </c>
      <c r="AL5" t="s">
        <v>107</v>
      </c>
      <c r="AM5" s="137" t="s">
        <v>127</v>
      </c>
      <c r="AN5">
        <f t="shared" si="3"/>
        <v>3</v>
      </c>
      <c r="AO5" t="e">
        <f ca="1">+_xlfn.CONCAT("4_",TEXT(Conceptos_Control_Operaciones[[#This Row],[consecutivo_concepto]],"00"))</f>
        <v>#NAME?</v>
      </c>
      <c r="AQ5" t="s">
        <v>69</v>
      </c>
      <c r="AR5" t="s">
        <v>9</v>
      </c>
      <c r="AS5" t="s">
        <v>12</v>
      </c>
      <c r="AT5" t="s">
        <v>107</v>
      </c>
      <c r="AU5" t="s">
        <v>128</v>
      </c>
      <c r="AV5">
        <f t="shared" si="4"/>
        <v>3</v>
      </c>
      <c r="AW5" t="e">
        <f ca="1">+_xlfn.CONCAT("5_",TEXT(Conceptos_Impuestos[[#This Row],[consecutivo_concepto]],"00"))</f>
        <v>#NAME?</v>
      </c>
      <c r="AY5" t="s">
        <v>79</v>
      </c>
      <c r="AZ5" t="s">
        <v>9</v>
      </c>
      <c r="BA5" t="s">
        <v>12</v>
      </c>
      <c r="BB5" t="s">
        <v>107</v>
      </c>
      <c r="BC5" t="s">
        <v>79</v>
      </c>
      <c r="BD5">
        <f t="shared" si="5"/>
        <v>3</v>
      </c>
      <c r="BE5" t="e">
        <f ca="1">+_xlfn.CONCAT("6_",TEXT(Conceptos_Cumplimiento[[#This Row],[consecutivo_concepto]],"00"))</f>
        <v>#NAME?</v>
      </c>
      <c r="BG5" s="131">
        <v>3</v>
      </c>
      <c r="BH5" s="131" t="s">
        <v>89</v>
      </c>
      <c r="BI5" s="131" t="s">
        <v>129</v>
      </c>
    </row>
    <row r="6" spans="1:61" ht="16.5" customHeight="1" x14ac:dyDescent="0.35">
      <c r="E6" t="s">
        <v>130</v>
      </c>
      <c r="G6" s="20" t="s">
        <v>17</v>
      </c>
      <c r="H6" t="s">
        <v>9</v>
      </c>
      <c r="I6" t="s">
        <v>12</v>
      </c>
      <c r="J6" s="152" t="s">
        <v>107</v>
      </c>
      <c r="K6" s="20" t="s">
        <v>17</v>
      </c>
      <c r="L6">
        <f t="shared" si="0"/>
        <v>4</v>
      </c>
      <c r="M6" t="e">
        <f ca="1">+_xlfn.CONCAT("1_",TEXT(Conceptos_Administrativa[[#This Row],[consecutivo_concepto]],"00"))</f>
        <v>#NAME?</v>
      </c>
      <c r="O6" t="s">
        <v>131</v>
      </c>
      <c r="Q6" s="136" t="s">
        <v>132</v>
      </c>
      <c r="S6" t="s">
        <v>133</v>
      </c>
      <c r="T6" t="s">
        <v>9</v>
      </c>
      <c r="U6" t="s">
        <v>12</v>
      </c>
      <c r="V6" s="152" t="s">
        <v>107</v>
      </c>
      <c r="W6" t="s">
        <v>133</v>
      </c>
      <c r="X6">
        <f t="shared" si="1"/>
        <v>4</v>
      </c>
      <c r="Y6" t="e">
        <f ca="1">+_xlfn.CONCAT("2_",TEXT(Conceptos_Analítica_contraloría[[#This Row],[consecutivo_concepto]],"00"))</f>
        <v>#NAME?</v>
      </c>
      <c r="AA6" s="137" t="s">
        <v>47</v>
      </c>
      <c r="AB6" t="s">
        <v>9</v>
      </c>
      <c r="AC6" t="s">
        <v>12</v>
      </c>
      <c r="AD6" t="s">
        <v>107</v>
      </c>
      <c r="AE6" s="137" t="s">
        <v>47</v>
      </c>
      <c r="AF6">
        <f t="shared" si="2"/>
        <v>4</v>
      </c>
      <c r="AG6" t="e">
        <f ca="1">+_xlfn.CONCAT("3_",TEXT(Conceptos_Contabilidad[[#This Row],[consecutivo_concepto]],"00"))</f>
        <v>#NAME?</v>
      </c>
      <c r="AI6" t="s">
        <v>56</v>
      </c>
      <c r="AJ6" t="s">
        <v>9</v>
      </c>
      <c r="AK6" t="s">
        <v>12</v>
      </c>
      <c r="AL6" t="s">
        <v>107</v>
      </c>
      <c r="AM6" s="137" t="s">
        <v>56</v>
      </c>
      <c r="AN6">
        <f t="shared" si="3"/>
        <v>4</v>
      </c>
      <c r="AO6" t="e">
        <f ca="1">+_xlfn.CONCAT("4_",TEXT(Conceptos_Control_Operaciones[[#This Row],[consecutivo_concepto]],"00"))</f>
        <v>#NAME?</v>
      </c>
      <c r="AQ6" t="s">
        <v>70</v>
      </c>
      <c r="AR6" t="s">
        <v>9</v>
      </c>
      <c r="AS6" t="s">
        <v>12</v>
      </c>
      <c r="AT6" t="s">
        <v>107</v>
      </c>
      <c r="AU6" t="s">
        <v>134</v>
      </c>
      <c r="AV6">
        <f t="shared" si="4"/>
        <v>4</v>
      </c>
      <c r="AW6" t="e">
        <f ca="1">+_xlfn.CONCAT("5_",TEXT(Conceptos_Impuestos[[#This Row],[consecutivo_concepto]],"00"))</f>
        <v>#NAME?</v>
      </c>
      <c r="AY6" t="s">
        <v>80</v>
      </c>
      <c r="AZ6" t="s">
        <v>9</v>
      </c>
      <c r="BA6" t="s">
        <v>12</v>
      </c>
      <c r="BB6" t="s">
        <v>107</v>
      </c>
      <c r="BC6" t="s">
        <v>80</v>
      </c>
      <c r="BD6">
        <f t="shared" si="5"/>
        <v>4</v>
      </c>
      <c r="BE6" t="e">
        <f ca="1">+_xlfn.CONCAT("6_",TEXT(Conceptos_Cumplimiento[[#This Row],[consecutivo_concepto]],"00"))</f>
        <v>#NAME?</v>
      </c>
      <c r="BG6" s="132">
        <v>4</v>
      </c>
      <c r="BH6" s="132" t="s">
        <v>135</v>
      </c>
      <c r="BI6" s="132" t="s">
        <v>136</v>
      </c>
    </row>
    <row r="7" spans="1:61" ht="16.5" customHeight="1" x14ac:dyDescent="0.35">
      <c r="E7" t="s">
        <v>137</v>
      </c>
      <c r="G7" s="20" t="s">
        <v>138</v>
      </c>
      <c r="H7" t="s">
        <v>9</v>
      </c>
      <c r="I7" t="s">
        <v>139</v>
      </c>
      <c r="J7" s="152" t="s">
        <v>107</v>
      </c>
      <c r="K7" t="s">
        <v>140</v>
      </c>
      <c r="L7">
        <f t="shared" si="0"/>
        <v>5</v>
      </c>
      <c r="M7" t="e">
        <f ca="1">+_xlfn.CONCAT("1_",TEXT(Conceptos_Administrativa[[#This Row],[consecutivo_concepto]],"00"))</f>
        <v>#NAME?</v>
      </c>
      <c r="O7" t="s">
        <v>141</v>
      </c>
      <c r="Q7" s="136" t="s">
        <v>142</v>
      </c>
      <c r="S7" t="s">
        <v>143</v>
      </c>
      <c r="T7" t="s">
        <v>9</v>
      </c>
      <c r="U7" t="s">
        <v>12</v>
      </c>
      <c r="V7" s="152" t="s">
        <v>107</v>
      </c>
      <c r="W7" t="s">
        <v>143</v>
      </c>
      <c r="X7">
        <f t="shared" si="1"/>
        <v>5</v>
      </c>
      <c r="Y7" t="e">
        <f ca="1">+_xlfn.CONCAT("2_",TEXT(Conceptos_Analítica_contraloría[[#This Row],[consecutivo_concepto]],"00"))</f>
        <v>#NAME?</v>
      </c>
      <c r="AA7" s="137" t="s">
        <v>48</v>
      </c>
      <c r="AB7" t="s">
        <v>9</v>
      </c>
      <c r="AC7" t="s">
        <v>12</v>
      </c>
      <c r="AD7" t="s">
        <v>107</v>
      </c>
      <c r="AE7" s="137" t="s">
        <v>48</v>
      </c>
      <c r="AF7">
        <f t="shared" si="2"/>
        <v>5</v>
      </c>
      <c r="AG7" t="e">
        <f ca="1">+_xlfn.CONCAT("3_",TEXT(Conceptos_Contabilidad[[#This Row],[consecutivo_concepto]],"00"))</f>
        <v>#NAME?</v>
      </c>
      <c r="AI7" t="s">
        <v>86</v>
      </c>
      <c r="AJ7" t="s">
        <v>6</v>
      </c>
      <c r="AK7" t="s">
        <v>7</v>
      </c>
      <c r="AL7" t="s">
        <v>107</v>
      </c>
      <c r="AM7" s="137" t="s">
        <v>86</v>
      </c>
      <c r="AN7">
        <f t="shared" si="3"/>
        <v>5</v>
      </c>
      <c r="AO7" t="e">
        <f ca="1">+_xlfn.CONCAT("4_",TEXT(Conceptos_Control_Operaciones[[#This Row],[consecutivo_concepto]],"00"))</f>
        <v>#NAME?</v>
      </c>
      <c r="AQ7" t="s">
        <v>144</v>
      </c>
      <c r="AR7" t="s">
        <v>6</v>
      </c>
      <c r="AS7" t="s">
        <v>7</v>
      </c>
      <c r="AT7" t="s">
        <v>107</v>
      </c>
      <c r="AU7" t="s">
        <v>144</v>
      </c>
      <c r="AV7">
        <f t="shared" si="4"/>
        <v>5</v>
      </c>
      <c r="AW7" t="e">
        <f ca="1">+_xlfn.CONCAT("5_",TEXT(Conceptos_Impuestos[[#This Row],[consecutivo_concepto]],"00"))</f>
        <v>#NAME?</v>
      </c>
      <c r="AY7" t="s">
        <v>145</v>
      </c>
      <c r="AZ7" t="s">
        <v>9</v>
      </c>
      <c r="BA7" t="s">
        <v>12</v>
      </c>
      <c r="BB7" t="s">
        <v>107</v>
      </c>
      <c r="BC7" t="s">
        <v>145</v>
      </c>
      <c r="BD7">
        <f t="shared" si="5"/>
        <v>5</v>
      </c>
      <c r="BE7" t="e">
        <f ca="1">+_xlfn.CONCAT("6_",TEXT(Conceptos_Cumplimiento[[#This Row],[consecutivo_concepto]],"00"))</f>
        <v>#NAME?</v>
      </c>
      <c r="BG7" s="131">
        <v>5</v>
      </c>
      <c r="BH7" s="131" t="s">
        <v>91</v>
      </c>
      <c r="BI7" s="131" t="s">
        <v>146</v>
      </c>
    </row>
    <row r="8" spans="1:61" ht="16.5" customHeight="1" x14ac:dyDescent="0.35">
      <c r="E8" t="s">
        <v>147</v>
      </c>
      <c r="G8" s="10" t="s">
        <v>148</v>
      </c>
      <c r="H8" t="s">
        <v>9</v>
      </c>
      <c r="I8" t="s">
        <v>12</v>
      </c>
      <c r="J8" s="152" t="s">
        <v>107</v>
      </c>
      <c r="K8" t="s">
        <v>149</v>
      </c>
      <c r="L8">
        <f t="shared" si="0"/>
        <v>6</v>
      </c>
      <c r="M8" t="e">
        <f ca="1">+_xlfn.CONCAT("1_",TEXT(Conceptos_Administrativa[[#This Row],[consecutivo_concepto]],"00"))</f>
        <v>#NAME?</v>
      </c>
      <c r="O8" t="s">
        <v>150</v>
      </c>
      <c r="Q8" s="136" t="s">
        <v>151</v>
      </c>
      <c r="S8" t="s">
        <v>152</v>
      </c>
      <c r="T8" t="s">
        <v>6</v>
      </c>
      <c r="U8" t="s">
        <v>7</v>
      </c>
      <c r="V8" s="152" t="s">
        <v>107</v>
      </c>
      <c r="W8" t="s">
        <v>152</v>
      </c>
      <c r="X8">
        <f t="shared" si="1"/>
        <v>6</v>
      </c>
      <c r="Y8" t="e">
        <f ca="1">+_xlfn.CONCAT("2_",TEXT(Conceptos_Analítica_contraloría[[#This Row],[consecutivo_concepto]],"00"))</f>
        <v>#NAME?</v>
      </c>
      <c r="AA8" t="s">
        <v>153</v>
      </c>
      <c r="AB8" t="s">
        <v>9</v>
      </c>
      <c r="AC8" t="s">
        <v>139</v>
      </c>
      <c r="AD8" t="s">
        <v>111</v>
      </c>
      <c r="AE8" t="s">
        <v>154</v>
      </c>
      <c r="AF8">
        <f t="shared" si="2"/>
        <v>6</v>
      </c>
      <c r="AG8" t="e">
        <f ca="1">+_xlfn.CONCAT("3_",TEXT(Conceptos_Contabilidad[[#This Row],[consecutivo_concepto]],"00"))</f>
        <v>#NAME?</v>
      </c>
      <c r="AI8" t="s">
        <v>85</v>
      </c>
      <c r="AJ8" t="s">
        <v>6</v>
      </c>
      <c r="AK8" t="s">
        <v>7</v>
      </c>
      <c r="AL8" t="s">
        <v>107</v>
      </c>
      <c r="AM8" s="137" t="s">
        <v>85</v>
      </c>
      <c r="AN8">
        <f t="shared" si="3"/>
        <v>6</v>
      </c>
      <c r="AO8" t="e">
        <f ca="1">+_xlfn.CONCAT("4_",TEXT(Conceptos_Control_Operaciones[[#This Row],[consecutivo_concepto]],"00"))</f>
        <v>#NAME?</v>
      </c>
      <c r="AQ8" t="s">
        <v>72</v>
      </c>
      <c r="AR8" t="s">
        <v>6</v>
      </c>
      <c r="AS8" t="s">
        <v>7</v>
      </c>
      <c r="AT8" t="s">
        <v>107</v>
      </c>
      <c r="AU8" t="s">
        <v>72</v>
      </c>
      <c r="AV8">
        <f t="shared" si="4"/>
        <v>6</v>
      </c>
      <c r="AW8" t="e">
        <f ca="1">+_xlfn.CONCAT("5_",TEXT(Conceptos_Impuestos[[#This Row],[consecutivo_concepto]],"00"))</f>
        <v>#NAME?</v>
      </c>
      <c r="AY8" t="s">
        <v>155</v>
      </c>
      <c r="AZ8" t="s">
        <v>9</v>
      </c>
      <c r="BA8" t="s">
        <v>12</v>
      </c>
      <c r="BB8" t="s">
        <v>107</v>
      </c>
      <c r="BC8" t="s">
        <v>155</v>
      </c>
      <c r="BD8">
        <f t="shared" si="5"/>
        <v>6</v>
      </c>
      <c r="BE8" t="e">
        <f ca="1">+_xlfn.CONCAT("6_",TEXT(Conceptos_Cumplimiento[[#This Row],[consecutivo_concepto]],"00"))</f>
        <v>#NAME?</v>
      </c>
      <c r="BG8" s="132">
        <v>6</v>
      </c>
      <c r="BH8" s="132" t="s">
        <v>92</v>
      </c>
      <c r="BI8" s="132" t="s">
        <v>156</v>
      </c>
    </row>
    <row r="9" spans="1:61" ht="16.5" customHeight="1" x14ac:dyDescent="0.35">
      <c r="E9" t="s">
        <v>157</v>
      </c>
      <c r="G9" s="3" t="s">
        <v>158</v>
      </c>
      <c r="H9" t="s">
        <v>9</v>
      </c>
      <c r="I9" t="s">
        <v>12</v>
      </c>
      <c r="J9" s="152" t="s">
        <v>107</v>
      </c>
      <c r="K9" t="s">
        <v>149</v>
      </c>
      <c r="L9">
        <f t="shared" si="0"/>
        <v>7</v>
      </c>
      <c r="M9" t="e">
        <f ca="1">+_xlfn.CONCAT("1_",TEXT(Conceptos_Administrativa[[#This Row],[consecutivo_concepto]],"00"))</f>
        <v>#NAME?</v>
      </c>
      <c r="O9" t="s">
        <v>159</v>
      </c>
      <c r="Q9" s="136" t="s">
        <v>160</v>
      </c>
      <c r="S9" t="s">
        <v>161</v>
      </c>
      <c r="T9" t="s">
        <v>9</v>
      </c>
      <c r="U9" t="s">
        <v>12</v>
      </c>
      <c r="V9" s="152" t="s">
        <v>107</v>
      </c>
      <c r="W9" t="s">
        <v>161</v>
      </c>
      <c r="X9">
        <f t="shared" si="1"/>
        <v>7</v>
      </c>
      <c r="Y9" t="e">
        <f ca="1">+_xlfn.CONCAT("2_",TEXT(Conceptos_Analítica_contraloría[[#This Row],[consecutivo_concepto]],"00"))</f>
        <v>#NAME?</v>
      </c>
      <c r="AA9" s="137" t="s">
        <v>49</v>
      </c>
      <c r="AB9" t="s">
        <v>6</v>
      </c>
      <c r="AC9" t="s">
        <v>7</v>
      </c>
      <c r="AD9" t="s">
        <v>107</v>
      </c>
      <c r="AE9" s="137" t="s">
        <v>49</v>
      </c>
      <c r="AF9">
        <f t="shared" si="2"/>
        <v>7</v>
      </c>
      <c r="AG9" t="e">
        <f ca="1">+_xlfn.CONCAT("3_",TEXT(Conceptos_Contabilidad[[#This Row],[consecutivo_concepto]],"00"))</f>
        <v>#NAME?</v>
      </c>
      <c r="AI9" t="s">
        <v>162</v>
      </c>
      <c r="AJ9" t="s">
        <v>9</v>
      </c>
      <c r="AK9" t="s">
        <v>12</v>
      </c>
      <c r="AL9" t="s">
        <v>107</v>
      </c>
      <c r="AM9" s="137" t="s">
        <v>162</v>
      </c>
      <c r="AN9">
        <f t="shared" si="3"/>
        <v>7</v>
      </c>
      <c r="AO9" t="e">
        <f ca="1">+_xlfn.CONCAT("4_",TEXT(Conceptos_Control_Operaciones[[#This Row],[consecutivo_concepto]],"00"))</f>
        <v>#NAME?</v>
      </c>
      <c r="AQ9" t="s">
        <v>50</v>
      </c>
      <c r="AR9" t="s">
        <v>9</v>
      </c>
      <c r="AS9" t="s">
        <v>12</v>
      </c>
      <c r="AT9" t="s">
        <v>107</v>
      </c>
      <c r="AU9" t="s">
        <v>50</v>
      </c>
      <c r="AV9">
        <f t="shared" si="4"/>
        <v>7</v>
      </c>
      <c r="AW9" t="e">
        <f ca="1">+_xlfn.CONCAT("5_",TEXT(Conceptos_Impuestos[[#This Row],[consecutivo_concepto]],"00"))</f>
        <v>#NAME?</v>
      </c>
      <c r="AY9" t="s">
        <v>84</v>
      </c>
      <c r="AZ9" t="s">
        <v>9</v>
      </c>
      <c r="BA9" t="s">
        <v>12</v>
      </c>
      <c r="BB9" t="s">
        <v>107</v>
      </c>
      <c r="BC9" t="s">
        <v>84</v>
      </c>
      <c r="BD9">
        <f t="shared" si="5"/>
        <v>7</v>
      </c>
      <c r="BE9" t="e">
        <f ca="1">+_xlfn.CONCAT("6_",TEXT(Conceptos_Cumplimiento[[#This Row],[consecutivo_concepto]],"00"))</f>
        <v>#NAME?</v>
      </c>
      <c r="BG9" s="131">
        <v>7</v>
      </c>
      <c r="BH9" s="131" t="s">
        <v>163</v>
      </c>
      <c r="BI9" s="131" t="s">
        <v>164</v>
      </c>
    </row>
    <row r="10" spans="1:61" ht="16.5" customHeight="1" x14ac:dyDescent="0.35">
      <c r="E10" t="s">
        <v>165</v>
      </c>
      <c r="G10" s="10" t="s">
        <v>166</v>
      </c>
      <c r="H10" t="s">
        <v>9</v>
      </c>
      <c r="I10" t="s">
        <v>12</v>
      </c>
      <c r="J10" s="152" t="s">
        <v>107</v>
      </c>
      <c r="K10" t="s">
        <v>149</v>
      </c>
      <c r="L10">
        <f t="shared" si="0"/>
        <v>8</v>
      </c>
      <c r="M10" t="e">
        <f ca="1">+_xlfn.CONCAT("1_",TEXT(Conceptos_Administrativa[[#This Row],[consecutivo_concepto]],"00"))</f>
        <v>#NAME?</v>
      </c>
      <c r="O10" t="s">
        <v>167</v>
      </c>
      <c r="Q10" s="136" t="s">
        <v>168</v>
      </c>
      <c r="S10" t="s">
        <v>169</v>
      </c>
      <c r="T10" t="s">
        <v>9</v>
      </c>
      <c r="U10" t="s">
        <v>12</v>
      </c>
      <c r="V10" s="152" t="s">
        <v>107</v>
      </c>
      <c r="W10" t="s">
        <v>169</v>
      </c>
      <c r="X10">
        <f t="shared" si="1"/>
        <v>8</v>
      </c>
      <c r="Y10" t="e">
        <f ca="1">+_xlfn.CONCAT("2_",TEXT(Conceptos_Analítica_contraloría[[#This Row],[consecutivo_concepto]],"00"))</f>
        <v>#NAME?</v>
      </c>
      <c r="AA10" s="137" t="s">
        <v>50</v>
      </c>
      <c r="AB10" t="s">
        <v>9</v>
      </c>
      <c r="AC10" t="s">
        <v>12</v>
      </c>
      <c r="AD10" t="s">
        <v>107</v>
      </c>
      <c r="AE10" s="137" t="s">
        <v>50</v>
      </c>
      <c r="AF10">
        <f t="shared" si="2"/>
        <v>8</v>
      </c>
      <c r="AG10" t="e">
        <f ca="1">+_xlfn.CONCAT("3_",TEXT(Conceptos_Contabilidad[[#This Row],[consecutivo_concepto]],"00"))</f>
        <v>#NAME?</v>
      </c>
      <c r="AI10" t="s">
        <v>60</v>
      </c>
      <c r="AJ10" t="s">
        <v>9</v>
      </c>
      <c r="AK10" t="s">
        <v>12</v>
      </c>
      <c r="AL10" t="s">
        <v>107</v>
      </c>
      <c r="AM10" s="137" t="s">
        <v>60</v>
      </c>
      <c r="AN10">
        <f t="shared" si="3"/>
        <v>8</v>
      </c>
      <c r="AO10" t="e">
        <f ca="1">+_xlfn.CONCAT("4_",TEXT(Conceptos_Control_Operaciones[[#This Row],[consecutivo_concepto]],"00"))</f>
        <v>#NAME?</v>
      </c>
      <c r="AQ10" t="s">
        <v>77</v>
      </c>
      <c r="AR10" t="s">
        <v>6</v>
      </c>
      <c r="AS10" t="s">
        <v>7</v>
      </c>
      <c r="AT10" t="s">
        <v>107</v>
      </c>
      <c r="AU10" t="s">
        <v>77</v>
      </c>
      <c r="AV10">
        <f t="shared" si="4"/>
        <v>8</v>
      </c>
      <c r="AW10" t="e">
        <f ca="1">+_xlfn.CONCAT("5_",TEXT(Conceptos_Impuestos[[#This Row],[consecutivo_concepto]],"00"))</f>
        <v>#NAME?</v>
      </c>
      <c r="AY10" t="s">
        <v>170</v>
      </c>
      <c r="AZ10" t="s">
        <v>9</v>
      </c>
      <c r="BA10" t="s">
        <v>12</v>
      </c>
      <c r="BB10" t="s">
        <v>107</v>
      </c>
      <c r="BC10" t="s">
        <v>170</v>
      </c>
      <c r="BD10">
        <f t="shared" si="5"/>
        <v>8</v>
      </c>
      <c r="BE10" t="e">
        <f ca="1">+_xlfn.CONCAT("6_",TEXT(Conceptos_Cumplimiento[[#This Row],[consecutivo_concepto]],"00"))</f>
        <v>#NAME?</v>
      </c>
      <c r="BG10" s="132">
        <v>8</v>
      </c>
      <c r="BH10" s="132" t="s">
        <v>171</v>
      </c>
      <c r="BI10" s="132" t="s">
        <v>172</v>
      </c>
    </row>
    <row r="11" spans="1:61" ht="16.5" customHeight="1" x14ac:dyDescent="0.35">
      <c r="E11" t="s">
        <v>173</v>
      </c>
      <c r="G11" s="10" t="s">
        <v>5</v>
      </c>
      <c r="H11" t="s">
        <v>6</v>
      </c>
      <c r="I11" t="s">
        <v>7</v>
      </c>
      <c r="J11" s="152" t="s">
        <v>107</v>
      </c>
      <c r="K11" t="s">
        <v>5</v>
      </c>
      <c r="L11">
        <f t="shared" si="0"/>
        <v>9</v>
      </c>
      <c r="M11" t="e">
        <f ca="1">+_xlfn.CONCAT("1_",TEXT(Conceptos_Administrativa[[#This Row],[consecutivo_concepto]],"00"))</f>
        <v>#NAME?</v>
      </c>
      <c r="O11" t="s">
        <v>174</v>
      </c>
      <c r="Q11" s="136" t="s">
        <v>175</v>
      </c>
      <c r="S11" t="s">
        <v>176</v>
      </c>
      <c r="T11" t="s">
        <v>9</v>
      </c>
      <c r="U11" t="s">
        <v>12</v>
      </c>
      <c r="V11" s="152" t="s">
        <v>107</v>
      </c>
      <c r="W11" t="s">
        <v>176</v>
      </c>
      <c r="X11">
        <f t="shared" si="1"/>
        <v>9</v>
      </c>
      <c r="Y11" t="e">
        <f ca="1">+_xlfn.CONCAT("2_",TEXT(Conceptos_Analítica_contraloría[[#This Row],[consecutivo_concepto]],"00"))</f>
        <v>#NAME?</v>
      </c>
      <c r="AA11" t="s">
        <v>170</v>
      </c>
      <c r="AB11" t="s">
        <v>9</v>
      </c>
      <c r="AC11" t="s">
        <v>12</v>
      </c>
      <c r="AD11" t="s">
        <v>107</v>
      </c>
      <c r="AE11" t="s">
        <v>177</v>
      </c>
      <c r="AF11">
        <f t="shared" si="2"/>
        <v>9</v>
      </c>
      <c r="AG11" t="e">
        <f ca="1">+_xlfn.CONCAT("3_",TEXT(Conceptos_Contabilidad[[#This Row],[consecutivo_concepto]],"00"))</f>
        <v>#NAME?</v>
      </c>
      <c r="AI11" t="s">
        <v>59</v>
      </c>
      <c r="AJ11" t="s">
        <v>9</v>
      </c>
      <c r="AK11" t="s">
        <v>12</v>
      </c>
      <c r="AL11" t="s">
        <v>107</v>
      </c>
      <c r="AM11" s="137" t="s">
        <v>59</v>
      </c>
      <c r="AN11">
        <f t="shared" si="3"/>
        <v>9</v>
      </c>
      <c r="AO11" t="e">
        <f ca="1">+_xlfn.CONCAT("4_",TEXT(Conceptos_Control_Operaciones[[#This Row],[consecutivo_concepto]],"00"))</f>
        <v>#NAME?</v>
      </c>
      <c r="AQ11" t="s">
        <v>68</v>
      </c>
      <c r="AR11" t="s">
        <v>9</v>
      </c>
      <c r="AS11" t="s">
        <v>12</v>
      </c>
      <c r="AT11" t="s">
        <v>107</v>
      </c>
      <c r="AU11" t="s">
        <v>68</v>
      </c>
      <c r="AV11">
        <f t="shared" si="4"/>
        <v>9</v>
      </c>
      <c r="AW11" t="e">
        <f ca="1">+_xlfn.CONCAT("5_",TEXT(Conceptos_Impuestos[[#This Row],[consecutivo_concepto]],"00"))</f>
        <v>#NAME?</v>
      </c>
      <c r="AY11" t="s">
        <v>178</v>
      </c>
      <c r="AZ11" t="s">
        <v>9</v>
      </c>
      <c r="BA11" t="s">
        <v>12</v>
      </c>
      <c r="BB11" t="s">
        <v>107</v>
      </c>
      <c r="BC11" t="s">
        <v>178</v>
      </c>
      <c r="BD11">
        <f t="shared" si="5"/>
        <v>9</v>
      </c>
      <c r="BE11" t="e">
        <f ca="1">+_xlfn.CONCAT("6_",TEXT(Conceptos_Cumplimiento[[#This Row],[consecutivo_concepto]],"00"))</f>
        <v>#NAME?</v>
      </c>
    </row>
    <row r="12" spans="1:61" ht="16.5" customHeight="1" x14ac:dyDescent="0.35">
      <c r="E12" t="s">
        <v>179</v>
      </c>
      <c r="G12" s="4" t="s">
        <v>180</v>
      </c>
      <c r="H12" t="s">
        <v>6</v>
      </c>
      <c r="I12" t="s">
        <v>7</v>
      </c>
      <c r="J12" s="152" t="s">
        <v>107</v>
      </c>
      <c r="K12" t="s">
        <v>181</v>
      </c>
      <c r="L12">
        <f t="shared" si="0"/>
        <v>10</v>
      </c>
      <c r="M12" t="e">
        <f ca="1">+_xlfn.CONCAT("1_",TEXT(Conceptos_Administrativa[[#This Row],[consecutivo_concepto]],"00"))</f>
        <v>#NAME?</v>
      </c>
      <c r="O12" t="s">
        <v>182</v>
      </c>
      <c r="Q12" s="136" t="s">
        <v>183</v>
      </c>
      <c r="S12" t="s">
        <v>184</v>
      </c>
      <c r="T12" t="s">
        <v>9</v>
      </c>
      <c r="U12" t="s">
        <v>12</v>
      </c>
      <c r="V12" s="152" t="s">
        <v>107</v>
      </c>
      <c r="W12" t="s">
        <v>184</v>
      </c>
      <c r="X12">
        <f t="shared" si="1"/>
        <v>10</v>
      </c>
      <c r="Y12" t="e">
        <f ca="1">+_xlfn.CONCAT("2_",TEXT(Conceptos_Analítica_contraloría[[#This Row],[consecutivo_concepto]],"00"))</f>
        <v>#NAME?</v>
      </c>
      <c r="AA12" t="s">
        <v>51</v>
      </c>
      <c r="AB12" t="s">
        <v>6</v>
      </c>
      <c r="AC12" t="s">
        <v>7</v>
      </c>
      <c r="AD12" t="s">
        <v>107</v>
      </c>
      <c r="AE12" t="s">
        <v>185</v>
      </c>
      <c r="AF12">
        <f t="shared" si="2"/>
        <v>10</v>
      </c>
      <c r="AG12" t="e">
        <f ca="1">+_xlfn.CONCAT("3_",TEXT(Conceptos_Contabilidad[[#This Row],[consecutivo_concepto]],"00"))</f>
        <v>#NAME?</v>
      </c>
      <c r="AI12" t="s">
        <v>61</v>
      </c>
      <c r="AJ12" t="s">
        <v>9</v>
      </c>
      <c r="AK12" t="s">
        <v>12</v>
      </c>
      <c r="AL12" t="s">
        <v>107</v>
      </c>
      <c r="AM12" s="137" t="s">
        <v>61</v>
      </c>
      <c r="AN12">
        <f t="shared" si="3"/>
        <v>10</v>
      </c>
      <c r="AO12" t="e">
        <f ca="1">+_xlfn.CONCAT("4_",TEXT(Conceptos_Control_Operaciones[[#This Row],[consecutivo_concepto]],"00"))</f>
        <v>#NAME?</v>
      </c>
      <c r="AQ12" t="s">
        <v>186</v>
      </c>
      <c r="AR12" t="s">
        <v>9</v>
      </c>
      <c r="AS12" t="s">
        <v>12</v>
      </c>
      <c r="AT12" t="s">
        <v>107</v>
      </c>
      <c r="AU12" s="137" t="s">
        <v>187</v>
      </c>
      <c r="AV12">
        <f t="shared" si="4"/>
        <v>10</v>
      </c>
      <c r="AW12" t="e">
        <f ca="1">+_xlfn.CONCAT("5_",TEXT(Conceptos_Impuestos[[#This Row],[consecutivo_concepto]],"00"))</f>
        <v>#NAME?</v>
      </c>
    </row>
    <row r="13" spans="1:61" ht="16.5" customHeight="1" x14ac:dyDescent="0.35">
      <c r="E13" t="s">
        <v>188</v>
      </c>
      <c r="G13" s="11" t="s">
        <v>189</v>
      </c>
      <c r="H13" t="s">
        <v>9</v>
      </c>
      <c r="I13" t="s">
        <v>12</v>
      </c>
      <c r="J13" s="152" t="s">
        <v>107</v>
      </c>
      <c r="K13" t="s">
        <v>190</v>
      </c>
      <c r="L13">
        <f t="shared" si="0"/>
        <v>11</v>
      </c>
      <c r="M13" t="e">
        <f ca="1">+_xlfn.CONCAT("1_",TEXT(Conceptos_Administrativa[[#This Row],[consecutivo_concepto]],"00"))</f>
        <v>#NAME?</v>
      </c>
      <c r="O13" t="s">
        <v>191</v>
      </c>
      <c r="Q13" s="136" t="s">
        <v>192</v>
      </c>
      <c r="S13" t="s">
        <v>193</v>
      </c>
      <c r="T13" t="s">
        <v>9</v>
      </c>
      <c r="U13" t="s">
        <v>12</v>
      </c>
      <c r="V13" s="152" t="s">
        <v>107</v>
      </c>
      <c r="W13" t="s">
        <v>193</v>
      </c>
      <c r="X13">
        <f t="shared" si="1"/>
        <v>11</v>
      </c>
      <c r="Y13" t="e">
        <f ca="1">+_xlfn.CONCAT("2_",TEXT(Conceptos_Analítica_contraloría[[#This Row],[consecutivo_concepto]],"00"))</f>
        <v>#NAME?</v>
      </c>
      <c r="AA13" t="s">
        <v>194</v>
      </c>
      <c r="AB13" t="s">
        <v>9</v>
      </c>
      <c r="AC13" t="s">
        <v>12</v>
      </c>
      <c r="AD13" t="s">
        <v>107</v>
      </c>
      <c r="AE13" t="s">
        <v>120</v>
      </c>
      <c r="AF13">
        <f t="shared" si="2"/>
        <v>11</v>
      </c>
      <c r="AG13" t="e">
        <f ca="1">+_xlfn.CONCAT("3_",TEXT(Conceptos_Contabilidad[[#This Row],[consecutivo_concepto]],"00"))</f>
        <v>#NAME?</v>
      </c>
      <c r="AI13" t="s">
        <v>63</v>
      </c>
      <c r="AJ13" t="s">
        <v>6</v>
      </c>
      <c r="AK13" t="s">
        <v>7</v>
      </c>
      <c r="AL13" t="s">
        <v>107</v>
      </c>
      <c r="AM13" s="137" t="s">
        <v>63</v>
      </c>
      <c r="AN13">
        <f t="shared" si="3"/>
        <v>11</v>
      </c>
      <c r="AO13" t="e">
        <f ca="1">+_xlfn.CONCAT("4_",TEXT(Conceptos_Control_Operaciones[[#This Row],[consecutivo_concepto]],"00"))</f>
        <v>#NAME?</v>
      </c>
      <c r="AQ13" s="152" t="s">
        <v>195</v>
      </c>
      <c r="AR13" t="s">
        <v>9</v>
      </c>
      <c r="AS13" t="s">
        <v>12</v>
      </c>
      <c r="AT13" t="s">
        <v>111</v>
      </c>
      <c r="AU13" t="s">
        <v>195</v>
      </c>
      <c r="AV13">
        <f t="shared" si="4"/>
        <v>11</v>
      </c>
      <c r="AW13" t="e">
        <f ca="1">+_xlfn.CONCAT("5_",TEXT(Conceptos_Impuestos[[#This Row],[consecutivo_concepto]],"00"))</f>
        <v>#NAME?</v>
      </c>
    </row>
    <row r="14" spans="1:61" ht="16.5" customHeight="1" x14ac:dyDescent="0.35">
      <c r="E14" t="s">
        <v>196</v>
      </c>
      <c r="G14" s="4" t="s">
        <v>197</v>
      </c>
      <c r="H14" t="s">
        <v>9</v>
      </c>
      <c r="I14" t="s">
        <v>12</v>
      </c>
      <c r="J14" s="152" t="s">
        <v>107</v>
      </c>
      <c r="K14" t="s">
        <v>198</v>
      </c>
      <c r="L14">
        <f t="shared" si="0"/>
        <v>12</v>
      </c>
      <c r="M14" t="e">
        <f ca="1">+_xlfn.CONCAT("1_",TEXT(Conceptos_Administrativa[[#This Row],[consecutivo_concepto]],"00"))</f>
        <v>#NAME?</v>
      </c>
      <c r="O14" t="s">
        <v>199</v>
      </c>
      <c r="Q14" s="136" t="s">
        <v>200</v>
      </c>
      <c r="S14" t="s">
        <v>201</v>
      </c>
      <c r="T14" t="s">
        <v>9</v>
      </c>
      <c r="U14" t="s">
        <v>12</v>
      </c>
      <c r="V14" s="152" t="s">
        <v>107</v>
      </c>
      <c r="W14" t="s">
        <v>201</v>
      </c>
      <c r="X14">
        <f t="shared" si="1"/>
        <v>12</v>
      </c>
      <c r="Y14" t="e">
        <f ca="1">+_xlfn.CONCAT("2_",TEXT(Conceptos_Analítica_contraloría[[#This Row],[consecutivo_concepto]],"00"))</f>
        <v>#NAME?</v>
      </c>
      <c r="AA14" t="s">
        <v>202</v>
      </c>
      <c r="AB14" t="s">
        <v>9</v>
      </c>
      <c r="AC14" t="s">
        <v>12</v>
      </c>
      <c r="AD14" t="s">
        <v>107</v>
      </c>
      <c r="AE14" t="s">
        <v>120</v>
      </c>
      <c r="AF14">
        <f t="shared" si="2"/>
        <v>12</v>
      </c>
      <c r="AG14" t="e">
        <f ca="1">+_xlfn.CONCAT("3_",TEXT(Conceptos_Contabilidad[[#This Row],[consecutivo_concepto]],"00"))</f>
        <v>#NAME?</v>
      </c>
      <c r="AI14" t="s">
        <v>203</v>
      </c>
      <c r="AJ14" t="s">
        <v>9</v>
      </c>
      <c r="AK14" t="s">
        <v>12</v>
      </c>
      <c r="AL14" t="s">
        <v>107</v>
      </c>
      <c r="AM14" s="137" t="s">
        <v>203</v>
      </c>
      <c r="AN14">
        <f t="shared" si="3"/>
        <v>12</v>
      </c>
      <c r="AO14" t="e">
        <f ca="1">+_xlfn.CONCAT("4_",TEXT(Conceptos_Control_Operaciones[[#This Row],[consecutivo_concepto]],"00"))</f>
        <v>#NAME?</v>
      </c>
      <c r="AQ14" s="152" t="s">
        <v>79</v>
      </c>
      <c r="AR14" t="s">
        <v>9</v>
      </c>
      <c r="AS14" t="s">
        <v>12</v>
      </c>
      <c r="AT14" t="s">
        <v>111</v>
      </c>
      <c r="AU14" t="s">
        <v>79</v>
      </c>
      <c r="AV14">
        <f t="shared" si="4"/>
        <v>12</v>
      </c>
      <c r="AW14" t="e">
        <f ca="1">+_xlfn.CONCAT("5_",TEXT(Conceptos_Impuestos[[#This Row],[consecutivo_concepto]],"00"))</f>
        <v>#NAME?</v>
      </c>
    </row>
    <row r="15" spans="1:61" ht="16.5" customHeight="1" x14ac:dyDescent="0.35">
      <c r="G15" s="11" t="s">
        <v>11</v>
      </c>
      <c r="H15" t="s">
        <v>9</v>
      </c>
      <c r="I15" t="s">
        <v>12</v>
      </c>
      <c r="J15" s="152" t="s">
        <v>107</v>
      </c>
      <c r="K15" t="s">
        <v>204</v>
      </c>
      <c r="L15">
        <f t="shared" si="0"/>
        <v>13</v>
      </c>
      <c r="M15" t="e">
        <f ca="1">+_xlfn.CONCAT("1_",TEXT(Conceptos_Administrativa[[#This Row],[consecutivo_concepto]],"00"))</f>
        <v>#NAME?</v>
      </c>
      <c r="O15" t="s">
        <v>205</v>
      </c>
      <c r="Q15" s="136" t="s">
        <v>206</v>
      </c>
      <c r="S15" t="s">
        <v>207</v>
      </c>
      <c r="T15" t="s">
        <v>9</v>
      </c>
      <c r="U15" t="s">
        <v>12</v>
      </c>
      <c r="V15" s="152" t="s">
        <v>107</v>
      </c>
      <c r="W15" t="s">
        <v>207</v>
      </c>
      <c r="X15">
        <f t="shared" si="1"/>
        <v>13</v>
      </c>
      <c r="Y15" t="e">
        <f ca="1">+_xlfn.CONCAT("2_",TEXT(Conceptos_Analítica_contraloría[[#This Row],[consecutivo_concepto]],"00"))</f>
        <v>#NAME?</v>
      </c>
      <c r="AA15" t="s">
        <v>208</v>
      </c>
      <c r="AB15" t="s">
        <v>9</v>
      </c>
      <c r="AC15" t="s">
        <v>12</v>
      </c>
      <c r="AD15" t="s">
        <v>107</v>
      </c>
      <c r="AE15" t="s">
        <v>120</v>
      </c>
      <c r="AF15">
        <f t="shared" si="2"/>
        <v>13</v>
      </c>
      <c r="AG15" t="e">
        <f ca="1">+_xlfn.CONCAT("3_",TEXT(Conceptos_Contabilidad[[#This Row],[consecutivo_concepto]],"00"))</f>
        <v>#NAME?</v>
      </c>
      <c r="AI15" t="s">
        <v>209</v>
      </c>
      <c r="AJ15" t="s">
        <v>9</v>
      </c>
      <c r="AK15" t="s">
        <v>12</v>
      </c>
      <c r="AL15" t="s">
        <v>107</v>
      </c>
      <c r="AM15" s="137" t="s">
        <v>209</v>
      </c>
      <c r="AN15">
        <f t="shared" si="3"/>
        <v>13</v>
      </c>
      <c r="AO15" t="e">
        <f ca="1">+_xlfn.CONCAT("4_",TEXT(Conceptos_Control_Operaciones[[#This Row],[consecutivo_concepto]],"00"))</f>
        <v>#NAME?</v>
      </c>
    </row>
    <row r="16" spans="1:61" ht="16.5" customHeight="1" x14ac:dyDescent="0.35">
      <c r="G16" s="4" t="s">
        <v>210</v>
      </c>
      <c r="H16" t="s">
        <v>9</v>
      </c>
      <c r="I16" t="s">
        <v>10</v>
      </c>
      <c r="J16" s="152" t="s">
        <v>107</v>
      </c>
      <c r="K16" t="s">
        <v>211</v>
      </c>
      <c r="L16">
        <f t="shared" si="0"/>
        <v>14</v>
      </c>
      <c r="M16" t="e">
        <f ca="1">+_xlfn.CONCAT("1_",TEXT(Conceptos_Administrativa[[#This Row],[consecutivo_concepto]],"00"))</f>
        <v>#NAME?</v>
      </c>
      <c r="O16" t="s">
        <v>212</v>
      </c>
      <c r="Q16" s="136" t="s">
        <v>213</v>
      </c>
      <c r="S16" t="s">
        <v>214</v>
      </c>
      <c r="T16" t="s">
        <v>6</v>
      </c>
      <c r="U16" t="s">
        <v>7</v>
      </c>
      <c r="V16" s="152" t="s">
        <v>107</v>
      </c>
      <c r="W16" t="s">
        <v>214</v>
      </c>
      <c r="X16">
        <f t="shared" si="1"/>
        <v>14</v>
      </c>
      <c r="Y16" t="e">
        <f ca="1">+_xlfn.CONCAT("2_",TEXT(Conceptos_Analítica_contraloría[[#This Row],[consecutivo_concepto]],"00"))</f>
        <v>#NAME?</v>
      </c>
      <c r="AA16" t="s">
        <v>215</v>
      </c>
      <c r="AB16" t="s">
        <v>9</v>
      </c>
      <c r="AC16" t="s">
        <v>12</v>
      </c>
      <c r="AD16" t="s">
        <v>107</v>
      </c>
      <c r="AE16" t="s">
        <v>120</v>
      </c>
      <c r="AF16">
        <f t="shared" si="2"/>
        <v>14</v>
      </c>
      <c r="AG16" t="e">
        <f ca="1">+_xlfn.CONCAT("3_",TEXT(Conceptos_Contabilidad[[#This Row],[consecutivo_concepto]],"00"))</f>
        <v>#NAME?</v>
      </c>
      <c r="AI16" t="s">
        <v>216</v>
      </c>
      <c r="AJ16" t="s">
        <v>6</v>
      </c>
      <c r="AK16" t="s">
        <v>7</v>
      </c>
      <c r="AL16" t="s">
        <v>107</v>
      </c>
      <c r="AM16" s="137" t="s">
        <v>216</v>
      </c>
      <c r="AN16">
        <f t="shared" si="3"/>
        <v>14</v>
      </c>
      <c r="AO16" t="e">
        <f ca="1">+_xlfn.CONCAT("4_",TEXT(Conceptos_Control_Operaciones[[#This Row],[consecutivo_concepto]],"00"))</f>
        <v>#NAME?</v>
      </c>
    </row>
    <row r="17" spans="7:41" ht="16.5" customHeight="1" x14ac:dyDescent="0.35">
      <c r="G17" s="11" t="s">
        <v>217</v>
      </c>
      <c r="H17" t="s">
        <v>9</v>
      </c>
      <c r="I17" t="s">
        <v>12</v>
      </c>
      <c r="J17" s="152" t="s">
        <v>107</v>
      </c>
      <c r="K17" t="s">
        <v>217</v>
      </c>
      <c r="L17">
        <f t="shared" si="0"/>
        <v>15</v>
      </c>
      <c r="M17" t="e">
        <f ca="1">+_xlfn.CONCAT("1_",TEXT(Conceptos_Administrativa[[#This Row],[consecutivo_concepto]],"00"))</f>
        <v>#NAME?</v>
      </c>
      <c r="O17" t="s">
        <v>218</v>
      </c>
      <c r="Q17" s="136" t="s">
        <v>219</v>
      </c>
      <c r="S17" s="146" t="s">
        <v>220</v>
      </c>
      <c r="T17" t="s">
        <v>9</v>
      </c>
      <c r="U17" t="s">
        <v>12</v>
      </c>
      <c r="V17" s="152" t="s">
        <v>107</v>
      </c>
      <c r="W17" s="147" t="s">
        <v>220</v>
      </c>
      <c r="X17">
        <f t="shared" si="1"/>
        <v>15</v>
      </c>
      <c r="Y17" t="e">
        <f ca="1">+_xlfn.CONCAT("2_",TEXT(Conceptos_Analítica_contraloría[[#This Row],[consecutivo_concepto]],"00"))</f>
        <v>#NAME?</v>
      </c>
      <c r="AA17" t="s">
        <v>221</v>
      </c>
      <c r="AB17" t="s">
        <v>9</v>
      </c>
      <c r="AC17" t="s">
        <v>12</v>
      </c>
      <c r="AD17" t="s">
        <v>107</v>
      </c>
      <c r="AE17" t="s">
        <v>120</v>
      </c>
      <c r="AF17">
        <f t="shared" si="2"/>
        <v>15</v>
      </c>
      <c r="AG17" t="e">
        <f ca="1">+_xlfn.CONCAT("3_",TEXT(Conceptos_Contabilidad[[#This Row],[consecutivo_concepto]],"00"))</f>
        <v>#NAME?</v>
      </c>
      <c r="AI17" t="s">
        <v>222</v>
      </c>
      <c r="AJ17" t="s">
        <v>6</v>
      </c>
      <c r="AK17" t="s">
        <v>7</v>
      </c>
      <c r="AL17" t="s">
        <v>107</v>
      </c>
      <c r="AM17" s="137" t="s">
        <v>222</v>
      </c>
      <c r="AN17">
        <f t="shared" si="3"/>
        <v>15</v>
      </c>
      <c r="AO17" t="e">
        <f ca="1">+_xlfn.CONCAT("4_",TEXT(Conceptos_Control_Operaciones[[#This Row],[consecutivo_concepto]],"00"))</f>
        <v>#NAME?</v>
      </c>
    </row>
    <row r="18" spans="7:41" ht="16.5" customHeight="1" x14ac:dyDescent="0.35">
      <c r="G18" s="4" t="s">
        <v>223</v>
      </c>
      <c r="H18" t="s">
        <v>9</v>
      </c>
      <c r="I18" t="s">
        <v>12</v>
      </c>
      <c r="J18" s="152" t="s">
        <v>107</v>
      </c>
      <c r="K18" t="s">
        <v>224</v>
      </c>
      <c r="L18">
        <f t="shared" si="0"/>
        <v>16</v>
      </c>
      <c r="M18" t="e">
        <f ca="1">+_xlfn.CONCAT("1_",TEXT(Conceptos_Administrativa[[#This Row],[consecutivo_concepto]],"00"))</f>
        <v>#NAME?</v>
      </c>
      <c r="O18" t="s">
        <v>225</v>
      </c>
      <c r="Q18" s="136" t="s">
        <v>226</v>
      </c>
      <c r="S18" s="146" t="s">
        <v>227</v>
      </c>
      <c r="T18" t="s">
        <v>9</v>
      </c>
      <c r="U18" t="s">
        <v>12</v>
      </c>
      <c r="V18" s="152" t="s">
        <v>107</v>
      </c>
      <c r="W18" s="147" t="s">
        <v>227</v>
      </c>
      <c r="X18">
        <f t="shared" si="1"/>
        <v>16</v>
      </c>
      <c r="Y18" t="e">
        <f ca="1">+_xlfn.CONCAT("2_",TEXT(Conceptos_Analítica_contraloría[[#This Row],[consecutivo_concepto]],"00"))</f>
        <v>#NAME?</v>
      </c>
      <c r="AA18" t="s">
        <v>228</v>
      </c>
      <c r="AB18" t="s">
        <v>6</v>
      </c>
      <c r="AC18" t="s">
        <v>7</v>
      </c>
      <c r="AD18" t="s">
        <v>107</v>
      </c>
      <c r="AE18" t="s">
        <v>185</v>
      </c>
      <c r="AF18">
        <f t="shared" si="2"/>
        <v>16</v>
      </c>
      <c r="AG18" t="e">
        <f ca="1">+_xlfn.CONCAT("3_",TEXT(Conceptos_Contabilidad[[#This Row],[consecutivo_concepto]],"00"))</f>
        <v>#NAME?</v>
      </c>
    </row>
    <row r="19" spans="7:41" ht="16.5" customHeight="1" x14ac:dyDescent="0.35">
      <c r="G19" s="4" t="s">
        <v>229</v>
      </c>
      <c r="H19" t="s">
        <v>9</v>
      </c>
      <c r="I19" t="s">
        <v>12</v>
      </c>
      <c r="J19" s="152" t="s">
        <v>107</v>
      </c>
      <c r="K19" t="s">
        <v>224</v>
      </c>
      <c r="L19">
        <f t="shared" si="0"/>
        <v>17</v>
      </c>
      <c r="M19" t="e">
        <f ca="1">+_xlfn.CONCAT("1_",TEXT(Conceptos_Administrativa[[#This Row],[consecutivo_concepto]],"00"))</f>
        <v>#NAME?</v>
      </c>
      <c r="O19" t="s">
        <v>230</v>
      </c>
      <c r="Q19" s="136" t="s">
        <v>231</v>
      </c>
      <c r="S19" s="146" t="s">
        <v>232</v>
      </c>
      <c r="T19" t="s">
        <v>9</v>
      </c>
      <c r="U19" t="s">
        <v>12</v>
      </c>
      <c r="V19" s="152" t="s">
        <v>107</v>
      </c>
      <c r="W19" s="147" t="s">
        <v>232</v>
      </c>
      <c r="X19">
        <f t="shared" si="1"/>
        <v>17</v>
      </c>
      <c r="Y19" t="e">
        <f ca="1">+_xlfn.CONCAT("2_",TEXT(Conceptos_Analítica_contraloría[[#This Row],[consecutivo_concepto]],"00"))</f>
        <v>#NAME?</v>
      </c>
      <c r="AA19" t="s">
        <v>233</v>
      </c>
      <c r="AB19" t="s">
        <v>6</v>
      </c>
      <c r="AC19" t="s">
        <v>7</v>
      </c>
      <c r="AD19" t="s">
        <v>107</v>
      </c>
      <c r="AE19" t="s">
        <v>185</v>
      </c>
      <c r="AF19">
        <f t="shared" si="2"/>
        <v>17</v>
      </c>
      <c r="AG19" t="e">
        <f ca="1">+_xlfn.CONCAT("3_",TEXT(Conceptos_Contabilidad[[#This Row],[consecutivo_concepto]],"00"))</f>
        <v>#NAME?</v>
      </c>
    </row>
    <row r="20" spans="7:41" ht="16.5" customHeight="1" x14ac:dyDescent="0.35">
      <c r="G20" s="11" t="s">
        <v>234</v>
      </c>
      <c r="H20" t="s">
        <v>9</v>
      </c>
      <c r="I20" t="s">
        <v>12</v>
      </c>
      <c r="J20" s="152" t="s">
        <v>107</v>
      </c>
      <c r="K20" t="s">
        <v>224</v>
      </c>
      <c r="L20">
        <f t="shared" si="0"/>
        <v>18</v>
      </c>
      <c r="M20" t="e">
        <f ca="1">+_xlfn.CONCAT("1_",TEXT(Conceptos_Administrativa[[#This Row],[consecutivo_concepto]],"00"))</f>
        <v>#NAME?</v>
      </c>
      <c r="Q20" s="136" t="s">
        <v>235</v>
      </c>
      <c r="S20" s="146" t="s">
        <v>236</v>
      </c>
      <c r="T20" t="s">
        <v>9</v>
      </c>
      <c r="U20" t="s">
        <v>12</v>
      </c>
      <c r="V20" s="152" t="s">
        <v>107</v>
      </c>
      <c r="W20" s="147" t="s">
        <v>236</v>
      </c>
      <c r="X20">
        <f t="shared" si="1"/>
        <v>18</v>
      </c>
      <c r="Y20" t="e">
        <f ca="1">+_xlfn.CONCAT("2_",TEXT(Conceptos_Analítica_contraloría[[#This Row],[consecutivo_concepto]],"00"))</f>
        <v>#NAME?</v>
      </c>
      <c r="AA20" t="s">
        <v>237</v>
      </c>
      <c r="AB20" t="s">
        <v>6</v>
      </c>
      <c r="AC20" t="s">
        <v>7</v>
      </c>
      <c r="AD20" t="s">
        <v>107</v>
      </c>
      <c r="AE20" t="s">
        <v>185</v>
      </c>
      <c r="AF20">
        <f t="shared" si="2"/>
        <v>18</v>
      </c>
      <c r="AG20" t="e">
        <f ca="1">+_xlfn.CONCAT("3_",TEXT(Conceptos_Contabilidad[[#This Row],[consecutivo_concepto]],"00"))</f>
        <v>#NAME?</v>
      </c>
    </row>
    <row r="21" spans="7:41" ht="16.5" customHeight="1" x14ac:dyDescent="0.35">
      <c r="G21" s="4" t="s">
        <v>14</v>
      </c>
      <c r="H21" t="s">
        <v>6</v>
      </c>
      <c r="I21" t="s">
        <v>7</v>
      </c>
      <c r="J21" s="152" t="s">
        <v>107</v>
      </c>
      <c r="K21" t="s">
        <v>238</v>
      </c>
      <c r="L21">
        <f t="shared" si="0"/>
        <v>19</v>
      </c>
      <c r="M21" t="e">
        <f ca="1">+_xlfn.CONCAT("1_",TEXT(Conceptos_Administrativa[[#This Row],[consecutivo_concepto]],"00"))</f>
        <v>#NAME?</v>
      </c>
      <c r="Q21" s="136" t="s">
        <v>239</v>
      </c>
      <c r="AA21" s="152" t="s">
        <v>79</v>
      </c>
      <c r="AB21" t="s">
        <v>9</v>
      </c>
      <c r="AC21" t="s">
        <v>12</v>
      </c>
      <c r="AD21" t="s">
        <v>111</v>
      </c>
      <c r="AE21" s="137" t="s">
        <v>79</v>
      </c>
      <c r="AF21">
        <f t="shared" si="2"/>
        <v>19</v>
      </c>
      <c r="AG21" t="e">
        <f ca="1">+_xlfn.CONCAT("3_",TEXT(Conceptos_Contabilidad[[#This Row],[consecutivo_concepto]],"00"))</f>
        <v>#NAME?</v>
      </c>
    </row>
    <row r="22" spans="7:41" ht="16.5" customHeight="1" x14ac:dyDescent="0.35">
      <c r="G22" s="11" t="s">
        <v>240</v>
      </c>
      <c r="H22" t="s">
        <v>9</v>
      </c>
      <c r="I22" t="s">
        <v>12</v>
      </c>
      <c r="J22" s="152" t="s">
        <v>107</v>
      </c>
      <c r="K22" t="s">
        <v>241</v>
      </c>
      <c r="L22">
        <f t="shared" si="0"/>
        <v>20</v>
      </c>
      <c r="M22" t="e">
        <f ca="1">+_xlfn.CONCAT("1_",TEXT(Conceptos_Administrativa[[#This Row],[consecutivo_concepto]],"00"))</f>
        <v>#NAME?</v>
      </c>
      <c r="Q22" s="136" t="s">
        <v>242</v>
      </c>
      <c r="AA22" s="152" t="s">
        <v>243</v>
      </c>
      <c r="AB22" t="s">
        <v>9</v>
      </c>
      <c r="AC22" t="s">
        <v>12</v>
      </c>
      <c r="AD22" t="s">
        <v>111</v>
      </c>
      <c r="AE22" s="137" t="s">
        <v>243</v>
      </c>
      <c r="AF22">
        <f t="shared" si="2"/>
        <v>20</v>
      </c>
      <c r="AG22" t="e">
        <f ca="1">+_xlfn.CONCAT("3_",TEXT(Conceptos_Contabilidad[[#This Row],[consecutivo_concepto]],"00"))</f>
        <v>#NAME?</v>
      </c>
    </row>
    <row r="23" spans="7:41" ht="16.5" customHeight="1" x14ac:dyDescent="0.35">
      <c r="G23" s="4" t="s">
        <v>15</v>
      </c>
      <c r="H23" t="s">
        <v>6</v>
      </c>
      <c r="I23" t="s">
        <v>7</v>
      </c>
      <c r="J23" s="152" t="s">
        <v>107</v>
      </c>
      <c r="K23" t="s">
        <v>244</v>
      </c>
      <c r="L23">
        <f t="shared" si="0"/>
        <v>21</v>
      </c>
      <c r="M23" t="e">
        <f ca="1">+_xlfn.CONCAT("1_",TEXT(Conceptos_Administrativa[[#This Row],[consecutivo_concepto]],"00"))</f>
        <v>#NAME?</v>
      </c>
      <c r="Q23" s="136" t="s">
        <v>245</v>
      </c>
      <c r="AA23" t="s">
        <v>246</v>
      </c>
      <c r="AB23" t="s">
        <v>9</v>
      </c>
      <c r="AC23" t="s">
        <v>12</v>
      </c>
      <c r="AD23" t="s">
        <v>107</v>
      </c>
      <c r="AE23" t="s">
        <v>246</v>
      </c>
      <c r="AF23">
        <f t="shared" si="2"/>
        <v>21</v>
      </c>
      <c r="AG23" t="e">
        <f ca="1">+_xlfn.CONCAT("3_",TEXT(Conceptos_Contabilidad[[#This Row],[consecutivo_concepto]],"00"))</f>
        <v>#NAME?</v>
      </c>
    </row>
    <row r="24" spans="7:41" ht="16.5" customHeight="1" x14ac:dyDescent="0.35">
      <c r="G24" s="11" t="s">
        <v>16</v>
      </c>
      <c r="H24" t="s">
        <v>6</v>
      </c>
      <c r="I24" t="s">
        <v>7</v>
      </c>
      <c r="J24" s="152" t="s">
        <v>107</v>
      </c>
      <c r="K24" t="s">
        <v>247</v>
      </c>
      <c r="L24">
        <f t="shared" si="0"/>
        <v>22</v>
      </c>
      <c r="M24" t="e">
        <f ca="1">+_xlfn.CONCAT("1_",TEXT(Conceptos_Administrativa[[#This Row],[consecutivo_concepto]],"00"))</f>
        <v>#NAME?</v>
      </c>
      <c r="Q24" s="136" t="s">
        <v>248</v>
      </c>
      <c r="AA24" t="s">
        <v>249</v>
      </c>
      <c r="AB24" t="s">
        <v>9</v>
      </c>
      <c r="AC24" t="s">
        <v>12</v>
      </c>
      <c r="AD24" t="s">
        <v>107</v>
      </c>
      <c r="AE24" t="s">
        <v>249</v>
      </c>
      <c r="AF24">
        <f t="shared" si="2"/>
        <v>22</v>
      </c>
      <c r="AG24" t="e">
        <f ca="1">+_xlfn.CONCAT("3_",TEXT(Conceptos_Contabilidad[[#This Row],[consecutivo_concepto]],"00"))</f>
        <v>#NAME?</v>
      </c>
    </row>
    <row r="25" spans="7:41" ht="16.5" customHeight="1" x14ac:dyDescent="0.35">
      <c r="G25" s="4" t="s">
        <v>250</v>
      </c>
      <c r="H25" t="s">
        <v>9</v>
      </c>
      <c r="I25" t="s">
        <v>12</v>
      </c>
      <c r="J25" s="152" t="s">
        <v>107</v>
      </c>
      <c r="K25" t="s">
        <v>250</v>
      </c>
      <c r="L25">
        <f t="shared" si="0"/>
        <v>23</v>
      </c>
      <c r="M25" t="e">
        <f ca="1">+_xlfn.CONCAT("1_",TEXT(Conceptos_Administrativa[[#This Row],[consecutivo_concepto]],"00"))</f>
        <v>#NAME?</v>
      </c>
      <c r="Q25" s="136" t="s">
        <v>251</v>
      </c>
      <c r="AA25" t="s">
        <v>252</v>
      </c>
      <c r="AB25" t="s">
        <v>9</v>
      </c>
      <c r="AC25" t="s">
        <v>12</v>
      </c>
      <c r="AD25" t="s">
        <v>107</v>
      </c>
      <c r="AE25" t="s">
        <v>252</v>
      </c>
      <c r="AF25">
        <f t="shared" si="2"/>
        <v>23</v>
      </c>
      <c r="AG25" t="e">
        <f ca="1">+_xlfn.CONCAT("3_",TEXT(Conceptos_Contabilidad[[#This Row],[consecutivo_concepto]],"00"))</f>
        <v>#NAME?</v>
      </c>
    </row>
    <row r="26" spans="7:41" ht="16.5" customHeight="1" x14ac:dyDescent="0.35">
      <c r="G26" s="11" t="s">
        <v>253</v>
      </c>
      <c r="H26" t="s">
        <v>9</v>
      </c>
      <c r="I26" t="s">
        <v>12</v>
      </c>
      <c r="J26" s="152" t="s">
        <v>107</v>
      </c>
      <c r="K26" t="s">
        <v>253</v>
      </c>
      <c r="L26">
        <f t="shared" si="0"/>
        <v>24</v>
      </c>
      <c r="M26" t="e">
        <f ca="1">+_xlfn.CONCAT("1_",TEXT(Conceptos_Administrativa[[#This Row],[consecutivo_concepto]],"00"))</f>
        <v>#NAME?</v>
      </c>
      <c r="Q26" s="136" t="s">
        <v>254</v>
      </c>
      <c r="AA26" t="s">
        <v>255</v>
      </c>
      <c r="AB26" t="s">
        <v>9</v>
      </c>
      <c r="AC26" t="s">
        <v>12</v>
      </c>
      <c r="AD26" t="s">
        <v>107</v>
      </c>
      <c r="AE26" t="s">
        <v>255</v>
      </c>
      <c r="AF26">
        <f t="shared" si="2"/>
        <v>24</v>
      </c>
      <c r="AG26" t="e">
        <f ca="1">+_xlfn.CONCAT("3_",TEXT(Conceptos_Contabilidad[[#This Row],[consecutivo_concepto]],"00"))</f>
        <v>#NAME?</v>
      </c>
    </row>
    <row r="27" spans="7:41" ht="16.5" customHeight="1" x14ac:dyDescent="0.35">
      <c r="G27" s="4" t="s">
        <v>256</v>
      </c>
      <c r="H27" t="s">
        <v>9</v>
      </c>
      <c r="I27" t="s">
        <v>12</v>
      </c>
      <c r="J27" s="152" t="s">
        <v>107</v>
      </c>
      <c r="K27" t="s">
        <v>256</v>
      </c>
      <c r="L27">
        <f t="shared" si="0"/>
        <v>25</v>
      </c>
      <c r="M27" t="e">
        <f ca="1">+_xlfn.CONCAT("1_",TEXT(Conceptos_Administrativa[[#This Row],[consecutivo_concepto]],"00"))</f>
        <v>#NAME?</v>
      </c>
      <c r="Q27" s="136" t="s">
        <v>257</v>
      </c>
      <c r="AA27" t="s">
        <v>258</v>
      </c>
      <c r="AB27" t="s">
        <v>9</v>
      </c>
      <c r="AC27" t="s">
        <v>12</v>
      </c>
      <c r="AD27" t="s">
        <v>107</v>
      </c>
      <c r="AE27" t="s">
        <v>258</v>
      </c>
      <c r="AF27">
        <f t="shared" si="2"/>
        <v>25</v>
      </c>
      <c r="AG27" t="e">
        <f ca="1">+_xlfn.CONCAT("3_",TEXT(Conceptos_Contabilidad[[#This Row],[consecutivo_concepto]],"00"))</f>
        <v>#NAME?</v>
      </c>
    </row>
    <row r="28" spans="7:41" ht="16.5" customHeight="1" x14ac:dyDescent="0.35">
      <c r="G28" s="153" t="s">
        <v>259</v>
      </c>
      <c r="H28" t="s">
        <v>9</v>
      </c>
      <c r="I28" t="s">
        <v>139</v>
      </c>
      <c r="J28" t="s">
        <v>111</v>
      </c>
      <c r="K28" s="153" t="s">
        <v>259</v>
      </c>
      <c r="L28">
        <f t="shared" si="0"/>
        <v>26</v>
      </c>
      <c r="M28" t="e">
        <f ca="1">+_xlfn.CONCAT("1_",TEXT(Conceptos_Administrativa[[#This Row],[consecutivo_concepto]],"00"))</f>
        <v>#NAME?</v>
      </c>
      <c r="Q28" s="136" t="s">
        <v>260</v>
      </c>
      <c r="AA28" t="s">
        <v>261</v>
      </c>
      <c r="AB28" t="s">
        <v>9</v>
      </c>
      <c r="AC28" t="s">
        <v>12</v>
      </c>
      <c r="AD28" t="s">
        <v>107</v>
      </c>
      <c r="AE28" t="s">
        <v>261</v>
      </c>
      <c r="AF28">
        <f t="shared" si="2"/>
        <v>26</v>
      </c>
      <c r="AG28" t="e">
        <f ca="1">+_xlfn.CONCAT("3_",TEXT(Conceptos_Contabilidad[[#This Row],[consecutivo_concepto]],"00"))</f>
        <v>#NAME?</v>
      </c>
    </row>
    <row r="29" spans="7:41" ht="16.5" customHeight="1" x14ac:dyDescent="0.35">
      <c r="Q29" s="136" t="s">
        <v>262</v>
      </c>
      <c r="AA29" t="s">
        <v>263</v>
      </c>
      <c r="AB29" t="s">
        <v>9</v>
      </c>
      <c r="AC29" t="s">
        <v>12</v>
      </c>
      <c r="AD29" t="s">
        <v>107</v>
      </c>
      <c r="AE29" t="s">
        <v>263</v>
      </c>
      <c r="AF29">
        <f t="shared" si="2"/>
        <v>27</v>
      </c>
      <c r="AG29" t="e">
        <f ca="1">+_xlfn.CONCAT("3_",TEXT(Conceptos_Contabilidad[[#This Row],[consecutivo_concepto]],"00"))</f>
        <v>#NAME?</v>
      </c>
    </row>
    <row r="30" spans="7:41" ht="16.5" customHeight="1" x14ac:dyDescent="0.35">
      <c r="Q30" s="136" t="s">
        <v>264</v>
      </c>
      <c r="AA30" t="s">
        <v>265</v>
      </c>
      <c r="AB30" t="s">
        <v>9</v>
      </c>
      <c r="AC30" t="s">
        <v>12</v>
      </c>
      <c r="AD30" t="s">
        <v>107</v>
      </c>
      <c r="AE30" t="s">
        <v>265</v>
      </c>
      <c r="AF30">
        <f t="shared" si="2"/>
        <v>28</v>
      </c>
      <c r="AG30" t="e">
        <f ca="1">+_xlfn.CONCAT("3_",TEXT(Conceptos_Contabilidad[[#This Row],[consecutivo_concepto]],"00"))</f>
        <v>#NAME?</v>
      </c>
    </row>
    <row r="31" spans="7:41" ht="16.5" customHeight="1" x14ac:dyDescent="0.35">
      <c r="Q31" s="136" t="s">
        <v>266</v>
      </c>
      <c r="AA31" t="s">
        <v>267</v>
      </c>
      <c r="AB31" t="s">
        <v>9</v>
      </c>
      <c r="AC31" t="s">
        <v>12</v>
      </c>
      <c r="AD31" t="s">
        <v>107</v>
      </c>
      <c r="AE31" t="s">
        <v>267</v>
      </c>
      <c r="AF31">
        <f t="shared" si="2"/>
        <v>29</v>
      </c>
      <c r="AG31" t="e">
        <f ca="1">+_xlfn.CONCAT("3_",TEXT(Conceptos_Contabilidad[[#This Row],[consecutivo_concepto]],"00"))</f>
        <v>#NAME?</v>
      </c>
    </row>
    <row r="32" spans="7:41" ht="16.5" customHeight="1" x14ac:dyDescent="0.35">
      <c r="Q32" s="136" t="s">
        <v>268</v>
      </c>
    </row>
    <row r="33" spans="17:17" ht="16.5" customHeight="1" x14ac:dyDescent="0.35">
      <c r="Q33" s="136" t="s">
        <v>269</v>
      </c>
    </row>
    <row r="34" spans="17:17" ht="16.5" customHeight="1" x14ac:dyDescent="0.35">
      <c r="Q34" s="136" t="s">
        <v>270</v>
      </c>
    </row>
    <row r="35" spans="17:17" ht="16.5" customHeight="1" x14ac:dyDescent="0.35">
      <c r="Q35" s="136" t="s">
        <v>271</v>
      </c>
    </row>
    <row r="36" spans="17:17" ht="16.5" customHeight="1" x14ac:dyDescent="0.35">
      <c r="Q36" s="136" t="s">
        <v>272</v>
      </c>
    </row>
    <row r="37" spans="17:17" ht="16.5" customHeight="1" x14ac:dyDescent="0.35">
      <c r="Q37" s="136" t="s">
        <v>273</v>
      </c>
    </row>
    <row r="38" spans="17:17" ht="16.5" customHeight="1" x14ac:dyDescent="0.35">
      <c r="Q38" s="136" t="s">
        <v>274</v>
      </c>
    </row>
    <row r="39" spans="17:17" ht="16.5" customHeight="1" x14ac:dyDescent="0.35">
      <c r="Q39" s="136" t="s">
        <v>275</v>
      </c>
    </row>
    <row r="40" spans="17:17" ht="16.5" customHeight="1" x14ac:dyDescent="0.35">
      <c r="Q40" s="136" t="s">
        <v>276</v>
      </c>
    </row>
    <row r="41" spans="17:17" ht="16.5" customHeight="1" x14ac:dyDescent="0.35">
      <c r="Q41" s="136" t="s">
        <v>277</v>
      </c>
    </row>
    <row r="42" spans="17:17" ht="16.5" customHeight="1" x14ac:dyDescent="0.35">
      <c r="Q42" s="136" t="s">
        <v>278</v>
      </c>
    </row>
    <row r="43" spans="17:17" ht="16.5" customHeight="1" x14ac:dyDescent="0.35">
      <c r="Q43" s="136" t="s">
        <v>279</v>
      </c>
    </row>
    <row r="44" spans="17:17" ht="16.5" customHeight="1" x14ac:dyDescent="0.35">
      <c r="Q44" s="136" t="s">
        <v>280</v>
      </c>
    </row>
    <row r="45" spans="17:17" ht="16.5" customHeight="1" x14ac:dyDescent="0.35">
      <c r="Q45" s="136" t="s">
        <v>281</v>
      </c>
    </row>
    <row r="46" spans="17:17" ht="16.5" customHeight="1" x14ac:dyDescent="0.35">
      <c r="Q46" s="136" t="s">
        <v>282</v>
      </c>
    </row>
    <row r="47" spans="17:17" ht="16.5" customHeight="1" x14ac:dyDescent="0.35">
      <c r="Q47" s="136" t="s">
        <v>283</v>
      </c>
    </row>
    <row r="48" spans="17:17" ht="16.5" customHeight="1" x14ac:dyDescent="0.35">
      <c r="Q48" s="136" t="s">
        <v>284</v>
      </c>
    </row>
    <row r="49" spans="17:17" ht="16.5" customHeight="1" x14ac:dyDescent="0.35">
      <c r="Q49" s="136" t="s">
        <v>285</v>
      </c>
    </row>
    <row r="50" spans="17:17" ht="16.5" customHeight="1" x14ac:dyDescent="0.35">
      <c r="Q50" s="136" t="s">
        <v>286</v>
      </c>
    </row>
    <row r="51" spans="17:17" ht="16.5" customHeight="1" x14ac:dyDescent="0.35">
      <c r="Q51" s="136" t="s">
        <v>287</v>
      </c>
    </row>
    <row r="52" spans="17:17" ht="16.5" customHeight="1" x14ac:dyDescent="0.35">
      <c r="Q52" s="136" t="s">
        <v>288</v>
      </c>
    </row>
    <row r="53" spans="17:17" ht="16.5" customHeight="1" x14ac:dyDescent="0.35">
      <c r="Q53" s="136" t="s">
        <v>289</v>
      </c>
    </row>
    <row r="54" spans="17:17" ht="16.5" customHeight="1" x14ac:dyDescent="0.35">
      <c r="Q54" s="136" t="s">
        <v>290</v>
      </c>
    </row>
    <row r="55" spans="17:17" ht="16.5" customHeight="1" x14ac:dyDescent="0.35">
      <c r="Q55" s="136" t="s">
        <v>291</v>
      </c>
    </row>
    <row r="56" spans="17:17" ht="16.5" customHeight="1" x14ac:dyDescent="0.35">
      <c r="Q56" s="136" t="s">
        <v>292</v>
      </c>
    </row>
    <row r="57" spans="17:17" ht="16.5" customHeight="1" x14ac:dyDescent="0.35">
      <c r="Q57" s="136" t="s">
        <v>293</v>
      </c>
    </row>
    <row r="58" spans="17:17" ht="16.5" customHeight="1" x14ac:dyDescent="0.35">
      <c r="Q58" s="136" t="s">
        <v>294</v>
      </c>
    </row>
    <row r="59" spans="17:17" ht="16.5" customHeight="1" x14ac:dyDescent="0.35">
      <c r="Q59" s="136" t="s">
        <v>295</v>
      </c>
    </row>
    <row r="60" spans="17:17" ht="16.5" customHeight="1" x14ac:dyDescent="0.35">
      <c r="Q60" s="136" t="s">
        <v>296</v>
      </c>
    </row>
    <row r="61" spans="17:17" ht="16.5" customHeight="1" x14ac:dyDescent="0.35">
      <c r="Q61" s="136" t="s">
        <v>297</v>
      </c>
    </row>
    <row r="62" spans="17:17" ht="16.5" customHeight="1" x14ac:dyDescent="0.35">
      <c r="Q62" s="136" t="s">
        <v>298</v>
      </c>
    </row>
    <row r="63" spans="17:17" ht="16.5" customHeight="1" x14ac:dyDescent="0.35">
      <c r="Q63" s="136" t="s">
        <v>299</v>
      </c>
    </row>
    <row r="64" spans="17:17" ht="16.5" customHeight="1" x14ac:dyDescent="0.35">
      <c r="Q64" s="136" t="s">
        <v>300</v>
      </c>
    </row>
    <row r="65" spans="17:17" ht="16.5" customHeight="1" x14ac:dyDescent="0.35">
      <c r="Q65" s="136" t="s">
        <v>301</v>
      </c>
    </row>
    <row r="66" spans="17:17" ht="16.5" customHeight="1" x14ac:dyDescent="0.35">
      <c r="Q66" s="136" t="s">
        <v>302</v>
      </c>
    </row>
    <row r="67" spans="17:17" ht="16.5" customHeight="1" x14ac:dyDescent="0.35">
      <c r="Q67" s="136" t="s">
        <v>303</v>
      </c>
    </row>
    <row r="68" spans="17:17" ht="16.5" customHeight="1" x14ac:dyDescent="0.35">
      <c r="Q68" s="136" t="s">
        <v>304</v>
      </c>
    </row>
    <row r="69" spans="17:17" ht="16.5" customHeight="1" x14ac:dyDescent="0.35">
      <c r="Q69" s="136" t="s">
        <v>305</v>
      </c>
    </row>
    <row r="70" spans="17:17" ht="16.5" customHeight="1" x14ac:dyDescent="0.35">
      <c r="Q70" s="136" t="s">
        <v>306</v>
      </c>
    </row>
    <row r="71" spans="17:17" ht="16.5" customHeight="1" x14ac:dyDescent="0.35">
      <c r="Q71" s="136" t="s">
        <v>307</v>
      </c>
    </row>
    <row r="72" spans="17:17" ht="16.5" customHeight="1" x14ac:dyDescent="0.35">
      <c r="Q72" s="136" t="s">
        <v>308</v>
      </c>
    </row>
    <row r="73" spans="17:17" ht="16.5" customHeight="1" x14ac:dyDescent="0.35">
      <c r="Q73" s="136" t="s">
        <v>309</v>
      </c>
    </row>
    <row r="74" spans="17:17" ht="16.5" customHeight="1" x14ac:dyDescent="0.35">
      <c r="Q74" s="136" t="s">
        <v>310</v>
      </c>
    </row>
    <row r="75" spans="17:17" ht="16.5" customHeight="1" x14ac:dyDescent="0.35">
      <c r="Q75" s="136" t="s">
        <v>311</v>
      </c>
    </row>
    <row r="76" spans="17:17" ht="16.5" customHeight="1" x14ac:dyDescent="0.35">
      <c r="Q76" s="136" t="s">
        <v>312</v>
      </c>
    </row>
    <row r="77" spans="17:17" ht="16.5" customHeight="1" x14ac:dyDescent="0.35">
      <c r="Q77" s="136" t="s">
        <v>313</v>
      </c>
    </row>
    <row r="78" spans="17:17" ht="16.5" customHeight="1" x14ac:dyDescent="0.35">
      <c r="Q78" s="136" t="s">
        <v>314</v>
      </c>
    </row>
    <row r="79" spans="17:17" ht="16.5" customHeight="1" x14ac:dyDescent="0.35">
      <c r="Q79" s="136" t="s">
        <v>315</v>
      </c>
    </row>
    <row r="80" spans="17:17" ht="16.5" customHeight="1" x14ac:dyDescent="0.35">
      <c r="Q80" s="136" t="s">
        <v>316</v>
      </c>
    </row>
    <row r="81" spans="17:17" ht="16.5" customHeight="1" x14ac:dyDescent="0.35">
      <c r="Q81" s="136" t="s">
        <v>317</v>
      </c>
    </row>
    <row r="82" spans="17:17" ht="16.5" customHeight="1" x14ac:dyDescent="0.35">
      <c r="Q82" s="136" t="s">
        <v>318</v>
      </c>
    </row>
    <row r="83" spans="17:17" ht="16.5" customHeight="1" x14ac:dyDescent="0.35">
      <c r="Q83" s="136" t="s">
        <v>319</v>
      </c>
    </row>
    <row r="84" spans="17:17" ht="16.5" customHeight="1" x14ac:dyDescent="0.35">
      <c r="Q84" s="136" t="s">
        <v>320</v>
      </c>
    </row>
    <row r="85" spans="17:17" ht="16.5" customHeight="1" x14ac:dyDescent="0.35">
      <c r="Q85" s="136" t="s">
        <v>321</v>
      </c>
    </row>
    <row r="86" spans="17:17" ht="16.5" customHeight="1" x14ac:dyDescent="0.35">
      <c r="Q86" s="136" t="s">
        <v>322</v>
      </c>
    </row>
    <row r="87" spans="17:17" ht="16.5" customHeight="1" x14ac:dyDescent="0.35">
      <c r="Q87" s="136" t="s">
        <v>323</v>
      </c>
    </row>
    <row r="88" spans="17:17" ht="16.5" customHeight="1" x14ac:dyDescent="0.35">
      <c r="Q88" s="136" t="s">
        <v>324</v>
      </c>
    </row>
    <row r="89" spans="17:17" ht="16.5" customHeight="1" x14ac:dyDescent="0.35">
      <c r="Q89" s="136" t="s">
        <v>325</v>
      </c>
    </row>
    <row r="90" spans="17:17" ht="16.5" customHeight="1" x14ac:dyDescent="0.35">
      <c r="Q90" s="136" t="s">
        <v>326</v>
      </c>
    </row>
    <row r="91" spans="17:17" ht="16.5" customHeight="1" x14ac:dyDescent="0.35">
      <c r="Q91" s="136" t="s">
        <v>327</v>
      </c>
    </row>
    <row r="92" spans="17:17" ht="16.5" customHeight="1" x14ac:dyDescent="0.35">
      <c r="Q92" s="136" t="s">
        <v>328</v>
      </c>
    </row>
    <row r="93" spans="17:17" ht="16.5" customHeight="1" x14ac:dyDescent="0.35">
      <c r="Q93" s="136" t="s">
        <v>329</v>
      </c>
    </row>
    <row r="94" spans="17:17" ht="16.5" customHeight="1" x14ac:dyDescent="0.35">
      <c r="Q94" s="136" t="s">
        <v>330</v>
      </c>
    </row>
    <row r="95" spans="17:17" ht="16.5" customHeight="1" x14ac:dyDescent="0.35">
      <c r="Q95" s="136" t="s">
        <v>331</v>
      </c>
    </row>
    <row r="96" spans="17:17" ht="16.5" customHeight="1" x14ac:dyDescent="0.35">
      <c r="Q96" s="136" t="s">
        <v>332</v>
      </c>
    </row>
    <row r="97" spans="17:17" ht="16.5" customHeight="1" x14ac:dyDescent="0.35">
      <c r="Q97" s="136" t="s">
        <v>333</v>
      </c>
    </row>
    <row r="98" spans="17:17" ht="16.5" customHeight="1" x14ac:dyDescent="0.35">
      <c r="Q98" s="136" t="s">
        <v>334</v>
      </c>
    </row>
    <row r="99" spans="17:17" ht="16.5" customHeight="1" x14ac:dyDescent="0.35">
      <c r="Q99" s="136" t="s">
        <v>335</v>
      </c>
    </row>
    <row r="100" spans="17:17" ht="16.5" customHeight="1" x14ac:dyDescent="0.35">
      <c r="Q100" s="136" t="s">
        <v>336</v>
      </c>
    </row>
    <row r="101" spans="17:17" ht="16.5" customHeight="1" x14ac:dyDescent="0.35">
      <c r="Q101" s="136" t="s">
        <v>337</v>
      </c>
    </row>
    <row r="102" spans="17:17" ht="16.5" customHeight="1" x14ac:dyDescent="0.35">
      <c r="Q102" s="136" t="s">
        <v>338</v>
      </c>
    </row>
    <row r="103" spans="17:17" ht="16.5" customHeight="1" x14ac:dyDescent="0.35">
      <c r="Q103" s="136" t="s">
        <v>339</v>
      </c>
    </row>
    <row r="104" spans="17:17" ht="16.5" customHeight="1" x14ac:dyDescent="0.35">
      <c r="Q104" s="136" t="s">
        <v>340</v>
      </c>
    </row>
    <row r="105" spans="17:17" ht="16.5" customHeight="1" x14ac:dyDescent="0.35">
      <c r="Q105" s="136" t="s">
        <v>341</v>
      </c>
    </row>
    <row r="106" spans="17:17" ht="16.5" customHeight="1" x14ac:dyDescent="0.35">
      <c r="Q106" s="136" t="s">
        <v>342</v>
      </c>
    </row>
    <row r="107" spans="17:17" ht="16.5" customHeight="1" x14ac:dyDescent="0.35">
      <c r="Q107" s="136" t="s">
        <v>343</v>
      </c>
    </row>
    <row r="108" spans="17:17" ht="16.5" customHeight="1" x14ac:dyDescent="0.35">
      <c r="Q108" s="136" t="s">
        <v>344</v>
      </c>
    </row>
    <row r="109" spans="17:17" ht="16.5" customHeight="1" x14ac:dyDescent="0.35">
      <c r="Q109" s="136" t="s">
        <v>345</v>
      </c>
    </row>
    <row r="110" spans="17:17" ht="16.5" customHeight="1" x14ac:dyDescent="0.35">
      <c r="Q110" s="136" t="s">
        <v>346</v>
      </c>
    </row>
    <row r="111" spans="17:17" ht="16.5" customHeight="1" x14ac:dyDescent="0.35">
      <c r="Q111" s="136" t="s">
        <v>347</v>
      </c>
    </row>
    <row r="112" spans="17:17" ht="16.5" customHeight="1" x14ac:dyDescent="0.35">
      <c r="Q112" s="136" t="s">
        <v>348</v>
      </c>
    </row>
    <row r="113" spans="17:17" ht="16.5" customHeight="1" x14ac:dyDescent="0.35">
      <c r="Q113" s="136" t="s">
        <v>349</v>
      </c>
    </row>
    <row r="114" spans="17:17" ht="16.5" customHeight="1" x14ac:dyDescent="0.35">
      <c r="Q114" s="136" t="s">
        <v>350</v>
      </c>
    </row>
    <row r="115" spans="17:17" ht="16.5" customHeight="1" x14ac:dyDescent="0.35">
      <c r="Q115" s="136" t="s">
        <v>351</v>
      </c>
    </row>
    <row r="116" spans="17:17" ht="16.5" customHeight="1" x14ac:dyDescent="0.35">
      <c r="Q116" s="136" t="s">
        <v>352</v>
      </c>
    </row>
    <row r="117" spans="17:17" ht="16.5" customHeight="1" x14ac:dyDescent="0.35">
      <c r="Q117" s="136" t="s">
        <v>353</v>
      </c>
    </row>
    <row r="118" spans="17:17" ht="16.5" customHeight="1" x14ac:dyDescent="0.35">
      <c r="Q118" s="136" t="s">
        <v>354</v>
      </c>
    </row>
    <row r="119" spans="17:17" ht="16.5" customHeight="1" x14ac:dyDescent="0.35">
      <c r="Q119" s="136" t="s">
        <v>355</v>
      </c>
    </row>
    <row r="120" spans="17:17" ht="16.5" customHeight="1" x14ac:dyDescent="0.35">
      <c r="Q120" s="136" t="s">
        <v>356</v>
      </c>
    </row>
    <row r="121" spans="17:17" ht="16.5" customHeight="1" x14ac:dyDescent="0.35">
      <c r="Q121" s="136" t="s">
        <v>357</v>
      </c>
    </row>
    <row r="122" spans="17:17" ht="16.5" customHeight="1" x14ac:dyDescent="0.35">
      <c r="Q122" s="136" t="s">
        <v>358</v>
      </c>
    </row>
    <row r="123" spans="17:17" ht="16.5" customHeight="1" x14ac:dyDescent="0.35">
      <c r="Q123" s="136" t="s">
        <v>359</v>
      </c>
    </row>
    <row r="124" spans="17:17" ht="16.5" customHeight="1" x14ac:dyDescent="0.35">
      <c r="Q124" s="136" t="s">
        <v>360</v>
      </c>
    </row>
    <row r="125" spans="17:17" ht="16.5" customHeight="1" x14ac:dyDescent="0.35">
      <c r="Q125" s="136" t="s">
        <v>230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180</v>
      </c>
      <c r="E2" t="str">
        <f>+IFERROR(VLOOKUP(Fact_Administrativa[[#This Row],[Concepto Anterior]],Conceptos_Administrativa[#All],5,0),"")</f>
        <v>Ahorro energía</v>
      </c>
      <c r="F2" t="str">
        <f ca="1">+IFERROR(VLOOKUP(Fact_Administrativa[[#This Row],[Concepto Anterior]],Conceptos_Administrativa[#All],7,0),"")</f>
        <v/>
      </c>
      <c r="G2" s="138" t="s">
        <v>230</v>
      </c>
      <c r="H2" s="138" t="s">
        <v>230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105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5</v>
      </c>
      <c r="E3" t="str">
        <f>+IFERROR(VLOOKUP(Fact_Administrativa[[#This Row],[Concepto Anterior]],Conceptos_Administrativa[#All],5,0),"")</f>
        <v>Aporte fundación</v>
      </c>
      <c r="F3" t="str">
        <f ca="1">+IFERROR(VLOOKUP(Fact_Administrativa[[#This Row],[Concepto Anterior]],Conceptos_Administrativa[#All],7,0),"")</f>
        <v/>
      </c>
      <c r="G3" s="138" t="s">
        <v>230</v>
      </c>
      <c r="H3" s="138" t="s">
        <v>230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105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106</v>
      </c>
      <c r="E4" t="str">
        <f>+IFERROR(VLOOKUP(Fact_Administrativa[[#This Row],[Concepto Anterior]],Conceptos_Administrativa[#All],5,0),"")</f>
        <v>Cantidad de tiendas remodeladas</v>
      </c>
      <c r="F4" t="str">
        <f ca="1">+IFERROR(VLOOKUP(Fact_Administrativa[[#This Row],[Concepto Anterior]],Conceptos_Administrativa[#All],7,0),"")</f>
        <v/>
      </c>
      <c r="G4" s="138" t="s">
        <v>230</v>
      </c>
      <c r="H4" s="138" t="s">
        <v>230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105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197</v>
      </c>
      <c r="E5" t="str">
        <f>+IFERROR(VLOOKUP(Fact_Administrativa[[#This Row],[Concepto Anterior]],Conceptos_Administrativa[#All],5,0),"")</f>
        <v xml:space="preserve">Contratos de arrendamientos </v>
      </c>
      <c r="F5" t="str">
        <f ca="1">+IFERROR(VLOOKUP(Fact_Administrativa[[#This Row],[Concepto Anterior]],Conceptos_Administrativa[#All],7,0),"")</f>
        <v/>
      </c>
      <c r="G5" s="138" t="s">
        <v>230</v>
      </c>
      <c r="H5" s="138" t="s">
        <v>230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105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11</v>
      </c>
      <c r="E6" t="str">
        <f>+IFERROR(VLOOKUP(Fact_Administrativa[[#This Row],[Concepto Anterior]],Conceptos_Administrativa[#All],5,0),"")</f>
        <v>Control Ingresos cede Dogama</v>
      </c>
      <c r="F6" t="str">
        <f ca="1">+IFERROR(VLOOKUP(Fact_Administrativa[[#This Row],[Concepto Anterior]],Conceptos_Administrativa[#All],7,0),"")</f>
        <v/>
      </c>
      <c r="G6" s="138" t="s">
        <v>230</v>
      </c>
      <c r="H6" s="138" t="s">
        <v>230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105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138</v>
      </c>
      <c r="E7" t="str">
        <f>+IFERROR(VLOOKUP(Fact_Administrativa[[#This Row],[Concepto Anterior]],Conceptos_Administrativa[#All],5,0),"")</f>
        <v>% Tickets Cumplimiento</v>
      </c>
      <c r="F7" t="str">
        <f ca="1">+IFERROR(VLOOKUP(Fact_Administrativa[[#This Row],[Concepto Anterior]],Conceptos_Administrativa[#All],7,0),"")</f>
        <v/>
      </c>
      <c r="G7" s="138" t="s">
        <v>230</v>
      </c>
      <c r="H7" s="138" t="s">
        <v>230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105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210</v>
      </c>
      <c r="E8" t="str">
        <f>+IFERROR(VLOOKUP(Fact_Administrativa[[#This Row],[Concepto Anterior]],Conceptos_Administrativa[#All],5,0),"")</f>
        <v>Emisiones CO²</v>
      </c>
      <c r="F8" t="str">
        <f ca="1">+IFERROR(VLOOKUP(Fact_Administrativa[[#This Row],[Concepto Anterior]],Conceptos_Administrativa[#All],7,0),"")</f>
        <v/>
      </c>
      <c r="G8" s="138" t="s">
        <v>230</v>
      </c>
      <c r="H8" s="138" t="s">
        <v>230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105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217</v>
      </c>
      <c r="E9" t="str">
        <f>+IFERROR(VLOOKUP(Fact_Administrativa[[#This Row],[Concepto Anterior]],Conceptos_Administrativa[#All],5,0),"")</f>
        <v>Facturas de arrendamientos y administración</v>
      </c>
      <c r="F9" t="str">
        <f ca="1">+IFERROR(VLOOKUP(Fact_Administrativa[[#This Row],[Concepto Anterior]],Conceptos_Administrativa[#All],7,0),"")</f>
        <v/>
      </c>
      <c r="G9" s="138" t="s">
        <v>230</v>
      </c>
      <c r="H9" s="138" t="s">
        <v>230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105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223</v>
      </c>
      <c r="E10" t="str">
        <f>+IFERROR(VLOOKUP(Fact_Administrativa[[#This Row],[Concepto Anterior]],Conceptos_Administrativa[#All],5,0),"")</f>
        <v>Facturas Procesadas por Marca</v>
      </c>
      <c r="F10" t="str">
        <f ca="1">+IFERROR(VLOOKUP(Fact_Administrativa[[#This Row],[Concepto Anterior]],Conceptos_Administrativa[#All],7,0),"")</f>
        <v/>
      </c>
      <c r="G10" s="138" t="s">
        <v>108</v>
      </c>
      <c r="H10" s="138" t="s">
        <v>230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105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223</v>
      </c>
      <c r="E11" t="str">
        <f>+IFERROR(VLOOKUP(Fact_Administrativa[[#This Row],[Concepto Anterior]],Conceptos_Administrativa[#All],5,0),"")</f>
        <v>Facturas Procesadas por Marca</v>
      </c>
      <c r="F11" t="str">
        <f ca="1">+IFERROR(VLOOKUP(Fact_Administrativa[[#This Row],[Concepto Anterior]],Conceptos_Administrativa[#All],7,0),"")</f>
        <v/>
      </c>
      <c r="G11" s="138" t="s">
        <v>118</v>
      </c>
      <c r="H11" s="138" t="s">
        <v>230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105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223</v>
      </c>
      <c r="E12" t="str">
        <f>+IFERROR(VLOOKUP(Fact_Administrativa[[#This Row],[Concepto Anterior]],Conceptos_Administrativa[#All],5,0),"")</f>
        <v>Facturas Procesadas por Marca</v>
      </c>
      <c r="F12" t="str">
        <f ca="1">+IFERROR(VLOOKUP(Fact_Administrativa[[#This Row],[Concepto Anterior]],Conceptos_Administrativa[#All],7,0),"")</f>
        <v/>
      </c>
      <c r="G12" s="138" t="s">
        <v>125</v>
      </c>
      <c r="H12" s="138" t="s">
        <v>230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105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223</v>
      </c>
      <c r="E13" t="str">
        <f>+IFERROR(VLOOKUP(Fact_Administrativa[[#This Row],[Concepto Anterior]],Conceptos_Administrativa[#All],5,0),"")</f>
        <v>Facturas Procesadas por Marca</v>
      </c>
      <c r="F13" t="str">
        <f ca="1">+IFERROR(VLOOKUP(Fact_Administrativa[[#This Row],[Concepto Anterior]],Conceptos_Administrativa[#All],7,0),"")</f>
        <v/>
      </c>
      <c r="G13" s="138" t="s">
        <v>131</v>
      </c>
      <c r="H13" s="138" t="s">
        <v>230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105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223</v>
      </c>
      <c r="E14" t="str">
        <f>+IFERROR(VLOOKUP(Fact_Administrativa[[#This Row],[Concepto Anterior]],Conceptos_Administrativa[#All],5,0),"")</f>
        <v>Facturas Procesadas por Marca</v>
      </c>
      <c r="F14" t="str">
        <f ca="1">+IFERROR(VLOOKUP(Fact_Administrativa[[#This Row],[Concepto Anterior]],Conceptos_Administrativa[#All],7,0),"")</f>
        <v/>
      </c>
      <c r="G14" s="138" t="s">
        <v>141</v>
      </c>
      <c r="H14" s="138" t="s">
        <v>230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105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223</v>
      </c>
      <c r="E15" t="str">
        <f>+IFERROR(VLOOKUP(Fact_Administrativa[[#This Row],[Concepto Anterior]],Conceptos_Administrativa[#All],5,0),"")</f>
        <v>Facturas Procesadas por Marca</v>
      </c>
      <c r="F15" t="str">
        <f ca="1">+IFERROR(VLOOKUP(Fact_Administrativa[[#This Row],[Concepto Anterior]],Conceptos_Administrativa[#All],7,0),"")</f>
        <v/>
      </c>
      <c r="G15" s="138" t="s">
        <v>150</v>
      </c>
      <c r="H15" s="138" t="s">
        <v>230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105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223</v>
      </c>
      <c r="E16" t="str">
        <f>+IFERROR(VLOOKUP(Fact_Administrativa[[#This Row],[Concepto Anterior]],Conceptos_Administrativa[#All],5,0),"")</f>
        <v>Facturas Procesadas por Marca</v>
      </c>
      <c r="F16" t="str">
        <f ca="1">+IFERROR(VLOOKUP(Fact_Administrativa[[#This Row],[Concepto Anterior]],Conceptos_Administrativa[#All],7,0),"")</f>
        <v/>
      </c>
      <c r="G16" s="138" t="s">
        <v>159</v>
      </c>
      <c r="H16" s="138" t="s">
        <v>230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105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223</v>
      </c>
      <c r="E17" t="str">
        <f>+IFERROR(VLOOKUP(Fact_Administrativa[[#This Row],[Concepto Anterior]],Conceptos_Administrativa[#All],5,0),"")</f>
        <v>Facturas Procesadas por Marca</v>
      </c>
      <c r="F17" t="str">
        <f ca="1">+IFERROR(VLOOKUP(Fact_Administrativa[[#This Row],[Concepto Anterior]],Conceptos_Administrativa[#All],7,0),"")</f>
        <v/>
      </c>
      <c r="G17" s="138" t="s">
        <v>167</v>
      </c>
      <c r="H17" s="138" t="s">
        <v>230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105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223</v>
      </c>
      <c r="E18" t="str">
        <f>+IFERROR(VLOOKUP(Fact_Administrativa[[#This Row],[Concepto Anterior]],Conceptos_Administrativa[#All],5,0),"")</f>
        <v>Facturas Procesadas por Marca</v>
      </c>
      <c r="F18" t="str">
        <f ca="1">+IFERROR(VLOOKUP(Fact_Administrativa[[#This Row],[Concepto Anterior]],Conceptos_Administrativa[#All],7,0),"")</f>
        <v/>
      </c>
      <c r="G18" s="138" t="s">
        <v>174</v>
      </c>
      <c r="H18" s="138" t="s">
        <v>230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105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223</v>
      </c>
      <c r="E19" t="str">
        <f>+IFERROR(VLOOKUP(Fact_Administrativa[[#This Row],[Concepto Anterior]],Conceptos_Administrativa[#All],5,0),"")</f>
        <v>Facturas Procesadas por Marca</v>
      </c>
      <c r="F19" t="str">
        <f ca="1">+IFERROR(VLOOKUP(Fact_Administrativa[[#This Row],[Concepto Anterior]],Conceptos_Administrativa[#All],7,0),"")</f>
        <v/>
      </c>
      <c r="G19" s="138" t="s">
        <v>191</v>
      </c>
      <c r="H19" s="138" t="s">
        <v>230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105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223</v>
      </c>
      <c r="E20" t="str">
        <f>+IFERROR(VLOOKUP(Fact_Administrativa[[#This Row],[Concepto Anterior]],Conceptos_Administrativa[#All],5,0),"")</f>
        <v>Facturas Procesadas por Marca</v>
      </c>
      <c r="F20" t="str">
        <f ca="1">+IFERROR(VLOOKUP(Fact_Administrativa[[#This Row],[Concepto Anterior]],Conceptos_Administrativa[#All],7,0),"")</f>
        <v/>
      </c>
      <c r="G20" s="138" t="s">
        <v>199</v>
      </c>
      <c r="H20" s="138" t="s">
        <v>230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105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223</v>
      </c>
      <c r="E21" t="str">
        <f>+IFERROR(VLOOKUP(Fact_Administrativa[[#This Row],[Concepto Anterior]],Conceptos_Administrativa[#All],5,0),"")</f>
        <v>Facturas Procesadas por Marca</v>
      </c>
      <c r="F21" t="str">
        <f ca="1">+IFERROR(VLOOKUP(Fact_Administrativa[[#This Row],[Concepto Anterior]],Conceptos_Administrativa[#All],7,0),"")</f>
        <v/>
      </c>
      <c r="G21" s="138" t="s">
        <v>205</v>
      </c>
      <c r="H21" s="138" t="s">
        <v>230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105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223</v>
      </c>
      <c r="E22" t="str">
        <f>+IFERROR(VLOOKUP(Fact_Administrativa[[#This Row],[Concepto Anterior]],Conceptos_Administrativa[#All],5,0),"")</f>
        <v>Facturas Procesadas por Marca</v>
      </c>
      <c r="F22" t="str">
        <f ca="1">+IFERROR(VLOOKUP(Fact_Administrativa[[#This Row],[Concepto Anterior]],Conceptos_Administrativa[#All],7,0),"")</f>
        <v/>
      </c>
      <c r="G22" s="138" t="s">
        <v>212</v>
      </c>
      <c r="H22" s="138" t="s">
        <v>230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105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229</v>
      </c>
      <c r="E23" t="str">
        <f>+IFERROR(VLOOKUP(Fact_Administrativa[[#This Row],[Concepto Anterior]],Conceptos_Administrativa[#All],5,0),"")</f>
        <v>Facturas Procesadas por Marca</v>
      </c>
      <c r="F23" t="str">
        <f ca="1">+IFERROR(VLOOKUP(Fact_Administrativa[[#This Row],[Concepto Anterior]],Conceptos_Administrativa[#All],7,0),"")</f>
        <v/>
      </c>
      <c r="G23" s="138" t="s">
        <v>218</v>
      </c>
      <c r="H23" s="138" t="s">
        <v>230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105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234</v>
      </c>
      <c r="E24" t="str">
        <f>+IFERROR(VLOOKUP(Fact_Administrativa[[#This Row],[Concepto Anterior]],Conceptos_Administrativa[#All],5,0),"")</f>
        <v>Facturas Procesadas por Marca</v>
      </c>
      <c r="F24" t="str">
        <f ca="1">+IFERROR(VLOOKUP(Fact_Administrativa[[#This Row],[Concepto Anterior]],Conceptos_Administrativa[#All],7,0),"")</f>
        <v/>
      </c>
      <c r="G24" s="138" t="s">
        <v>225</v>
      </c>
      <c r="H24" s="138" t="s">
        <v>230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105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14</v>
      </c>
      <c r="E25" t="str">
        <f>+IFERROR(VLOOKUP(Fact_Administrativa[[#This Row],[Concepto Anterior]],Conceptos_Administrativa[#All],5,0),"")</f>
        <v xml:space="preserve">Ahorro reformas tiendas </v>
      </c>
      <c r="F25" t="str">
        <f ca="1">+IFERROR(VLOOKUP(Fact_Administrativa[[#This Row],[Concepto Anterior]],Conceptos_Administrativa[#All],7,0),"")</f>
        <v/>
      </c>
      <c r="G25" s="138" t="s">
        <v>230</v>
      </c>
      <c r="H25" s="138" t="s">
        <v>230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105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15</v>
      </c>
      <c r="E26" t="str">
        <f>+IFERROR(VLOOKUP(Fact_Administrativa[[#This Row],[Concepto Anterior]],Conceptos_Administrativa[#All],5,0),"")</f>
        <v>Recuperaciones Siniestros</v>
      </c>
      <c r="F26" t="str">
        <f ca="1">+IFERROR(VLOOKUP(Fact_Administrativa[[#This Row],[Concepto Anterior]],Conceptos_Administrativa[#All],7,0),"")</f>
        <v/>
      </c>
      <c r="G26" s="138" t="s">
        <v>230</v>
      </c>
      <c r="H26" s="138" t="s">
        <v>230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105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16</v>
      </c>
      <c r="E27" t="str">
        <f>+IFERROR(VLOOKUP(Fact_Administrativa[[#This Row],[Concepto Anterior]],Conceptos_Administrativa[#All],5,0),"")</f>
        <v>Gestión de Polizas</v>
      </c>
      <c r="F27" t="str">
        <f ca="1">+IFERROR(VLOOKUP(Fact_Administrativa[[#This Row],[Concepto Anterior]],Conceptos_Administrativa[#All],7,0),"")</f>
        <v/>
      </c>
      <c r="G27" s="138" t="s">
        <v>230</v>
      </c>
      <c r="H27" s="138" t="s">
        <v>230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105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18</v>
      </c>
      <c r="E28" t="str">
        <f>+IFERROR(VLOOKUP(Fact_Administrativa[[#This Row],[Concepto Anterior]],Conceptos_Administrativa[#All],5,0),"")</f>
        <v>Tickets cerrados</v>
      </c>
      <c r="F28" t="str">
        <f ca="1">+IFERROR(VLOOKUP(Fact_Administrativa[[#This Row],[Concepto Anterior]],Conceptos_Administrativa[#All],7,0),"")</f>
        <v/>
      </c>
      <c r="G28" s="138" t="s">
        <v>230</v>
      </c>
      <c r="H28" s="138" t="s">
        <v>230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105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124</v>
      </c>
      <c r="E29" t="str">
        <f>+IFERROR(VLOOKUP(Fact_Administrativa[[#This Row],[Concepto Anterior]],Conceptos_Administrativa[#All],5,0),"")</f>
        <v>Tickets proceso</v>
      </c>
      <c r="F29" t="str">
        <f ca="1">+IFERROR(VLOOKUP(Fact_Administrativa[[#This Row],[Concepto Anterior]],Conceptos_Administrativa[#All],7,0),"")</f>
        <v/>
      </c>
      <c r="G29" s="138" t="s">
        <v>230</v>
      </c>
      <c r="H29" s="138" t="s">
        <v>230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105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17</v>
      </c>
      <c r="E30" t="str">
        <f>+IFERROR(VLOOKUP(Fact_Administrativa[[#This Row],[Concepto Anterior]],Conceptos_Administrativa[#All],5,0),"")</f>
        <v>Tickets recibidos</v>
      </c>
      <c r="F30" t="str">
        <f ca="1">+IFERROR(VLOOKUP(Fact_Administrativa[[#This Row],[Concepto Anterior]],Conceptos_Administrativa[#All],7,0),"")</f>
        <v/>
      </c>
      <c r="G30" s="138" t="s">
        <v>230</v>
      </c>
      <c r="H30" s="138" t="s">
        <v>230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117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180</v>
      </c>
      <c r="E31" t="str">
        <f>+IFERROR(VLOOKUP(Fact_Administrativa[[#This Row],[Concepto Anterior]],Conceptos_Administrativa[#All],5,0),"")</f>
        <v>Ahorro energía</v>
      </c>
      <c r="F31" t="str">
        <f ca="1">+IFERROR(VLOOKUP(Fact_Administrativa[[#This Row],[Concepto Anterior]],Conceptos_Administrativa[#All],7,0),"")</f>
        <v/>
      </c>
      <c r="G31" s="138" t="s">
        <v>230</v>
      </c>
      <c r="H31" s="138" t="s">
        <v>230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117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5</v>
      </c>
      <c r="E32" t="str">
        <f>+IFERROR(VLOOKUP(Fact_Administrativa[[#This Row],[Concepto Anterior]],Conceptos_Administrativa[#All],5,0),"")</f>
        <v>Aporte fundación</v>
      </c>
      <c r="F32" t="str">
        <f ca="1">+IFERROR(VLOOKUP(Fact_Administrativa[[#This Row],[Concepto Anterior]],Conceptos_Administrativa[#All],7,0),"")</f>
        <v/>
      </c>
      <c r="G32" s="138" t="s">
        <v>230</v>
      </c>
      <c r="H32" s="138" t="s">
        <v>230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117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106</v>
      </c>
      <c r="E33" t="str">
        <f>+IFERROR(VLOOKUP(Fact_Administrativa[[#This Row],[Concepto Anterior]],Conceptos_Administrativa[#All],5,0),"")</f>
        <v>Cantidad de tiendas remodeladas</v>
      </c>
      <c r="F33" t="str">
        <f ca="1">+IFERROR(VLOOKUP(Fact_Administrativa[[#This Row],[Concepto Anterior]],Conceptos_Administrativa[#All],7,0),"")</f>
        <v/>
      </c>
      <c r="G33" s="138" t="s">
        <v>230</v>
      </c>
      <c r="H33" s="138" t="s">
        <v>230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117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197</v>
      </c>
      <c r="E34" t="str">
        <f>+IFERROR(VLOOKUP(Fact_Administrativa[[#This Row],[Concepto Anterior]],Conceptos_Administrativa[#All],5,0),"")</f>
        <v xml:space="preserve">Contratos de arrendamientos </v>
      </c>
      <c r="F34" t="str">
        <f ca="1">+IFERROR(VLOOKUP(Fact_Administrativa[[#This Row],[Concepto Anterior]],Conceptos_Administrativa[#All],7,0),"")</f>
        <v/>
      </c>
      <c r="G34" s="138" t="s">
        <v>230</v>
      </c>
      <c r="H34" s="138" t="s">
        <v>230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117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11</v>
      </c>
      <c r="E35" t="str">
        <f>+IFERROR(VLOOKUP(Fact_Administrativa[[#This Row],[Concepto Anterior]],Conceptos_Administrativa[#All],5,0),"")</f>
        <v>Control Ingresos cede Dogama</v>
      </c>
      <c r="F35" t="str">
        <f ca="1">+IFERROR(VLOOKUP(Fact_Administrativa[[#This Row],[Concepto Anterior]],Conceptos_Administrativa[#All],7,0),"")</f>
        <v/>
      </c>
      <c r="G35" s="138" t="s">
        <v>230</v>
      </c>
      <c r="H35" s="138" t="s">
        <v>230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117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138</v>
      </c>
      <c r="E36" t="str">
        <f>+IFERROR(VLOOKUP(Fact_Administrativa[[#This Row],[Concepto Anterior]],Conceptos_Administrativa[#All],5,0),"")</f>
        <v>% Tickets Cumplimiento</v>
      </c>
      <c r="F36" t="str">
        <f ca="1">+IFERROR(VLOOKUP(Fact_Administrativa[[#This Row],[Concepto Anterior]],Conceptos_Administrativa[#All],7,0),"")</f>
        <v/>
      </c>
      <c r="G36" s="138" t="s">
        <v>230</v>
      </c>
      <c r="H36" s="138" t="s">
        <v>230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117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210</v>
      </c>
      <c r="E37" t="str">
        <f>+IFERROR(VLOOKUP(Fact_Administrativa[[#This Row],[Concepto Anterior]],Conceptos_Administrativa[#All],5,0),"")</f>
        <v>Emisiones CO²</v>
      </c>
      <c r="F37" t="str">
        <f ca="1">+IFERROR(VLOOKUP(Fact_Administrativa[[#This Row],[Concepto Anterior]],Conceptos_Administrativa[#All],7,0),"")</f>
        <v/>
      </c>
      <c r="G37" s="138" t="s">
        <v>230</v>
      </c>
      <c r="H37" s="138" t="s">
        <v>230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117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217</v>
      </c>
      <c r="E38" t="str">
        <f>+IFERROR(VLOOKUP(Fact_Administrativa[[#This Row],[Concepto Anterior]],Conceptos_Administrativa[#All],5,0),"")</f>
        <v>Facturas de arrendamientos y administración</v>
      </c>
      <c r="F38" t="str">
        <f ca="1">+IFERROR(VLOOKUP(Fact_Administrativa[[#This Row],[Concepto Anterior]],Conceptos_Administrativa[#All],7,0),"")</f>
        <v/>
      </c>
      <c r="G38" s="138" t="s">
        <v>230</v>
      </c>
      <c r="H38" s="138" t="s">
        <v>230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117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223</v>
      </c>
      <c r="E39" t="str">
        <f>+IFERROR(VLOOKUP(Fact_Administrativa[[#This Row],[Concepto Anterior]],Conceptos_Administrativa[#All],5,0),"")</f>
        <v>Facturas Procesadas por Marca</v>
      </c>
      <c r="F39" t="str">
        <f ca="1">+IFERROR(VLOOKUP(Fact_Administrativa[[#This Row],[Concepto Anterior]],Conceptos_Administrativa[#All],7,0),"")</f>
        <v/>
      </c>
      <c r="G39" s="138" t="s">
        <v>108</v>
      </c>
      <c r="H39" s="138" t="s">
        <v>230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117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223</v>
      </c>
      <c r="E40" t="str">
        <f>+IFERROR(VLOOKUP(Fact_Administrativa[[#This Row],[Concepto Anterior]],Conceptos_Administrativa[#All],5,0),"")</f>
        <v>Facturas Procesadas por Marca</v>
      </c>
      <c r="F40" t="str">
        <f ca="1">+IFERROR(VLOOKUP(Fact_Administrativa[[#This Row],[Concepto Anterior]],Conceptos_Administrativa[#All],7,0),"")</f>
        <v/>
      </c>
      <c r="G40" s="138" t="s">
        <v>118</v>
      </c>
      <c r="H40" s="138" t="s">
        <v>230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117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223</v>
      </c>
      <c r="E41" t="str">
        <f>+IFERROR(VLOOKUP(Fact_Administrativa[[#This Row],[Concepto Anterior]],Conceptos_Administrativa[#All],5,0),"")</f>
        <v>Facturas Procesadas por Marca</v>
      </c>
      <c r="F41" t="str">
        <f ca="1">+IFERROR(VLOOKUP(Fact_Administrativa[[#This Row],[Concepto Anterior]],Conceptos_Administrativa[#All],7,0),"")</f>
        <v/>
      </c>
      <c r="G41" s="138" t="s">
        <v>125</v>
      </c>
      <c r="H41" s="138" t="s">
        <v>230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117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223</v>
      </c>
      <c r="E42" t="str">
        <f>+IFERROR(VLOOKUP(Fact_Administrativa[[#This Row],[Concepto Anterior]],Conceptos_Administrativa[#All],5,0),"")</f>
        <v>Facturas Procesadas por Marca</v>
      </c>
      <c r="F42" t="str">
        <f ca="1">+IFERROR(VLOOKUP(Fact_Administrativa[[#This Row],[Concepto Anterior]],Conceptos_Administrativa[#All],7,0),"")</f>
        <v/>
      </c>
      <c r="G42" s="138" t="s">
        <v>131</v>
      </c>
      <c r="H42" s="138" t="s">
        <v>230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117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223</v>
      </c>
      <c r="E43" t="str">
        <f>+IFERROR(VLOOKUP(Fact_Administrativa[[#This Row],[Concepto Anterior]],Conceptos_Administrativa[#All],5,0),"")</f>
        <v>Facturas Procesadas por Marca</v>
      </c>
      <c r="F43" t="str">
        <f ca="1">+IFERROR(VLOOKUP(Fact_Administrativa[[#This Row],[Concepto Anterior]],Conceptos_Administrativa[#All],7,0),"")</f>
        <v/>
      </c>
      <c r="G43" s="138" t="s">
        <v>141</v>
      </c>
      <c r="H43" s="138" t="s">
        <v>230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117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223</v>
      </c>
      <c r="E44" t="str">
        <f>+IFERROR(VLOOKUP(Fact_Administrativa[[#This Row],[Concepto Anterior]],Conceptos_Administrativa[#All],5,0),"")</f>
        <v>Facturas Procesadas por Marca</v>
      </c>
      <c r="F44" t="str">
        <f ca="1">+IFERROR(VLOOKUP(Fact_Administrativa[[#This Row],[Concepto Anterior]],Conceptos_Administrativa[#All],7,0),"")</f>
        <v/>
      </c>
      <c r="G44" s="138" t="s">
        <v>150</v>
      </c>
      <c r="H44" s="138" t="s">
        <v>230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117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223</v>
      </c>
      <c r="E45" t="str">
        <f>+IFERROR(VLOOKUP(Fact_Administrativa[[#This Row],[Concepto Anterior]],Conceptos_Administrativa[#All],5,0),"")</f>
        <v>Facturas Procesadas por Marca</v>
      </c>
      <c r="F45" t="str">
        <f ca="1">+IFERROR(VLOOKUP(Fact_Administrativa[[#This Row],[Concepto Anterior]],Conceptos_Administrativa[#All],7,0),"")</f>
        <v/>
      </c>
      <c r="G45" s="138" t="s">
        <v>159</v>
      </c>
      <c r="H45" s="138" t="s">
        <v>230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117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223</v>
      </c>
      <c r="E46" t="str">
        <f>+IFERROR(VLOOKUP(Fact_Administrativa[[#This Row],[Concepto Anterior]],Conceptos_Administrativa[#All],5,0),"")</f>
        <v>Facturas Procesadas por Marca</v>
      </c>
      <c r="F46" t="str">
        <f ca="1">+IFERROR(VLOOKUP(Fact_Administrativa[[#This Row],[Concepto Anterior]],Conceptos_Administrativa[#All],7,0),"")</f>
        <v/>
      </c>
      <c r="G46" s="138" t="s">
        <v>167</v>
      </c>
      <c r="H46" s="138" t="s">
        <v>230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117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223</v>
      </c>
      <c r="E47" t="str">
        <f>+IFERROR(VLOOKUP(Fact_Administrativa[[#This Row],[Concepto Anterior]],Conceptos_Administrativa[#All],5,0),"")</f>
        <v>Facturas Procesadas por Marca</v>
      </c>
      <c r="F47" t="str">
        <f ca="1">+IFERROR(VLOOKUP(Fact_Administrativa[[#This Row],[Concepto Anterior]],Conceptos_Administrativa[#All],7,0),"")</f>
        <v/>
      </c>
      <c r="G47" s="138" t="s">
        <v>174</v>
      </c>
      <c r="H47" s="138" t="s">
        <v>230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117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223</v>
      </c>
      <c r="E48" t="str">
        <f>+IFERROR(VLOOKUP(Fact_Administrativa[[#This Row],[Concepto Anterior]],Conceptos_Administrativa[#All],5,0),"")</f>
        <v>Facturas Procesadas por Marca</v>
      </c>
      <c r="F48" t="str">
        <f ca="1">+IFERROR(VLOOKUP(Fact_Administrativa[[#This Row],[Concepto Anterior]],Conceptos_Administrativa[#All],7,0),"")</f>
        <v/>
      </c>
      <c r="G48" s="138" t="s">
        <v>191</v>
      </c>
      <c r="H48" s="138" t="s">
        <v>230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117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223</v>
      </c>
      <c r="E49" t="str">
        <f>+IFERROR(VLOOKUP(Fact_Administrativa[[#This Row],[Concepto Anterior]],Conceptos_Administrativa[#All],5,0),"")</f>
        <v>Facturas Procesadas por Marca</v>
      </c>
      <c r="F49" t="str">
        <f ca="1">+IFERROR(VLOOKUP(Fact_Administrativa[[#This Row],[Concepto Anterior]],Conceptos_Administrativa[#All],7,0),"")</f>
        <v/>
      </c>
      <c r="G49" s="138" t="s">
        <v>199</v>
      </c>
      <c r="H49" s="138" t="s">
        <v>230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117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223</v>
      </c>
      <c r="E50" t="str">
        <f>+IFERROR(VLOOKUP(Fact_Administrativa[[#This Row],[Concepto Anterior]],Conceptos_Administrativa[#All],5,0),"")</f>
        <v>Facturas Procesadas por Marca</v>
      </c>
      <c r="F50" t="str">
        <f ca="1">+IFERROR(VLOOKUP(Fact_Administrativa[[#This Row],[Concepto Anterior]],Conceptos_Administrativa[#All],7,0),"")</f>
        <v/>
      </c>
      <c r="G50" s="138" t="s">
        <v>205</v>
      </c>
      <c r="H50" s="138" t="s">
        <v>230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117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223</v>
      </c>
      <c r="E51" t="str">
        <f>+IFERROR(VLOOKUP(Fact_Administrativa[[#This Row],[Concepto Anterior]],Conceptos_Administrativa[#All],5,0),"")</f>
        <v>Facturas Procesadas por Marca</v>
      </c>
      <c r="F51" t="str">
        <f ca="1">+IFERROR(VLOOKUP(Fact_Administrativa[[#This Row],[Concepto Anterior]],Conceptos_Administrativa[#All],7,0),"")</f>
        <v/>
      </c>
      <c r="G51" s="138" t="s">
        <v>212</v>
      </c>
      <c r="H51" s="138" t="s">
        <v>230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117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229</v>
      </c>
      <c r="E52" t="str">
        <f>+IFERROR(VLOOKUP(Fact_Administrativa[[#This Row],[Concepto Anterior]],Conceptos_Administrativa[#All],5,0),"")</f>
        <v>Facturas Procesadas por Marca</v>
      </c>
      <c r="F52" t="str">
        <f ca="1">+IFERROR(VLOOKUP(Fact_Administrativa[[#This Row],[Concepto Anterior]],Conceptos_Administrativa[#All],7,0),"")</f>
        <v/>
      </c>
      <c r="G52" s="138" t="s">
        <v>218</v>
      </c>
      <c r="H52" s="138" t="s">
        <v>230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117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234</v>
      </c>
      <c r="E53" t="str">
        <f>+IFERROR(VLOOKUP(Fact_Administrativa[[#This Row],[Concepto Anterior]],Conceptos_Administrativa[#All],5,0),"")</f>
        <v>Facturas Procesadas por Marca</v>
      </c>
      <c r="F53" t="str">
        <f ca="1">+IFERROR(VLOOKUP(Fact_Administrativa[[#This Row],[Concepto Anterior]],Conceptos_Administrativa[#All],7,0),"")</f>
        <v/>
      </c>
      <c r="G53" s="138" t="s">
        <v>225</v>
      </c>
      <c r="H53" s="138" t="s">
        <v>230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117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14</v>
      </c>
      <c r="E54" t="str">
        <f>+IFERROR(VLOOKUP(Fact_Administrativa[[#This Row],[Concepto Anterior]],Conceptos_Administrativa[#All],5,0),"")</f>
        <v xml:space="preserve">Ahorro reformas tiendas </v>
      </c>
      <c r="F54" t="str">
        <f ca="1">+IFERROR(VLOOKUP(Fact_Administrativa[[#This Row],[Concepto Anterior]],Conceptos_Administrativa[#All],7,0),"")</f>
        <v/>
      </c>
      <c r="G54" s="138" t="s">
        <v>230</v>
      </c>
      <c r="H54" s="138" t="s">
        <v>230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117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15</v>
      </c>
      <c r="E55" t="str">
        <f>+IFERROR(VLOOKUP(Fact_Administrativa[[#This Row],[Concepto Anterior]],Conceptos_Administrativa[#All],5,0),"")</f>
        <v>Recuperaciones Siniestros</v>
      </c>
      <c r="F55" t="str">
        <f ca="1">+IFERROR(VLOOKUP(Fact_Administrativa[[#This Row],[Concepto Anterior]],Conceptos_Administrativa[#All],7,0),"")</f>
        <v/>
      </c>
      <c r="G55" s="138" t="s">
        <v>230</v>
      </c>
      <c r="H55" s="138" t="s">
        <v>230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117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16</v>
      </c>
      <c r="E56" t="str">
        <f>+IFERROR(VLOOKUP(Fact_Administrativa[[#This Row],[Concepto Anterior]],Conceptos_Administrativa[#All],5,0),"")</f>
        <v>Gestión de Polizas</v>
      </c>
      <c r="F56" t="str">
        <f ca="1">+IFERROR(VLOOKUP(Fact_Administrativa[[#This Row],[Concepto Anterior]],Conceptos_Administrativa[#All],7,0),"")</f>
        <v/>
      </c>
      <c r="G56" s="138" t="s">
        <v>230</v>
      </c>
      <c r="H56" s="138" t="s">
        <v>230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117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18</v>
      </c>
      <c r="E57" t="str">
        <f>+IFERROR(VLOOKUP(Fact_Administrativa[[#This Row],[Concepto Anterior]],Conceptos_Administrativa[#All],5,0),"")</f>
        <v>Tickets cerrados</v>
      </c>
      <c r="F57" t="str">
        <f ca="1">+IFERROR(VLOOKUP(Fact_Administrativa[[#This Row],[Concepto Anterior]],Conceptos_Administrativa[#All],7,0),"")</f>
        <v/>
      </c>
      <c r="G57" s="138" t="s">
        <v>230</v>
      </c>
      <c r="H57" s="138" t="s">
        <v>230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117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124</v>
      </c>
      <c r="E58" t="str">
        <f>+IFERROR(VLOOKUP(Fact_Administrativa[[#This Row],[Concepto Anterior]],Conceptos_Administrativa[#All],5,0),"")</f>
        <v>Tickets proceso</v>
      </c>
      <c r="F58" t="str">
        <f ca="1">+IFERROR(VLOOKUP(Fact_Administrativa[[#This Row],[Concepto Anterior]],Conceptos_Administrativa[#All],7,0),"")</f>
        <v/>
      </c>
      <c r="G58" s="138" t="s">
        <v>230</v>
      </c>
      <c r="H58" s="138" t="s">
        <v>230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117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17</v>
      </c>
      <c r="E59" t="str">
        <f>+IFERROR(VLOOKUP(Fact_Administrativa[[#This Row],[Concepto Anterior]],Conceptos_Administrativa[#All],5,0),"")</f>
        <v>Tickets recibidos</v>
      </c>
      <c r="F59" t="str">
        <f ca="1">+IFERROR(VLOOKUP(Fact_Administrativa[[#This Row],[Concepto Anterior]],Conceptos_Administrativa[#All],7,0),"")</f>
        <v/>
      </c>
      <c r="G59" s="138" t="s">
        <v>230</v>
      </c>
      <c r="H59" s="138" t="s">
        <v>230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123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180</v>
      </c>
      <c r="E60" t="str">
        <f>+IFERROR(VLOOKUP(Fact_Administrativa[[#This Row],[Concepto Anterior]],Conceptos_Administrativa[#All],5,0),"")</f>
        <v>Ahorro energía</v>
      </c>
      <c r="F60" t="str">
        <f ca="1">+IFERROR(VLOOKUP(Fact_Administrativa[[#This Row],[Concepto Anterior]],Conceptos_Administrativa[#All],7,0),"")</f>
        <v/>
      </c>
      <c r="G60" s="138" t="s">
        <v>230</v>
      </c>
      <c r="H60" s="138" t="s">
        <v>230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123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5</v>
      </c>
      <c r="E61" t="str">
        <f>+IFERROR(VLOOKUP(Fact_Administrativa[[#This Row],[Concepto Anterior]],Conceptos_Administrativa[#All],5,0),"")</f>
        <v>Aporte fundación</v>
      </c>
      <c r="F61" t="str">
        <f ca="1">+IFERROR(VLOOKUP(Fact_Administrativa[[#This Row],[Concepto Anterior]],Conceptos_Administrativa[#All],7,0),"")</f>
        <v/>
      </c>
      <c r="G61" s="138" t="s">
        <v>230</v>
      </c>
      <c r="H61" s="138" t="s">
        <v>230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123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106</v>
      </c>
      <c r="E62" t="str">
        <f>+IFERROR(VLOOKUP(Fact_Administrativa[[#This Row],[Concepto Anterior]],Conceptos_Administrativa[#All],5,0),"")</f>
        <v>Cantidad de tiendas remodeladas</v>
      </c>
      <c r="F62" t="str">
        <f ca="1">+IFERROR(VLOOKUP(Fact_Administrativa[[#This Row],[Concepto Anterior]],Conceptos_Administrativa[#All],7,0),"")</f>
        <v/>
      </c>
      <c r="G62" s="138" t="s">
        <v>230</v>
      </c>
      <c r="H62" s="138" t="s">
        <v>230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123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197</v>
      </c>
      <c r="E63" t="str">
        <f>+IFERROR(VLOOKUP(Fact_Administrativa[[#This Row],[Concepto Anterior]],Conceptos_Administrativa[#All],5,0),"")</f>
        <v xml:space="preserve">Contratos de arrendamientos </v>
      </c>
      <c r="F63" t="str">
        <f ca="1">+IFERROR(VLOOKUP(Fact_Administrativa[[#This Row],[Concepto Anterior]],Conceptos_Administrativa[#All],7,0),"")</f>
        <v/>
      </c>
      <c r="G63" s="138" t="s">
        <v>230</v>
      </c>
      <c r="H63" s="138" t="s">
        <v>230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123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11</v>
      </c>
      <c r="E64" t="str">
        <f>+IFERROR(VLOOKUP(Fact_Administrativa[[#This Row],[Concepto Anterior]],Conceptos_Administrativa[#All],5,0),"")</f>
        <v>Control Ingresos cede Dogama</v>
      </c>
      <c r="F64" t="str">
        <f ca="1">+IFERROR(VLOOKUP(Fact_Administrativa[[#This Row],[Concepto Anterior]],Conceptos_Administrativa[#All],7,0),"")</f>
        <v/>
      </c>
      <c r="G64" s="138" t="s">
        <v>230</v>
      </c>
      <c r="H64" s="138" t="s">
        <v>230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123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138</v>
      </c>
      <c r="E65" t="str">
        <f>+IFERROR(VLOOKUP(Fact_Administrativa[[#This Row],[Concepto Anterior]],Conceptos_Administrativa[#All],5,0),"")</f>
        <v>% Tickets Cumplimiento</v>
      </c>
      <c r="F65" t="str">
        <f ca="1">+IFERROR(VLOOKUP(Fact_Administrativa[[#This Row],[Concepto Anterior]],Conceptos_Administrativa[#All],7,0),"")</f>
        <v/>
      </c>
      <c r="G65" s="138" t="s">
        <v>230</v>
      </c>
      <c r="H65" s="138" t="s">
        <v>230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123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210</v>
      </c>
      <c r="E66" t="str">
        <f>+IFERROR(VLOOKUP(Fact_Administrativa[[#This Row],[Concepto Anterior]],Conceptos_Administrativa[#All],5,0),"")</f>
        <v>Emisiones CO²</v>
      </c>
      <c r="F66" t="str">
        <f ca="1">+IFERROR(VLOOKUP(Fact_Administrativa[[#This Row],[Concepto Anterior]],Conceptos_Administrativa[#All],7,0),"")</f>
        <v/>
      </c>
      <c r="G66" s="138" t="s">
        <v>230</v>
      </c>
      <c r="H66" s="138" t="s">
        <v>230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123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217</v>
      </c>
      <c r="E67" t="str">
        <f>+IFERROR(VLOOKUP(Fact_Administrativa[[#This Row],[Concepto Anterior]],Conceptos_Administrativa[#All],5,0),"")</f>
        <v>Facturas de arrendamientos y administración</v>
      </c>
      <c r="F67" t="str">
        <f ca="1">+IFERROR(VLOOKUP(Fact_Administrativa[[#This Row],[Concepto Anterior]],Conceptos_Administrativa[#All],7,0),"")</f>
        <v/>
      </c>
      <c r="G67" s="138" t="s">
        <v>230</v>
      </c>
      <c r="H67" s="138" t="s">
        <v>230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123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223</v>
      </c>
      <c r="E68" t="str">
        <f>+IFERROR(VLOOKUP(Fact_Administrativa[[#This Row],[Concepto Anterior]],Conceptos_Administrativa[#All],5,0),"")</f>
        <v>Facturas Procesadas por Marca</v>
      </c>
      <c r="F68" t="str">
        <f ca="1">+IFERROR(VLOOKUP(Fact_Administrativa[[#This Row],[Concepto Anterior]],Conceptos_Administrativa[#All],7,0),"")</f>
        <v/>
      </c>
      <c r="G68" s="138" t="s">
        <v>108</v>
      </c>
      <c r="H68" s="138" t="s">
        <v>230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123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223</v>
      </c>
      <c r="E69" t="str">
        <f>+IFERROR(VLOOKUP(Fact_Administrativa[[#This Row],[Concepto Anterior]],Conceptos_Administrativa[#All],5,0),"")</f>
        <v>Facturas Procesadas por Marca</v>
      </c>
      <c r="F69" t="str">
        <f ca="1">+IFERROR(VLOOKUP(Fact_Administrativa[[#This Row],[Concepto Anterior]],Conceptos_Administrativa[#All],7,0),"")</f>
        <v/>
      </c>
      <c r="G69" s="138" t="s">
        <v>118</v>
      </c>
      <c r="H69" s="138" t="s">
        <v>230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123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223</v>
      </c>
      <c r="E70" t="str">
        <f>+IFERROR(VLOOKUP(Fact_Administrativa[[#This Row],[Concepto Anterior]],Conceptos_Administrativa[#All],5,0),"")</f>
        <v>Facturas Procesadas por Marca</v>
      </c>
      <c r="F70" t="str">
        <f ca="1">+IFERROR(VLOOKUP(Fact_Administrativa[[#This Row],[Concepto Anterior]],Conceptos_Administrativa[#All],7,0),"")</f>
        <v/>
      </c>
      <c r="G70" s="138" t="s">
        <v>125</v>
      </c>
      <c r="H70" s="138" t="s">
        <v>230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123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223</v>
      </c>
      <c r="E71" t="str">
        <f>+IFERROR(VLOOKUP(Fact_Administrativa[[#This Row],[Concepto Anterior]],Conceptos_Administrativa[#All],5,0),"")</f>
        <v>Facturas Procesadas por Marca</v>
      </c>
      <c r="F71" t="str">
        <f ca="1">+IFERROR(VLOOKUP(Fact_Administrativa[[#This Row],[Concepto Anterior]],Conceptos_Administrativa[#All],7,0),"")</f>
        <v/>
      </c>
      <c r="G71" s="138" t="s">
        <v>131</v>
      </c>
      <c r="H71" s="138" t="s">
        <v>230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123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223</v>
      </c>
      <c r="E72" t="str">
        <f>+IFERROR(VLOOKUP(Fact_Administrativa[[#This Row],[Concepto Anterior]],Conceptos_Administrativa[#All],5,0),"")</f>
        <v>Facturas Procesadas por Marca</v>
      </c>
      <c r="F72" t="str">
        <f ca="1">+IFERROR(VLOOKUP(Fact_Administrativa[[#This Row],[Concepto Anterior]],Conceptos_Administrativa[#All],7,0),"")</f>
        <v/>
      </c>
      <c r="G72" s="138" t="s">
        <v>141</v>
      </c>
      <c r="H72" s="138" t="s">
        <v>230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123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223</v>
      </c>
      <c r="E73" t="str">
        <f>+IFERROR(VLOOKUP(Fact_Administrativa[[#This Row],[Concepto Anterior]],Conceptos_Administrativa[#All],5,0),"")</f>
        <v>Facturas Procesadas por Marca</v>
      </c>
      <c r="F73" t="str">
        <f ca="1">+IFERROR(VLOOKUP(Fact_Administrativa[[#This Row],[Concepto Anterior]],Conceptos_Administrativa[#All],7,0),"")</f>
        <v/>
      </c>
      <c r="G73" s="138" t="s">
        <v>150</v>
      </c>
      <c r="H73" s="138" t="s">
        <v>230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123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223</v>
      </c>
      <c r="E74" t="str">
        <f>+IFERROR(VLOOKUP(Fact_Administrativa[[#This Row],[Concepto Anterior]],Conceptos_Administrativa[#All],5,0),"")</f>
        <v>Facturas Procesadas por Marca</v>
      </c>
      <c r="F74" t="str">
        <f ca="1">+IFERROR(VLOOKUP(Fact_Administrativa[[#This Row],[Concepto Anterior]],Conceptos_Administrativa[#All],7,0),"")</f>
        <v/>
      </c>
      <c r="G74" s="138" t="s">
        <v>159</v>
      </c>
      <c r="H74" s="138" t="s">
        <v>230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123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223</v>
      </c>
      <c r="E75" t="str">
        <f>+IFERROR(VLOOKUP(Fact_Administrativa[[#This Row],[Concepto Anterior]],Conceptos_Administrativa[#All],5,0),"")</f>
        <v>Facturas Procesadas por Marca</v>
      </c>
      <c r="F75" t="str">
        <f ca="1">+IFERROR(VLOOKUP(Fact_Administrativa[[#This Row],[Concepto Anterior]],Conceptos_Administrativa[#All],7,0),"")</f>
        <v/>
      </c>
      <c r="G75" s="138" t="s">
        <v>167</v>
      </c>
      <c r="H75" s="138" t="s">
        <v>230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123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223</v>
      </c>
      <c r="E76" t="str">
        <f>+IFERROR(VLOOKUP(Fact_Administrativa[[#This Row],[Concepto Anterior]],Conceptos_Administrativa[#All],5,0),"")</f>
        <v>Facturas Procesadas por Marca</v>
      </c>
      <c r="F76" t="str">
        <f ca="1">+IFERROR(VLOOKUP(Fact_Administrativa[[#This Row],[Concepto Anterior]],Conceptos_Administrativa[#All],7,0),"")</f>
        <v/>
      </c>
      <c r="G76" s="138" t="s">
        <v>174</v>
      </c>
      <c r="H76" s="138" t="s">
        <v>230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123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223</v>
      </c>
      <c r="E77" t="str">
        <f>+IFERROR(VLOOKUP(Fact_Administrativa[[#This Row],[Concepto Anterior]],Conceptos_Administrativa[#All],5,0),"")</f>
        <v>Facturas Procesadas por Marca</v>
      </c>
      <c r="F77" t="str">
        <f ca="1">+IFERROR(VLOOKUP(Fact_Administrativa[[#This Row],[Concepto Anterior]],Conceptos_Administrativa[#All],7,0),"")</f>
        <v/>
      </c>
      <c r="G77" s="138" t="s">
        <v>191</v>
      </c>
      <c r="H77" s="138" t="s">
        <v>230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123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223</v>
      </c>
      <c r="E78" t="str">
        <f>+IFERROR(VLOOKUP(Fact_Administrativa[[#This Row],[Concepto Anterior]],Conceptos_Administrativa[#All],5,0),"")</f>
        <v>Facturas Procesadas por Marca</v>
      </c>
      <c r="F78" t="str">
        <f ca="1">+IFERROR(VLOOKUP(Fact_Administrativa[[#This Row],[Concepto Anterior]],Conceptos_Administrativa[#All],7,0),"")</f>
        <v/>
      </c>
      <c r="G78" s="138" t="s">
        <v>199</v>
      </c>
      <c r="H78" s="138" t="s">
        <v>230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123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223</v>
      </c>
      <c r="E79" t="str">
        <f>+IFERROR(VLOOKUP(Fact_Administrativa[[#This Row],[Concepto Anterior]],Conceptos_Administrativa[#All],5,0),"")</f>
        <v>Facturas Procesadas por Marca</v>
      </c>
      <c r="F79" t="str">
        <f ca="1">+IFERROR(VLOOKUP(Fact_Administrativa[[#This Row],[Concepto Anterior]],Conceptos_Administrativa[#All],7,0),"")</f>
        <v/>
      </c>
      <c r="G79" s="138" t="s">
        <v>205</v>
      </c>
      <c r="H79" s="138" t="s">
        <v>230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123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223</v>
      </c>
      <c r="E80" t="str">
        <f>+IFERROR(VLOOKUP(Fact_Administrativa[[#This Row],[Concepto Anterior]],Conceptos_Administrativa[#All],5,0),"")</f>
        <v>Facturas Procesadas por Marca</v>
      </c>
      <c r="F80" t="str">
        <f ca="1">+IFERROR(VLOOKUP(Fact_Administrativa[[#This Row],[Concepto Anterior]],Conceptos_Administrativa[#All],7,0),"")</f>
        <v/>
      </c>
      <c r="G80" s="138" t="s">
        <v>212</v>
      </c>
      <c r="H80" s="138" t="s">
        <v>230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123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229</v>
      </c>
      <c r="E81" t="str">
        <f>+IFERROR(VLOOKUP(Fact_Administrativa[[#This Row],[Concepto Anterior]],Conceptos_Administrativa[#All],5,0),"")</f>
        <v>Facturas Procesadas por Marca</v>
      </c>
      <c r="F81" t="str">
        <f ca="1">+IFERROR(VLOOKUP(Fact_Administrativa[[#This Row],[Concepto Anterior]],Conceptos_Administrativa[#All],7,0),"")</f>
        <v/>
      </c>
      <c r="G81" s="138" t="s">
        <v>218</v>
      </c>
      <c r="H81" s="138" t="s">
        <v>230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123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234</v>
      </c>
      <c r="E82" t="str">
        <f>+IFERROR(VLOOKUP(Fact_Administrativa[[#This Row],[Concepto Anterior]],Conceptos_Administrativa[#All],5,0),"")</f>
        <v>Facturas Procesadas por Marca</v>
      </c>
      <c r="F82" t="str">
        <f ca="1">+IFERROR(VLOOKUP(Fact_Administrativa[[#This Row],[Concepto Anterior]],Conceptos_Administrativa[#All],7,0),"")</f>
        <v/>
      </c>
      <c r="G82" s="138" t="s">
        <v>225</v>
      </c>
      <c r="H82" s="138" t="s">
        <v>230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123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14</v>
      </c>
      <c r="E83" t="str">
        <f>+IFERROR(VLOOKUP(Fact_Administrativa[[#This Row],[Concepto Anterior]],Conceptos_Administrativa[#All],5,0),"")</f>
        <v xml:space="preserve">Ahorro reformas tiendas </v>
      </c>
      <c r="F83" t="str">
        <f ca="1">+IFERROR(VLOOKUP(Fact_Administrativa[[#This Row],[Concepto Anterior]],Conceptos_Administrativa[#All],7,0),"")</f>
        <v/>
      </c>
      <c r="G83" s="138" t="s">
        <v>230</v>
      </c>
      <c r="H83" s="138" t="s">
        <v>230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123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15</v>
      </c>
      <c r="E84" t="str">
        <f>+IFERROR(VLOOKUP(Fact_Administrativa[[#This Row],[Concepto Anterior]],Conceptos_Administrativa[#All],5,0),"")</f>
        <v>Recuperaciones Siniestros</v>
      </c>
      <c r="F84" t="str">
        <f ca="1">+IFERROR(VLOOKUP(Fact_Administrativa[[#This Row],[Concepto Anterior]],Conceptos_Administrativa[#All],7,0),"")</f>
        <v/>
      </c>
      <c r="G84" s="138" t="s">
        <v>230</v>
      </c>
      <c r="H84" s="138" t="s">
        <v>230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123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16</v>
      </c>
      <c r="E85" t="str">
        <f>+IFERROR(VLOOKUP(Fact_Administrativa[[#This Row],[Concepto Anterior]],Conceptos_Administrativa[#All],5,0),"")</f>
        <v>Gestión de Polizas</v>
      </c>
      <c r="F85" t="str">
        <f ca="1">+IFERROR(VLOOKUP(Fact_Administrativa[[#This Row],[Concepto Anterior]],Conceptos_Administrativa[#All],7,0),"")</f>
        <v/>
      </c>
      <c r="G85" s="138" t="s">
        <v>230</v>
      </c>
      <c r="H85" s="138" t="s">
        <v>230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123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18</v>
      </c>
      <c r="E86" t="str">
        <f>+IFERROR(VLOOKUP(Fact_Administrativa[[#This Row],[Concepto Anterior]],Conceptos_Administrativa[#All],5,0),"")</f>
        <v>Tickets cerrados</v>
      </c>
      <c r="F86" t="str">
        <f ca="1">+IFERROR(VLOOKUP(Fact_Administrativa[[#This Row],[Concepto Anterior]],Conceptos_Administrativa[#All],7,0),"")</f>
        <v/>
      </c>
      <c r="G86" s="138" t="s">
        <v>230</v>
      </c>
      <c r="H86" s="138" t="s">
        <v>230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123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124</v>
      </c>
      <c r="E87" t="str">
        <f>+IFERROR(VLOOKUP(Fact_Administrativa[[#This Row],[Concepto Anterior]],Conceptos_Administrativa[#All],5,0),"")</f>
        <v>Tickets proceso</v>
      </c>
      <c r="F87" t="str">
        <f ca="1">+IFERROR(VLOOKUP(Fact_Administrativa[[#This Row],[Concepto Anterior]],Conceptos_Administrativa[#All],7,0),"")</f>
        <v/>
      </c>
      <c r="G87" s="138" t="s">
        <v>230</v>
      </c>
      <c r="H87" s="138" t="s">
        <v>230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123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17</v>
      </c>
      <c r="E88" t="str">
        <f>+IFERROR(VLOOKUP(Fact_Administrativa[[#This Row],[Concepto Anterior]],Conceptos_Administrativa[#All],5,0),"")</f>
        <v>Tickets recibidos</v>
      </c>
      <c r="F88" t="str">
        <f ca="1">+IFERROR(VLOOKUP(Fact_Administrativa[[#This Row],[Concepto Anterior]],Conceptos_Administrativa[#All],7,0),"")</f>
        <v/>
      </c>
      <c r="G88" s="138" t="s">
        <v>230</v>
      </c>
      <c r="H88" s="138" t="s">
        <v>230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130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180</v>
      </c>
      <c r="E89" t="str">
        <f>+IFERROR(VLOOKUP(Fact_Administrativa[[#This Row],[Concepto Anterior]],Conceptos_Administrativa[#All],5,0),"")</f>
        <v>Ahorro energía</v>
      </c>
      <c r="F89" t="str">
        <f ca="1">+IFERROR(VLOOKUP(Fact_Administrativa[[#This Row],[Concepto Anterior]],Conceptos_Administrativa[#All],7,0),"")</f>
        <v/>
      </c>
      <c r="G89" s="138" t="s">
        <v>230</v>
      </c>
      <c r="H89" s="138" t="s">
        <v>230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130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5</v>
      </c>
      <c r="E90" t="str">
        <f>+IFERROR(VLOOKUP(Fact_Administrativa[[#This Row],[Concepto Anterior]],Conceptos_Administrativa[#All],5,0),"")</f>
        <v>Aporte fundación</v>
      </c>
      <c r="F90" t="str">
        <f ca="1">+IFERROR(VLOOKUP(Fact_Administrativa[[#This Row],[Concepto Anterior]],Conceptos_Administrativa[#All],7,0),"")</f>
        <v/>
      </c>
      <c r="G90" s="138" t="s">
        <v>230</v>
      </c>
      <c r="H90" s="138" t="s">
        <v>230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130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106</v>
      </c>
      <c r="E91" t="str">
        <f>+IFERROR(VLOOKUP(Fact_Administrativa[[#This Row],[Concepto Anterior]],Conceptos_Administrativa[#All],5,0),"")</f>
        <v>Cantidad de tiendas remodeladas</v>
      </c>
      <c r="F91" t="str">
        <f ca="1">+IFERROR(VLOOKUP(Fact_Administrativa[[#This Row],[Concepto Anterior]],Conceptos_Administrativa[#All],7,0),"")</f>
        <v/>
      </c>
      <c r="G91" s="138" t="s">
        <v>230</v>
      </c>
      <c r="H91" s="138" t="s">
        <v>230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130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197</v>
      </c>
      <c r="E92" t="str">
        <f>+IFERROR(VLOOKUP(Fact_Administrativa[[#This Row],[Concepto Anterior]],Conceptos_Administrativa[#All],5,0),"")</f>
        <v xml:space="preserve">Contratos de arrendamientos </v>
      </c>
      <c r="F92" t="str">
        <f ca="1">+IFERROR(VLOOKUP(Fact_Administrativa[[#This Row],[Concepto Anterior]],Conceptos_Administrativa[#All],7,0),"")</f>
        <v/>
      </c>
      <c r="G92" s="138" t="s">
        <v>230</v>
      </c>
      <c r="H92" s="138" t="s">
        <v>230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130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11</v>
      </c>
      <c r="E93" t="str">
        <f>+IFERROR(VLOOKUP(Fact_Administrativa[[#This Row],[Concepto Anterior]],Conceptos_Administrativa[#All],5,0),"")</f>
        <v>Control Ingresos cede Dogama</v>
      </c>
      <c r="F93" t="str">
        <f ca="1">+IFERROR(VLOOKUP(Fact_Administrativa[[#This Row],[Concepto Anterior]],Conceptos_Administrativa[#All],7,0),"")</f>
        <v/>
      </c>
      <c r="G93" s="138" t="s">
        <v>230</v>
      </c>
      <c r="H93" s="138" t="s">
        <v>230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130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138</v>
      </c>
      <c r="E94" t="str">
        <f>+IFERROR(VLOOKUP(Fact_Administrativa[[#This Row],[Concepto Anterior]],Conceptos_Administrativa[#All],5,0),"")</f>
        <v>% Tickets Cumplimiento</v>
      </c>
      <c r="F94" t="str">
        <f ca="1">+IFERROR(VLOOKUP(Fact_Administrativa[[#This Row],[Concepto Anterior]],Conceptos_Administrativa[#All],7,0),"")</f>
        <v/>
      </c>
      <c r="G94" s="138" t="s">
        <v>230</v>
      </c>
      <c r="H94" s="138" t="s">
        <v>230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130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210</v>
      </c>
      <c r="E95" t="str">
        <f>+IFERROR(VLOOKUP(Fact_Administrativa[[#This Row],[Concepto Anterior]],Conceptos_Administrativa[#All],5,0),"")</f>
        <v>Emisiones CO²</v>
      </c>
      <c r="F95" t="str">
        <f ca="1">+IFERROR(VLOOKUP(Fact_Administrativa[[#This Row],[Concepto Anterior]],Conceptos_Administrativa[#All],7,0),"")</f>
        <v/>
      </c>
      <c r="G95" s="138" t="s">
        <v>230</v>
      </c>
      <c r="H95" s="138" t="s">
        <v>230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130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217</v>
      </c>
      <c r="E96" t="str">
        <f>+IFERROR(VLOOKUP(Fact_Administrativa[[#This Row],[Concepto Anterior]],Conceptos_Administrativa[#All],5,0),"")</f>
        <v>Facturas de arrendamientos y administración</v>
      </c>
      <c r="F96" t="str">
        <f ca="1">+IFERROR(VLOOKUP(Fact_Administrativa[[#This Row],[Concepto Anterior]],Conceptos_Administrativa[#All],7,0),"")</f>
        <v/>
      </c>
      <c r="G96" s="138" t="s">
        <v>230</v>
      </c>
      <c r="H96" s="138" t="s">
        <v>230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130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223</v>
      </c>
      <c r="E97" t="str">
        <f>+IFERROR(VLOOKUP(Fact_Administrativa[[#This Row],[Concepto Anterior]],Conceptos_Administrativa[#All],5,0),"")</f>
        <v>Facturas Procesadas por Marca</v>
      </c>
      <c r="F97" t="str">
        <f ca="1">+IFERROR(VLOOKUP(Fact_Administrativa[[#This Row],[Concepto Anterior]],Conceptos_Administrativa[#All],7,0),"")</f>
        <v/>
      </c>
      <c r="G97" s="138" t="s">
        <v>108</v>
      </c>
      <c r="H97" s="138" t="s">
        <v>230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130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223</v>
      </c>
      <c r="E98" t="str">
        <f>+IFERROR(VLOOKUP(Fact_Administrativa[[#This Row],[Concepto Anterior]],Conceptos_Administrativa[#All],5,0),"")</f>
        <v>Facturas Procesadas por Marca</v>
      </c>
      <c r="F98" t="str">
        <f ca="1">+IFERROR(VLOOKUP(Fact_Administrativa[[#This Row],[Concepto Anterior]],Conceptos_Administrativa[#All],7,0),"")</f>
        <v/>
      </c>
      <c r="G98" s="138" t="s">
        <v>118</v>
      </c>
      <c r="H98" s="138" t="s">
        <v>230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130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223</v>
      </c>
      <c r="E99" t="str">
        <f>+IFERROR(VLOOKUP(Fact_Administrativa[[#This Row],[Concepto Anterior]],Conceptos_Administrativa[#All],5,0),"")</f>
        <v>Facturas Procesadas por Marca</v>
      </c>
      <c r="F99" t="str">
        <f ca="1">+IFERROR(VLOOKUP(Fact_Administrativa[[#This Row],[Concepto Anterior]],Conceptos_Administrativa[#All],7,0),"")</f>
        <v/>
      </c>
      <c r="G99" s="138" t="s">
        <v>125</v>
      </c>
      <c r="H99" s="138" t="s">
        <v>230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130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223</v>
      </c>
      <c r="E100" t="str">
        <f>+IFERROR(VLOOKUP(Fact_Administrativa[[#This Row],[Concepto Anterior]],Conceptos_Administrativa[#All],5,0),"")</f>
        <v>Facturas Procesadas por Marca</v>
      </c>
      <c r="F100" t="str">
        <f ca="1">+IFERROR(VLOOKUP(Fact_Administrativa[[#This Row],[Concepto Anterior]],Conceptos_Administrativa[#All],7,0),"")</f>
        <v/>
      </c>
      <c r="G100" s="138" t="s">
        <v>131</v>
      </c>
      <c r="H100" s="138" t="s">
        <v>230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130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223</v>
      </c>
      <c r="E101" t="str">
        <f>+IFERROR(VLOOKUP(Fact_Administrativa[[#This Row],[Concepto Anterior]],Conceptos_Administrativa[#All],5,0),"")</f>
        <v>Facturas Procesadas por Marca</v>
      </c>
      <c r="F101" t="str">
        <f ca="1">+IFERROR(VLOOKUP(Fact_Administrativa[[#This Row],[Concepto Anterior]],Conceptos_Administrativa[#All],7,0),"")</f>
        <v/>
      </c>
      <c r="G101" s="138" t="s">
        <v>141</v>
      </c>
      <c r="H101" s="138" t="s">
        <v>230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130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223</v>
      </c>
      <c r="E102" t="str">
        <f>+IFERROR(VLOOKUP(Fact_Administrativa[[#This Row],[Concepto Anterior]],Conceptos_Administrativa[#All],5,0),"")</f>
        <v>Facturas Procesadas por Marca</v>
      </c>
      <c r="F102" t="str">
        <f ca="1">+IFERROR(VLOOKUP(Fact_Administrativa[[#This Row],[Concepto Anterior]],Conceptos_Administrativa[#All],7,0),"")</f>
        <v/>
      </c>
      <c r="G102" s="138" t="s">
        <v>150</v>
      </c>
      <c r="H102" s="138" t="s">
        <v>230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130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223</v>
      </c>
      <c r="E103" t="str">
        <f>+IFERROR(VLOOKUP(Fact_Administrativa[[#This Row],[Concepto Anterior]],Conceptos_Administrativa[#All],5,0),"")</f>
        <v>Facturas Procesadas por Marca</v>
      </c>
      <c r="F103" t="str">
        <f ca="1">+IFERROR(VLOOKUP(Fact_Administrativa[[#This Row],[Concepto Anterior]],Conceptos_Administrativa[#All],7,0),"")</f>
        <v/>
      </c>
      <c r="G103" s="138" t="s">
        <v>159</v>
      </c>
      <c r="H103" s="138" t="s">
        <v>230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130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223</v>
      </c>
      <c r="E104" t="str">
        <f>+IFERROR(VLOOKUP(Fact_Administrativa[[#This Row],[Concepto Anterior]],Conceptos_Administrativa[#All],5,0),"")</f>
        <v>Facturas Procesadas por Marca</v>
      </c>
      <c r="F104" t="str">
        <f ca="1">+IFERROR(VLOOKUP(Fact_Administrativa[[#This Row],[Concepto Anterior]],Conceptos_Administrativa[#All],7,0),"")</f>
        <v/>
      </c>
      <c r="G104" s="138" t="s">
        <v>167</v>
      </c>
      <c r="H104" s="138" t="s">
        <v>230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130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223</v>
      </c>
      <c r="E105" t="str">
        <f>+IFERROR(VLOOKUP(Fact_Administrativa[[#This Row],[Concepto Anterior]],Conceptos_Administrativa[#All],5,0),"")</f>
        <v>Facturas Procesadas por Marca</v>
      </c>
      <c r="F105" t="str">
        <f ca="1">+IFERROR(VLOOKUP(Fact_Administrativa[[#This Row],[Concepto Anterior]],Conceptos_Administrativa[#All],7,0),"")</f>
        <v/>
      </c>
      <c r="G105" s="138" t="s">
        <v>174</v>
      </c>
      <c r="H105" s="138" t="s">
        <v>230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130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223</v>
      </c>
      <c r="E106" t="str">
        <f>+IFERROR(VLOOKUP(Fact_Administrativa[[#This Row],[Concepto Anterior]],Conceptos_Administrativa[#All],5,0),"")</f>
        <v>Facturas Procesadas por Marca</v>
      </c>
      <c r="F106" t="str">
        <f ca="1">+IFERROR(VLOOKUP(Fact_Administrativa[[#This Row],[Concepto Anterior]],Conceptos_Administrativa[#All],7,0),"")</f>
        <v/>
      </c>
      <c r="G106" s="138" t="s">
        <v>191</v>
      </c>
      <c r="H106" s="138" t="s">
        <v>230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130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223</v>
      </c>
      <c r="E107" t="str">
        <f>+IFERROR(VLOOKUP(Fact_Administrativa[[#This Row],[Concepto Anterior]],Conceptos_Administrativa[#All],5,0),"")</f>
        <v>Facturas Procesadas por Marca</v>
      </c>
      <c r="F107" t="str">
        <f ca="1">+IFERROR(VLOOKUP(Fact_Administrativa[[#This Row],[Concepto Anterior]],Conceptos_Administrativa[#All],7,0),"")</f>
        <v/>
      </c>
      <c r="G107" s="138" t="s">
        <v>199</v>
      </c>
      <c r="H107" s="138" t="s">
        <v>230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130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223</v>
      </c>
      <c r="E108" t="str">
        <f>+IFERROR(VLOOKUP(Fact_Administrativa[[#This Row],[Concepto Anterior]],Conceptos_Administrativa[#All],5,0),"")</f>
        <v>Facturas Procesadas por Marca</v>
      </c>
      <c r="F108" t="str">
        <f ca="1">+IFERROR(VLOOKUP(Fact_Administrativa[[#This Row],[Concepto Anterior]],Conceptos_Administrativa[#All],7,0),"")</f>
        <v/>
      </c>
      <c r="G108" s="138" t="s">
        <v>205</v>
      </c>
      <c r="H108" s="138" t="s">
        <v>230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130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223</v>
      </c>
      <c r="E109" t="str">
        <f>+IFERROR(VLOOKUP(Fact_Administrativa[[#This Row],[Concepto Anterior]],Conceptos_Administrativa[#All],5,0),"")</f>
        <v>Facturas Procesadas por Marca</v>
      </c>
      <c r="F109" t="str">
        <f ca="1">+IFERROR(VLOOKUP(Fact_Administrativa[[#This Row],[Concepto Anterior]],Conceptos_Administrativa[#All],7,0),"")</f>
        <v/>
      </c>
      <c r="G109" s="138" t="s">
        <v>212</v>
      </c>
      <c r="H109" s="138" t="s">
        <v>230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130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229</v>
      </c>
      <c r="E110" t="str">
        <f>+IFERROR(VLOOKUP(Fact_Administrativa[[#This Row],[Concepto Anterior]],Conceptos_Administrativa[#All],5,0),"")</f>
        <v>Facturas Procesadas por Marca</v>
      </c>
      <c r="F110" t="str">
        <f ca="1">+IFERROR(VLOOKUP(Fact_Administrativa[[#This Row],[Concepto Anterior]],Conceptos_Administrativa[#All],7,0),"")</f>
        <v/>
      </c>
      <c r="G110" s="138" t="s">
        <v>218</v>
      </c>
      <c r="H110" s="138" t="s">
        <v>230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130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234</v>
      </c>
      <c r="E111" t="str">
        <f>+IFERROR(VLOOKUP(Fact_Administrativa[[#This Row],[Concepto Anterior]],Conceptos_Administrativa[#All],5,0),"")</f>
        <v>Facturas Procesadas por Marca</v>
      </c>
      <c r="F111" t="str">
        <f ca="1">+IFERROR(VLOOKUP(Fact_Administrativa[[#This Row],[Concepto Anterior]],Conceptos_Administrativa[#All],7,0),"")</f>
        <v/>
      </c>
      <c r="G111" s="138" t="s">
        <v>225</v>
      </c>
      <c r="H111" s="138" t="s">
        <v>230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130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14</v>
      </c>
      <c r="E112" t="str">
        <f>+IFERROR(VLOOKUP(Fact_Administrativa[[#This Row],[Concepto Anterior]],Conceptos_Administrativa[#All],5,0),"")</f>
        <v xml:space="preserve">Ahorro reformas tiendas </v>
      </c>
      <c r="F112" t="str">
        <f ca="1">+IFERROR(VLOOKUP(Fact_Administrativa[[#This Row],[Concepto Anterior]],Conceptos_Administrativa[#All],7,0),"")</f>
        <v/>
      </c>
      <c r="G112" s="138" t="s">
        <v>230</v>
      </c>
      <c r="H112" s="138" t="s">
        <v>230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130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15</v>
      </c>
      <c r="E113" t="str">
        <f>+IFERROR(VLOOKUP(Fact_Administrativa[[#This Row],[Concepto Anterior]],Conceptos_Administrativa[#All],5,0),"")</f>
        <v>Recuperaciones Siniestros</v>
      </c>
      <c r="F113" t="str">
        <f ca="1">+IFERROR(VLOOKUP(Fact_Administrativa[[#This Row],[Concepto Anterior]],Conceptos_Administrativa[#All],7,0),"")</f>
        <v/>
      </c>
      <c r="G113" s="138" t="s">
        <v>230</v>
      </c>
      <c r="H113" s="138" t="s">
        <v>230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130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16</v>
      </c>
      <c r="E114" t="str">
        <f>+IFERROR(VLOOKUP(Fact_Administrativa[[#This Row],[Concepto Anterior]],Conceptos_Administrativa[#All],5,0),"")</f>
        <v>Gestión de Polizas</v>
      </c>
      <c r="F114" t="str">
        <f ca="1">+IFERROR(VLOOKUP(Fact_Administrativa[[#This Row],[Concepto Anterior]],Conceptos_Administrativa[#All],7,0),"")</f>
        <v/>
      </c>
      <c r="G114" s="138" t="s">
        <v>230</v>
      </c>
      <c r="H114" s="138" t="s">
        <v>230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130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18</v>
      </c>
      <c r="E115" t="str">
        <f>+IFERROR(VLOOKUP(Fact_Administrativa[[#This Row],[Concepto Anterior]],Conceptos_Administrativa[#All],5,0),"")</f>
        <v>Tickets cerrados</v>
      </c>
      <c r="F115" t="str">
        <f ca="1">+IFERROR(VLOOKUP(Fact_Administrativa[[#This Row],[Concepto Anterior]],Conceptos_Administrativa[#All],7,0),"")</f>
        <v/>
      </c>
      <c r="G115" s="138" t="s">
        <v>230</v>
      </c>
      <c r="H115" s="138" t="s">
        <v>230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130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124</v>
      </c>
      <c r="E116" t="str">
        <f>+IFERROR(VLOOKUP(Fact_Administrativa[[#This Row],[Concepto Anterior]],Conceptos_Administrativa[#All],5,0),"")</f>
        <v>Tickets proceso</v>
      </c>
      <c r="F116" t="str">
        <f ca="1">+IFERROR(VLOOKUP(Fact_Administrativa[[#This Row],[Concepto Anterior]],Conceptos_Administrativa[#All],7,0),"")</f>
        <v/>
      </c>
      <c r="G116" s="138" t="s">
        <v>230</v>
      </c>
      <c r="H116" s="138" t="s">
        <v>230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130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17</v>
      </c>
      <c r="E117" t="str">
        <f>+IFERROR(VLOOKUP(Fact_Administrativa[[#This Row],[Concepto Anterior]],Conceptos_Administrativa[#All],5,0),"")</f>
        <v>Tickets recibidos</v>
      </c>
      <c r="F117" t="str">
        <f ca="1">+IFERROR(VLOOKUP(Fact_Administrativa[[#This Row],[Concepto Anterior]],Conceptos_Administrativa[#All],7,0),"")</f>
        <v/>
      </c>
      <c r="G117" s="138" t="s">
        <v>230</v>
      </c>
      <c r="H117" s="138" t="s">
        <v>230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137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180</v>
      </c>
      <c r="E118" t="str">
        <f>+IFERROR(VLOOKUP(Fact_Administrativa[[#This Row],[Concepto Anterior]],Conceptos_Administrativa[#All],5,0),"")</f>
        <v>Ahorro energía</v>
      </c>
      <c r="F118" t="str">
        <f ca="1">+IFERROR(VLOOKUP(Fact_Administrativa[[#This Row],[Concepto Anterior]],Conceptos_Administrativa[#All],7,0),"")</f>
        <v/>
      </c>
      <c r="G118" s="138" t="s">
        <v>230</v>
      </c>
      <c r="H118" s="138" t="s">
        <v>230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137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5</v>
      </c>
      <c r="E119" t="str">
        <f>+IFERROR(VLOOKUP(Fact_Administrativa[[#This Row],[Concepto Anterior]],Conceptos_Administrativa[#All],5,0),"")</f>
        <v>Aporte fundación</v>
      </c>
      <c r="F119" t="str">
        <f ca="1">+IFERROR(VLOOKUP(Fact_Administrativa[[#This Row],[Concepto Anterior]],Conceptos_Administrativa[#All],7,0),"")</f>
        <v/>
      </c>
      <c r="G119" s="138" t="s">
        <v>230</v>
      </c>
      <c r="H119" s="138" t="s">
        <v>230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137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106</v>
      </c>
      <c r="E120" t="str">
        <f>+IFERROR(VLOOKUP(Fact_Administrativa[[#This Row],[Concepto Anterior]],Conceptos_Administrativa[#All],5,0),"")</f>
        <v>Cantidad de tiendas remodeladas</v>
      </c>
      <c r="F120" t="str">
        <f ca="1">+IFERROR(VLOOKUP(Fact_Administrativa[[#This Row],[Concepto Anterior]],Conceptos_Administrativa[#All],7,0),"")</f>
        <v/>
      </c>
      <c r="G120" s="138" t="s">
        <v>230</v>
      </c>
      <c r="H120" s="138" t="s">
        <v>230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137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197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 ca="1">+IFERROR(VLOOKUP(Fact_Administrativa[[#This Row],[Concepto Anterior]],Conceptos_Administrativa[#All],7,0),"")</f>
        <v/>
      </c>
      <c r="G121" s="138" t="s">
        <v>230</v>
      </c>
      <c r="H121" s="138" t="s">
        <v>230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137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11</v>
      </c>
      <c r="E122" t="str">
        <f>+IFERROR(VLOOKUP(Fact_Administrativa[[#This Row],[Concepto Anterior]],Conceptos_Administrativa[#All],5,0),"")</f>
        <v>Control Ingresos cede Dogama</v>
      </c>
      <c r="F122" t="str">
        <f ca="1">+IFERROR(VLOOKUP(Fact_Administrativa[[#This Row],[Concepto Anterior]],Conceptos_Administrativa[#All],7,0),"")</f>
        <v/>
      </c>
      <c r="G122" s="138" t="s">
        <v>230</v>
      </c>
      <c r="H122" s="138" t="s">
        <v>230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137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138</v>
      </c>
      <c r="E123" t="str">
        <f>+IFERROR(VLOOKUP(Fact_Administrativa[[#This Row],[Concepto Anterior]],Conceptos_Administrativa[#All],5,0),"")</f>
        <v>% Tickets Cumplimiento</v>
      </c>
      <c r="F123" t="str">
        <f ca="1">+IFERROR(VLOOKUP(Fact_Administrativa[[#This Row],[Concepto Anterior]],Conceptos_Administrativa[#All],7,0),"")</f>
        <v/>
      </c>
      <c r="G123" s="138" t="s">
        <v>230</v>
      </c>
      <c r="H123" s="138" t="s">
        <v>230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137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210</v>
      </c>
      <c r="E124" t="str">
        <f>+IFERROR(VLOOKUP(Fact_Administrativa[[#This Row],[Concepto Anterior]],Conceptos_Administrativa[#All],5,0),"")</f>
        <v>Emisiones CO²</v>
      </c>
      <c r="F124" t="str">
        <f ca="1">+IFERROR(VLOOKUP(Fact_Administrativa[[#This Row],[Concepto Anterior]],Conceptos_Administrativa[#All],7,0),"")</f>
        <v/>
      </c>
      <c r="G124" s="138" t="s">
        <v>230</v>
      </c>
      <c r="H124" s="138" t="s">
        <v>230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137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217</v>
      </c>
      <c r="E125" t="str">
        <f>+IFERROR(VLOOKUP(Fact_Administrativa[[#This Row],[Concepto Anterior]],Conceptos_Administrativa[#All],5,0),"")</f>
        <v>Facturas de arrendamientos y administración</v>
      </c>
      <c r="F125" t="str">
        <f ca="1">+IFERROR(VLOOKUP(Fact_Administrativa[[#This Row],[Concepto Anterior]],Conceptos_Administrativa[#All],7,0),"")</f>
        <v/>
      </c>
      <c r="G125" s="138" t="s">
        <v>230</v>
      </c>
      <c r="H125" s="138" t="s">
        <v>230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137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223</v>
      </c>
      <c r="E126" t="str">
        <f>+IFERROR(VLOOKUP(Fact_Administrativa[[#This Row],[Concepto Anterior]],Conceptos_Administrativa[#All],5,0),"")</f>
        <v>Facturas Procesadas por Marca</v>
      </c>
      <c r="F126" t="str">
        <f ca="1">+IFERROR(VLOOKUP(Fact_Administrativa[[#This Row],[Concepto Anterior]],Conceptos_Administrativa[#All],7,0),"")</f>
        <v/>
      </c>
      <c r="G126" s="138" t="s">
        <v>108</v>
      </c>
      <c r="H126" s="138" t="s">
        <v>230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137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223</v>
      </c>
      <c r="E127" t="str">
        <f>+IFERROR(VLOOKUP(Fact_Administrativa[[#This Row],[Concepto Anterior]],Conceptos_Administrativa[#All],5,0),"")</f>
        <v>Facturas Procesadas por Marca</v>
      </c>
      <c r="F127" t="str">
        <f ca="1">+IFERROR(VLOOKUP(Fact_Administrativa[[#This Row],[Concepto Anterior]],Conceptos_Administrativa[#All],7,0),"")</f>
        <v/>
      </c>
      <c r="G127" s="138" t="s">
        <v>118</v>
      </c>
      <c r="H127" s="138" t="s">
        <v>230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137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223</v>
      </c>
      <c r="E128" t="str">
        <f>+IFERROR(VLOOKUP(Fact_Administrativa[[#This Row],[Concepto Anterior]],Conceptos_Administrativa[#All],5,0),"")</f>
        <v>Facturas Procesadas por Marca</v>
      </c>
      <c r="F128" t="str">
        <f ca="1">+IFERROR(VLOOKUP(Fact_Administrativa[[#This Row],[Concepto Anterior]],Conceptos_Administrativa[#All],7,0),"")</f>
        <v/>
      </c>
      <c r="G128" s="138" t="s">
        <v>125</v>
      </c>
      <c r="H128" s="138" t="s">
        <v>230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137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223</v>
      </c>
      <c r="E129" t="str">
        <f>+IFERROR(VLOOKUP(Fact_Administrativa[[#This Row],[Concepto Anterior]],Conceptos_Administrativa[#All],5,0),"")</f>
        <v>Facturas Procesadas por Marca</v>
      </c>
      <c r="F129" t="str">
        <f ca="1">+IFERROR(VLOOKUP(Fact_Administrativa[[#This Row],[Concepto Anterior]],Conceptos_Administrativa[#All],7,0),"")</f>
        <v/>
      </c>
      <c r="G129" s="138" t="s">
        <v>131</v>
      </c>
      <c r="H129" s="138" t="s">
        <v>230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137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223</v>
      </c>
      <c r="E130" t="str">
        <f>+IFERROR(VLOOKUP(Fact_Administrativa[[#This Row],[Concepto Anterior]],Conceptos_Administrativa[#All],5,0),"")</f>
        <v>Facturas Procesadas por Marca</v>
      </c>
      <c r="F130" t="str">
        <f ca="1">+IFERROR(VLOOKUP(Fact_Administrativa[[#This Row],[Concepto Anterior]],Conceptos_Administrativa[#All],7,0),"")</f>
        <v/>
      </c>
      <c r="G130" s="138" t="s">
        <v>141</v>
      </c>
      <c r="H130" s="138" t="s">
        <v>230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137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223</v>
      </c>
      <c r="E131" t="str">
        <f>+IFERROR(VLOOKUP(Fact_Administrativa[[#This Row],[Concepto Anterior]],Conceptos_Administrativa[#All],5,0),"")</f>
        <v>Facturas Procesadas por Marca</v>
      </c>
      <c r="F131" t="str">
        <f ca="1">+IFERROR(VLOOKUP(Fact_Administrativa[[#This Row],[Concepto Anterior]],Conceptos_Administrativa[#All],7,0),"")</f>
        <v/>
      </c>
      <c r="G131" s="138" t="s">
        <v>150</v>
      </c>
      <c r="H131" s="138" t="s">
        <v>230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137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223</v>
      </c>
      <c r="E132" t="str">
        <f>+IFERROR(VLOOKUP(Fact_Administrativa[[#This Row],[Concepto Anterior]],Conceptos_Administrativa[#All],5,0),"")</f>
        <v>Facturas Procesadas por Marca</v>
      </c>
      <c r="F132" t="str">
        <f ca="1">+IFERROR(VLOOKUP(Fact_Administrativa[[#This Row],[Concepto Anterior]],Conceptos_Administrativa[#All],7,0),"")</f>
        <v/>
      </c>
      <c r="G132" s="138" t="s">
        <v>159</v>
      </c>
      <c r="H132" s="138" t="s">
        <v>230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137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223</v>
      </c>
      <c r="E133" t="str">
        <f>+IFERROR(VLOOKUP(Fact_Administrativa[[#This Row],[Concepto Anterior]],Conceptos_Administrativa[#All],5,0),"")</f>
        <v>Facturas Procesadas por Marca</v>
      </c>
      <c r="F133" t="str">
        <f ca="1">+IFERROR(VLOOKUP(Fact_Administrativa[[#This Row],[Concepto Anterior]],Conceptos_Administrativa[#All],7,0),"")</f>
        <v/>
      </c>
      <c r="G133" s="138" t="s">
        <v>167</v>
      </c>
      <c r="H133" s="138" t="s">
        <v>230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137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223</v>
      </c>
      <c r="E134" t="str">
        <f>+IFERROR(VLOOKUP(Fact_Administrativa[[#This Row],[Concepto Anterior]],Conceptos_Administrativa[#All],5,0),"")</f>
        <v>Facturas Procesadas por Marca</v>
      </c>
      <c r="F134" t="str">
        <f ca="1">+IFERROR(VLOOKUP(Fact_Administrativa[[#This Row],[Concepto Anterior]],Conceptos_Administrativa[#All],7,0),"")</f>
        <v/>
      </c>
      <c r="G134" s="138" t="s">
        <v>174</v>
      </c>
      <c r="H134" s="138" t="s">
        <v>230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137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223</v>
      </c>
      <c r="E135" t="str">
        <f>+IFERROR(VLOOKUP(Fact_Administrativa[[#This Row],[Concepto Anterior]],Conceptos_Administrativa[#All],5,0),"")</f>
        <v>Facturas Procesadas por Marca</v>
      </c>
      <c r="F135" t="str">
        <f ca="1">+IFERROR(VLOOKUP(Fact_Administrativa[[#This Row],[Concepto Anterior]],Conceptos_Administrativa[#All],7,0),"")</f>
        <v/>
      </c>
      <c r="G135" s="138" t="s">
        <v>191</v>
      </c>
      <c r="H135" s="138" t="s">
        <v>230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137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223</v>
      </c>
      <c r="E136" t="str">
        <f>+IFERROR(VLOOKUP(Fact_Administrativa[[#This Row],[Concepto Anterior]],Conceptos_Administrativa[#All],5,0),"")</f>
        <v>Facturas Procesadas por Marca</v>
      </c>
      <c r="F136" t="str">
        <f ca="1">+IFERROR(VLOOKUP(Fact_Administrativa[[#This Row],[Concepto Anterior]],Conceptos_Administrativa[#All],7,0),"")</f>
        <v/>
      </c>
      <c r="G136" s="138" t="s">
        <v>199</v>
      </c>
      <c r="H136" s="138" t="s">
        <v>230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137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223</v>
      </c>
      <c r="E137" t="str">
        <f>+IFERROR(VLOOKUP(Fact_Administrativa[[#This Row],[Concepto Anterior]],Conceptos_Administrativa[#All],5,0),"")</f>
        <v>Facturas Procesadas por Marca</v>
      </c>
      <c r="F137" t="str">
        <f ca="1">+IFERROR(VLOOKUP(Fact_Administrativa[[#This Row],[Concepto Anterior]],Conceptos_Administrativa[#All],7,0),"")</f>
        <v/>
      </c>
      <c r="G137" s="138" t="s">
        <v>205</v>
      </c>
      <c r="H137" s="138" t="s">
        <v>230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137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223</v>
      </c>
      <c r="E138" t="str">
        <f>+IFERROR(VLOOKUP(Fact_Administrativa[[#This Row],[Concepto Anterior]],Conceptos_Administrativa[#All],5,0),"")</f>
        <v>Facturas Procesadas por Marca</v>
      </c>
      <c r="F138" t="str">
        <f ca="1">+IFERROR(VLOOKUP(Fact_Administrativa[[#This Row],[Concepto Anterior]],Conceptos_Administrativa[#All],7,0),"")</f>
        <v/>
      </c>
      <c r="G138" s="138" t="s">
        <v>212</v>
      </c>
      <c r="H138" s="138" t="s">
        <v>230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137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229</v>
      </c>
      <c r="E139" t="str">
        <f>+IFERROR(VLOOKUP(Fact_Administrativa[[#This Row],[Concepto Anterior]],Conceptos_Administrativa[#All],5,0),"")</f>
        <v>Facturas Procesadas por Marca</v>
      </c>
      <c r="F139" t="str">
        <f ca="1">+IFERROR(VLOOKUP(Fact_Administrativa[[#This Row],[Concepto Anterior]],Conceptos_Administrativa[#All],7,0),"")</f>
        <v/>
      </c>
      <c r="G139" s="138" t="s">
        <v>218</v>
      </c>
      <c r="H139" s="138" t="s">
        <v>230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137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234</v>
      </c>
      <c r="E140" t="str">
        <f>+IFERROR(VLOOKUP(Fact_Administrativa[[#This Row],[Concepto Anterior]],Conceptos_Administrativa[#All],5,0),"")</f>
        <v>Facturas Procesadas por Marca</v>
      </c>
      <c r="F140" t="str">
        <f ca="1">+IFERROR(VLOOKUP(Fact_Administrativa[[#This Row],[Concepto Anterior]],Conceptos_Administrativa[#All],7,0),"")</f>
        <v/>
      </c>
      <c r="G140" s="138" t="s">
        <v>225</v>
      </c>
      <c r="H140" s="138" t="s">
        <v>230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137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14</v>
      </c>
      <c r="E141" t="str">
        <f>+IFERROR(VLOOKUP(Fact_Administrativa[[#This Row],[Concepto Anterior]],Conceptos_Administrativa[#All],5,0),"")</f>
        <v xml:space="preserve">Ahorro reformas tiendas </v>
      </c>
      <c r="F141" t="str">
        <f ca="1">+IFERROR(VLOOKUP(Fact_Administrativa[[#This Row],[Concepto Anterior]],Conceptos_Administrativa[#All],7,0),"")</f>
        <v/>
      </c>
      <c r="G141" s="138" t="s">
        <v>230</v>
      </c>
      <c r="H141" s="138" t="s">
        <v>230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137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15</v>
      </c>
      <c r="E142" t="str">
        <f>+IFERROR(VLOOKUP(Fact_Administrativa[[#This Row],[Concepto Anterior]],Conceptos_Administrativa[#All],5,0),"")</f>
        <v>Recuperaciones Siniestros</v>
      </c>
      <c r="F142" t="str">
        <f ca="1">+IFERROR(VLOOKUP(Fact_Administrativa[[#This Row],[Concepto Anterior]],Conceptos_Administrativa[#All],7,0),"")</f>
        <v/>
      </c>
      <c r="G142" s="138" t="s">
        <v>230</v>
      </c>
      <c r="H142" s="138" t="s">
        <v>230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137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16</v>
      </c>
      <c r="E143" t="str">
        <f>+IFERROR(VLOOKUP(Fact_Administrativa[[#This Row],[Concepto Anterior]],Conceptos_Administrativa[#All],5,0),"")</f>
        <v>Gestión de Polizas</v>
      </c>
      <c r="F143" t="str">
        <f ca="1">+IFERROR(VLOOKUP(Fact_Administrativa[[#This Row],[Concepto Anterior]],Conceptos_Administrativa[#All],7,0),"")</f>
        <v/>
      </c>
      <c r="G143" s="138" t="s">
        <v>230</v>
      </c>
      <c r="H143" s="138" t="s">
        <v>230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137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18</v>
      </c>
      <c r="E144" t="str">
        <f>+IFERROR(VLOOKUP(Fact_Administrativa[[#This Row],[Concepto Anterior]],Conceptos_Administrativa[#All],5,0),"")</f>
        <v>Tickets cerrados</v>
      </c>
      <c r="F144" t="str">
        <f ca="1">+IFERROR(VLOOKUP(Fact_Administrativa[[#This Row],[Concepto Anterior]],Conceptos_Administrativa[#All],7,0),"")</f>
        <v/>
      </c>
      <c r="G144" s="138" t="s">
        <v>230</v>
      </c>
      <c r="H144" s="138" t="s">
        <v>230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137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124</v>
      </c>
      <c r="E145" t="str">
        <f>+IFERROR(VLOOKUP(Fact_Administrativa[[#This Row],[Concepto Anterior]],Conceptos_Administrativa[#All],5,0),"")</f>
        <v>Tickets proceso</v>
      </c>
      <c r="F145" t="str">
        <f ca="1">+IFERROR(VLOOKUP(Fact_Administrativa[[#This Row],[Concepto Anterior]],Conceptos_Administrativa[#All],7,0),"")</f>
        <v/>
      </c>
      <c r="G145" s="138" t="s">
        <v>230</v>
      </c>
      <c r="H145" s="138" t="s">
        <v>230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137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17</v>
      </c>
      <c r="E146" t="str">
        <f>+IFERROR(VLOOKUP(Fact_Administrativa[[#This Row],[Concepto Anterior]],Conceptos_Administrativa[#All],5,0),"")</f>
        <v>Tickets recibidos</v>
      </c>
      <c r="F146" t="str">
        <f ca="1">+IFERROR(VLOOKUP(Fact_Administrativa[[#This Row],[Concepto Anterior]],Conceptos_Administrativa[#All],7,0),"")</f>
        <v/>
      </c>
      <c r="G146" s="138" t="s">
        <v>230</v>
      </c>
      <c r="H146" s="138" t="s">
        <v>230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147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180</v>
      </c>
      <c r="E147" t="str">
        <f>+IFERROR(VLOOKUP(Fact_Administrativa[[#This Row],[Concepto Anterior]],Conceptos_Administrativa[#All],5,0),"")</f>
        <v>Ahorro energía</v>
      </c>
      <c r="F147" t="str">
        <f ca="1">+IFERROR(VLOOKUP(Fact_Administrativa[[#This Row],[Concepto Anterior]],Conceptos_Administrativa[#All],7,0),"")</f>
        <v/>
      </c>
      <c r="G147" s="138" t="s">
        <v>230</v>
      </c>
      <c r="H147" s="138" t="s">
        <v>230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147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5</v>
      </c>
      <c r="E148" t="str">
        <f>+IFERROR(VLOOKUP(Fact_Administrativa[[#This Row],[Concepto Anterior]],Conceptos_Administrativa[#All],5,0),"")</f>
        <v>Aporte fundación</v>
      </c>
      <c r="F148" t="str">
        <f ca="1">+IFERROR(VLOOKUP(Fact_Administrativa[[#This Row],[Concepto Anterior]],Conceptos_Administrativa[#All],7,0),"")</f>
        <v/>
      </c>
      <c r="G148" s="138" t="s">
        <v>230</v>
      </c>
      <c r="H148" s="138" t="s">
        <v>230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147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106</v>
      </c>
      <c r="E149" t="str">
        <f>+IFERROR(VLOOKUP(Fact_Administrativa[[#This Row],[Concepto Anterior]],Conceptos_Administrativa[#All],5,0),"")</f>
        <v>Cantidad de tiendas remodeladas</v>
      </c>
      <c r="F149" t="str">
        <f ca="1">+IFERROR(VLOOKUP(Fact_Administrativa[[#This Row],[Concepto Anterior]],Conceptos_Administrativa[#All],7,0),"")</f>
        <v/>
      </c>
      <c r="G149" s="138" t="s">
        <v>230</v>
      </c>
      <c r="H149" s="138" t="s">
        <v>230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147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197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 ca="1">+IFERROR(VLOOKUP(Fact_Administrativa[[#This Row],[Concepto Anterior]],Conceptos_Administrativa[#All],7,0),"")</f>
        <v/>
      </c>
      <c r="G150" s="138" t="s">
        <v>230</v>
      </c>
      <c r="H150" s="138" t="s">
        <v>230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147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11</v>
      </c>
      <c r="E151" t="str">
        <f>+IFERROR(VLOOKUP(Fact_Administrativa[[#This Row],[Concepto Anterior]],Conceptos_Administrativa[#All],5,0),"")</f>
        <v>Control Ingresos cede Dogama</v>
      </c>
      <c r="F151" t="str">
        <f ca="1">+IFERROR(VLOOKUP(Fact_Administrativa[[#This Row],[Concepto Anterior]],Conceptos_Administrativa[#All],7,0),"")</f>
        <v/>
      </c>
      <c r="G151" s="138" t="s">
        <v>230</v>
      </c>
      <c r="H151" s="138" t="s">
        <v>230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147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138</v>
      </c>
      <c r="E152" t="str">
        <f>+IFERROR(VLOOKUP(Fact_Administrativa[[#This Row],[Concepto Anterior]],Conceptos_Administrativa[#All],5,0),"")</f>
        <v>% Tickets Cumplimiento</v>
      </c>
      <c r="F152" t="str">
        <f ca="1">+IFERROR(VLOOKUP(Fact_Administrativa[[#This Row],[Concepto Anterior]],Conceptos_Administrativa[#All],7,0),"")</f>
        <v/>
      </c>
      <c r="G152" s="138" t="s">
        <v>230</v>
      </c>
      <c r="H152" s="138" t="s">
        <v>230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147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210</v>
      </c>
      <c r="E153" t="str">
        <f>+IFERROR(VLOOKUP(Fact_Administrativa[[#This Row],[Concepto Anterior]],Conceptos_Administrativa[#All],5,0),"")</f>
        <v>Emisiones CO²</v>
      </c>
      <c r="F153" t="str">
        <f ca="1">+IFERROR(VLOOKUP(Fact_Administrativa[[#This Row],[Concepto Anterior]],Conceptos_Administrativa[#All],7,0),"")</f>
        <v/>
      </c>
      <c r="G153" s="138" t="s">
        <v>230</v>
      </c>
      <c r="H153" s="138" t="s">
        <v>230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147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217</v>
      </c>
      <c r="E154" t="str">
        <f>+IFERROR(VLOOKUP(Fact_Administrativa[[#This Row],[Concepto Anterior]],Conceptos_Administrativa[#All],5,0),"")</f>
        <v>Facturas de arrendamientos y administración</v>
      </c>
      <c r="F154" t="str">
        <f ca="1">+IFERROR(VLOOKUP(Fact_Administrativa[[#This Row],[Concepto Anterior]],Conceptos_Administrativa[#All],7,0),"")</f>
        <v/>
      </c>
      <c r="G154" s="138" t="s">
        <v>230</v>
      </c>
      <c r="H154" s="138" t="s">
        <v>230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147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223</v>
      </c>
      <c r="E155" t="str">
        <f>+IFERROR(VLOOKUP(Fact_Administrativa[[#This Row],[Concepto Anterior]],Conceptos_Administrativa[#All],5,0),"")</f>
        <v>Facturas Procesadas por Marca</v>
      </c>
      <c r="F155" t="str">
        <f ca="1">+IFERROR(VLOOKUP(Fact_Administrativa[[#This Row],[Concepto Anterior]],Conceptos_Administrativa[#All],7,0),"")</f>
        <v/>
      </c>
      <c r="G155" s="138" t="s">
        <v>108</v>
      </c>
      <c r="H155" s="138" t="s">
        <v>230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147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223</v>
      </c>
      <c r="E156" t="str">
        <f>+IFERROR(VLOOKUP(Fact_Administrativa[[#This Row],[Concepto Anterior]],Conceptos_Administrativa[#All],5,0),"")</f>
        <v>Facturas Procesadas por Marca</v>
      </c>
      <c r="F156" t="str">
        <f ca="1">+IFERROR(VLOOKUP(Fact_Administrativa[[#This Row],[Concepto Anterior]],Conceptos_Administrativa[#All],7,0),"")</f>
        <v/>
      </c>
      <c r="G156" s="138" t="s">
        <v>118</v>
      </c>
      <c r="H156" s="138" t="s">
        <v>230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147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223</v>
      </c>
      <c r="E157" t="str">
        <f>+IFERROR(VLOOKUP(Fact_Administrativa[[#This Row],[Concepto Anterior]],Conceptos_Administrativa[#All],5,0),"")</f>
        <v>Facturas Procesadas por Marca</v>
      </c>
      <c r="F157" t="str">
        <f ca="1">+IFERROR(VLOOKUP(Fact_Administrativa[[#This Row],[Concepto Anterior]],Conceptos_Administrativa[#All],7,0),"")</f>
        <v/>
      </c>
      <c r="G157" s="138" t="s">
        <v>125</v>
      </c>
      <c r="H157" s="138" t="s">
        <v>230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147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223</v>
      </c>
      <c r="E158" t="str">
        <f>+IFERROR(VLOOKUP(Fact_Administrativa[[#This Row],[Concepto Anterior]],Conceptos_Administrativa[#All],5,0),"")</f>
        <v>Facturas Procesadas por Marca</v>
      </c>
      <c r="F158" t="str">
        <f ca="1">+IFERROR(VLOOKUP(Fact_Administrativa[[#This Row],[Concepto Anterior]],Conceptos_Administrativa[#All],7,0),"")</f>
        <v/>
      </c>
      <c r="G158" s="138" t="s">
        <v>131</v>
      </c>
      <c r="H158" s="138" t="s">
        <v>230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147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223</v>
      </c>
      <c r="E159" t="str">
        <f>+IFERROR(VLOOKUP(Fact_Administrativa[[#This Row],[Concepto Anterior]],Conceptos_Administrativa[#All],5,0),"")</f>
        <v>Facturas Procesadas por Marca</v>
      </c>
      <c r="F159" t="str">
        <f ca="1">+IFERROR(VLOOKUP(Fact_Administrativa[[#This Row],[Concepto Anterior]],Conceptos_Administrativa[#All],7,0),"")</f>
        <v/>
      </c>
      <c r="G159" s="138" t="s">
        <v>141</v>
      </c>
      <c r="H159" s="138" t="s">
        <v>230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147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223</v>
      </c>
      <c r="E160" t="str">
        <f>+IFERROR(VLOOKUP(Fact_Administrativa[[#This Row],[Concepto Anterior]],Conceptos_Administrativa[#All],5,0),"")</f>
        <v>Facturas Procesadas por Marca</v>
      </c>
      <c r="F160" t="str">
        <f ca="1">+IFERROR(VLOOKUP(Fact_Administrativa[[#This Row],[Concepto Anterior]],Conceptos_Administrativa[#All],7,0),"")</f>
        <v/>
      </c>
      <c r="G160" s="138" t="s">
        <v>150</v>
      </c>
      <c r="H160" s="138" t="s">
        <v>230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147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223</v>
      </c>
      <c r="E161" t="str">
        <f>+IFERROR(VLOOKUP(Fact_Administrativa[[#This Row],[Concepto Anterior]],Conceptos_Administrativa[#All],5,0),"")</f>
        <v>Facturas Procesadas por Marca</v>
      </c>
      <c r="F161" t="str">
        <f ca="1">+IFERROR(VLOOKUP(Fact_Administrativa[[#This Row],[Concepto Anterior]],Conceptos_Administrativa[#All],7,0),"")</f>
        <v/>
      </c>
      <c r="G161" s="138" t="s">
        <v>159</v>
      </c>
      <c r="H161" s="138" t="s">
        <v>230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147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223</v>
      </c>
      <c r="E162" t="str">
        <f>+IFERROR(VLOOKUP(Fact_Administrativa[[#This Row],[Concepto Anterior]],Conceptos_Administrativa[#All],5,0),"")</f>
        <v>Facturas Procesadas por Marca</v>
      </c>
      <c r="F162" t="str">
        <f ca="1">+IFERROR(VLOOKUP(Fact_Administrativa[[#This Row],[Concepto Anterior]],Conceptos_Administrativa[#All],7,0),"")</f>
        <v/>
      </c>
      <c r="G162" s="138" t="s">
        <v>167</v>
      </c>
      <c r="H162" s="138" t="s">
        <v>230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147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223</v>
      </c>
      <c r="E163" t="str">
        <f>+IFERROR(VLOOKUP(Fact_Administrativa[[#This Row],[Concepto Anterior]],Conceptos_Administrativa[#All],5,0),"")</f>
        <v>Facturas Procesadas por Marca</v>
      </c>
      <c r="F163" t="str">
        <f ca="1">+IFERROR(VLOOKUP(Fact_Administrativa[[#This Row],[Concepto Anterior]],Conceptos_Administrativa[#All],7,0),"")</f>
        <v/>
      </c>
      <c r="G163" s="138" t="s">
        <v>174</v>
      </c>
      <c r="H163" s="138" t="s">
        <v>230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147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223</v>
      </c>
      <c r="E164" t="str">
        <f>+IFERROR(VLOOKUP(Fact_Administrativa[[#This Row],[Concepto Anterior]],Conceptos_Administrativa[#All],5,0),"")</f>
        <v>Facturas Procesadas por Marca</v>
      </c>
      <c r="F164" t="str">
        <f ca="1">+IFERROR(VLOOKUP(Fact_Administrativa[[#This Row],[Concepto Anterior]],Conceptos_Administrativa[#All],7,0),"")</f>
        <v/>
      </c>
      <c r="G164" s="138" t="s">
        <v>191</v>
      </c>
      <c r="H164" s="138" t="s">
        <v>230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147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223</v>
      </c>
      <c r="E165" t="str">
        <f>+IFERROR(VLOOKUP(Fact_Administrativa[[#This Row],[Concepto Anterior]],Conceptos_Administrativa[#All],5,0),"")</f>
        <v>Facturas Procesadas por Marca</v>
      </c>
      <c r="F165" t="str">
        <f ca="1">+IFERROR(VLOOKUP(Fact_Administrativa[[#This Row],[Concepto Anterior]],Conceptos_Administrativa[#All],7,0),"")</f>
        <v/>
      </c>
      <c r="G165" s="138" t="s">
        <v>199</v>
      </c>
      <c r="H165" s="138" t="s">
        <v>230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147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223</v>
      </c>
      <c r="E166" t="str">
        <f>+IFERROR(VLOOKUP(Fact_Administrativa[[#This Row],[Concepto Anterior]],Conceptos_Administrativa[#All],5,0),"")</f>
        <v>Facturas Procesadas por Marca</v>
      </c>
      <c r="F166" t="str">
        <f ca="1">+IFERROR(VLOOKUP(Fact_Administrativa[[#This Row],[Concepto Anterior]],Conceptos_Administrativa[#All],7,0),"")</f>
        <v/>
      </c>
      <c r="G166" s="138" t="s">
        <v>205</v>
      </c>
      <c r="H166" s="138" t="s">
        <v>230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147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223</v>
      </c>
      <c r="E167" t="str">
        <f>+IFERROR(VLOOKUP(Fact_Administrativa[[#This Row],[Concepto Anterior]],Conceptos_Administrativa[#All],5,0),"")</f>
        <v>Facturas Procesadas por Marca</v>
      </c>
      <c r="F167" t="str">
        <f ca="1">+IFERROR(VLOOKUP(Fact_Administrativa[[#This Row],[Concepto Anterior]],Conceptos_Administrativa[#All],7,0),"")</f>
        <v/>
      </c>
      <c r="G167" s="138" t="s">
        <v>212</v>
      </c>
      <c r="H167" s="138" t="s">
        <v>230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147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229</v>
      </c>
      <c r="E168" t="str">
        <f>+IFERROR(VLOOKUP(Fact_Administrativa[[#This Row],[Concepto Anterior]],Conceptos_Administrativa[#All],5,0),"")</f>
        <v>Facturas Procesadas por Marca</v>
      </c>
      <c r="F168" t="str">
        <f ca="1">+IFERROR(VLOOKUP(Fact_Administrativa[[#This Row],[Concepto Anterior]],Conceptos_Administrativa[#All],7,0),"")</f>
        <v/>
      </c>
      <c r="G168" s="138" t="s">
        <v>218</v>
      </c>
      <c r="H168" s="138" t="s">
        <v>230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147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234</v>
      </c>
      <c r="E169" t="str">
        <f>+IFERROR(VLOOKUP(Fact_Administrativa[[#This Row],[Concepto Anterior]],Conceptos_Administrativa[#All],5,0),"")</f>
        <v>Facturas Procesadas por Marca</v>
      </c>
      <c r="F169" t="str">
        <f ca="1">+IFERROR(VLOOKUP(Fact_Administrativa[[#This Row],[Concepto Anterior]],Conceptos_Administrativa[#All],7,0),"")</f>
        <v/>
      </c>
      <c r="G169" s="138" t="s">
        <v>225</v>
      </c>
      <c r="H169" s="138" t="s">
        <v>230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147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14</v>
      </c>
      <c r="E170" t="str">
        <f>+IFERROR(VLOOKUP(Fact_Administrativa[[#This Row],[Concepto Anterior]],Conceptos_Administrativa[#All],5,0),"")</f>
        <v xml:space="preserve">Ahorro reformas tiendas </v>
      </c>
      <c r="F170" t="str">
        <f ca="1">+IFERROR(VLOOKUP(Fact_Administrativa[[#This Row],[Concepto Anterior]],Conceptos_Administrativa[#All],7,0),"")</f>
        <v/>
      </c>
      <c r="G170" s="138" t="s">
        <v>230</v>
      </c>
      <c r="H170" s="138" t="s">
        <v>230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147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15</v>
      </c>
      <c r="E171" t="str">
        <f>+IFERROR(VLOOKUP(Fact_Administrativa[[#This Row],[Concepto Anterior]],Conceptos_Administrativa[#All],5,0),"")</f>
        <v>Recuperaciones Siniestros</v>
      </c>
      <c r="F171" t="str">
        <f ca="1">+IFERROR(VLOOKUP(Fact_Administrativa[[#This Row],[Concepto Anterior]],Conceptos_Administrativa[#All],7,0),"")</f>
        <v/>
      </c>
      <c r="G171" s="138" t="s">
        <v>230</v>
      </c>
      <c r="H171" s="138" t="s">
        <v>230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147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16</v>
      </c>
      <c r="E172" t="str">
        <f>+IFERROR(VLOOKUP(Fact_Administrativa[[#This Row],[Concepto Anterior]],Conceptos_Administrativa[#All],5,0),"")</f>
        <v>Gestión de Polizas</v>
      </c>
      <c r="F172" t="str">
        <f ca="1">+IFERROR(VLOOKUP(Fact_Administrativa[[#This Row],[Concepto Anterior]],Conceptos_Administrativa[#All],7,0),"")</f>
        <v/>
      </c>
      <c r="G172" s="138" t="s">
        <v>230</v>
      </c>
      <c r="H172" s="138" t="s">
        <v>230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147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18</v>
      </c>
      <c r="E173" t="str">
        <f>+IFERROR(VLOOKUP(Fact_Administrativa[[#This Row],[Concepto Anterior]],Conceptos_Administrativa[#All],5,0),"")</f>
        <v>Tickets cerrados</v>
      </c>
      <c r="F173" t="str">
        <f ca="1">+IFERROR(VLOOKUP(Fact_Administrativa[[#This Row],[Concepto Anterior]],Conceptos_Administrativa[#All],7,0),"")</f>
        <v/>
      </c>
      <c r="G173" s="138" t="s">
        <v>230</v>
      </c>
      <c r="H173" s="138" t="s">
        <v>230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147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124</v>
      </c>
      <c r="E174" t="str">
        <f>+IFERROR(VLOOKUP(Fact_Administrativa[[#This Row],[Concepto Anterior]],Conceptos_Administrativa[#All],5,0),"")</f>
        <v>Tickets proceso</v>
      </c>
      <c r="F174" t="str">
        <f ca="1">+IFERROR(VLOOKUP(Fact_Administrativa[[#This Row],[Concepto Anterior]],Conceptos_Administrativa[#All],7,0),"")</f>
        <v/>
      </c>
      <c r="G174" s="138" t="s">
        <v>230</v>
      </c>
      <c r="H174" s="138" t="s">
        <v>230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147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17</v>
      </c>
      <c r="E175" t="str">
        <f>+IFERROR(VLOOKUP(Fact_Administrativa[[#This Row],[Concepto Anterior]],Conceptos_Administrativa[#All],5,0),"")</f>
        <v>Tickets recibidos</v>
      </c>
      <c r="F175" t="str">
        <f ca="1">+IFERROR(VLOOKUP(Fact_Administrativa[[#This Row],[Concepto Anterior]],Conceptos_Administrativa[#All],7,0),"")</f>
        <v/>
      </c>
      <c r="G175" s="138" t="s">
        <v>230</v>
      </c>
      <c r="H175" s="138" t="s">
        <v>230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157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180</v>
      </c>
      <c r="E176" t="str">
        <f>+IFERROR(VLOOKUP(Fact_Administrativa[[#This Row],[Concepto Anterior]],Conceptos_Administrativa[#All],5,0),"")</f>
        <v>Ahorro energía</v>
      </c>
      <c r="F176" t="str">
        <f ca="1">+IFERROR(VLOOKUP(Fact_Administrativa[[#This Row],[Concepto Anterior]],Conceptos_Administrativa[#All],7,0),"")</f>
        <v/>
      </c>
      <c r="G176" s="138" t="s">
        <v>230</v>
      </c>
      <c r="H176" s="138" t="s">
        <v>230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157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5</v>
      </c>
      <c r="E177" t="str">
        <f>+IFERROR(VLOOKUP(Fact_Administrativa[[#This Row],[Concepto Anterior]],Conceptos_Administrativa[#All],5,0),"")</f>
        <v>Aporte fundación</v>
      </c>
      <c r="F177" t="str">
        <f ca="1">+IFERROR(VLOOKUP(Fact_Administrativa[[#This Row],[Concepto Anterior]],Conceptos_Administrativa[#All],7,0),"")</f>
        <v/>
      </c>
      <c r="G177" s="138" t="s">
        <v>230</v>
      </c>
      <c r="H177" s="138" t="s">
        <v>230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157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106</v>
      </c>
      <c r="E178" t="str">
        <f>+IFERROR(VLOOKUP(Fact_Administrativa[[#This Row],[Concepto Anterior]],Conceptos_Administrativa[#All],5,0),"")</f>
        <v>Cantidad de tiendas remodeladas</v>
      </c>
      <c r="F178" t="str">
        <f ca="1">+IFERROR(VLOOKUP(Fact_Administrativa[[#This Row],[Concepto Anterior]],Conceptos_Administrativa[#All],7,0),"")</f>
        <v/>
      </c>
      <c r="G178" s="138" t="s">
        <v>230</v>
      </c>
      <c r="H178" s="138" t="s">
        <v>230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157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197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 ca="1">+IFERROR(VLOOKUP(Fact_Administrativa[[#This Row],[Concepto Anterior]],Conceptos_Administrativa[#All],7,0),"")</f>
        <v/>
      </c>
      <c r="G179" s="138" t="s">
        <v>230</v>
      </c>
      <c r="H179" s="138" t="s">
        <v>230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157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11</v>
      </c>
      <c r="E180" t="str">
        <f>+IFERROR(VLOOKUP(Fact_Administrativa[[#This Row],[Concepto Anterior]],Conceptos_Administrativa[#All],5,0),"")</f>
        <v>Control Ingresos cede Dogama</v>
      </c>
      <c r="F180" t="str">
        <f ca="1">+IFERROR(VLOOKUP(Fact_Administrativa[[#This Row],[Concepto Anterior]],Conceptos_Administrativa[#All],7,0),"")</f>
        <v/>
      </c>
      <c r="G180" s="138" t="s">
        <v>230</v>
      </c>
      <c r="H180" s="138" t="s">
        <v>230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157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138</v>
      </c>
      <c r="E181" t="str">
        <f>+IFERROR(VLOOKUP(Fact_Administrativa[[#This Row],[Concepto Anterior]],Conceptos_Administrativa[#All],5,0),"")</f>
        <v>% Tickets Cumplimiento</v>
      </c>
      <c r="F181" t="str">
        <f ca="1">+IFERROR(VLOOKUP(Fact_Administrativa[[#This Row],[Concepto Anterior]],Conceptos_Administrativa[#All],7,0),"")</f>
        <v/>
      </c>
      <c r="G181" s="138" t="s">
        <v>230</v>
      </c>
      <c r="H181" s="138" t="s">
        <v>230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157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210</v>
      </c>
      <c r="E182" t="str">
        <f>+IFERROR(VLOOKUP(Fact_Administrativa[[#This Row],[Concepto Anterior]],Conceptos_Administrativa[#All],5,0),"")</f>
        <v>Emisiones CO²</v>
      </c>
      <c r="F182" t="str">
        <f ca="1">+IFERROR(VLOOKUP(Fact_Administrativa[[#This Row],[Concepto Anterior]],Conceptos_Administrativa[#All],7,0),"")</f>
        <v/>
      </c>
      <c r="G182" s="138" t="s">
        <v>230</v>
      </c>
      <c r="H182" s="138" t="s">
        <v>230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157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217</v>
      </c>
      <c r="E183" t="str">
        <f>+IFERROR(VLOOKUP(Fact_Administrativa[[#This Row],[Concepto Anterior]],Conceptos_Administrativa[#All],5,0),"")</f>
        <v>Facturas de arrendamientos y administración</v>
      </c>
      <c r="F183" t="str">
        <f ca="1">+IFERROR(VLOOKUP(Fact_Administrativa[[#This Row],[Concepto Anterior]],Conceptos_Administrativa[#All],7,0),"")</f>
        <v/>
      </c>
      <c r="G183" s="138" t="s">
        <v>230</v>
      </c>
      <c r="H183" s="138" t="s">
        <v>230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157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223</v>
      </c>
      <c r="E184" t="str">
        <f>+IFERROR(VLOOKUP(Fact_Administrativa[[#This Row],[Concepto Anterior]],Conceptos_Administrativa[#All],5,0),"")</f>
        <v>Facturas Procesadas por Marca</v>
      </c>
      <c r="F184" t="str">
        <f ca="1">+IFERROR(VLOOKUP(Fact_Administrativa[[#This Row],[Concepto Anterior]],Conceptos_Administrativa[#All],7,0),"")</f>
        <v/>
      </c>
      <c r="G184" s="138" t="s">
        <v>108</v>
      </c>
      <c r="H184" s="138" t="s">
        <v>230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157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223</v>
      </c>
      <c r="E185" t="str">
        <f>+IFERROR(VLOOKUP(Fact_Administrativa[[#This Row],[Concepto Anterior]],Conceptos_Administrativa[#All],5,0),"")</f>
        <v>Facturas Procesadas por Marca</v>
      </c>
      <c r="F185" t="str">
        <f ca="1">+IFERROR(VLOOKUP(Fact_Administrativa[[#This Row],[Concepto Anterior]],Conceptos_Administrativa[#All],7,0),"")</f>
        <v/>
      </c>
      <c r="G185" s="138" t="s">
        <v>118</v>
      </c>
      <c r="H185" s="138" t="s">
        <v>230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157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223</v>
      </c>
      <c r="E186" t="str">
        <f>+IFERROR(VLOOKUP(Fact_Administrativa[[#This Row],[Concepto Anterior]],Conceptos_Administrativa[#All],5,0),"")</f>
        <v>Facturas Procesadas por Marca</v>
      </c>
      <c r="F186" t="str">
        <f ca="1">+IFERROR(VLOOKUP(Fact_Administrativa[[#This Row],[Concepto Anterior]],Conceptos_Administrativa[#All],7,0),"")</f>
        <v/>
      </c>
      <c r="G186" s="138" t="s">
        <v>125</v>
      </c>
      <c r="H186" s="138" t="s">
        <v>230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157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223</v>
      </c>
      <c r="E187" t="str">
        <f>+IFERROR(VLOOKUP(Fact_Administrativa[[#This Row],[Concepto Anterior]],Conceptos_Administrativa[#All],5,0),"")</f>
        <v>Facturas Procesadas por Marca</v>
      </c>
      <c r="F187" t="str">
        <f ca="1">+IFERROR(VLOOKUP(Fact_Administrativa[[#This Row],[Concepto Anterior]],Conceptos_Administrativa[#All],7,0),"")</f>
        <v/>
      </c>
      <c r="G187" s="138" t="s">
        <v>131</v>
      </c>
      <c r="H187" s="138" t="s">
        <v>230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157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223</v>
      </c>
      <c r="E188" t="str">
        <f>+IFERROR(VLOOKUP(Fact_Administrativa[[#This Row],[Concepto Anterior]],Conceptos_Administrativa[#All],5,0),"")</f>
        <v>Facturas Procesadas por Marca</v>
      </c>
      <c r="F188" t="str">
        <f ca="1">+IFERROR(VLOOKUP(Fact_Administrativa[[#This Row],[Concepto Anterior]],Conceptos_Administrativa[#All],7,0),"")</f>
        <v/>
      </c>
      <c r="G188" s="138" t="s">
        <v>141</v>
      </c>
      <c r="H188" s="138" t="s">
        <v>230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157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223</v>
      </c>
      <c r="E189" t="str">
        <f>+IFERROR(VLOOKUP(Fact_Administrativa[[#This Row],[Concepto Anterior]],Conceptos_Administrativa[#All],5,0),"")</f>
        <v>Facturas Procesadas por Marca</v>
      </c>
      <c r="F189" t="str">
        <f ca="1">+IFERROR(VLOOKUP(Fact_Administrativa[[#This Row],[Concepto Anterior]],Conceptos_Administrativa[#All],7,0),"")</f>
        <v/>
      </c>
      <c r="G189" s="138" t="s">
        <v>150</v>
      </c>
      <c r="H189" s="138" t="s">
        <v>230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157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223</v>
      </c>
      <c r="E190" t="str">
        <f>+IFERROR(VLOOKUP(Fact_Administrativa[[#This Row],[Concepto Anterior]],Conceptos_Administrativa[#All],5,0),"")</f>
        <v>Facturas Procesadas por Marca</v>
      </c>
      <c r="F190" t="str">
        <f ca="1">+IFERROR(VLOOKUP(Fact_Administrativa[[#This Row],[Concepto Anterior]],Conceptos_Administrativa[#All],7,0),"")</f>
        <v/>
      </c>
      <c r="G190" s="138" t="s">
        <v>159</v>
      </c>
      <c r="H190" s="138" t="s">
        <v>230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157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223</v>
      </c>
      <c r="E191" t="str">
        <f>+IFERROR(VLOOKUP(Fact_Administrativa[[#This Row],[Concepto Anterior]],Conceptos_Administrativa[#All],5,0),"")</f>
        <v>Facturas Procesadas por Marca</v>
      </c>
      <c r="F191" t="str">
        <f ca="1">+IFERROR(VLOOKUP(Fact_Administrativa[[#This Row],[Concepto Anterior]],Conceptos_Administrativa[#All],7,0),"")</f>
        <v/>
      </c>
      <c r="G191" s="138" t="s">
        <v>167</v>
      </c>
      <c r="H191" s="138" t="s">
        <v>230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157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223</v>
      </c>
      <c r="E192" t="str">
        <f>+IFERROR(VLOOKUP(Fact_Administrativa[[#This Row],[Concepto Anterior]],Conceptos_Administrativa[#All],5,0),"")</f>
        <v>Facturas Procesadas por Marca</v>
      </c>
      <c r="F192" t="str">
        <f ca="1">+IFERROR(VLOOKUP(Fact_Administrativa[[#This Row],[Concepto Anterior]],Conceptos_Administrativa[#All],7,0),"")</f>
        <v/>
      </c>
      <c r="G192" s="138" t="s">
        <v>174</v>
      </c>
      <c r="H192" s="138" t="s">
        <v>230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157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223</v>
      </c>
      <c r="E193" t="str">
        <f>+IFERROR(VLOOKUP(Fact_Administrativa[[#This Row],[Concepto Anterior]],Conceptos_Administrativa[#All],5,0),"")</f>
        <v>Facturas Procesadas por Marca</v>
      </c>
      <c r="F193" t="str">
        <f ca="1">+IFERROR(VLOOKUP(Fact_Administrativa[[#This Row],[Concepto Anterior]],Conceptos_Administrativa[#All],7,0),"")</f>
        <v/>
      </c>
      <c r="G193" s="138" t="s">
        <v>191</v>
      </c>
      <c r="H193" s="138" t="s">
        <v>230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157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223</v>
      </c>
      <c r="E194" t="str">
        <f>+IFERROR(VLOOKUP(Fact_Administrativa[[#This Row],[Concepto Anterior]],Conceptos_Administrativa[#All],5,0),"")</f>
        <v>Facturas Procesadas por Marca</v>
      </c>
      <c r="F194" t="str">
        <f ca="1">+IFERROR(VLOOKUP(Fact_Administrativa[[#This Row],[Concepto Anterior]],Conceptos_Administrativa[#All],7,0),"")</f>
        <v/>
      </c>
      <c r="G194" s="138" t="s">
        <v>199</v>
      </c>
      <c r="H194" s="138" t="s">
        <v>230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157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223</v>
      </c>
      <c r="E195" t="str">
        <f>+IFERROR(VLOOKUP(Fact_Administrativa[[#This Row],[Concepto Anterior]],Conceptos_Administrativa[#All],5,0),"")</f>
        <v>Facturas Procesadas por Marca</v>
      </c>
      <c r="F195" t="str">
        <f ca="1">+IFERROR(VLOOKUP(Fact_Administrativa[[#This Row],[Concepto Anterior]],Conceptos_Administrativa[#All],7,0),"")</f>
        <v/>
      </c>
      <c r="G195" s="138" t="s">
        <v>205</v>
      </c>
      <c r="H195" s="138" t="s">
        <v>230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157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223</v>
      </c>
      <c r="E196" t="str">
        <f>+IFERROR(VLOOKUP(Fact_Administrativa[[#This Row],[Concepto Anterior]],Conceptos_Administrativa[#All],5,0),"")</f>
        <v>Facturas Procesadas por Marca</v>
      </c>
      <c r="F196" t="str">
        <f ca="1">+IFERROR(VLOOKUP(Fact_Administrativa[[#This Row],[Concepto Anterior]],Conceptos_Administrativa[#All],7,0),"")</f>
        <v/>
      </c>
      <c r="G196" s="138" t="s">
        <v>212</v>
      </c>
      <c r="H196" s="138" t="s">
        <v>230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157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229</v>
      </c>
      <c r="E197" t="str">
        <f>+IFERROR(VLOOKUP(Fact_Administrativa[[#This Row],[Concepto Anterior]],Conceptos_Administrativa[#All],5,0),"")</f>
        <v>Facturas Procesadas por Marca</v>
      </c>
      <c r="F197" t="str">
        <f ca="1">+IFERROR(VLOOKUP(Fact_Administrativa[[#This Row],[Concepto Anterior]],Conceptos_Administrativa[#All],7,0),"")</f>
        <v/>
      </c>
      <c r="G197" s="138" t="s">
        <v>218</v>
      </c>
      <c r="H197" s="138" t="s">
        <v>230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157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234</v>
      </c>
      <c r="E198" t="str">
        <f>+IFERROR(VLOOKUP(Fact_Administrativa[[#This Row],[Concepto Anterior]],Conceptos_Administrativa[#All],5,0),"")</f>
        <v>Facturas Procesadas por Marca</v>
      </c>
      <c r="F198" t="str">
        <f ca="1">+IFERROR(VLOOKUP(Fact_Administrativa[[#This Row],[Concepto Anterior]],Conceptos_Administrativa[#All],7,0),"")</f>
        <v/>
      </c>
      <c r="G198" s="138" t="s">
        <v>225</v>
      </c>
      <c r="H198" s="138" t="s">
        <v>230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157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14</v>
      </c>
      <c r="E199" t="str">
        <f>+IFERROR(VLOOKUP(Fact_Administrativa[[#This Row],[Concepto Anterior]],Conceptos_Administrativa[#All],5,0),"")</f>
        <v xml:space="preserve">Ahorro reformas tiendas </v>
      </c>
      <c r="F199" t="str">
        <f ca="1">+IFERROR(VLOOKUP(Fact_Administrativa[[#This Row],[Concepto Anterior]],Conceptos_Administrativa[#All],7,0),"")</f>
        <v/>
      </c>
      <c r="G199" s="138" t="s">
        <v>230</v>
      </c>
      <c r="H199" s="138" t="s">
        <v>230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157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15</v>
      </c>
      <c r="E200" t="str">
        <f>+IFERROR(VLOOKUP(Fact_Administrativa[[#This Row],[Concepto Anterior]],Conceptos_Administrativa[#All],5,0),"")</f>
        <v>Recuperaciones Siniestros</v>
      </c>
      <c r="F200" t="str">
        <f ca="1">+IFERROR(VLOOKUP(Fact_Administrativa[[#This Row],[Concepto Anterior]],Conceptos_Administrativa[#All],7,0),"")</f>
        <v/>
      </c>
      <c r="G200" s="138" t="s">
        <v>230</v>
      </c>
      <c r="H200" s="138" t="s">
        <v>230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157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16</v>
      </c>
      <c r="E201" t="str">
        <f>+IFERROR(VLOOKUP(Fact_Administrativa[[#This Row],[Concepto Anterior]],Conceptos_Administrativa[#All],5,0),"")</f>
        <v>Gestión de Polizas</v>
      </c>
      <c r="F201" t="str">
        <f ca="1">+IFERROR(VLOOKUP(Fact_Administrativa[[#This Row],[Concepto Anterior]],Conceptos_Administrativa[#All],7,0),"")</f>
        <v/>
      </c>
      <c r="G201" s="138" t="s">
        <v>230</v>
      </c>
      <c r="H201" s="138" t="s">
        <v>230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157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18</v>
      </c>
      <c r="E202" t="str">
        <f>+IFERROR(VLOOKUP(Fact_Administrativa[[#This Row],[Concepto Anterior]],Conceptos_Administrativa[#All],5,0),"")</f>
        <v>Tickets cerrados</v>
      </c>
      <c r="F202" t="str">
        <f ca="1">+IFERROR(VLOOKUP(Fact_Administrativa[[#This Row],[Concepto Anterior]],Conceptos_Administrativa[#All],7,0),"")</f>
        <v/>
      </c>
      <c r="G202" s="138" t="s">
        <v>230</v>
      </c>
      <c r="H202" s="138" t="s">
        <v>230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157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124</v>
      </c>
      <c r="E203" t="str">
        <f>+IFERROR(VLOOKUP(Fact_Administrativa[[#This Row],[Concepto Anterior]],Conceptos_Administrativa[#All],5,0),"")</f>
        <v>Tickets proceso</v>
      </c>
      <c r="F203" t="str">
        <f ca="1">+IFERROR(VLOOKUP(Fact_Administrativa[[#This Row],[Concepto Anterior]],Conceptos_Administrativa[#All],7,0),"")</f>
        <v/>
      </c>
      <c r="G203" s="138" t="s">
        <v>230</v>
      </c>
      <c r="H203" s="138" t="s">
        <v>230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157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17</v>
      </c>
      <c r="E204" t="str">
        <f>+IFERROR(VLOOKUP(Fact_Administrativa[[#This Row],[Concepto Anterior]],Conceptos_Administrativa[#All],5,0),"")</f>
        <v>Tickets recibidos</v>
      </c>
      <c r="F204" t="str">
        <f ca="1">+IFERROR(VLOOKUP(Fact_Administrativa[[#This Row],[Concepto Anterior]],Conceptos_Administrativa[#All],7,0),"")</f>
        <v/>
      </c>
      <c r="G204" s="138" t="s">
        <v>230</v>
      </c>
      <c r="H204" s="138" t="s">
        <v>230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165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180</v>
      </c>
      <c r="E205" t="str">
        <f>+IFERROR(VLOOKUP(Fact_Administrativa[[#This Row],[Concepto Anterior]],Conceptos_Administrativa[#All],5,0),"")</f>
        <v>Ahorro energía</v>
      </c>
      <c r="F205" t="str">
        <f ca="1">+IFERROR(VLOOKUP(Fact_Administrativa[[#This Row],[Concepto Anterior]],Conceptos_Administrativa[#All],7,0),"")</f>
        <v/>
      </c>
      <c r="G205" s="138" t="s">
        <v>230</v>
      </c>
      <c r="H205" s="138" t="s">
        <v>230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165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5</v>
      </c>
      <c r="E206" t="str">
        <f>+IFERROR(VLOOKUP(Fact_Administrativa[[#This Row],[Concepto Anterior]],Conceptos_Administrativa[#All],5,0),"")</f>
        <v>Aporte fundación</v>
      </c>
      <c r="F206" t="str">
        <f ca="1">+IFERROR(VLOOKUP(Fact_Administrativa[[#This Row],[Concepto Anterior]],Conceptos_Administrativa[#All],7,0),"")</f>
        <v/>
      </c>
      <c r="G206" s="138" t="s">
        <v>230</v>
      </c>
      <c r="H206" s="138" t="s">
        <v>230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165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106</v>
      </c>
      <c r="E207" t="str">
        <f>+IFERROR(VLOOKUP(Fact_Administrativa[[#This Row],[Concepto Anterior]],Conceptos_Administrativa[#All],5,0),"")</f>
        <v>Cantidad de tiendas remodeladas</v>
      </c>
      <c r="F207" t="str">
        <f ca="1">+IFERROR(VLOOKUP(Fact_Administrativa[[#This Row],[Concepto Anterior]],Conceptos_Administrativa[#All],7,0),"")</f>
        <v/>
      </c>
      <c r="G207" s="138" t="s">
        <v>230</v>
      </c>
      <c r="H207" s="138" t="s">
        <v>230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165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197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 ca="1">+IFERROR(VLOOKUP(Fact_Administrativa[[#This Row],[Concepto Anterior]],Conceptos_Administrativa[#All],7,0),"")</f>
        <v/>
      </c>
      <c r="G208" s="138" t="s">
        <v>230</v>
      </c>
      <c r="H208" s="138" t="s">
        <v>230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165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11</v>
      </c>
      <c r="E209" t="str">
        <f>+IFERROR(VLOOKUP(Fact_Administrativa[[#This Row],[Concepto Anterior]],Conceptos_Administrativa[#All],5,0),"")</f>
        <v>Control Ingresos cede Dogama</v>
      </c>
      <c r="F209" t="str">
        <f ca="1">+IFERROR(VLOOKUP(Fact_Administrativa[[#This Row],[Concepto Anterior]],Conceptos_Administrativa[#All],7,0),"")</f>
        <v/>
      </c>
      <c r="G209" s="138" t="s">
        <v>230</v>
      </c>
      <c r="H209" s="138" t="s">
        <v>230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165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138</v>
      </c>
      <c r="E210" t="str">
        <f>+IFERROR(VLOOKUP(Fact_Administrativa[[#This Row],[Concepto Anterior]],Conceptos_Administrativa[#All],5,0),"")</f>
        <v>% Tickets Cumplimiento</v>
      </c>
      <c r="F210" t="str">
        <f ca="1">+IFERROR(VLOOKUP(Fact_Administrativa[[#This Row],[Concepto Anterior]],Conceptos_Administrativa[#All],7,0),"")</f>
        <v/>
      </c>
      <c r="G210" s="138" t="s">
        <v>230</v>
      </c>
      <c r="H210" s="138" t="s">
        <v>230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165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210</v>
      </c>
      <c r="E211" t="str">
        <f>+IFERROR(VLOOKUP(Fact_Administrativa[[#This Row],[Concepto Anterior]],Conceptos_Administrativa[#All],5,0),"")</f>
        <v>Emisiones CO²</v>
      </c>
      <c r="F211" t="str">
        <f ca="1">+IFERROR(VLOOKUP(Fact_Administrativa[[#This Row],[Concepto Anterior]],Conceptos_Administrativa[#All],7,0),"")</f>
        <v/>
      </c>
      <c r="G211" s="138" t="s">
        <v>230</v>
      </c>
      <c r="H211" s="138" t="s">
        <v>230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165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217</v>
      </c>
      <c r="E212" t="str">
        <f>+IFERROR(VLOOKUP(Fact_Administrativa[[#This Row],[Concepto Anterior]],Conceptos_Administrativa[#All],5,0),"")</f>
        <v>Facturas de arrendamientos y administración</v>
      </c>
      <c r="F212" t="str">
        <f ca="1">+IFERROR(VLOOKUP(Fact_Administrativa[[#This Row],[Concepto Anterior]],Conceptos_Administrativa[#All],7,0),"")</f>
        <v/>
      </c>
      <c r="G212" s="138" t="s">
        <v>230</v>
      </c>
      <c r="H212" s="138" t="s">
        <v>230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165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223</v>
      </c>
      <c r="E213" t="str">
        <f>+IFERROR(VLOOKUP(Fact_Administrativa[[#This Row],[Concepto Anterior]],Conceptos_Administrativa[#All],5,0),"")</f>
        <v>Facturas Procesadas por Marca</v>
      </c>
      <c r="F213" t="str">
        <f ca="1">+IFERROR(VLOOKUP(Fact_Administrativa[[#This Row],[Concepto Anterior]],Conceptos_Administrativa[#All],7,0),"")</f>
        <v/>
      </c>
      <c r="G213" s="138" t="s">
        <v>108</v>
      </c>
      <c r="H213" s="138" t="s">
        <v>230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165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223</v>
      </c>
      <c r="E214" t="str">
        <f>+IFERROR(VLOOKUP(Fact_Administrativa[[#This Row],[Concepto Anterior]],Conceptos_Administrativa[#All],5,0),"")</f>
        <v>Facturas Procesadas por Marca</v>
      </c>
      <c r="F214" t="str">
        <f ca="1">+IFERROR(VLOOKUP(Fact_Administrativa[[#This Row],[Concepto Anterior]],Conceptos_Administrativa[#All],7,0),"")</f>
        <v/>
      </c>
      <c r="G214" s="138" t="s">
        <v>118</v>
      </c>
      <c r="H214" s="138" t="s">
        <v>230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165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223</v>
      </c>
      <c r="E215" t="str">
        <f>+IFERROR(VLOOKUP(Fact_Administrativa[[#This Row],[Concepto Anterior]],Conceptos_Administrativa[#All],5,0),"")</f>
        <v>Facturas Procesadas por Marca</v>
      </c>
      <c r="F215" t="str">
        <f ca="1">+IFERROR(VLOOKUP(Fact_Administrativa[[#This Row],[Concepto Anterior]],Conceptos_Administrativa[#All],7,0),"")</f>
        <v/>
      </c>
      <c r="G215" s="138" t="s">
        <v>125</v>
      </c>
      <c r="H215" s="138" t="s">
        <v>230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165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223</v>
      </c>
      <c r="E216" t="str">
        <f>+IFERROR(VLOOKUP(Fact_Administrativa[[#This Row],[Concepto Anterior]],Conceptos_Administrativa[#All],5,0),"")</f>
        <v>Facturas Procesadas por Marca</v>
      </c>
      <c r="F216" t="str">
        <f ca="1">+IFERROR(VLOOKUP(Fact_Administrativa[[#This Row],[Concepto Anterior]],Conceptos_Administrativa[#All],7,0),"")</f>
        <v/>
      </c>
      <c r="G216" s="138" t="s">
        <v>131</v>
      </c>
      <c r="H216" s="138" t="s">
        <v>230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165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223</v>
      </c>
      <c r="E217" t="str">
        <f>+IFERROR(VLOOKUP(Fact_Administrativa[[#This Row],[Concepto Anterior]],Conceptos_Administrativa[#All],5,0),"")</f>
        <v>Facturas Procesadas por Marca</v>
      </c>
      <c r="F217" t="str">
        <f ca="1">+IFERROR(VLOOKUP(Fact_Administrativa[[#This Row],[Concepto Anterior]],Conceptos_Administrativa[#All],7,0),"")</f>
        <v/>
      </c>
      <c r="G217" s="138" t="s">
        <v>141</v>
      </c>
      <c r="H217" s="138" t="s">
        <v>230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165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223</v>
      </c>
      <c r="E218" t="str">
        <f>+IFERROR(VLOOKUP(Fact_Administrativa[[#This Row],[Concepto Anterior]],Conceptos_Administrativa[#All],5,0),"")</f>
        <v>Facturas Procesadas por Marca</v>
      </c>
      <c r="F218" t="str">
        <f ca="1">+IFERROR(VLOOKUP(Fact_Administrativa[[#This Row],[Concepto Anterior]],Conceptos_Administrativa[#All],7,0),"")</f>
        <v/>
      </c>
      <c r="G218" s="138" t="s">
        <v>150</v>
      </c>
      <c r="H218" s="138" t="s">
        <v>230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165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223</v>
      </c>
      <c r="E219" t="str">
        <f>+IFERROR(VLOOKUP(Fact_Administrativa[[#This Row],[Concepto Anterior]],Conceptos_Administrativa[#All],5,0),"")</f>
        <v>Facturas Procesadas por Marca</v>
      </c>
      <c r="F219" t="str">
        <f ca="1">+IFERROR(VLOOKUP(Fact_Administrativa[[#This Row],[Concepto Anterior]],Conceptos_Administrativa[#All],7,0),"")</f>
        <v/>
      </c>
      <c r="G219" s="138" t="s">
        <v>159</v>
      </c>
      <c r="H219" s="138" t="s">
        <v>230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165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223</v>
      </c>
      <c r="E220" t="str">
        <f>+IFERROR(VLOOKUP(Fact_Administrativa[[#This Row],[Concepto Anterior]],Conceptos_Administrativa[#All],5,0),"")</f>
        <v>Facturas Procesadas por Marca</v>
      </c>
      <c r="F220" t="str">
        <f ca="1">+IFERROR(VLOOKUP(Fact_Administrativa[[#This Row],[Concepto Anterior]],Conceptos_Administrativa[#All],7,0),"")</f>
        <v/>
      </c>
      <c r="G220" s="138" t="s">
        <v>167</v>
      </c>
      <c r="H220" s="138" t="s">
        <v>230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165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223</v>
      </c>
      <c r="E221" t="str">
        <f>+IFERROR(VLOOKUP(Fact_Administrativa[[#This Row],[Concepto Anterior]],Conceptos_Administrativa[#All],5,0),"")</f>
        <v>Facturas Procesadas por Marca</v>
      </c>
      <c r="F221" t="str">
        <f ca="1">+IFERROR(VLOOKUP(Fact_Administrativa[[#This Row],[Concepto Anterior]],Conceptos_Administrativa[#All],7,0),"")</f>
        <v/>
      </c>
      <c r="G221" s="138" t="s">
        <v>174</v>
      </c>
      <c r="H221" s="138" t="s">
        <v>230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165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223</v>
      </c>
      <c r="E222" t="str">
        <f>+IFERROR(VLOOKUP(Fact_Administrativa[[#This Row],[Concepto Anterior]],Conceptos_Administrativa[#All],5,0),"")</f>
        <v>Facturas Procesadas por Marca</v>
      </c>
      <c r="F222" t="str">
        <f ca="1">+IFERROR(VLOOKUP(Fact_Administrativa[[#This Row],[Concepto Anterior]],Conceptos_Administrativa[#All],7,0),"")</f>
        <v/>
      </c>
      <c r="G222" s="138" t="s">
        <v>191</v>
      </c>
      <c r="H222" s="138" t="s">
        <v>230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165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223</v>
      </c>
      <c r="E223" t="str">
        <f>+IFERROR(VLOOKUP(Fact_Administrativa[[#This Row],[Concepto Anterior]],Conceptos_Administrativa[#All],5,0),"")</f>
        <v>Facturas Procesadas por Marca</v>
      </c>
      <c r="F223" t="str">
        <f ca="1">+IFERROR(VLOOKUP(Fact_Administrativa[[#This Row],[Concepto Anterior]],Conceptos_Administrativa[#All],7,0),"")</f>
        <v/>
      </c>
      <c r="G223" s="138" t="s">
        <v>199</v>
      </c>
      <c r="H223" s="138" t="s">
        <v>230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165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223</v>
      </c>
      <c r="E224" t="str">
        <f>+IFERROR(VLOOKUP(Fact_Administrativa[[#This Row],[Concepto Anterior]],Conceptos_Administrativa[#All],5,0),"")</f>
        <v>Facturas Procesadas por Marca</v>
      </c>
      <c r="F224" t="str">
        <f ca="1">+IFERROR(VLOOKUP(Fact_Administrativa[[#This Row],[Concepto Anterior]],Conceptos_Administrativa[#All],7,0),"")</f>
        <v/>
      </c>
      <c r="G224" s="138" t="s">
        <v>205</v>
      </c>
      <c r="H224" s="138" t="s">
        <v>230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165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223</v>
      </c>
      <c r="E225" t="str">
        <f>+IFERROR(VLOOKUP(Fact_Administrativa[[#This Row],[Concepto Anterior]],Conceptos_Administrativa[#All],5,0),"")</f>
        <v>Facturas Procesadas por Marca</v>
      </c>
      <c r="F225" t="str">
        <f ca="1">+IFERROR(VLOOKUP(Fact_Administrativa[[#This Row],[Concepto Anterior]],Conceptos_Administrativa[#All],7,0),"")</f>
        <v/>
      </c>
      <c r="G225" s="138" t="s">
        <v>212</v>
      </c>
      <c r="H225" s="138" t="s">
        <v>230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165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229</v>
      </c>
      <c r="E226" t="str">
        <f>+IFERROR(VLOOKUP(Fact_Administrativa[[#This Row],[Concepto Anterior]],Conceptos_Administrativa[#All],5,0),"")</f>
        <v>Facturas Procesadas por Marca</v>
      </c>
      <c r="F226" t="str">
        <f ca="1">+IFERROR(VLOOKUP(Fact_Administrativa[[#This Row],[Concepto Anterior]],Conceptos_Administrativa[#All],7,0),"")</f>
        <v/>
      </c>
      <c r="G226" s="138" t="s">
        <v>218</v>
      </c>
      <c r="H226" s="138" t="s">
        <v>230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165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234</v>
      </c>
      <c r="E227" t="str">
        <f>+IFERROR(VLOOKUP(Fact_Administrativa[[#This Row],[Concepto Anterior]],Conceptos_Administrativa[#All],5,0),"")</f>
        <v>Facturas Procesadas por Marca</v>
      </c>
      <c r="F227" t="str">
        <f ca="1">+IFERROR(VLOOKUP(Fact_Administrativa[[#This Row],[Concepto Anterior]],Conceptos_Administrativa[#All],7,0),"")</f>
        <v/>
      </c>
      <c r="G227" s="138" t="s">
        <v>225</v>
      </c>
      <c r="H227" s="138" t="s">
        <v>230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165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14</v>
      </c>
      <c r="E228" t="str">
        <f>+IFERROR(VLOOKUP(Fact_Administrativa[[#This Row],[Concepto Anterior]],Conceptos_Administrativa[#All],5,0),"")</f>
        <v xml:space="preserve">Ahorro reformas tiendas </v>
      </c>
      <c r="F228" t="str">
        <f ca="1">+IFERROR(VLOOKUP(Fact_Administrativa[[#This Row],[Concepto Anterior]],Conceptos_Administrativa[#All],7,0),"")</f>
        <v/>
      </c>
      <c r="G228" s="138" t="s">
        <v>230</v>
      </c>
      <c r="H228" s="138" t="s">
        <v>230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165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15</v>
      </c>
      <c r="E229" t="str">
        <f>+IFERROR(VLOOKUP(Fact_Administrativa[[#This Row],[Concepto Anterior]],Conceptos_Administrativa[#All],5,0),"")</f>
        <v>Recuperaciones Siniestros</v>
      </c>
      <c r="F229" t="str">
        <f ca="1">+IFERROR(VLOOKUP(Fact_Administrativa[[#This Row],[Concepto Anterior]],Conceptos_Administrativa[#All],7,0),"")</f>
        <v/>
      </c>
      <c r="G229" s="138" t="s">
        <v>230</v>
      </c>
      <c r="H229" s="138" t="s">
        <v>230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165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16</v>
      </c>
      <c r="E230" t="str">
        <f>+IFERROR(VLOOKUP(Fact_Administrativa[[#This Row],[Concepto Anterior]],Conceptos_Administrativa[#All],5,0),"")</f>
        <v>Gestión de Polizas</v>
      </c>
      <c r="F230" t="str">
        <f ca="1">+IFERROR(VLOOKUP(Fact_Administrativa[[#This Row],[Concepto Anterior]],Conceptos_Administrativa[#All],7,0),"")</f>
        <v/>
      </c>
      <c r="G230" s="138" t="s">
        <v>230</v>
      </c>
      <c r="H230" s="138" t="s">
        <v>230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165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18</v>
      </c>
      <c r="E231" t="str">
        <f>+IFERROR(VLOOKUP(Fact_Administrativa[[#This Row],[Concepto Anterior]],Conceptos_Administrativa[#All],5,0),"")</f>
        <v>Tickets cerrados</v>
      </c>
      <c r="F231" t="str">
        <f ca="1">+IFERROR(VLOOKUP(Fact_Administrativa[[#This Row],[Concepto Anterior]],Conceptos_Administrativa[#All],7,0),"")</f>
        <v/>
      </c>
      <c r="G231" s="138" t="s">
        <v>230</v>
      </c>
      <c r="H231" s="138" t="s">
        <v>230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165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124</v>
      </c>
      <c r="E232" t="str">
        <f>+IFERROR(VLOOKUP(Fact_Administrativa[[#This Row],[Concepto Anterior]],Conceptos_Administrativa[#All],5,0),"")</f>
        <v>Tickets proceso</v>
      </c>
      <c r="F232" t="str">
        <f ca="1">+IFERROR(VLOOKUP(Fact_Administrativa[[#This Row],[Concepto Anterior]],Conceptos_Administrativa[#All],7,0),"")</f>
        <v/>
      </c>
      <c r="G232" s="138" t="s">
        <v>230</v>
      </c>
      <c r="H232" s="138" t="s">
        <v>230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165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17</v>
      </c>
      <c r="E233" t="str">
        <f>+IFERROR(VLOOKUP(Fact_Administrativa[[#This Row],[Concepto Anterior]],Conceptos_Administrativa[#All],5,0),"")</f>
        <v>Tickets recibidos</v>
      </c>
      <c r="F233" t="str">
        <f ca="1">+IFERROR(VLOOKUP(Fact_Administrativa[[#This Row],[Concepto Anterior]],Conceptos_Administrativa[#All],7,0),"")</f>
        <v/>
      </c>
      <c r="G233" s="138" t="s">
        <v>230</v>
      </c>
      <c r="H233" s="138" t="s">
        <v>230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180</v>
      </c>
      <c r="E234" t="str">
        <f>+IFERROR(VLOOKUP(Fact_Administrativa[[#This Row],[Concepto Anterior]],Conceptos_Administrativa[#All],5,0),"")</f>
        <v>Ahorro energía</v>
      </c>
      <c r="F234" t="str">
        <f ca="1">+IFERROR(VLOOKUP(Fact_Administrativa[[#This Row],[Concepto Anterior]],Conceptos_Administrativa[#All],7,0),"")</f>
        <v/>
      </c>
      <c r="G234" s="138" t="s">
        <v>230</v>
      </c>
      <c r="H234" s="138" t="s">
        <v>230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5</v>
      </c>
      <c r="E235" t="str">
        <f>+IFERROR(VLOOKUP(Fact_Administrativa[[#This Row],[Concepto Anterior]],Conceptos_Administrativa[#All],5,0),"")</f>
        <v>Aporte fundación</v>
      </c>
      <c r="F235" t="str">
        <f ca="1">+IFERROR(VLOOKUP(Fact_Administrativa[[#This Row],[Concepto Anterior]],Conceptos_Administrativa[#All],7,0),"")</f>
        <v/>
      </c>
      <c r="G235" s="138" t="s">
        <v>230</v>
      </c>
      <c r="H235" s="138" t="s">
        <v>230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106</v>
      </c>
      <c r="E236" t="str">
        <f>+IFERROR(VLOOKUP(Fact_Administrativa[[#This Row],[Concepto Anterior]],Conceptos_Administrativa[#All],5,0),"")</f>
        <v>Cantidad de tiendas remodeladas</v>
      </c>
      <c r="F236" t="str">
        <f ca="1">+IFERROR(VLOOKUP(Fact_Administrativa[[#This Row],[Concepto Anterior]],Conceptos_Administrativa[#All],7,0),"")</f>
        <v/>
      </c>
      <c r="G236" s="138" t="s">
        <v>230</v>
      </c>
      <c r="H236" s="138" t="s">
        <v>230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197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 ca="1">+IFERROR(VLOOKUP(Fact_Administrativa[[#This Row],[Concepto Anterior]],Conceptos_Administrativa[#All],7,0),"")</f>
        <v/>
      </c>
      <c r="G237" s="138" t="s">
        <v>230</v>
      </c>
      <c r="H237" s="138" t="s">
        <v>230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11</v>
      </c>
      <c r="E238" t="str">
        <f>+IFERROR(VLOOKUP(Fact_Administrativa[[#This Row],[Concepto Anterior]],Conceptos_Administrativa[#All],5,0),"")</f>
        <v>Control Ingresos cede Dogama</v>
      </c>
      <c r="F238" t="str">
        <f ca="1">+IFERROR(VLOOKUP(Fact_Administrativa[[#This Row],[Concepto Anterior]],Conceptos_Administrativa[#All],7,0),"")</f>
        <v/>
      </c>
      <c r="G238" s="138" t="s">
        <v>230</v>
      </c>
      <c r="H238" s="138" t="s">
        <v>230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138</v>
      </c>
      <c r="E239" t="str">
        <f>+IFERROR(VLOOKUP(Fact_Administrativa[[#This Row],[Concepto Anterior]],Conceptos_Administrativa[#All],5,0),"")</f>
        <v>% Tickets Cumplimiento</v>
      </c>
      <c r="F239" t="str">
        <f ca="1">+IFERROR(VLOOKUP(Fact_Administrativa[[#This Row],[Concepto Anterior]],Conceptos_Administrativa[#All],7,0),"")</f>
        <v/>
      </c>
      <c r="G239" s="138" t="s">
        <v>230</v>
      </c>
      <c r="H239" s="138" t="s">
        <v>230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210</v>
      </c>
      <c r="E240" t="str">
        <f>+IFERROR(VLOOKUP(Fact_Administrativa[[#This Row],[Concepto Anterior]],Conceptos_Administrativa[#All],5,0),"")</f>
        <v>Emisiones CO²</v>
      </c>
      <c r="F240" t="str">
        <f ca="1">+IFERROR(VLOOKUP(Fact_Administrativa[[#This Row],[Concepto Anterior]],Conceptos_Administrativa[#All],7,0),"")</f>
        <v/>
      </c>
      <c r="G240" s="138" t="s">
        <v>230</v>
      </c>
      <c r="H240" s="138" t="s">
        <v>230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217</v>
      </c>
      <c r="E241" t="str">
        <f>+IFERROR(VLOOKUP(Fact_Administrativa[[#This Row],[Concepto Anterior]],Conceptos_Administrativa[#All],5,0),"")</f>
        <v>Facturas de arrendamientos y administración</v>
      </c>
      <c r="F241" t="str">
        <f ca="1">+IFERROR(VLOOKUP(Fact_Administrativa[[#This Row],[Concepto Anterior]],Conceptos_Administrativa[#All],7,0),"")</f>
        <v/>
      </c>
      <c r="G241" s="138" t="s">
        <v>230</v>
      </c>
      <c r="H241" s="138" t="s">
        <v>230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223</v>
      </c>
      <c r="E242" t="str">
        <f>+IFERROR(VLOOKUP(Fact_Administrativa[[#This Row],[Concepto Anterior]],Conceptos_Administrativa[#All],5,0),"")</f>
        <v>Facturas Procesadas por Marca</v>
      </c>
      <c r="F242" t="str">
        <f ca="1">+IFERROR(VLOOKUP(Fact_Administrativa[[#This Row],[Concepto Anterior]],Conceptos_Administrativa[#All],7,0),"")</f>
        <v/>
      </c>
      <c r="G242" s="138" t="s">
        <v>108</v>
      </c>
      <c r="H242" s="138" t="s">
        <v>230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223</v>
      </c>
      <c r="E243" t="str">
        <f>+IFERROR(VLOOKUP(Fact_Administrativa[[#This Row],[Concepto Anterior]],Conceptos_Administrativa[#All],5,0),"")</f>
        <v>Facturas Procesadas por Marca</v>
      </c>
      <c r="F243" t="str">
        <f ca="1">+IFERROR(VLOOKUP(Fact_Administrativa[[#This Row],[Concepto Anterior]],Conceptos_Administrativa[#All],7,0),"")</f>
        <v/>
      </c>
      <c r="G243" s="138" t="s">
        <v>118</v>
      </c>
      <c r="H243" s="138" t="s">
        <v>230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223</v>
      </c>
      <c r="E244" t="str">
        <f>+IFERROR(VLOOKUP(Fact_Administrativa[[#This Row],[Concepto Anterior]],Conceptos_Administrativa[#All],5,0),"")</f>
        <v>Facturas Procesadas por Marca</v>
      </c>
      <c r="F244" t="str">
        <f ca="1">+IFERROR(VLOOKUP(Fact_Administrativa[[#This Row],[Concepto Anterior]],Conceptos_Administrativa[#All],7,0),"")</f>
        <v/>
      </c>
      <c r="G244" s="138" t="s">
        <v>125</v>
      </c>
      <c r="H244" s="138" t="s">
        <v>230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223</v>
      </c>
      <c r="E245" t="str">
        <f>+IFERROR(VLOOKUP(Fact_Administrativa[[#This Row],[Concepto Anterior]],Conceptos_Administrativa[#All],5,0),"")</f>
        <v>Facturas Procesadas por Marca</v>
      </c>
      <c r="F245" t="str">
        <f ca="1">+IFERROR(VLOOKUP(Fact_Administrativa[[#This Row],[Concepto Anterior]],Conceptos_Administrativa[#All],7,0),"")</f>
        <v/>
      </c>
      <c r="G245" s="138" t="s">
        <v>131</v>
      </c>
      <c r="H245" s="138" t="s">
        <v>230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223</v>
      </c>
      <c r="E246" t="str">
        <f>+IFERROR(VLOOKUP(Fact_Administrativa[[#This Row],[Concepto Anterior]],Conceptos_Administrativa[#All],5,0),"")</f>
        <v>Facturas Procesadas por Marca</v>
      </c>
      <c r="F246" t="str">
        <f ca="1">+IFERROR(VLOOKUP(Fact_Administrativa[[#This Row],[Concepto Anterior]],Conceptos_Administrativa[#All],7,0),"")</f>
        <v/>
      </c>
      <c r="G246" s="138" t="s">
        <v>141</v>
      </c>
      <c r="H246" s="138" t="s">
        <v>230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223</v>
      </c>
      <c r="E247" t="str">
        <f>+IFERROR(VLOOKUP(Fact_Administrativa[[#This Row],[Concepto Anterior]],Conceptos_Administrativa[#All],5,0),"")</f>
        <v>Facturas Procesadas por Marca</v>
      </c>
      <c r="F247" t="str">
        <f ca="1">+IFERROR(VLOOKUP(Fact_Administrativa[[#This Row],[Concepto Anterior]],Conceptos_Administrativa[#All],7,0),"")</f>
        <v/>
      </c>
      <c r="G247" s="138" t="s">
        <v>150</v>
      </c>
      <c r="H247" s="138" t="s">
        <v>230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223</v>
      </c>
      <c r="E248" t="str">
        <f>+IFERROR(VLOOKUP(Fact_Administrativa[[#This Row],[Concepto Anterior]],Conceptos_Administrativa[#All],5,0),"")</f>
        <v>Facturas Procesadas por Marca</v>
      </c>
      <c r="F248" t="str">
        <f ca="1">+IFERROR(VLOOKUP(Fact_Administrativa[[#This Row],[Concepto Anterior]],Conceptos_Administrativa[#All],7,0),"")</f>
        <v/>
      </c>
      <c r="G248" s="138" t="s">
        <v>159</v>
      </c>
      <c r="H248" s="138" t="s">
        <v>230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223</v>
      </c>
      <c r="E249" t="str">
        <f>+IFERROR(VLOOKUP(Fact_Administrativa[[#This Row],[Concepto Anterior]],Conceptos_Administrativa[#All],5,0),"")</f>
        <v>Facturas Procesadas por Marca</v>
      </c>
      <c r="F249" t="str">
        <f ca="1">+IFERROR(VLOOKUP(Fact_Administrativa[[#This Row],[Concepto Anterior]],Conceptos_Administrativa[#All],7,0),"")</f>
        <v/>
      </c>
      <c r="G249" s="138" t="s">
        <v>167</v>
      </c>
      <c r="H249" s="138" t="s">
        <v>230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223</v>
      </c>
      <c r="E250" t="str">
        <f>+IFERROR(VLOOKUP(Fact_Administrativa[[#This Row],[Concepto Anterior]],Conceptos_Administrativa[#All],5,0),"")</f>
        <v>Facturas Procesadas por Marca</v>
      </c>
      <c r="F250" t="str">
        <f ca="1">+IFERROR(VLOOKUP(Fact_Administrativa[[#This Row],[Concepto Anterior]],Conceptos_Administrativa[#All],7,0),"")</f>
        <v/>
      </c>
      <c r="G250" s="138" t="s">
        <v>174</v>
      </c>
      <c r="H250" s="138" t="s">
        <v>230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223</v>
      </c>
      <c r="E251" t="str">
        <f>+IFERROR(VLOOKUP(Fact_Administrativa[[#This Row],[Concepto Anterior]],Conceptos_Administrativa[#All],5,0),"")</f>
        <v>Facturas Procesadas por Marca</v>
      </c>
      <c r="F251" t="str">
        <f ca="1">+IFERROR(VLOOKUP(Fact_Administrativa[[#This Row],[Concepto Anterior]],Conceptos_Administrativa[#All],7,0),"")</f>
        <v/>
      </c>
      <c r="G251" s="138" t="s">
        <v>191</v>
      </c>
      <c r="H251" s="138" t="s">
        <v>230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223</v>
      </c>
      <c r="E252" t="str">
        <f>+IFERROR(VLOOKUP(Fact_Administrativa[[#This Row],[Concepto Anterior]],Conceptos_Administrativa[#All],5,0),"")</f>
        <v>Facturas Procesadas por Marca</v>
      </c>
      <c r="F252" t="str">
        <f ca="1">+IFERROR(VLOOKUP(Fact_Administrativa[[#This Row],[Concepto Anterior]],Conceptos_Administrativa[#All],7,0),"")</f>
        <v/>
      </c>
      <c r="G252" s="138" t="s">
        <v>199</v>
      </c>
      <c r="H252" s="138" t="s">
        <v>230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223</v>
      </c>
      <c r="E253" t="str">
        <f>+IFERROR(VLOOKUP(Fact_Administrativa[[#This Row],[Concepto Anterior]],Conceptos_Administrativa[#All],5,0),"")</f>
        <v>Facturas Procesadas por Marca</v>
      </c>
      <c r="F253" t="str">
        <f ca="1">+IFERROR(VLOOKUP(Fact_Administrativa[[#This Row],[Concepto Anterior]],Conceptos_Administrativa[#All],7,0),"")</f>
        <v/>
      </c>
      <c r="G253" s="138" t="s">
        <v>205</v>
      </c>
      <c r="H253" s="138" t="s">
        <v>230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223</v>
      </c>
      <c r="E254" t="str">
        <f>+IFERROR(VLOOKUP(Fact_Administrativa[[#This Row],[Concepto Anterior]],Conceptos_Administrativa[#All],5,0),"")</f>
        <v>Facturas Procesadas por Marca</v>
      </c>
      <c r="F254" t="str">
        <f ca="1">+IFERROR(VLOOKUP(Fact_Administrativa[[#This Row],[Concepto Anterior]],Conceptos_Administrativa[#All],7,0),"")</f>
        <v/>
      </c>
      <c r="G254" s="138" t="s">
        <v>212</v>
      </c>
      <c r="H254" s="138" t="s">
        <v>230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229</v>
      </c>
      <c r="E255" t="str">
        <f>+IFERROR(VLOOKUP(Fact_Administrativa[[#This Row],[Concepto Anterior]],Conceptos_Administrativa[#All],5,0),"")</f>
        <v>Facturas Procesadas por Marca</v>
      </c>
      <c r="F255" t="str">
        <f ca="1">+IFERROR(VLOOKUP(Fact_Administrativa[[#This Row],[Concepto Anterior]],Conceptos_Administrativa[#All],7,0),"")</f>
        <v/>
      </c>
      <c r="G255" s="138" t="s">
        <v>218</v>
      </c>
      <c r="H255" s="138" t="s">
        <v>230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234</v>
      </c>
      <c r="E256" t="str">
        <f>+IFERROR(VLOOKUP(Fact_Administrativa[[#This Row],[Concepto Anterior]],Conceptos_Administrativa[#All],5,0),"")</f>
        <v>Facturas Procesadas por Marca</v>
      </c>
      <c r="F256" t="str">
        <f ca="1">+IFERROR(VLOOKUP(Fact_Administrativa[[#This Row],[Concepto Anterior]],Conceptos_Administrativa[#All],7,0),"")</f>
        <v/>
      </c>
      <c r="G256" s="138" t="s">
        <v>225</v>
      </c>
      <c r="H256" s="138" t="s">
        <v>230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14</v>
      </c>
      <c r="E257" t="str">
        <f>+IFERROR(VLOOKUP(Fact_Administrativa[[#This Row],[Concepto Anterior]],Conceptos_Administrativa[#All],5,0),"")</f>
        <v xml:space="preserve">Ahorro reformas tiendas </v>
      </c>
      <c r="F257" t="str">
        <f ca="1">+IFERROR(VLOOKUP(Fact_Administrativa[[#This Row],[Concepto Anterior]],Conceptos_Administrativa[#All],7,0),"")</f>
        <v/>
      </c>
      <c r="G257" s="138" t="s">
        <v>230</v>
      </c>
      <c r="H257" s="138" t="s">
        <v>230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15</v>
      </c>
      <c r="E258" t="str">
        <f>+IFERROR(VLOOKUP(Fact_Administrativa[[#This Row],[Concepto Anterior]],Conceptos_Administrativa[#All],5,0),"")</f>
        <v>Recuperaciones Siniestros</v>
      </c>
      <c r="F258" t="str">
        <f ca="1">+IFERROR(VLOOKUP(Fact_Administrativa[[#This Row],[Concepto Anterior]],Conceptos_Administrativa[#All],7,0),"")</f>
        <v/>
      </c>
      <c r="G258" s="138" t="s">
        <v>230</v>
      </c>
      <c r="H258" s="138" t="s">
        <v>230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16</v>
      </c>
      <c r="E259" t="str">
        <f>+IFERROR(VLOOKUP(Fact_Administrativa[[#This Row],[Concepto Anterior]],Conceptos_Administrativa[#All],5,0),"")</f>
        <v>Gestión de Polizas</v>
      </c>
      <c r="F259" t="str">
        <f ca="1">+IFERROR(VLOOKUP(Fact_Administrativa[[#This Row],[Concepto Anterior]],Conceptos_Administrativa[#All],7,0),"")</f>
        <v/>
      </c>
      <c r="G259" s="138" t="s">
        <v>230</v>
      </c>
      <c r="H259" s="138" t="s">
        <v>230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18</v>
      </c>
      <c r="E260" t="str">
        <f>+IFERROR(VLOOKUP(Fact_Administrativa[[#This Row],[Concepto Anterior]],Conceptos_Administrativa[#All],5,0),"")</f>
        <v>Tickets cerrados</v>
      </c>
      <c r="F260" t="str">
        <f ca="1">+IFERROR(VLOOKUP(Fact_Administrativa[[#This Row],[Concepto Anterior]],Conceptos_Administrativa[#All],7,0),"")</f>
        <v/>
      </c>
      <c r="G260" s="138" t="s">
        <v>230</v>
      </c>
      <c r="H260" s="138" t="s">
        <v>230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124</v>
      </c>
      <c r="E261" t="str">
        <f>+IFERROR(VLOOKUP(Fact_Administrativa[[#This Row],[Concepto Anterior]],Conceptos_Administrativa[#All],5,0),"")</f>
        <v>Tickets proceso</v>
      </c>
      <c r="F261" t="str">
        <f ca="1">+IFERROR(VLOOKUP(Fact_Administrativa[[#This Row],[Concepto Anterior]],Conceptos_Administrativa[#All],7,0),"")</f>
        <v/>
      </c>
      <c r="G261" s="138" t="s">
        <v>230</v>
      </c>
      <c r="H261" s="138" t="s">
        <v>230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17</v>
      </c>
      <c r="E262" t="str">
        <f>+IFERROR(VLOOKUP(Fact_Administrativa[[#This Row],[Concepto Anterior]],Conceptos_Administrativa[#All],5,0),"")</f>
        <v>Tickets recibidos</v>
      </c>
      <c r="F262" t="str">
        <f ca="1">+IFERROR(VLOOKUP(Fact_Administrativa[[#This Row],[Concepto Anterior]],Conceptos_Administrativa[#All],7,0),"")</f>
        <v/>
      </c>
      <c r="G262" s="138" t="s">
        <v>230</v>
      </c>
      <c r="H262" s="138" t="s">
        <v>230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179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180</v>
      </c>
      <c r="E263" t="str">
        <f>+IFERROR(VLOOKUP(Fact_Administrativa[[#This Row],[Concepto Anterior]],Conceptos_Administrativa[#All],5,0),"")</f>
        <v>Ahorro energía</v>
      </c>
      <c r="F263" t="str">
        <f ca="1">+IFERROR(VLOOKUP(Fact_Administrativa[[#This Row],[Concepto Anterior]],Conceptos_Administrativa[#All],7,0),"")</f>
        <v/>
      </c>
      <c r="G263" s="138" t="s">
        <v>230</v>
      </c>
      <c r="H263" s="138" t="s">
        <v>230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179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5</v>
      </c>
      <c r="E264" t="str">
        <f>+IFERROR(VLOOKUP(Fact_Administrativa[[#This Row],[Concepto Anterior]],Conceptos_Administrativa[#All],5,0),"")</f>
        <v>Aporte fundación</v>
      </c>
      <c r="F264" t="str">
        <f ca="1">+IFERROR(VLOOKUP(Fact_Administrativa[[#This Row],[Concepto Anterior]],Conceptos_Administrativa[#All],7,0),"")</f>
        <v/>
      </c>
      <c r="G264" s="138" t="s">
        <v>230</v>
      </c>
      <c r="H264" s="138" t="s">
        <v>230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179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106</v>
      </c>
      <c r="E265" t="str">
        <f>+IFERROR(VLOOKUP(Fact_Administrativa[[#This Row],[Concepto Anterior]],Conceptos_Administrativa[#All],5,0),"")</f>
        <v>Cantidad de tiendas remodeladas</v>
      </c>
      <c r="F265" t="str">
        <f ca="1">+IFERROR(VLOOKUP(Fact_Administrativa[[#This Row],[Concepto Anterior]],Conceptos_Administrativa[#All],7,0),"")</f>
        <v/>
      </c>
      <c r="G265" s="138" t="s">
        <v>230</v>
      </c>
      <c r="H265" s="138" t="s">
        <v>230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179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197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 ca="1">+IFERROR(VLOOKUP(Fact_Administrativa[[#This Row],[Concepto Anterior]],Conceptos_Administrativa[#All],7,0),"")</f>
        <v/>
      </c>
      <c r="G266" s="138" t="s">
        <v>230</v>
      </c>
      <c r="H266" s="138" t="s">
        <v>230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179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11</v>
      </c>
      <c r="E267" t="str">
        <f>+IFERROR(VLOOKUP(Fact_Administrativa[[#This Row],[Concepto Anterior]],Conceptos_Administrativa[#All],5,0),"")</f>
        <v>Control Ingresos cede Dogama</v>
      </c>
      <c r="F267" t="str">
        <f ca="1">+IFERROR(VLOOKUP(Fact_Administrativa[[#This Row],[Concepto Anterior]],Conceptos_Administrativa[#All],7,0),"")</f>
        <v/>
      </c>
      <c r="G267" s="138" t="s">
        <v>230</v>
      </c>
      <c r="H267" s="138" t="s">
        <v>230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179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138</v>
      </c>
      <c r="E268" t="str">
        <f>+IFERROR(VLOOKUP(Fact_Administrativa[[#This Row],[Concepto Anterior]],Conceptos_Administrativa[#All],5,0),"")</f>
        <v>% Tickets Cumplimiento</v>
      </c>
      <c r="F268" t="str">
        <f ca="1">+IFERROR(VLOOKUP(Fact_Administrativa[[#This Row],[Concepto Anterior]],Conceptos_Administrativa[#All],7,0),"")</f>
        <v/>
      </c>
      <c r="G268" s="138" t="s">
        <v>230</v>
      </c>
      <c r="H268" s="138" t="s">
        <v>230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179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210</v>
      </c>
      <c r="E269" t="str">
        <f>+IFERROR(VLOOKUP(Fact_Administrativa[[#This Row],[Concepto Anterior]],Conceptos_Administrativa[#All],5,0),"")</f>
        <v>Emisiones CO²</v>
      </c>
      <c r="F269" t="str">
        <f ca="1">+IFERROR(VLOOKUP(Fact_Administrativa[[#This Row],[Concepto Anterior]],Conceptos_Administrativa[#All],7,0),"")</f>
        <v/>
      </c>
      <c r="G269" s="138" t="s">
        <v>230</v>
      </c>
      <c r="H269" s="138" t="s">
        <v>230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179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217</v>
      </c>
      <c r="E270" t="str">
        <f>+IFERROR(VLOOKUP(Fact_Administrativa[[#This Row],[Concepto Anterior]],Conceptos_Administrativa[#All],5,0),"")</f>
        <v>Facturas de arrendamientos y administración</v>
      </c>
      <c r="F270" t="str">
        <f ca="1">+IFERROR(VLOOKUP(Fact_Administrativa[[#This Row],[Concepto Anterior]],Conceptos_Administrativa[#All],7,0),"")</f>
        <v/>
      </c>
      <c r="G270" s="138" t="s">
        <v>230</v>
      </c>
      <c r="H270" s="138" t="s">
        <v>230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179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223</v>
      </c>
      <c r="E271" t="str">
        <f>+IFERROR(VLOOKUP(Fact_Administrativa[[#This Row],[Concepto Anterior]],Conceptos_Administrativa[#All],5,0),"")</f>
        <v>Facturas Procesadas por Marca</v>
      </c>
      <c r="F271" t="str">
        <f ca="1">+IFERROR(VLOOKUP(Fact_Administrativa[[#This Row],[Concepto Anterior]],Conceptos_Administrativa[#All],7,0),"")</f>
        <v/>
      </c>
      <c r="G271" s="138" t="s">
        <v>108</v>
      </c>
      <c r="H271" s="138" t="s">
        <v>230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179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223</v>
      </c>
      <c r="E272" t="str">
        <f>+IFERROR(VLOOKUP(Fact_Administrativa[[#This Row],[Concepto Anterior]],Conceptos_Administrativa[#All],5,0),"")</f>
        <v>Facturas Procesadas por Marca</v>
      </c>
      <c r="F272" t="str">
        <f ca="1">+IFERROR(VLOOKUP(Fact_Administrativa[[#This Row],[Concepto Anterior]],Conceptos_Administrativa[#All],7,0),"")</f>
        <v/>
      </c>
      <c r="G272" s="138" t="s">
        <v>118</v>
      </c>
      <c r="H272" s="138" t="s">
        <v>230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179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223</v>
      </c>
      <c r="E273" t="str">
        <f>+IFERROR(VLOOKUP(Fact_Administrativa[[#This Row],[Concepto Anterior]],Conceptos_Administrativa[#All],5,0),"")</f>
        <v>Facturas Procesadas por Marca</v>
      </c>
      <c r="F273" t="str">
        <f ca="1">+IFERROR(VLOOKUP(Fact_Administrativa[[#This Row],[Concepto Anterior]],Conceptos_Administrativa[#All],7,0),"")</f>
        <v/>
      </c>
      <c r="G273" s="138" t="s">
        <v>125</v>
      </c>
      <c r="H273" s="138" t="s">
        <v>230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179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223</v>
      </c>
      <c r="E274" t="str">
        <f>+IFERROR(VLOOKUP(Fact_Administrativa[[#This Row],[Concepto Anterior]],Conceptos_Administrativa[#All],5,0),"")</f>
        <v>Facturas Procesadas por Marca</v>
      </c>
      <c r="F274" t="str">
        <f ca="1">+IFERROR(VLOOKUP(Fact_Administrativa[[#This Row],[Concepto Anterior]],Conceptos_Administrativa[#All],7,0),"")</f>
        <v/>
      </c>
      <c r="G274" s="138" t="s">
        <v>131</v>
      </c>
      <c r="H274" s="138" t="s">
        <v>230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179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223</v>
      </c>
      <c r="E275" t="str">
        <f>+IFERROR(VLOOKUP(Fact_Administrativa[[#This Row],[Concepto Anterior]],Conceptos_Administrativa[#All],5,0),"")</f>
        <v>Facturas Procesadas por Marca</v>
      </c>
      <c r="F275" t="str">
        <f ca="1">+IFERROR(VLOOKUP(Fact_Administrativa[[#This Row],[Concepto Anterior]],Conceptos_Administrativa[#All],7,0),"")</f>
        <v/>
      </c>
      <c r="G275" s="138" t="s">
        <v>141</v>
      </c>
      <c r="H275" s="138" t="s">
        <v>230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179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223</v>
      </c>
      <c r="E276" t="str">
        <f>+IFERROR(VLOOKUP(Fact_Administrativa[[#This Row],[Concepto Anterior]],Conceptos_Administrativa[#All],5,0),"")</f>
        <v>Facturas Procesadas por Marca</v>
      </c>
      <c r="F276" t="str">
        <f ca="1">+IFERROR(VLOOKUP(Fact_Administrativa[[#This Row],[Concepto Anterior]],Conceptos_Administrativa[#All],7,0),"")</f>
        <v/>
      </c>
      <c r="G276" s="138" t="s">
        <v>150</v>
      </c>
      <c r="H276" s="138" t="s">
        <v>230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179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223</v>
      </c>
      <c r="E277" t="str">
        <f>+IFERROR(VLOOKUP(Fact_Administrativa[[#This Row],[Concepto Anterior]],Conceptos_Administrativa[#All],5,0),"")</f>
        <v>Facturas Procesadas por Marca</v>
      </c>
      <c r="F277" t="str">
        <f ca="1">+IFERROR(VLOOKUP(Fact_Administrativa[[#This Row],[Concepto Anterior]],Conceptos_Administrativa[#All],7,0),"")</f>
        <v/>
      </c>
      <c r="G277" s="138" t="s">
        <v>159</v>
      </c>
      <c r="H277" s="138" t="s">
        <v>230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179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223</v>
      </c>
      <c r="E278" t="str">
        <f>+IFERROR(VLOOKUP(Fact_Administrativa[[#This Row],[Concepto Anterior]],Conceptos_Administrativa[#All],5,0),"")</f>
        <v>Facturas Procesadas por Marca</v>
      </c>
      <c r="F278" t="str">
        <f ca="1">+IFERROR(VLOOKUP(Fact_Administrativa[[#This Row],[Concepto Anterior]],Conceptos_Administrativa[#All],7,0),"")</f>
        <v/>
      </c>
      <c r="G278" s="138" t="s">
        <v>167</v>
      </c>
      <c r="H278" s="138" t="s">
        <v>230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179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223</v>
      </c>
      <c r="E279" t="str">
        <f>+IFERROR(VLOOKUP(Fact_Administrativa[[#This Row],[Concepto Anterior]],Conceptos_Administrativa[#All],5,0),"")</f>
        <v>Facturas Procesadas por Marca</v>
      </c>
      <c r="F279" t="str">
        <f ca="1">+IFERROR(VLOOKUP(Fact_Administrativa[[#This Row],[Concepto Anterior]],Conceptos_Administrativa[#All],7,0),"")</f>
        <v/>
      </c>
      <c r="G279" s="138" t="s">
        <v>174</v>
      </c>
      <c r="H279" s="138" t="s">
        <v>230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179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223</v>
      </c>
      <c r="E280" t="str">
        <f>+IFERROR(VLOOKUP(Fact_Administrativa[[#This Row],[Concepto Anterior]],Conceptos_Administrativa[#All],5,0),"")</f>
        <v>Facturas Procesadas por Marca</v>
      </c>
      <c r="F280" t="str">
        <f ca="1">+IFERROR(VLOOKUP(Fact_Administrativa[[#This Row],[Concepto Anterior]],Conceptos_Administrativa[#All],7,0),"")</f>
        <v/>
      </c>
      <c r="G280" s="138" t="s">
        <v>191</v>
      </c>
      <c r="H280" s="138" t="s">
        <v>230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179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223</v>
      </c>
      <c r="E281" t="str">
        <f>+IFERROR(VLOOKUP(Fact_Administrativa[[#This Row],[Concepto Anterior]],Conceptos_Administrativa[#All],5,0),"")</f>
        <v>Facturas Procesadas por Marca</v>
      </c>
      <c r="F281" t="str">
        <f ca="1">+IFERROR(VLOOKUP(Fact_Administrativa[[#This Row],[Concepto Anterior]],Conceptos_Administrativa[#All],7,0),"")</f>
        <v/>
      </c>
      <c r="G281" s="138" t="s">
        <v>199</v>
      </c>
      <c r="H281" s="138" t="s">
        <v>230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179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223</v>
      </c>
      <c r="E282" t="str">
        <f>+IFERROR(VLOOKUP(Fact_Administrativa[[#This Row],[Concepto Anterior]],Conceptos_Administrativa[#All],5,0),"")</f>
        <v>Facturas Procesadas por Marca</v>
      </c>
      <c r="F282" t="str">
        <f ca="1">+IFERROR(VLOOKUP(Fact_Administrativa[[#This Row],[Concepto Anterior]],Conceptos_Administrativa[#All],7,0),"")</f>
        <v/>
      </c>
      <c r="G282" s="138" t="s">
        <v>205</v>
      </c>
      <c r="H282" s="138" t="s">
        <v>230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179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223</v>
      </c>
      <c r="E283" t="str">
        <f>+IFERROR(VLOOKUP(Fact_Administrativa[[#This Row],[Concepto Anterior]],Conceptos_Administrativa[#All],5,0),"")</f>
        <v>Facturas Procesadas por Marca</v>
      </c>
      <c r="F283" t="str">
        <f ca="1">+IFERROR(VLOOKUP(Fact_Administrativa[[#This Row],[Concepto Anterior]],Conceptos_Administrativa[#All],7,0),"")</f>
        <v/>
      </c>
      <c r="G283" s="138" t="s">
        <v>212</v>
      </c>
      <c r="H283" s="138" t="s">
        <v>230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179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229</v>
      </c>
      <c r="E284" t="str">
        <f>+IFERROR(VLOOKUP(Fact_Administrativa[[#This Row],[Concepto Anterior]],Conceptos_Administrativa[#All],5,0),"")</f>
        <v>Facturas Procesadas por Marca</v>
      </c>
      <c r="F284" t="str">
        <f ca="1">+IFERROR(VLOOKUP(Fact_Administrativa[[#This Row],[Concepto Anterior]],Conceptos_Administrativa[#All],7,0),"")</f>
        <v/>
      </c>
      <c r="G284" s="138" t="s">
        <v>218</v>
      </c>
      <c r="H284" s="138" t="s">
        <v>230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179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234</v>
      </c>
      <c r="E285" t="str">
        <f>+IFERROR(VLOOKUP(Fact_Administrativa[[#This Row],[Concepto Anterior]],Conceptos_Administrativa[#All],5,0),"")</f>
        <v>Facturas Procesadas por Marca</v>
      </c>
      <c r="F285" t="str">
        <f ca="1">+IFERROR(VLOOKUP(Fact_Administrativa[[#This Row],[Concepto Anterior]],Conceptos_Administrativa[#All],7,0),"")</f>
        <v/>
      </c>
      <c r="G285" s="138" t="s">
        <v>225</v>
      </c>
      <c r="H285" s="138" t="s">
        <v>230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179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14</v>
      </c>
      <c r="E286" t="str">
        <f>+IFERROR(VLOOKUP(Fact_Administrativa[[#This Row],[Concepto Anterior]],Conceptos_Administrativa[#All],5,0),"")</f>
        <v xml:space="preserve">Ahorro reformas tiendas </v>
      </c>
      <c r="F286" t="str">
        <f ca="1">+IFERROR(VLOOKUP(Fact_Administrativa[[#This Row],[Concepto Anterior]],Conceptos_Administrativa[#All],7,0),"")</f>
        <v/>
      </c>
      <c r="G286" s="138" t="s">
        <v>230</v>
      </c>
      <c r="H286" s="138" t="s">
        <v>230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179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15</v>
      </c>
      <c r="E287" t="str">
        <f>+IFERROR(VLOOKUP(Fact_Administrativa[[#This Row],[Concepto Anterior]],Conceptos_Administrativa[#All],5,0),"")</f>
        <v>Recuperaciones Siniestros</v>
      </c>
      <c r="F287" t="str">
        <f ca="1">+IFERROR(VLOOKUP(Fact_Administrativa[[#This Row],[Concepto Anterior]],Conceptos_Administrativa[#All],7,0),"")</f>
        <v/>
      </c>
      <c r="G287" s="138" t="s">
        <v>230</v>
      </c>
      <c r="H287" s="138" t="s">
        <v>230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179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16</v>
      </c>
      <c r="E288" t="str">
        <f>+IFERROR(VLOOKUP(Fact_Administrativa[[#This Row],[Concepto Anterior]],Conceptos_Administrativa[#All],5,0),"")</f>
        <v>Gestión de Polizas</v>
      </c>
      <c r="F288" t="str">
        <f ca="1">+IFERROR(VLOOKUP(Fact_Administrativa[[#This Row],[Concepto Anterior]],Conceptos_Administrativa[#All],7,0),"")</f>
        <v/>
      </c>
      <c r="G288" s="138" t="s">
        <v>230</v>
      </c>
      <c r="H288" s="138" t="s">
        <v>230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179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18</v>
      </c>
      <c r="E289" t="str">
        <f>+IFERROR(VLOOKUP(Fact_Administrativa[[#This Row],[Concepto Anterior]],Conceptos_Administrativa[#All],5,0),"")</f>
        <v>Tickets cerrados</v>
      </c>
      <c r="F289" t="str">
        <f ca="1">+IFERROR(VLOOKUP(Fact_Administrativa[[#This Row],[Concepto Anterior]],Conceptos_Administrativa[#All],7,0),"")</f>
        <v/>
      </c>
      <c r="G289" s="138" t="s">
        <v>230</v>
      </c>
      <c r="H289" s="138" t="s">
        <v>230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179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124</v>
      </c>
      <c r="E290" t="str">
        <f>+IFERROR(VLOOKUP(Fact_Administrativa[[#This Row],[Concepto Anterior]],Conceptos_Administrativa[#All],5,0),"")</f>
        <v>Tickets proceso</v>
      </c>
      <c r="F290" t="str">
        <f ca="1">+IFERROR(VLOOKUP(Fact_Administrativa[[#This Row],[Concepto Anterior]],Conceptos_Administrativa[#All],7,0),"")</f>
        <v/>
      </c>
      <c r="G290" s="138" t="s">
        <v>230</v>
      </c>
      <c r="H290" s="138" t="s">
        <v>230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179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17</v>
      </c>
      <c r="E291" t="str">
        <f>+IFERROR(VLOOKUP(Fact_Administrativa[[#This Row],[Concepto Anterior]],Conceptos_Administrativa[#All],5,0),"")</f>
        <v>Tickets recibidos</v>
      </c>
      <c r="F291" t="str">
        <f ca="1">+IFERROR(VLOOKUP(Fact_Administrativa[[#This Row],[Concepto Anterior]],Conceptos_Administrativa[#All],7,0),"")</f>
        <v/>
      </c>
      <c r="G291" s="138" t="s">
        <v>230</v>
      </c>
      <c r="H291" s="138" t="s">
        <v>230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188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180</v>
      </c>
      <c r="E292" t="str">
        <f>+IFERROR(VLOOKUP(Fact_Administrativa[[#This Row],[Concepto Anterior]],Conceptos_Administrativa[#All],5,0),"")</f>
        <v>Ahorro energía</v>
      </c>
      <c r="F292" t="str">
        <f ca="1">+IFERROR(VLOOKUP(Fact_Administrativa[[#This Row],[Concepto Anterior]],Conceptos_Administrativa[#All],7,0),"")</f>
        <v/>
      </c>
      <c r="G292" s="138" t="s">
        <v>230</v>
      </c>
      <c r="H292" s="138" t="s">
        <v>230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188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5</v>
      </c>
      <c r="E293" t="str">
        <f>+IFERROR(VLOOKUP(Fact_Administrativa[[#This Row],[Concepto Anterior]],Conceptos_Administrativa[#All],5,0),"")</f>
        <v>Aporte fundación</v>
      </c>
      <c r="F293" t="str">
        <f ca="1">+IFERROR(VLOOKUP(Fact_Administrativa[[#This Row],[Concepto Anterior]],Conceptos_Administrativa[#All],7,0),"")</f>
        <v/>
      </c>
      <c r="G293" s="138" t="s">
        <v>230</v>
      </c>
      <c r="H293" s="138" t="s">
        <v>230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188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106</v>
      </c>
      <c r="E294" t="str">
        <f>+IFERROR(VLOOKUP(Fact_Administrativa[[#This Row],[Concepto Anterior]],Conceptos_Administrativa[#All],5,0),"")</f>
        <v>Cantidad de tiendas remodeladas</v>
      </c>
      <c r="F294" t="str">
        <f ca="1">+IFERROR(VLOOKUP(Fact_Administrativa[[#This Row],[Concepto Anterior]],Conceptos_Administrativa[#All],7,0),"")</f>
        <v/>
      </c>
      <c r="G294" s="138" t="s">
        <v>230</v>
      </c>
      <c r="H294" s="138" t="s">
        <v>230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188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197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 ca="1">+IFERROR(VLOOKUP(Fact_Administrativa[[#This Row],[Concepto Anterior]],Conceptos_Administrativa[#All],7,0),"")</f>
        <v/>
      </c>
      <c r="G295" s="138" t="s">
        <v>230</v>
      </c>
      <c r="H295" s="138" t="s">
        <v>230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188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11</v>
      </c>
      <c r="E296" t="str">
        <f>+IFERROR(VLOOKUP(Fact_Administrativa[[#This Row],[Concepto Anterior]],Conceptos_Administrativa[#All],5,0),"")</f>
        <v>Control Ingresos cede Dogama</v>
      </c>
      <c r="F296" t="str">
        <f ca="1">+IFERROR(VLOOKUP(Fact_Administrativa[[#This Row],[Concepto Anterior]],Conceptos_Administrativa[#All],7,0),"")</f>
        <v/>
      </c>
      <c r="G296" s="138" t="s">
        <v>230</v>
      </c>
      <c r="H296" s="138" t="s">
        <v>230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188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138</v>
      </c>
      <c r="E297" t="str">
        <f>+IFERROR(VLOOKUP(Fact_Administrativa[[#This Row],[Concepto Anterior]],Conceptos_Administrativa[#All],5,0),"")</f>
        <v>% Tickets Cumplimiento</v>
      </c>
      <c r="F297" t="str">
        <f ca="1">+IFERROR(VLOOKUP(Fact_Administrativa[[#This Row],[Concepto Anterior]],Conceptos_Administrativa[#All],7,0),"")</f>
        <v/>
      </c>
      <c r="G297" s="138" t="s">
        <v>230</v>
      </c>
      <c r="H297" s="138" t="s">
        <v>230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188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210</v>
      </c>
      <c r="E298" t="str">
        <f>+IFERROR(VLOOKUP(Fact_Administrativa[[#This Row],[Concepto Anterior]],Conceptos_Administrativa[#All],5,0),"")</f>
        <v>Emisiones CO²</v>
      </c>
      <c r="F298" t="str">
        <f ca="1">+IFERROR(VLOOKUP(Fact_Administrativa[[#This Row],[Concepto Anterior]],Conceptos_Administrativa[#All],7,0),"")</f>
        <v/>
      </c>
      <c r="G298" s="138" t="s">
        <v>230</v>
      </c>
      <c r="H298" s="138" t="s">
        <v>230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188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217</v>
      </c>
      <c r="E299" t="str">
        <f>+IFERROR(VLOOKUP(Fact_Administrativa[[#This Row],[Concepto Anterior]],Conceptos_Administrativa[#All],5,0),"")</f>
        <v>Facturas de arrendamientos y administración</v>
      </c>
      <c r="F299" t="str">
        <f ca="1">+IFERROR(VLOOKUP(Fact_Administrativa[[#This Row],[Concepto Anterior]],Conceptos_Administrativa[#All],7,0),"")</f>
        <v/>
      </c>
      <c r="G299" s="138" t="s">
        <v>230</v>
      </c>
      <c r="H299" s="138" t="s">
        <v>230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188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223</v>
      </c>
      <c r="E300" t="str">
        <f>+IFERROR(VLOOKUP(Fact_Administrativa[[#This Row],[Concepto Anterior]],Conceptos_Administrativa[#All],5,0),"")</f>
        <v>Facturas Procesadas por Marca</v>
      </c>
      <c r="F300" t="str">
        <f ca="1">+IFERROR(VLOOKUP(Fact_Administrativa[[#This Row],[Concepto Anterior]],Conceptos_Administrativa[#All],7,0),"")</f>
        <v/>
      </c>
      <c r="G300" s="138" t="s">
        <v>108</v>
      </c>
      <c r="H300" s="138" t="s">
        <v>230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188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223</v>
      </c>
      <c r="E301" t="str">
        <f>+IFERROR(VLOOKUP(Fact_Administrativa[[#This Row],[Concepto Anterior]],Conceptos_Administrativa[#All],5,0),"")</f>
        <v>Facturas Procesadas por Marca</v>
      </c>
      <c r="F301" t="str">
        <f ca="1">+IFERROR(VLOOKUP(Fact_Administrativa[[#This Row],[Concepto Anterior]],Conceptos_Administrativa[#All],7,0),"")</f>
        <v/>
      </c>
      <c r="G301" s="138" t="s">
        <v>118</v>
      </c>
      <c r="H301" s="138" t="s">
        <v>230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188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223</v>
      </c>
      <c r="E302" t="str">
        <f>+IFERROR(VLOOKUP(Fact_Administrativa[[#This Row],[Concepto Anterior]],Conceptos_Administrativa[#All],5,0),"")</f>
        <v>Facturas Procesadas por Marca</v>
      </c>
      <c r="F302" t="str">
        <f ca="1">+IFERROR(VLOOKUP(Fact_Administrativa[[#This Row],[Concepto Anterior]],Conceptos_Administrativa[#All],7,0),"")</f>
        <v/>
      </c>
      <c r="G302" s="138" t="s">
        <v>125</v>
      </c>
      <c r="H302" s="138" t="s">
        <v>230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188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223</v>
      </c>
      <c r="E303" t="str">
        <f>+IFERROR(VLOOKUP(Fact_Administrativa[[#This Row],[Concepto Anterior]],Conceptos_Administrativa[#All],5,0),"")</f>
        <v>Facturas Procesadas por Marca</v>
      </c>
      <c r="F303" t="str">
        <f ca="1">+IFERROR(VLOOKUP(Fact_Administrativa[[#This Row],[Concepto Anterior]],Conceptos_Administrativa[#All],7,0),"")</f>
        <v/>
      </c>
      <c r="G303" s="138" t="s">
        <v>131</v>
      </c>
      <c r="H303" s="138" t="s">
        <v>230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188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223</v>
      </c>
      <c r="E304" t="str">
        <f>+IFERROR(VLOOKUP(Fact_Administrativa[[#This Row],[Concepto Anterior]],Conceptos_Administrativa[#All],5,0),"")</f>
        <v>Facturas Procesadas por Marca</v>
      </c>
      <c r="F304" t="str">
        <f ca="1">+IFERROR(VLOOKUP(Fact_Administrativa[[#This Row],[Concepto Anterior]],Conceptos_Administrativa[#All],7,0),"")</f>
        <v/>
      </c>
      <c r="G304" s="138" t="s">
        <v>141</v>
      </c>
      <c r="H304" s="138" t="s">
        <v>230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188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223</v>
      </c>
      <c r="E305" t="str">
        <f>+IFERROR(VLOOKUP(Fact_Administrativa[[#This Row],[Concepto Anterior]],Conceptos_Administrativa[#All],5,0),"")</f>
        <v>Facturas Procesadas por Marca</v>
      </c>
      <c r="F305" t="str">
        <f ca="1">+IFERROR(VLOOKUP(Fact_Administrativa[[#This Row],[Concepto Anterior]],Conceptos_Administrativa[#All],7,0),"")</f>
        <v/>
      </c>
      <c r="G305" s="138" t="s">
        <v>150</v>
      </c>
      <c r="H305" s="138" t="s">
        <v>230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188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223</v>
      </c>
      <c r="E306" t="str">
        <f>+IFERROR(VLOOKUP(Fact_Administrativa[[#This Row],[Concepto Anterior]],Conceptos_Administrativa[#All],5,0),"")</f>
        <v>Facturas Procesadas por Marca</v>
      </c>
      <c r="F306" t="str">
        <f ca="1">+IFERROR(VLOOKUP(Fact_Administrativa[[#This Row],[Concepto Anterior]],Conceptos_Administrativa[#All],7,0),"")</f>
        <v/>
      </c>
      <c r="G306" s="138" t="s">
        <v>159</v>
      </c>
      <c r="H306" s="138" t="s">
        <v>230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188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223</v>
      </c>
      <c r="E307" t="str">
        <f>+IFERROR(VLOOKUP(Fact_Administrativa[[#This Row],[Concepto Anterior]],Conceptos_Administrativa[#All],5,0),"")</f>
        <v>Facturas Procesadas por Marca</v>
      </c>
      <c r="F307" t="str">
        <f ca="1">+IFERROR(VLOOKUP(Fact_Administrativa[[#This Row],[Concepto Anterior]],Conceptos_Administrativa[#All],7,0),"")</f>
        <v/>
      </c>
      <c r="G307" s="138" t="s">
        <v>167</v>
      </c>
      <c r="H307" s="138" t="s">
        <v>230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188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223</v>
      </c>
      <c r="E308" t="str">
        <f>+IFERROR(VLOOKUP(Fact_Administrativa[[#This Row],[Concepto Anterior]],Conceptos_Administrativa[#All],5,0),"")</f>
        <v>Facturas Procesadas por Marca</v>
      </c>
      <c r="F308" t="str">
        <f ca="1">+IFERROR(VLOOKUP(Fact_Administrativa[[#This Row],[Concepto Anterior]],Conceptos_Administrativa[#All],7,0),"")</f>
        <v/>
      </c>
      <c r="G308" s="138" t="s">
        <v>174</v>
      </c>
      <c r="H308" s="138" t="s">
        <v>230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188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223</v>
      </c>
      <c r="E309" t="str">
        <f>+IFERROR(VLOOKUP(Fact_Administrativa[[#This Row],[Concepto Anterior]],Conceptos_Administrativa[#All],5,0),"")</f>
        <v>Facturas Procesadas por Marca</v>
      </c>
      <c r="F309" t="str">
        <f ca="1">+IFERROR(VLOOKUP(Fact_Administrativa[[#This Row],[Concepto Anterior]],Conceptos_Administrativa[#All],7,0),"")</f>
        <v/>
      </c>
      <c r="G309" s="138" t="s">
        <v>191</v>
      </c>
      <c r="H309" s="138" t="s">
        <v>230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188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223</v>
      </c>
      <c r="E310" t="str">
        <f>+IFERROR(VLOOKUP(Fact_Administrativa[[#This Row],[Concepto Anterior]],Conceptos_Administrativa[#All],5,0),"")</f>
        <v>Facturas Procesadas por Marca</v>
      </c>
      <c r="F310" t="str">
        <f ca="1">+IFERROR(VLOOKUP(Fact_Administrativa[[#This Row],[Concepto Anterior]],Conceptos_Administrativa[#All],7,0),"")</f>
        <v/>
      </c>
      <c r="G310" s="138" t="s">
        <v>199</v>
      </c>
      <c r="H310" s="138" t="s">
        <v>230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188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223</v>
      </c>
      <c r="E311" t="str">
        <f>+IFERROR(VLOOKUP(Fact_Administrativa[[#This Row],[Concepto Anterior]],Conceptos_Administrativa[#All],5,0),"")</f>
        <v>Facturas Procesadas por Marca</v>
      </c>
      <c r="F311" t="str">
        <f ca="1">+IFERROR(VLOOKUP(Fact_Administrativa[[#This Row],[Concepto Anterior]],Conceptos_Administrativa[#All],7,0),"")</f>
        <v/>
      </c>
      <c r="G311" s="138" t="s">
        <v>205</v>
      </c>
      <c r="H311" s="138" t="s">
        <v>230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188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223</v>
      </c>
      <c r="E312" t="str">
        <f>+IFERROR(VLOOKUP(Fact_Administrativa[[#This Row],[Concepto Anterior]],Conceptos_Administrativa[#All],5,0),"")</f>
        <v>Facturas Procesadas por Marca</v>
      </c>
      <c r="F312" t="str">
        <f ca="1">+IFERROR(VLOOKUP(Fact_Administrativa[[#This Row],[Concepto Anterior]],Conceptos_Administrativa[#All],7,0),"")</f>
        <v/>
      </c>
      <c r="G312" s="138" t="s">
        <v>212</v>
      </c>
      <c r="H312" s="138" t="s">
        <v>230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188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229</v>
      </c>
      <c r="E313" t="str">
        <f>+IFERROR(VLOOKUP(Fact_Administrativa[[#This Row],[Concepto Anterior]],Conceptos_Administrativa[#All],5,0),"")</f>
        <v>Facturas Procesadas por Marca</v>
      </c>
      <c r="F313" t="str">
        <f ca="1">+IFERROR(VLOOKUP(Fact_Administrativa[[#This Row],[Concepto Anterior]],Conceptos_Administrativa[#All],7,0),"")</f>
        <v/>
      </c>
      <c r="G313" s="138" t="s">
        <v>218</v>
      </c>
      <c r="H313" s="138" t="s">
        <v>230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188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234</v>
      </c>
      <c r="E314" t="str">
        <f>+IFERROR(VLOOKUP(Fact_Administrativa[[#This Row],[Concepto Anterior]],Conceptos_Administrativa[#All],5,0),"")</f>
        <v>Facturas Procesadas por Marca</v>
      </c>
      <c r="F314" t="str">
        <f ca="1">+IFERROR(VLOOKUP(Fact_Administrativa[[#This Row],[Concepto Anterior]],Conceptos_Administrativa[#All],7,0),"")</f>
        <v/>
      </c>
      <c r="G314" s="138" t="s">
        <v>225</v>
      </c>
      <c r="H314" s="138" t="s">
        <v>230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188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14</v>
      </c>
      <c r="E315" t="str">
        <f>+IFERROR(VLOOKUP(Fact_Administrativa[[#This Row],[Concepto Anterior]],Conceptos_Administrativa[#All],5,0),"")</f>
        <v xml:space="preserve">Ahorro reformas tiendas </v>
      </c>
      <c r="F315" t="str">
        <f ca="1">+IFERROR(VLOOKUP(Fact_Administrativa[[#This Row],[Concepto Anterior]],Conceptos_Administrativa[#All],7,0),"")</f>
        <v/>
      </c>
      <c r="G315" s="138" t="s">
        <v>230</v>
      </c>
      <c r="H315" s="138" t="s">
        <v>230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188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15</v>
      </c>
      <c r="E316" t="str">
        <f>+IFERROR(VLOOKUP(Fact_Administrativa[[#This Row],[Concepto Anterior]],Conceptos_Administrativa[#All],5,0),"")</f>
        <v>Recuperaciones Siniestros</v>
      </c>
      <c r="F316" t="str">
        <f ca="1">+IFERROR(VLOOKUP(Fact_Administrativa[[#This Row],[Concepto Anterior]],Conceptos_Administrativa[#All],7,0),"")</f>
        <v/>
      </c>
      <c r="G316" s="138" t="s">
        <v>230</v>
      </c>
      <c r="H316" s="138" t="s">
        <v>230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188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16</v>
      </c>
      <c r="E317" t="str">
        <f>+IFERROR(VLOOKUP(Fact_Administrativa[[#This Row],[Concepto Anterior]],Conceptos_Administrativa[#All],5,0),"")</f>
        <v>Gestión de Polizas</v>
      </c>
      <c r="F317" t="str">
        <f ca="1">+IFERROR(VLOOKUP(Fact_Administrativa[[#This Row],[Concepto Anterior]],Conceptos_Administrativa[#All],7,0),"")</f>
        <v/>
      </c>
      <c r="G317" s="138" t="s">
        <v>230</v>
      </c>
      <c r="H317" s="138" t="s">
        <v>230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188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18</v>
      </c>
      <c r="E318" t="str">
        <f>+IFERROR(VLOOKUP(Fact_Administrativa[[#This Row],[Concepto Anterior]],Conceptos_Administrativa[#All],5,0),"")</f>
        <v>Tickets cerrados</v>
      </c>
      <c r="F318" t="str">
        <f ca="1">+IFERROR(VLOOKUP(Fact_Administrativa[[#This Row],[Concepto Anterior]],Conceptos_Administrativa[#All],7,0),"")</f>
        <v/>
      </c>
      <c r="G318" s="138" t="s">
        <v>230</v>
      </c>
      <c r="H318" s="138" t="s">
        <v>230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188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124</v>
      </c>
      <c r="E319" t="str">
        <f>+IFERROR(VLOOKUP(Fact_Administrativa[[#This Row],[Concepto Anterior]],Conceptos_Administrativa[#All],5,0),"")</f>
        <v>Tickets proceso</v>
      </c>
      <c r="F319" t="str">
        <f ca="1">+IFERROR(VLOOKUP(Fact_Administrativa[[#This Row],[Concepto Anterior]],Conceptos_Administrativa[#All],7,0),"")</f>
        <v/>
      </c>
      <c r="G319" s="138" t="s">
        <v>230</v>
      </c>
      <c r="H319" s="138" t="s">
        <v>230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188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17</v>
      </c>
      <c r="E320" t="str">
        <f>+IFERROR(VLOOKUP(Fact_Administrativa[[#This Row],[Concepto Anterior]],Conceptos_Administrativa[#All],5,0),"")</f>
        <v>Tickets recibidos</v>
      </c>
      <c r="F320" t="str">
        <f ca="1">+IFERROR(VLOOKUP(Fact_Administrativa[[#This Row],[Concepto Anterior]],Conceptos_Administrativa[#All],7,0),"")</f>
        <v/>
      </c>
      <c r="G320" s="138" t="s">
        <v>230</v>
      </c>
      <c r="H320" s="138" t="s">
        <v>230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196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180</v>
      </c>
      <c r="E321" t="str">
        <f>+IFERROR(VLOOKUP(Fact_Administrativa[[#This Row],[Concepto Anterior]],Conceptos_Administrativa[#All],5,0),"")</f>
        <v>Ahorro energía</v>
      </c>
      <c r="F321" t="str">
        <f ca="1">+IFERROR(VLOOKUP(Fact_Administrativa[[#This Row],[Concepto Anterior]],Conceptos_Administrativa[#All],7,0),"")</f>
        <v/>
      </c>
      <c r="G321" s="138" t="s">
        <v>230</v>
      </c>
      <c r="H321" s="138" t="s">
        <v>230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196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5</v>
      </c>
      <c r="E322" t="str">
        <f>+IFERROR(VLOOKUP(Fact_Administrativa[[#This Row],[Concepto Anterior]],Conceptos_Administrativa[#All],5,0),"")</f>
        <v>Aporte fundación</v>
      </c>
      <c r="F322" t="str">
        <f ca="1">+IFERROR(VLOOKUP(Fact_Administrativa[[#This Row],[Concepto Anterior]],Conceptos_Administrativa[#All],7,0),"")</f>
        <v/>
      </c>
      <c r="G322" s="138" t="s">
        <v>230</v>
      </c>
      <c r="H322" s="138" t="s">
        <v>230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196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106</v>
      </c>
      <c r="E323" t="str">
        <f>+IFERROR(VLOOKUP(Fact_Administrativa[[#This Row],[Concepto Anterior]],Conceptos_Administrativa[#All],5,0),"")</f>
        <v>Cantidad de tiendas remodeladas</v>
      </c>
      <c r="F323" t="str">
        <f ca="1">+IFERROR(VLOOKUP(Fact_Administrativa[[#This Row],[Concepto Anterior]],Conceptos_Administrativa[#All],7,0),"")</f>
        <v/>
      </c>
      <c r="G323" s="138" t="s">
        <v>230</v>
      </c>
      <c r="H323" s="138" t="s">
        <v>230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196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197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 ca="1">+IFERROR(VLOOKUP(Fact_Administrativa[[#This Row],[Concepto Anterior]],Conceptos_Administrativa[#All],7,0),"")</f>
        <v/>
      </c>
      <c r="G324" s="138" t="s">
        <v>230</v>
      </c>
      <c r="H324" s="138" t="s">
        <v>230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196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11</v>
      </c>
      <c r="E325" t="str">
        <f>+IFERROR(VLOOKUP(Fact_Administrativa[[#This Row],[Concepto Anterior]],Conceptos_Administrativa[#All],5,0),"")</f>
        <v>Control Ingresos cede Dogama</v>
      </c>
      <c r="F325" t="str">
        <f ca="1">+IFERROR(VLOOKUP(Fact_Administrativa[[#This Row],[Concepto Anterior]],Conceptos_Administrativa[#All],7,0),"")</f>
        <v/>
      </c>
      <c r="G325" s="138" t="s">
        <v>230</v>
      </c>
      <c r="H325" s="138" t="s">
        <v>230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196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138</v>
      </c>
      <c r="E326" t="str">
        <f>+IFERROR(VLOOKUP(Fact_Administrativa[[#This Row],[Concepto Anterior]],Conceptos_Administrativa[#All],5,0),"")</f>
        <v>% Tickets Cumplimiento</v>
      </c>
      <c r="F326" t="str">
        <f ca="1">+IFERROR(VLOOKUP(Fact_Administrativa[[#This Row],[Concepto Anterior]],Conceptos_Administrativa[#All],7,0),"")</f>
        <v/>
      </c>
      <c r="G326" s="138" t="s">
        <v>230</v>
      </c>
      <c r="H326" s="138" t="s">
        <v>230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196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210</v>
      </c>
      <c r="E327" t="str">
        <f>+IFERROR(VLOOKUP(Fact_Administrativa[[#This Row],[Concepto Anterior]],Conceptos_Administrativa[#All],5,0),"")</f>
        <v>Emisiones CO²</v>
      </c>
      <c r="F327" t="str">
        <f ca="1">+IFERROR(VLOOKUP(Fact_Administrativa[[#This Row],[Concepto Anterior]],Conceptos_Administrativa[#All],7,0),"")</f>
        <v/>
      </c>
      <c r="G327" s="138" t="s">
        <v>230</v>
      </c>
      <c r="H327" s="138" t="s">
        <v>230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196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217</v>
      </c>
      <c r="E328" t="str">
        <f>+IFERROR(VLOOKUP(Fact_Administrativa[[#This Row],[Concepto Anterior]],Conceptos_Administrativa[#All],5,0),"")</f>
        <v>Facturas de arrendamientos y administración</v>
      </c>
      <c r="F328" t="str">
        <f ca="1">+IFERROR(VLOOKUP(Fact_Administrativa[[#This Row],[Concepto Anterior]],Conceptos_Administrativa[#All],7,0),"")</f>
        <v/>
      </c>
      <c r="G328" s="138" t="s">
        <v>230</v>
      </c>
      <c r="H328" s="138" t="s">
        <v>230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196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223</v>
      </c>
      <c r="E329" t="str">
        <f>+IFERROR(VLOOKUP(Fact_Administrativa[[#This Row],[Concepto Anterior]],Conceptos_Administrativa[#All],5,0),"")</f>
        <v>Facturas Procesadas por Marca</v>
      </c>
      <c r="F329" t="str">
        <f ca="1">+IFERROR(VLOOKUP(Fact_Administrativa[[#This Row],[Concepto Anterior]],Conceptos_Administrativa[#All],7,0),"")</f>
        <v/>
      </c>
      <c r="G329" s="138" t="s">
        <v>108</v>
      </c>
      <c r="H329" s="138" t="s">
        <v>230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196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223</v>
      </c>
      <c r="E330" t="str">
        <f>+IFERROR(VLOOKUP(Fact_Administrativa[[#This Row],[Concepto Anterior]],Conceptos_Administrativa[#All],5,0),"")</f>
        <v>Facturas Procesadas por Marca</v>
      </c>
      <c r="F330" t="str">
        <f ca="1">+IFERROR(VLOOKUP(Fact_Administrativa[[#This Row],[Concepto Anterior]],Conceptos_Administrativa[#All],7,0),"")</f>
        <v/>
      </c>
      <c r="G330" s="138" t="s">
        <v>118</v>
      </c>
      <c r="H330" s="138" t="s">
        <v>230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196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223</v>
      </c>
      <c r="E331" t="str">
        <f>+IFERROR(VLOOKUP(Fact_Administrativa[[#This Row],[Concepto Anterior]],Conceptos_Administrativa[#All],5,0),"")</f>
        <v>Facturas Procesadas por Marca</v>
      </c>
      <c r="F331" t="str">
        <f ca="1">+IFERROR(VLOOKUP(Fact_Administrativa[[#This Row],[Concepto Anterior]],Conceptos_Administrativa[#All],7,0),"")</f>
        <v/>
      </c>
      <c r="G331" s="138" t="s">
        <v>125</v>
      </c>
      <c r="H331" s="138" t="s">
        <v>230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196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223</v>
      </c>
      <c r="E332" t="str">
        <f>+IFERROR(VLOOKUP(Fact_Administrativa[[#This Row],[Concepto Anterior]],Conceptos_Administrativa[#All],5,0),"")</f>
        <v>Facturas Procesadas por Marca</v>
      </c>
      <c r="F332" t="str">
        <f ca="1">+IFERROR(VLOOKUP(Fact_Administrativa[[#This Row],[Concepto Anterior]],Conceptos_Administrativa[#All],7,0),"")</f>
        <v/>
      </c>
      <c r="G332" s="138" t="s">
        <v>131</v>
      </c>
      <c r="H332" s="138" t="s">
        <v>230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196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223</v>
      </c>
      <c r="E333" t="str">
        <f>+IFERROR(VLOOKUP(Fact_Administrativa[[#This Row],[Concepto Anterior]],Conceptos_Administrativa[#All],5,0),"")</f>
        <v>Facturas Procesadas por Marca</v>
      </c>
      <c r="F333" t="str">
        <f ca="1">+IFERROR(VLOOKUP(Fact_Administrativa[[#This Row],[Concepto Anterior]],Conceptos_Administrativa[#All],7,0),"")</f>
        <v/>
      </c>
      <c r="G333" s="138" t="s">
        <v>141</v>
      </c>
      <c r="H333" s="138" t="s">
        <v>230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196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223</v>
      </c>
      <c r="E334" t="str">
        <f>+IFERROR(VLOOKUP(Fact_Administrativa[[#This Row],[Concepto Anterior]],Conceptos_Administrativa[#All],5,0),"")</f>
        <v>Facturas Procesadas por Marca</v>
      </c>
      <c r="F334" t="str">
        <f ca="1">+IFERROR(VLOOKUP(Fact_Administrativa[[#This Row],[Concepto Anterior]],Conceptos_Administrativa[#All],7,0),"")</f>
        <v/>
      </c>
      <c r="G334" s="138" t="s">
        <v>150</v>
      </c>
      <c r="H334" s="138" t="s">
        <v>230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196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223</v>
      </c>
      <c r="E335" t="str">
        <f>+IFERROR(VLOOKUP(Fact_Administrativa[[#This Row],[Concepto Anterior]],Conceptos_Administrativa[#All],5,0),"")</f>
        <v>Facturas Procesadas por Marca</v>
      </c>
      <c r="F335" t="str">
        <f ca="1">+IFERROR(VLOOKUP(Fact_Administrativa[[#This Row],[Concepto Anterior]],Conceptos_Administrativa[#All],7,0),"")</f>
        <v/>
      </c>
      <c r="G335" s="138" t="s">
        <v>159</v>
      </c>
      <c r="H335" s="138" t="s">
        <v>230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196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223</v>
      </c>
      <c r="E336" t="str">
        <f>+IFERROR(VLOOKUP(Fact_Administrativa[[#This Row],[Concepto Anterior]],Conceptos_Administrativa[#All],5,0),"")</f>
        <v>Facturas Procesadas por Marca</v>
      </c>
      <c r="F336" t="str">
        <f ca="1">+IFERROR(VLOOKUP(Fact_Administrativa[[#This Row],[Concepto Anterior]],Conceptos_Administrativa[#All],7,0),"")</f>
        <v/>
      </c>
      <c r="G336" s="138" t="s">
        <v>167</v>
      </c>
      <c r="H336" s="138" t="s">
        <v>230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196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223</v>
      </c>
      <c r="E337" t="str">
        <f>+IFERROR(VLOOKUP(Fact_Administrativa[[#This Row],[Concepto Anterior]],Conceptos_Administrativa[#All],5,0),"")</f>
        <v>Facturas Procesadas por Marca</v>
      </c>
      <c r="F337" t="str">
        <f ca="1">+IFERROR(VLOOKUP(Fact_Administrativa[[#This Row],[Concepto Anterior]],Conceptos_Administrativa[#All],7,0),"")</f>
        <v/>
      </c>
      <c r="G337" s="138" t="s">
        <v>174</v>
      </c>
      <c r="H337" s="138" t="s">
        <v>230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196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223</v>
      </c>
      <c r="E338" t="str">
        <f>+IFERROR(VLOOKUP(Fact_Administrativa[[#This Row],[Concepto Anterior]],Conceptos_Administrativa[#All],5,0),"")</f>
        <v>Facturas Procesadas por Marca</v>
      </c>
      <c r="F338" t="str">
        <f ca="1">+IFERROR(VLOOKUP(Fact_Administrativa[[#This Row],[Concepto Anterior]],Conceptos_Administrativa[#All],7,0),"")</f>
        <v/>
      </c>
      <c r="G338" s="138" t="s">
        <v>191</v>
      </c>
      <c r="H338" s="138" t="s">
        <v>230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196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223</v>
      </c>
      <c r="E339" t="str">
        <f>+IFERROR(VLOOKUP(Fact_Administrativa[[#This Row],[Concepto Anterior]],Conceptos_Administrativa[#All],5,0),"")</f>
        <v>Facturas Procesadas por Marca</v>
      </c>
      <c r="F339" t="str">
        <f ca="1">+IFERROR(VLOOKUP(Fact_Administrativa[[#This Row],[Concepto Anterior]],Conceptos_Administrativa[#All],7,0),"")</f>
        <v/>
      </c>
      <c r="G339" s="138" t="s">
        <v>199</v>
      </c>
      <c r="H339" s="138" t="s">
        <v>230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196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223</v>
      </c>
      <c r="E340" t="str">
        <f>+IFERROR(VLOOKUP(Fact_Administrativa[[#This Row],[Concepto Anterior]],Conceptos_Administrativa[#All],5,0),"")</f>
        <v>Facturas Procesadas por Marca</v>
      </c>
      <c r="F340" t="str">
        <f ca="1">+IFERROR(VLOOKUP(Fact_Administrativa[[#This Row],[Concepto Anterior]],Conceptos_Administrativa[#All],7,0),"")</f>
        <v/>
      </c>
      <c r="G340" s="138" t="s">
        <v>205</v>
      </c>
      <c r="H340" s="138" t="s">
        <v>230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196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223</v>
      </c>
      <c r="E341" t="str">
        <f>+IFERROR(VLOOKUP(Fact_Administrativa[[#This Row],[Concepto Anterior]],Conceptos_Administrativa[#All],5,0),"")</f>
        <v>Facturas Procesadas por Marca</v>
      </c>
      <c r="F341" t="str">
        <f ca="1">+IFERROR(VLOOKUP(Fact_Administrativa[[#This Row],[Concepto Anterior]],Conceptos_Administrativa[#All],7,0),"")</f>
        <v/>
      </c>
      <c r="G341" s="138" t="s">
        <v>212</v>
      </c>
      <c r="H341" s="138" t="s">
        <v>230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196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229</v>
      </c>
      <c r="E342" t="str">
        <f>+IFERROR(VLOOKUP(Fact_Administrativa[[#This Row],[Concepto Anterior]],Conceptos_Administrativa[#All],5,0),"")</f>
        <v>Facturas Procesadas por Marca</v>
      </c>
      <c r="F342" t="str">
        <f ca="1">+IFERROR(VLOOKUP(Fact_Administrativa[[#This Row],[Concepto Anterior]],Conceptos_Administrativa[#All],7,0),"")</f>
        <v/>
      </c>
      <c r="G342" s="138" t="s">
        <v>218</v>
      </c>
      <c r="H342" s="138" t="s">
        <v>230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196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234</v>
      </c>
      <c r="E343" t="str">
        <f>+IFERROR(VLOOKUP(Fact_Administrativa[[#This Row],[Concepto Anterior]],Conceptos_Administrativa[#All],5,0),"")</f>
        <v>Facturas Procesadas por Marca</v>
      </c>
      <c r="F343" t="str">
        <f ca="1">+IFERROR(VLOOKUP(Fact_Administrativa[[#This Row],[Concepto Anterior]],Conceptos_Administrativa[#All],7,0),"")</f>
        <v/>
      </c>
      <c r="G343" s="138" t="s">
        <v>225</v>
      </c>
      <c r="H343" s="138" t="s">
        <v>230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196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14</v>
      </c>
      <c r="E344" t="str">
        <f>+IFERROR(VLOOKUP(Fact_Administrativa[[#This Row],[Concepto Anterior]],Conceptos_Administrativa[#All],5,0),"")</f>
        <v xml:space="preserve">Ahorro reformas tiendas </v>
      </c>
      <c r="F344" t="str">
        <f ca="1">+IFERROR(VLOOKUP(Fact_Administrativa[[#This Row],[Concepto Anterior]],Conceptos_Administrativa[#All],7,0),"")</f>
        <v/>
      </c>
      <c r="G344" s="138" t="s">
        <v>230</v>
      </c>
      <c r="H344" s="138" t="s">
        <v>230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196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15</v>
      </c>
      <c r="E345" t="str">
        <f>+IFERROR(VLOOKUP(Fact_Administrativa[[#This Row],[Concepto Anterior]],Conceptos_Administrativa[#All],5,0),"")</f>
        <v>Recuperaciones Siniestros</v>
      </c>
      <c r="F345" t="str">
        <f ca="1">+IFERROR(VLOOKUP(Fact_Administrativa[[#This Row],[Concepto Anterior]],Conceptos_Administrativa[#All],7,0),"")</f>
        <v/>
      </c>
      <c r="G345" s="138" t="s">
        <v>230</v>
      </c>
      <c r="H345" s="138" t="s">
        <v>230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196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16</v>
      </c>
      <c r="E346" t="str">
        <f>+IFERROR(VLOOKUP(Fact_Administrativa[[#This Row],[Concepto Anterior]],Conceptos_Administrativa[#All],5,0),"")</f>
        <v>Gestión de Polizas</v>
      </c>
      <c r="F346" t="str">
        <f ca="1">+IFERROR(VLOOKUP(Fact_Administrativa[[#This Row],[Concepto Anterior]],Conceptos_Administrativa[#All],7,0),"")</f>
        <v/>
      </c>
      <c r="G346" s="138" t="s">
        <v>230</v>
      </c>
      <c r="H346" s="138" t="s">
        <v>230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196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18</v>
      </c>
      <c r="E347" t="str">
        <f>+IFERROR(VLOOKUP(Fact_Administrativa[[#This Row],[Concepto Anterior]],Conceptos_Administrativa[#All],5,0),"")</f>
        <v>Tickets cerrados</v>
      </c>
      <c r="F347" t="str">
        <f ca="1">+IFERROR(VLOOKUP(Fact_Administrativa[[#This Row],[Concepto Anterior]],Conceptos_Administrativa[#All],7,0),"")</f>
        <v/>
      </c>
      <c r="G347" s="138" t="s">
        <v>230</v>
      </c>
      <c r="H347" s="138" t="s">
        <v>230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196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124</v>
      </c>
      <c r="E348" t="str">
        <f>+IFERROR(VLOOKUP(Fact_Administrativa[[#This Row],[Concepto Anterior]],Conceptos_Administrativa[#All],5,0),"")</f>
        <v>Tickets proceso</v>
      </c>
      <c r="F348" t="str">
        <f ca="1">+IFERROR(VLOOKUP(Fact_Administrativa[[#This Row],[Concepto Anterior]],Conceptos_Administrativa[#All],7,0),"")</f>
        <v/>
      </c>
      <c r="G348" s="138" t="s">
        <v>230</v>
      </c>
      <c r="H348" s="138" t="s">
        <v>230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196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17</v>
      </c>
      <c r="E349" t="str">
        <f>+IFERROR(VLOOKUP(Fact_Administrativa[[#This Row],[Concepto Anterior]],Conceptos_Administrativa[#All],5,0),"")</f>
        <v>Tickets recibidos</v>
      </c>
      <c r="F349" t="str">
        <f ca="1">+IFERROR(VLOOKUP(Fact_Administrativa[[#This Row],[Concepto Anterior]],Conceptos_Administrativa[#All],7,0),"")</f>
        <v/>
      </c>
      <c r="G349" s="138" t="s">
        <v>230</v>
      </c>
      <c r="H349" s="138" t="s">
        <v>230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105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180</v>
      </c>
      <c r="E350" t="str">
        <f>+IFERROR(VLOOKUP(Fact_Administrativa[[#This Row],[Concepto Anterior]],Conceptos_Administrativa[#All],5,0),"")</f>
        <v>Ahorro energía</v>
      </c>
      <c r="F350" t="str">
        <f ca="1">+IFERROR(VLOOKUP(Fact_Administrativa[[#This Row],[Concepto Anterior]],Conceptos_Administrativa[#All],7,0),"")</f>
        <v/>
      </c>
      <c r="G350" s="138" t="s">
        <v>230</v>
      </c>
      <c r="H350" s="138" t="s">
        <v>230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105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189</v>
      </c>
      <c r="E351" t="str">
        <f>+IFERROR(VLOOKUP(Fact_Administrativa[[#This Row],[Concepto Anterior]],Conceptos_Administrativa[#All],5,0),"")</f>
        <v xml:space="preserve">Cant. reformas tiendas </v>
      </c>
      <c r="F351" t="str">
        <f ca="1">+IFERROR(VLOOKUP(Fact_Administrativa[[#This Row],[Concepto Anterior]],Conceptos_Administrativa[#All],7,0),"")</f>
        <v/>
      </c>
      <c r="G351" s="138" t="s">
        <v>230</v>
      </c>
      <c r="H351" s="138" t="s">
        <v>230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105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197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 ca="1">+IFERROR(VLOOKUP(Fact_Administrativa[[#This Row],[Concepto Anterior]],Conceptos_Administrativa[#All],7,0),"")</f>
        <v/>
      </c>
      <c r="G352" s="138" t="s">
        <v>230</v>
      </c>
      <c r="H352" s="138" t="s">
        <v>230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105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11</v>
      </c>
      <c r="E353" t="str">
        <f>+IFERROR(VLOOKUP(Fact_Administrativa[[#This Row],[Concepto Anterior]],Conceptos_Administrativa[#All],5,0),"")</f>
        <v>Control Ingresos cede Dogama</v>
      </c>
      <c r="F353" t="str">
        <f ca="1">+IFERROR(VLOOKUP(Fact_Administrativa[[#This Row],[Concepto Anterior]],Conceptos_Administrativa[#All],7,0),"")</f>
        <v/>
      </c>
      <c r="G353" s="138" t="s">
        <v>230</v>
      </c>
      <c r="H353" s="138" t="s">
        <v>230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105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210</v>
      </c>
      <c r="E354" t="str">
        <f>+IFERROR(VLOOKUP(Fact_Administrativa[[#This Row],[Concepto Anterior]],Conceptos_Administrativa[#All],5,0),"")</f>
        <v>Emisiones CO²</v>
      </c>
      <c r="F354" t="str">
        <f ca="1">+IFERROR(VLOOKUP(Fact_Administrativa[[#This Row],[Concepto Anterior]],Conceptos_Administrativa[#All],7,0),"")</f>
        <v/>
      </c>
      <c r="G354" s="138" t="s">
        <v>230</v>
      </c>
      <c r="H354" s="138" t="s">
        <v>230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105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217</v>
      </c>
      <c r="E355" t="str">
        <f>+IFERROR(VLOOKUP(Fact_Administrativa[[#This Row],[Concepto Anterior]],Conceptos_Administrativa[#All],5,0),"")</f>
        <v>Facturas de arrendamientos y administración</v>
      </c>
      <c r="F355" t="str">
        <f ca="1">+IFERROR(VLOOKUP(Fact_Administrativa[[#This Row],[Concepto Anterior]],Conceptos_Administrativa[#All],7,0),"")</f>
        <v/>
      </c>
      <c r="G355" s="138" t="s">
        <v>230</v>
      </c>
      <c r="H355" s="138" t="s">
        <v>230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105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223</v>
      </c>
      <c r="E356" t="str">
        <f>+IFERROR(VLOOKUP(Fact_Administrativa[[#This Row],[Concepto Anterior]],Conceptos_Administrativa[#All],5,0),"")</f>
        <v>Facturas Procesadas por Marca</v>
      </c>
      <c r="F356" t="str">
        <f ca="1">+IFERROR(VLOOKUP(Fact_Administrativa[[#This Row],[Concepto Anterior]],Conceptos_Administrativa[#All],7,0),"")</f>
        <v/>
      </c>
      <c r="G356" s="138" t="s">
        <v>108</v>
      </c>
      <c r="H356" s="138" t="s">
        <v>230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105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223</v>
      </c>
      <c r="E357" t="str">
        <f>+IFERROR(VLOOKUP(Fact_Administrativa[[#This Row],[Concepto Anterior]],Conceptos_Administrativa[#All],5,0),"")</f>
        <v>Facturas Procesadas por Marca</v>
      </c>
      <c r="F357" t="str">
        <f ca="1">+IFERROR(VLOOKUP(Fact_Administrativa[[#This Row],[Concepto Anterior]],Conceptos_Administrativa[#All],7,0),"")</f>
        <v/>
      </c>
      <c r="G357" s="138" t="s">
        <v>118</v>
      </c>
      <c r="H357" s="138" t="s">
        <v>230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105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223</v>
      </c>
      <c r="E358" t="str">
        <f>+IFERROR(VLOOKUP(Fact_Administrativa[[#This Row],[Concepto Anterior]],Conceptos_Administrativa[#All],5,0),"")</f>
        <v>Facturas Procesadas por Marca</v>
      </c>
      <c r="F358" t="str">
        <f ca="1">+IFERROR(VLOOKUP(Fact_Administrativa[[#This Row],[Concepto Anterior]],Conceptos_Administrativa[#All],7,0),"")</f>
        <v/>
      </c>
      <c r="G358" s="138" t="s">
        <v>125</v>
      </c>
      <c r="H358" s="138" t="s">
        <v>230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105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223</v>
      </c>
      <c r="E359" t="str">
        <f>+IFERROR(VLOOKUP(Fact_Administrativa[[#This Row],[Concepto Anterior]],Conceptos_Administrativa[#All],5,0),"")</f>
        <v>Facturas Procesadas por Marca</v>
      </c>
      <c r="F359" t="str">
        <f ca="1">+IFERROR(VLOOKUP(Fact_Administrativa[[#This Row],[Concepto Anterior]],Conceptos_Administrativa[#All],7,0),"")</f>
        <v/>
      </c>
      <c r="G359" s="138" t="s">
        <v>131</v>
      </c>
      <c r="H359" s="138" t="s">
        <v>230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105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223</v>
      </c>
      <c r="E360" t="str">
        <f>+IFERROR(VLOOKUP(Fact_Administrativa[[#This Row],[Concepto Anterior]],Conceptos_Administrativa[#All],5,0),"")</f>
        <v>Facturas Procesadas por Marca</v>
      </c>
      <c r="F360" t="str">
        <f ca="1">+IFERROR(VLOOKUP(Fact_Administrativa[[#This Row],[Concepto Anterior]],Conceptos_Administrativa[#All],7,0),"")</f>
        <v/>
      </c>
      <c r="G360" s="138" t="s">
        <v>141</v>
      </c>
      <c r="H360" s="138" t="s">
        <v>230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105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223</v>
      </c>
      <c r="E361" t="str">
        <f>+IFERROR(VLOOKUP(Fact_Administrativa[[#This Row],[Concepto Anterior]],Conceptos_Administrativa[#All],5,0),"")</f>
        <v>Facturas Procesadas por Marca</v>
      </c>
      <c r="F361" t="str">
        <f ca="1">+IFERROR(VLOOKUP(Fact_Administrativa[[#This Row],[Concepto Anterior]],Conceptos_Administrativa[#All],7,0),"")</f>
        <v/>
      </c>
      <c r="G361" s="138" t="s">
        <v>150</v>
      </c>
      <c r="H361" s="138" t="s">
        <v>230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105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223</v>
      </c>
      <c r="E362" t="str">
        <f>+IFERROR(VLOOKUP(Fact_Administrativa[[#This Row],[Concepto Anterior]],Conceptos_Administrativa[#All],5,0),"")</f>
        <v>Facturas Procesadas por Marca</v>
      </c>
      <c r="F362" t="str">
        <f ca="1">+IFERROR(VLOOKUP(Fact_Administrativa[[#This Row],[Concepto Anterior]],Conceptos_Administrativa[#All],7,0),"")</f>
        <v/>
      </c>
      <c r="G362" s="138" t="s">
        <v>159</v>
      </c>
      <c r="H362" s="138" t="s">
        <v>230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105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223</v>
      </c>
      <c r="E363" t="str">
        <f>+IFERROR(VLOOKUP(Fact_Administrativa[[#This Row],[Concepto Anterior]],Conceptos_Administrativa[#All],5,0),"")</f>
        <v>Facturas Procesadas por Marca</v>
      </c>
      <c r="F363" t="str">
        <f ca="1">+IFERROR(VLOOKUP(Fact_Administrativa[[#This Row],[Concepto Anterior]],Conceptos_Administrativa[#All],7,0),"")</f>
        <v/>
      </c>
      <c r="G363" s="138" t="s">
        <v>167</v>
      </c>
      <c r="H363" s="138" t="s">
        <v>230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105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223</v>
      </c>
      <c r="E364" t="str">
        <f>+IFERROR(VLOOKUP(Fact_Administrativa[[#This Row],[Concepto Anterior]],Conceptos_Administrativa[#All],5,0),"")</f>
        <v>Facturas Procesadas por Marca</v>
      </c>
      <c r="F364" t="str">
        <f ca="1">+IFERROR(VLOOKUP(Fact_Administrativa[[#This Row],[Concepto Anterior]],Conceptos_Administrativa[#All],7,0),"")</f>
        <v/>
      </c>
      <c r="G364" s="138" t="s">
        <v>174</v>
      </c>
      <c r="H364" s="138" t="s">
        <v>230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105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223</v>
      </c>
      <c r="E365" t="str">
        <f>+IFERROR(VLOOKUP(Fact_Administrativa[[#This Row],[Concepto Anterior]],Conceptos_Administrativa[#All],5,0),"")</f>
        <v>Facturas Procesadas por Marca</v>
      </c>
      <c r="F365" t="str">
        <f ca="1">+IFERROR(VLOOKUP(Fact_Administrativa[[#This Row],[Concepto Anterior]],Conceptos_Administrativa[#All],7,0),"")</f>
        <v/>
      </c>
      <c r="G365" s="138" t="s">
        <v>182</v>
      </c>
      <c r="H365" s="138" t="s">
        <v>230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105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223</v>
      </c>
      <c r="E366" t="str">
        <f>+IFERROR(VLOOKUP(Fact_Administrativa[[#This Row],[Concepto Anterior]],Conceptos_Administrativa[#All],5,0),"")</f>
        <v>Facturas Procesadas por Marca</v>
      </c>
      <c r="F366" t="str">
        <f ca="1">+IFERROR(VLOOKUP(Fact_Administrativa[[#This Row],[Concepto Anterior]],Conceptos_Administrativa[#All],7,0),"")</f>
        <v/>
      </c>
      <c r="G366" s="138" t="s">
        <v>191</v>
      </c>
      <c r="H366" s="138" t="s">
        <v>230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105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223</v>
      </c>
      <c r="E367" t="str">
        <f>+IFERROR(VLOOKUP(Fact_Administrativa[[#This Row],[Concepto Anterior]],Conceptos_Administrativa[#All],5,0),"")</f>
        <v>Facturas Procesadas por Marca</v>
      </c>
      <c r="F367" t="str">
        <f ca="1">+IFERROR(VLOOKUP(Fact_Administrativa[[#This Row],[Concepto Anterior]],Conceptos_Administrativa[#All],7,0),"")</f>
        <v/>
      </c>
      <c r="G367" s="138" t="s">
        <v>199</v>
      </c>
      <c r="H367" s="138" t="s">
        <v>230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105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223</v>
      </c>
      <c r="E368" t="str">
        <f>+IFERROR(VLOOKUP(Fact_Administrativa[[#This Row],[Concepto Anterior]],Conceptos_Administrativa[#All],5,0),"")</f>
        <v>Facturas Procesadas por Marca</v>
      </c>
      <c r="F368" t="str">
        <f ca="1">+IFERROR(VLOOKUP(Fact_Administrativa[[#This Row],[Concepto Anterior]],Conceptos_Administrativa[#All],7,0),"")</f>
        <v/>
      </c>
      <c r="G368" s="138" t="s">
        <v>205</v>
      </c>
      <c r="H368" s="138" t="s">
        <v>230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105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223</v>
      </c>
      <c r="E369" t="str">
        <f>+IFERROR(VLOOKUP(Fact_Administrativa[[#This Row],[Concepto Anterior]],Conceptos_Administrativa[#All],5,0),"")</f>
        <v>Facturas Procesadas por Marca</v>
      </c>
      <c r="F369" t="str">
        <f ca="1">+IFERROR(VLOOKUP(Fact_Administrativa[[#This Row],[Concepto Anterior]],Conceptos_Administrativa[#All],7,0),"")</f>
        <v/>
      </c>
      <c r="G369" s="138" t="s">
        <v>212</v>
      </c>
      <c r="H369" s="138" t="s">
        <v>230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105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229</v>
      </c>
      <c r="E370" t="str">
        <f>+IFERROR(VLOOKUP(Fact_Administrativa[[#This Row],[Concepto Anterior]],Conceptos_Administrativa[#All],5,0),"")</f>
        <v>Facturas Procesadas por Marca</v>
      </c>
      <c r="F370" t="str">
        <f ca="1">+IFERROR(VLOOKUP(Fact_Administrativa[[#This Row],[Concepto Anterior]],Conceptos_Administrativa[#All],7,0),"")</f>
        <v/>
      </c>
      <c r="G370" s="138" t="s">
        <v>218</v>
      </c>
      <c r="H370" s="138" t="s">
        <v>230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105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234</v>
      </c>
      <c r="E371" t="str">
        <f>+IFERROR(VLOOKUP(Fact_Administrativa[[#This Row],[Concepto Anterior]],Conceptos_Administrativa[#All],5,0),"")</f>
        <v>Facturas Procesadas por Marca</v>
      </c>
      <c r="F371" t="str">
        <f ca="1">+IFERROR(VLOOKUP(Fact_Administrativa[[#This Row],[Concepto Anterior]],Conceptos_Administrativa[#All],7,0),"")</f>
        <v/>
      </c>
      <c r="G371" s="138" t="s">
        <v>225</v>
      </c>
      <c r="H371" s="138" t="s">
        <v>230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105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14</v>
      </c>
      <c r="E372" t="str">
        <f>+IFERROR(VLOOKUP(Fact_Administrativa[[#This Row],[Concepto Anterior]],Conceptos_Administrativa[#All],5,0),"")</f>
        <v xml:space="preserve">Ahorro reformas tiendas </v>
      </c>
      <c r="F372" t="str">
        <f ca="1">+IFERROR(VLOOKUP(Fact_Administrativa[[#This Row],[Concepto Anterior]],Conceptos_Administrativa[#All],7,0),"")</f>
        <v/>
      </c>
      <c r="G372" s="138" t="s">
        <v>230</v>
      </c>
      <c r="H372" s="138" t="s">
        <v>230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105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240</v>
      </c>
      <c r="E373" t="str">
        <f>+IFERROR(VLOOKUP(Fact_Administrativa[[#This Row],[Concepto Anterior]],Conceptos_Administrativa[#All],5,0),"")</f>
        <v>Noches hospedaje</v>
      </c>
      <c r="F373" t="str">
        <f ca="1">+IFERROR(VLOOKUP(Fact_Administrativa[[#This Row],[Concepto Anterior]],Conceptos_Administrativa[#All],7,0),"")</f>
        <v/>
      </c>
      <c r="G373" s="138" t="s">
        <v>230</v>
      </c>
      <c r="H373" s="138" t="s">
        <v>230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105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15</v>
      </c>
      <c r="E374" t="str">
        <f>+IFERROR(VLOOKUP(Fact_Administrativa[[#This Row],[Concepto Anterior]],Conceptos_Administrativa[#All],5,0),"")</f>
        <v>Recuperaciones Siniestros</v>
      </c>
      <c r="F374" t="str">
        <f ca="1">+IFERROR(VLOOKUP(Fact_Administrativa[[#This Row],[Concepto Anterior]],Conceptos_Administrativa[#All],7,0),"")</f>
        <v/>
      </c>
      <c r="G374" s="138" t="s">
        <v>230</v>
      </c>
      <c r="H374" s="138" t="s">
        <v>230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105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16</v>
      </c>
      <c r="E375" t="str">
        <f>+IFERROR(VLOOKUP(Fact_Administrativa[[#This Row],[Concepto Anterior]],Conceptos_Administrativa[#All],5,0),"")</f>
        <v>Gestión de Polizas</v>
      </c>
      <c r="F375" t="str">
        <f ca="1">+IFERROR(VLOOKUP(Fact_Administrativa[[#This Row],[Concepto Anterior]],Conceptos_Administrativa[#All],7,0),"")</f>
        <v/>
      </c>
      <c r="G375" s="138" t="s">
        <v>230</v>
      </c>
      <c r="H375" s="138" t="s">
        <v>230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105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250</v>
      </c>
      <c r="E376" t="str">
        <f>+IFERROR(VLOOKUP(Fact_Administrativa[[#This Row],[Concepto Anterior]],Conceptos_Administrativa[#All],5,0),"")</f>
        <v>Total tickets recibidos</v>
      </c>
      <c r="F376" t="str">
        <f ca="1">+IFERROR(VLOOKUP(Fact_Administrativa[[#This Row],[Concepto Anterior]],Conceptos_Administrativa[#All],7,0),"")</f>
        <v/>
      </c>
      <c r="G376" s="138" t="s">
        <v>230</v>
      </c>
      <c r="H376" s="138" t="s">
        <v>230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105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253</v>
      </c>
      <c r="E377" t="str">
        <f>+IFERROR(VLOOKUP(Fact_Administrativa[[#This Row],[Concepto Anterior]],Conceptos_Administrativa[#All],5,0),"")</f>
        <v>Tickets Cerrados con ANS</v>
      </c>
      <c r="F377" t="str">
        <f ca="1">+IFERROR(VLOOKUP(Fact_Administrativa[[#This Row],[Concepto Anterior]],Conceptos_Administrativa[#All],7,0),"")</f>
        <v/>
      </c>
      <c r="G377" s="138" t="s">
        <v>230</v>
      </c>
      <c r="H377" s="138" t="s">
        <v>230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105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256</v>
      </c>
      <c r="E378" t="str">
        <f>+IFERROR(VLOOKUP(Fact_Administrativa[[#This Row],[Concepto Anterior]],Conceptos_Administrativa[#All],5,0),"")</f>
        <v>Tickets Vencidos</v>
      </c>
      <c r="F378" t="str">
        <f ca="1">+IFERROR(VLOOKUP(Fact_Administrativa[[#This Row],[Concepto Anterior]],Conceptos_Administrativa[#All],7,0),"")</f>
        <v/>
      </c>
      <c r="G378" s="138" t="s">
        <v>230</v>
      </c>
      <c r="H378" s="138" t="s">
        <v>230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117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180</v>
      </c>
      <c r="E379" t="str">
        <f>+IFERROR(VLOOKUP(Fact_Administrativa[[#This Row],[Concepto Anterior]],Conceptos_Administrativa[#All],5,0),"")</f>
        <v>Ahorro energía</v>
      </c>
      <c r="F379" t="str">
        <f ca="1">+IFERROR(VLOOKUP(Fact_Administrativa[[#This Row],[Concepto Anterior]],Conceptos_Administrativa[#All],7,0),"")</f>
        <v/>
      </c>
      <c r="G379" s="138" t="s">
        <v>230</v>
      </c>
      <c r="H379" s="138" t="s">
        <v>230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117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189</v>
      </c>
      <c r="E380" t="str">
        <f>+IFERROR(VLOOKUP(Fact_Administrativa[[#This Row],[Concepto Anterior]],Conceptos_Administrativa[#All],5,0),"")</f>
        <v xml:space="preserve">Cant. reformas tiendas </v>
      </c>
      <c r="F380" t="str">
        <f ca="1">+IFERROR(VLOOKUP(Fact_Administrativa[[#This Row],[Concepto Anterior]],Conceptos_Administrativa[#All],7,0),"")</f>
        <v/>
      </c>
      <c r="G380" s="138" t="s">
        <v>230</v>
      </c>
      <c r="H380" s="138" t="s">
        <v>230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117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197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 ca="1">+IFERROR(VLOOKUP(Fact_Administrativa[[#This Row],[Concepto Anterior]],Conceptos_Administrativa[#All],7,0),"")</f>
        <v/>
      </c>
      <c r="G381" s="138" t="s">
        <v>230</v>
      </c>
      <c r="H381" s="138" t="s">
        <v>230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117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11</v>
      </c>
      <c r="E382" t="str">
        <f>+IFERROR(VLOOKUP(Fact_Administrativa[[#This Row],[Concepto Anterior]],Conceptos_Administrativa[#All],5,0),"")</f>
        <v>Control Ingresos cede Dogama</v>
      </c>
      <c r="F382" t="str">
        <f ca="1">+IFERROR(VLOOKUP(Fact_Administrativa[[#This Row],[Concepto Anterior]],Conceptos_Administrativa[#All],7,0),"")</f>
        <v/>
      </c>
      <c r="G382" s="138" t="s">
        <v>230</v>
      </c>
      <c r="H382" s="138" t="s">
        <v>230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117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210</v>
      </c>
      <c r="E383" t="str">
        <f>+IFERROR(VLOOKUP(Fact_Administrativa[[#This Row],[Concepto Anterior]],Conceptos_Administrativa[#All],5,0),"")</f>
        <v>Emisiones CO²</v>
      </c>
      <c r="F383" t="str">
        <f ca="1">+IFERROR(VLOOKUP(Fact_Administrativa[[#This Row],[Concepto Anterior]],Conceptos_Administrativa[#All],7,0),"")</f>
        <v/>
      </c>
      <c r="G383" s="138" t="s">
        <v>230</v>
      </c>
      <c r="H383" s="138" t="s">
        <v>230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117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217</v>
      </c>
      <c r="E384" t="str">
        <f>+IFERROR(VLOOKUP(Fact_Administrativa[[#This Row],[Concepto Anterior]],Conceptos_Administrativa[#All],5,0),"")</f>
        <v>Facturas de arrendamientos y administración</v>
      </c>
      <c r="F384" t="str">
        <f ca="1">+IFERROR(VLOOKUP(Fact_Administrativa[[#This Row],[Concepto Anterior]],Conceptos_Administrativa[#All],7,0),"")</f>
        <v/>
      </c>
      <c r="G384" s="138" t="s">
        <v>230</v>
      </c>
      <c r="H384" s="138" t="s">
        <v>230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117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223</v>
      </c>
      <c r="E385" t="str">
        <f>+IFERROR(VLOOKUP(Fact_Administrativa[[#This Row],[Concepto Anterior]],Conceptos_Administrativa[#All],5,0),"")</f>
        <v>Facturas Procesadas por Marca</v>
      </c>
      <c r="F385" t="str">
        <f ca="1">+IFERROR(VLOOKUP(Fact_Administrativa[[#This Row],[Concepto Anterior]],Conceptos_Administrativa[#All],7,0),"")</f>
        <v/>
      </c>
      <c r="G385" s="138" t="s">
        <v>108</v>
      </c>
      <c r="H385" s="138" t="s">
        <v>230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117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223</v>
      </c>
      <c r="E386" t="str">
        <f>+IFERROR(VLOOKUP(Fact_Administrativa[[#This Row],[Concepto Anterior]],Conceptos_Administrativa[#All],5,0),"")</f>
        <v>Facturas Procesadas por Marca</v>
      </c>
      <c r="F386" t="str">
        <f ca="1">+IFERROR(VLOOKUP(Fact_Administrativa[[#This Row],[Concepto Anterior]],Conceptos_Administrativa[#All],7,0),"")</f>
        <v/>
      </c>
      <c r="G386" s="138" t="s">
        <v>118</v>
      </c>
      <c r="H386" s="138" t="s">
        <v>230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117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223</v>
      </c>
      <c r="E387" t="str">
        <f>+IFERROR(VLOOKUP(Fact_Administrativa[[#This Row],[Concepto Anterior]],Conceptos_Administrativa[#All],5,0),"")</f>
        <v>Facturas Procesadas por Marca</v>
      </c>
      <c r="F387" t="str">
        <f ca="1">+IFERROR(VLOOKUP(Fact_Administrativa[[#This Row],[Concepto Anterior]],Conceptos_Administrativa[#All],7,0),"")</f>
        <v/>
      </c>
      <c r="G387" s="138" t="s">
        <v>125</v>
      </c>
      <c r="H387" s="138" t="s">
        <v>230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117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223</v>
      </c>
      <c r="E388" t="str">
        <f>+IFERROR(VLOOKUP(Fact_Administrativa[[#This Row],[Concepto Anterior]],Conceptos_Administrativa[#All],5,0),"")</f>
        <v>Facturas Procesadas por Marca</v>
      </c>
      <c r="F388" t="str">
        <f ca="1">+IFERROR(VLOOKUP(Fact_Administrativa[[#This Row],[Concepto Anterior]],Conceptos_Administrativa[#All],7,0),"")</f>
        <v/>
      </c>
      <c r="G388" s="138" t="s">
        <v>131</v>
      </c>
      <c r="H388" s="138" t="s">
        <v>230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117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223</v>
      </c>
      <c r="E389" t="str">
        <f>+IFERROR(VLOOKUP(Fact_Administrativa[[#This Row],[Concepto Anterior]],Conceptos_Administrativa[#All],5,0),"")</f>
        <v>Facturas Procesadas por Marca</v>
      </c>
      <c r="F389" t="str">
        <f ca="1">+IFERROR(VLOOKUP(Fact_Administrativa[[#This Row],[Concepto Anterior]],Conceptos_Administrativa[#All],7,0),"")</f>
        <v/>
      </c>
      <c r="G389" s="138" t="s">
        <v>141</v>
      </c>
      <c r="H389" s="138" t="s">
        <v>230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117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223</v>
      </c>
      <c r="E390" t="str">
        <f>+IFERROR(VLOOKUP(Fact_Administrativa[[#This Row],[Concepto Anterior]],Conceptos_Administrativa[#All],5,0),"")</f>
        <v>Facturas Procesadas por Marca</v>
      </c>
      <c r="F390" t="str">
        <f ca="1">+IFERROR(VLOOKUP(Fact_Administrativa[[#This Row],[Concepto Anterior]],Conceptos_Administrativa[#All],7,0),"")</f>
        <v/>
      </c>
      <c r="G390" s="138" t="s">
        <v>150</v>
      </c>
      <c r="H390" s="138" t="s">
        <v>230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117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223</v>
      </c>
      <c r="E391" t="str">
        <f>+IFERROR(VLOOKUP(Fact_Administrativa[[#This Row],[Concepto Anterior]],Conceptos_Administrativa[#All],5,0),"")</f>
        <v>Facturas Procesadas por Marca</v>
      </c>
      <c r="F391" t="str">
        <f ca="1">+IFERROR(VLOOKUP(Fact_Administrativa[[#This Row],[Concepto Anterior]],Conceptos_Administrativa[#All],7,0),"")</f>
        <v/>
      </c>
      <c r="G391" s="138" t="s">
        <v>159</v>
      </c>
      <c r="H391" s="138" t="s">
        <v>230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117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223</v>
      </c>
      <c r="E392" t="str">
        <f>+IFERROR(VLOOKUP(Fact_Administrativa[[#This Row],[Concepto Anterior]],Conceptos_Administrativa[#All],5,0),"")</f>
        <v>Facturas Procesadas por Marca</v>
      </c>
      <c r="F392" t="str">
        <f ca="1">+IFERROR(VLOOKUP(Fact_Administrativa[[#This Row],[Concepto Anterior]],Conceptos_Administrativa[#All],7,0),"")</f>
        <v/>
      </c>
      <c r="G392" s="138" t="s">
        <v>167</v>
      </c>
      <c r="H392" s="138" t="s">
        <v>230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117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223</v>
      </c>
      <c r="E393" t="str">
        <f>+IFERROR(VLOOKUP(Fact_Administrativa[[#This Row],[Concepto Anterior]],Conceptos_Administrativa[#All],5,0),"")</f>
        <v>Facturas Procesadas por Marca</v>
      </c>
      <c r="F393" t="str">
        <f ca="1">+IFERROR(VLOOKUP(Fact_Administrativa[[#This Row],[Concepto Anterior]],Conceptos_Administrativa[#All],7,0),"")</f>
        <v/>
      </c>
      <c r="G393" s="138" t="s">
        <v>174</v>
      </c>
      <c r="H393" s="138" t="s">
        <v>230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117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223</v>
      </c>
      <c r="E394" t="str">
        <f>+IFERROR(VLOOKUP(Fact_Administrativa[[#This Row],[Concepto Anterior]],Conceptos_Administrativa[#All],5,0),"")</f>
        <v>Facturas Procesadas por Marca</v>
      </c>
      <c r="F394" t="str">
        <f ca="1">+IFERROR(VLOOKUP(Fact_Administrativa[[#This Row],[Concepto Anterior]],Conceptos_Administrativa[#All],7,0),"")</f>
        <v/>
      </c>
      <c r="G394" s="138" t="s">
        <v>182</v>
      </c>
      <c r="H394" s="138" t="s">
        <v>230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117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223</v>
      </c>
      <c r="E395" t="str">
        <f>+IFERROR(VLOOKUP(Fact_Administrativa[[#This Row],[Concepto Anterior]],Conceptos_Administrativa[#All],5,0),"")</f>
        <v>Facturas Procesadas por Marca</v>
      </c>
      <c r="F395" t="str">
        <f ca="1">+IFERROR(VLOOKUP(Fact_Administrativa[[#This Row],[Concepto Anterior]],Conceptos_Administrativa[#All],7,0),"")</f>
        <v/>
      </c>
      <c r="G395" s="138" t="s">
        <v>191</v>
      </c>
      <c r="H395" s="138" t="s">
        <v>230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117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223</v>
      </c>
      <c r="E396" t="str">
        <f>+IFERROR(VLOOKUP(Fact_Administrativa[[#This Row],[Concepto Anterior]],Conceptos_Administrativa[#All],5,0),"")</f>
        <v>Facturas Procesadas por Marca</v>
      </c>
      <c r="F396" t="str">
        <f ca="1">+IFERROR(VLOOKUP(Fact_Administrativa[[#This Row],[Concepto Anterior]],Conceptos_Administrativa[#All],7,0),"")</f>
        <v/>
      </c>
      <c r="G396" s="138" t="s">
        <v>199</v>
      </c>
      <c r="H396" s="138" t="s">
        <v>230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117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223</v>
      </c>
      <c r="E397" t="str">
        <f>+IFERROR(VLOOKUP(Fact_Administrativa[[#This Row],[Concepto Anterior]],Conceptos_Administrativa[#All],5,0),"")</f>
        <v>Facturas Procesadas por Marca</v>
      </c>
      <c r="F397" t="str">
        <f ca="1">+IFERROR(VLOOKUP(Fact_Administrativa[[#This Row],[Concepto Anterior]],Conceptos_Administrativa[#All],7,0),"")</f>
        <v/>
      </c>
      <c r="G397" s="138" t="s">
        <v>205</v>
      </c>
      <c r="H397" s="138" t="s">
        <v>230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117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223</v>
      </c>
      <c r="E398" t="str">
        <f>+IFERROR(VLOOKUP(Fact_Administrativa[[#This Row],[Concepto Anterior]],Conceptos_Administrativa[#All],5,0),"")</f>
        <v>Facturas Procesadas por Marca</v>
      </c>
      <c r="F398" t="str">
        <f ca="1">+IFERROR(VLOOKUP(Fact_Administrativa[[#This Row],[Concepto Anterior]],Conceptos_Administrativa[#All],7,0),"")</f>
        <v/>
      </c>
      <c r="G398" s="138" t="s">
        <v>212</v>
      </c>
      <c r="H398" s="138" t="s">
        <v>230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117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229</v>
      </c>
      <c r="E399" t="str">
        <f>+IFERROR(VLOOKUP(Fact_Administrativa[[#This Row],[Concepto Anterior]],Conceptos_Administrativa[#All],5,0),"")</f>
        <v>Facturas Procesadas por Marca</v>
      </c>
      <c r="F399" t="str">
        <f ca="1">+IFERROR(VLOOKUP(Fact_Administrativa[[#This Row],[Concepto Anterior]],Conceptos_Administrativa[#All],7,0),"")</f>
        <v/>
      </c>
      <c r="G399" s="138" t="s">
        <v>218</v>
      </c>
      <c r="H399" s="138" t="s">
        <v>230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117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234</v>
      </c>
      <c r="E400" t="str">
        <f>+IFERROR(VLOOKUP(Fact_Administrativa[[#This Row],[Concepto Anterior]],Conceptos_Administrativa[#All],5,0),"")</f>
        <v>Facturas Procesadas por Marca</v>
      </c>
      <c r="F400" t="str">
        <f ca="1">+IFERROR(VLOOKUP(Fact_Administrativa[[#This Row],[Concepto Anterior]],Conceptos_Administrativa[#All],7,0),"")</f>
        <v/>
      </c>
      <c r="G400" s="138" t="s">
        <v>225</v>
      </c>
      <c r="H400" s="138" t="s">
        <v>230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117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14</v>
      </c>
      <c r="E401" t="str">
        <f>+IFERROR(VLOOKUP(Fact_Administrativa[[#This Row],[Concepto Anterior]],Conceptos_Administrativa[#All],5,0),"")</f>
        <v xml:space="preserve">Ahorro reformas tiendas </v>
      </c>
      <c r="F401" t="str">
        <f ca="1">+IFERROR(VLOOKUP(Fact_Administrativa[[#This Row],[Concepto Anterior]],Conceptos_Administrativa[#All],7,0),"")</f>
        <v/>
      </c>
      <c r="G401" s="138" t="s">
        <v>230</v>
      </c>
      <c r="H401" s="138" t="s">
        <v>230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117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240</v>
      </c>
      <c r="E402" t="str">
        <f>+IFERROR(VLOOKUP(Fact_Administrativa[[#This Row],[Concepto Anterior]],Conceptos_Administrativa[#All],5,0),"")</f>
        <v>Noches hospedaje</v>
      </c>
      <c r="F402" t="str">
        <f ca="1">+IFERROR(VLOOKUP(Fact_Administrativa[[#This Row],[Concepto Anterior]],Conceptos_Administrativa[#All],7,0),"")</f>
        <v/>
      </c>
      <c r="G402" s="138" t="s">
        <v>230</v>
      </c>
      <c r="H402" s="138" t="s">
        <v>230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117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15</v>
      </c>
      <c r="E403" t="str">
        <f>+IFERROR(VLOOKUP(Fact_Administrativa[[#This Row],[Concepto Anterior]],Conceptos_Administrativa[#All],5,0),"")</f>
        <v>Recuperaciones Siniestros</v>
      </c>
      <c r="F403" t="str">
        <f ca="1">+IFERROR(VLOOKUP(Fact_Administrativa[[#This Row],[Concepto Anterior]],Conceptos_Administrativa[#All],7,0),"")</f>
        <v/>
      </c>
      <c r="G403" s="138" t="s">
        <v>230</v>
      </c>
      <c r="H403" s="138" t="s">
        <v>230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117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16</v>
      </c>
      <c r="E404" t="str">
        <f>+IFERROR(VLOOKUP(Fact_Administrativa[[#This Row],[Concepto Anterior]],Conceptos_Administrativa[#All],5,0),"")</f>
        <v>Gestión de Polizas</v>
      </c>
      <c r="F404" t="str">
        <f ca="1">+IFERROR(VLOOKUP(Fact_Administrativa[[#This Row],[Concepto Anterior]],Conceptos_Administrativa[#All],7,0),"")</f>
        <v/>
      </c>
      <c r="G404" s="138" t="s">
        <v>230</v>
      </c>
      <c r="H404" s="138" t="s">
        <v>230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117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250</v>
      </c>
      <c r="E405" t="str">
        <f>+IFERROR(VLOOKUP(Fact_Administrativa[[#This Row],[Concepto Anterior]],Conceptos_Administrativa[#All],5,0),"")</f>
        <v>Total tickets recibidos</v>
      </c>
      <c r="F405" t="str">
        <f ca="1">+IFERROR(VLOOKUP(Fact_Administrativa[[#This Row],[Concepto Anterior]],Conceptos_Administrativa[#All],7,0),"")</f>
        <v/>
      </c>
      <c r="G405" s="138" t="s">
        <v>230</v>
      </c>
      <c r="H405" s="138" t="s">
        <v>230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117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253</v>
      </c>
      <c r="E406" t="str">
        <f>+IFERROR(VLOOKUP(Fact_Administrativa[[#This Row],[Concepto Anterior]],Conceptos_Administrativa[#All],5,0),"")</f>
        <v>Tickets Cerrados con ANS</v>
      </c>
      <c r="F406" t="str">
        <f ca="1">+IFERROR(VLOOKUP(Fact_Administrativa[[#This Row],[Concepto Anterior]],Conceptos_Administrativa[#All],7,0),"")</f>
        <v/>
      </c>
      <c r="G406" s="138" t="s">
        <v>230</v>
      </c>
      <c r="H406" s="138" t="s">
        <v>230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117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256</v>
      </c>
      <c r="E407" t="str">
        <f>+IFERROR(VLOOKUP(Fact_Administrativa[[#This Row],[Concepto Anterior]],Conceptos_Administrativa[#All],5,0),"")</f>
        <v>Tickets Vencidos</v>
      </c>
      <c r="F407" t="str">
        <f ca="1">+IFERROR(VLOOKUP(Fact_Administrativa[[#This Row],[Concepto Anterior]],Conceptos_Administrativa[#All],7,0),"")</f>
        <v/>
      </c>
      <c r="G407" s="138" t="s">
        <v>230</v>
      </c>
      <c r="H407" s="138" t="s">
        <v>230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123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180</v>
      </c>
      <c r="E408" t="str">
        <f>+IFERROR(VLOOKUP(Fact_Administrativa[[#This Row],[Concepto Anterior]],Conceptos_Administrativa[#All],5,0),"")</f>
        <v>Ahorro energía</v>
      </c>
      <c r="F408" t="str">
        <f ca="1">+IFERROR(VLOOKUP(Fact_Administrativa[[#This Row],[Concepto Anterior]],Conceptos_Administrativa[#All],7,0),"")</f>
        <v/>
      </c>
      <c r="G408" s="138" t="s">
        <v>230</v>
      </c>
      <c r="H408" s="138" t="s">
        <v>230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123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189</v>
      </c>
      <c r="E409" t="str">
        <f>+IFERROR(VLOOKUP(Fact_Administrativa[[#This Row],[Concepto Anterior]],Conceptos_Administrativa[#All],5,0),"")</f>
        <v xml:space="preserve">Cant. reformas tiendas </v>
      </c>
      <c r="F409" t="str">
        <f ca="1">+IFERROR(VLOOKUP(Fact_Administrativa[[#This Row],[Concepto Anterior]],Conceptos_Administrativa[#All],7,0),"")</f>
        <v/>
      </c>
      <c r="G409" s="138" t="s">
        <v>230</v>
      </c>
      <c r="H409" s="138" t="s">
        <v>230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123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197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 ca="1">+IFERROR(VLOOKUP(Fact_Administrativa[[#This Row],[Concepto Anterior]],Conceptos_Administrativa[#All],7,0),"")</f>
        <v/>
      </c>
      <c r="G410" s="138" t="s">
        <v>230</v>
      </c>
      <c r="H410" s="138" t="s">
        <v>230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123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11</v>
      </c>
      <c r="E411" t="str">
        <f>+IFERROR(VLOOKUP(Fact_Administrativa[[#This Row],[Concepto Anterior]],Conceptos_Administrativa[#All],5,0),"")</f>
        <v>Control Ingresos cede Dogama</v>
      </c>
      <c r="F411" t="str">
        <f ca="1">+IFERROR(VLOOKUP(Fact_Administrativa[[#This Row],[Concepto Anterior]],Conceptos_Administrativa[#All],7,0),"")</f>
        <v/>
      </c>
      <c r="G411" s="138" t="s">
        <v>230</v>
      </c>
      <c r="H411" s="138" t="s">
        <v>230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123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210</v>
      </c>
      <c r="E412" t="str">
        <f>+IFERROR(VLOOKUP(Fact_Administrativa[[#This Row],[Concepto Anterior]],Conceptos_Administrativa[#All],5,0),"")</f>
        <v>Emisiones CO²</v>
      </c>
      <c r="F412" t="str">
        <f ca="1">+IFERROR(VLOOKUP(Fact_Administrativa[[#This Row],[Concepto Anterior]],Conceptos_Administrativa[#All],7,0),"")</f>
        <v/>
      </c>
      <c r="G412" s="138" t="s">
        <v>230</v>
      </c>
      <c r="H412" s="138" t="s">
        <v>230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123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217</v>
      </c>
      <c r="E413" t="str">
        <f>+IFERROR(VLOOKUP(Fact_Administrativa[[#This Row],[Concepto Anterior]],Conceptos_Administrativa[#All],5,0),"")</f>
        <v>Facturas de arrendamientos y administración</v>
      </c>
      <c r="F413" t="str">
        <f ca="1">+IFERROR(VLOOKUP(Fact_Administrativa[[#This Row],[Concepto Anterior]],Conceptos_Administrativa[#All],7,0),"")</f>
        <v/>
      </c>
      <c r="G413" s="138" t="s">
        <v>230</v>
      </c>
      <c r="H413" s="138" t="s">
        <v>230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123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223</v>
      </c>
      <c r="E414" t="str">
        <f>+IFERROR(VLOOKUP(Fact_Administrativa[[#This Row],[Concepto Anterior]],Conceptos_Administrativa[#All],5,0),"")</f>
        <v>Facturas Procesadas por Marca</v>
      </c>
      <c r="F414" t="str">
        <f ca="1">+IFERROR(VLOOKUP(Fact_Administrativa[[#This Row],[Concepto Anterior]],Conceptos_Administrativa[#All],7,0),"")</f>
        <v/>
      </c>
      <c r="G414" s="138" t="s">
        <v>108</v>
      </c>
      <c r="H414" s="138" t="s">
        <v>230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123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223</v>
      </c>
      <c r="E415" t="str">
        <f>+IFERROR(VLOOKUP(Fact_Administrativa[[#This Row],[Concepto Anterior]],Conceptos_Administrativa[#All],5,0),"")</f>
        <v>Facturas Procesadas por Marca</v>
      </c>
      <c r="F415" t="str">
        <f ca="1">+IFERROR(VLOOKUP(Fact_Administrativa[[#This Row],[Concepto Anterior]],Conceptos_Administrativa[#All],7,0),"")</f>
        <v/>
      </c>
      <c r="G415" s="138" t="s">
        <v>118</v>
      </c>
      <c r="H415" s="138" t="s">
        <v>230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123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223</v>
      </c>
      <c r="E416" t="str">
        <f>+IFERROR(VLOOKUP(Fact_Administrativa[[#This Row],[Concepto Anterior]],Conceptos_Administrativa[#All],5,0),"")</f>
        <v>Facturas Procesadas por Marca</v>
      </c>
      <c r="F416" t="str">
        <f ca="1">+IFERROR(VLOOKUP(Fact_Administrativa[[#This Row],[Concepto Anterior]],Conceptos_Administrativa[#All],7,0),"")</f>
        <v/>
      </c>
      <c r="G416" s="138" t="s">
        <v>125</v>
      </c>
      <c r="H416" s="138" t="s">
        <v>230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123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223</v>
      </c>
      <c r="E417" t="str">
        <f>+IFERROR(VLOOKUP(Fact_Administrativa[[#This Row],[Concepto Anterior]],Conceptos_Administrativa[#All],5,0),"")</f>
        <v>Facturas Procesadas por Marca</v>
      </c>
      <c r="F417" t="str">
        <f ca="1">+IFERROR(VLOOKUP(Fact_Administrativa[[#This Row],[Concepto Anterior]],Conceptos_Administrativa[#All],7,0),"")</f>
        <v/>
      </c>
      <c r="G417" s="138" t="s">
        <v>131</v>
      </c>
      <c r="H417" s="138" t="s">
        <v>230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123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223</v>
      </c>
      <c r="E418" t="str">
        <f>+IFERROR(VLOOKUP(Fact_Administrativa[[#This Row],[Concepto Anterior]],Conceptos_Administrativa[#All],5,0),"")</f>
        <v>Facturas Procesadas por Marca</v>
      </c>
      <c r="F418" t="str">
        <f ca="1">+IFERROR(VLOOKUP(Fact_Administrativa[[#This Row],[Concepto Anterior]],Conceptos_Administrativa[#All],7,0),"")</f>
        <v/>
      </c>
      <c r="G418" s="138" t="s">
        <v>141</v>
      </c>
      <c r="H418" s="138" t="s">
        <v>230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123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223</v>
      </c>
      <c r="E419" t="str">
        <f>+IFERROR(VLOOKUP(Fact_Administrativa[[#This Row],[Concepto Anterior]],Conceptos_Administrativa[#All],5,0),"")</f>
        <v>Facturas Procesadas por Marca</v>
      </c>
      <c r="F419" t="str">
        <f ca="1">+IFERROR(VLOOKUP(Fact_Administrativa[[#This Row],[Concepto Anterior]],Conceptos_Administrativa[#All],7,0),"")</f>
        <v/>
      </c>
      <c r="G419" s="138" t="s">
        <v>150</v>
      </c>
      <c r="H419" s="138" t="s">
        <v>230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123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223</v>
      </c>
      <c r="E420" t="str">
        <f>+IFERROR(VLOOKUP(Fact_Administrativa[[#This Row],[Concepto Anterior]],Conceptos_Administrativa[#All],5,0),"")</f>
        <v>Facturas Procesadas por Marca</v>
      </c>
      <c r="F420" t="str">
        <f ca="1">+IFERROR(VLOOKUP(Fact_Administrativa[[#This Row],[Concepto Anterior]],Conceptos_Administrativa[#All],7,0),"")</f>
        <v/>
      </c>
      <c r="G420" s="138" t="s">
        <v>159</v>
      </c>
      <c r="H420" s="138" t="s">
        <v>230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123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223</v>
      </c>
      <c r="E421" t="str">
        <f>+IFERROR(VLOOKUP(Fact_Administrativa[[#This Row],[Concepto Anterior]],Conceptos_Administrativa[#All],5,0),"")</f>
        <v>Facturas Procesadas por Marca</v>
      </c>
      <c r="F421" t="str">
        <f ca="1">+IFERROR(VLOOKUP(Fact_Administrativa[[#This Row],[Concepto Anterior]],Conceptos_Administrativa[#All],7,0),"")</f>
        <v/>
      </c>
      <c r="G421" s="138" t="s">
        <v>167</v>
      </c>
      <c r="H421" s="138" t="s">
        <v>230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123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223</v>
      </c>
      <c r="E422" t="str">
        <f>+IFERROR(VLOOKUP(Fact_Administrativa[[#This Row],[Concepto Anterior]],Conceptos_Administrativa[#All],5,0),"")</f>
        <v>Facturas Procesadas por Marca</v>
      </c>
      <c r="F422" t="str">
        <f ca="1">+IFERROR(VLOOKUP(Fact_Administrativa[[#This Row],[Concepto Anterior]],Conceptos_Administrativa[#All],7,0),"")</f>
        <v/>
      </c>
      <c r="G422" s="138" t="s">
        <v>174</v>
      </c>
      <c r="H422" s="138" t="s">
        <v>230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123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223</v>
      </c>
      <c r="E423" t="str">
        <f>+IFERROR(VLOOKUP(Fact_Administrativa[[#This Row],[Concepto Anterior]],Conceptos_Administrativa[#All],5,0),"")</f>
        <v>Facturas Procesadas por Marca</v>
      </c>
      <c r="F423" t="str">
        <f ca="1">+IFERROR(VLOOKUP(Fact_Administrativa[[#This Row],[Concepto Anterior]],Conceptos_Administrativa[#All],7,0),"")</f>
        <v/>
      </c>
      <c r="G423" s="138" t="s">
        <v>182</v>
      </c>
      <c r="H423" s="138" t="s">
        <v>230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123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223</v>
      </c>
      <c r="E424" t="str">
        <f>+IFERROR(VLOOKUP(Fact_Administrativa[[#This Row],[Concepto Anterior]],Conceptos_Administrativa[#All],5,0),"")</f>
        <v>Facturas Procesadas por Marca</v>
      </c>
      <c r="F424" t="str">
        <f ca="1">+IFERROR(VLOOKUP(Fact_Administrativa[[#This Row],[Concepto Anterior]],Conceptos_Administrativa[#All],7,0),"")</f>
        <v/>
      </c>
      <c r="G424" s="138" t="s">
        <v>191</v>
      </c>
      <c r="H424" s="138" t="s">
        <v>230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123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223</v>
      </c>
      <c r="E425" t="str">
        <f>+IFERROR(VLOOKUP(Fact_Administrativa[[#This Row],[Concepto Anterior]],Conceptos_Administrativa[#All],5,0),"")</f>
        <v>Facturas Procesadas por Marca</v>
      </c>
      <c r="F425" t="str">
        <f ca="1">+IFERROR(VLOOKUP(Fact_Administrativa[[#This Row],[Concepto Anterior]],Conceptos_Administrativa[#All],7,0),"")</f>
        <v/>
      </c>
      <c r="G425" s="138" t="s">
        <v>199</v>
      </c>
      <c r="H425" s="138" t="s">
        <v>230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123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223</v>
      </c>
      <c r="E426" t="str">
        <f>+IFERROR(VLOOKUP(Fact_Administrativa[[#This Row],[Concepto Anterior]],Conceptos_Administrativa[#All],5,0),"")</f>
        <v>Facturas Procesadas por Marca</v>
      </c>
      <c r="F426" t="str">
        <f ca="1">+IFERROR(VLOOKUP(Fact_Administrativa[[#This Row],[Concepto Anterior]],Conceptos_Administrativa[#All],7,0),"")</f>
        <v/>
      </c>
      <c r="G426" s="138" t="s">
        <v>205</v>
      </c>
      <c r="H426" s="138" t="s">
        <v>230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123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223</v>
      </c>
      <c r="E427" t="str">
        <f>+IFERROR(VLOOKUP(Fact_Administrativa[[#This Row],[Concepto Anterior]],Conceptos_Administrativa[#All],5,0),"")</f>
        <v>Facturas Procesadas por Marca</v>
      </c>
      <c r="F427" t="str">
        <f ca="1">+IFERROR(VLOOKUP(Fact_Administrativa[[#This Row],[Concepto Anterior]],Conceptos_Administrativa[#All],7,0),"")</f>
        <v/>
      </c>
      <c r="G427" s="138" t="s">
        <v>212</v>
      </c>
      <c r="H427" s="138" t="s">
        <v>230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123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229</v>
      </c>
      <c r="E428" t="str">
        <f>+IFERROR(VLOOKUP(Fact_Administrativa[[#This Row],[Concepto Anterior]],Conceptos_Administrativa[#All],5,0),"")</f>
        <v>Facturas Procesadas por Marca</v>
      </c>
      <c r="F428" t="str">
        <f ca="1">+IFERROR(VLOOKUP(Fact_Administrativa[[#This Row],[Concepto Anterior]],Conceptos_Administrativa[#All],7,0),"")</f>
        <v/>
      </c>
      <c r="G428" s="138" t="s">
        <v>218</v>
      </c>
      <c r="H428" s="138" t="s">
        <v>230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123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234</v>
      </c>
      <c r="E429" t="str">
        <f>+IFERROR(VLOOKUP(Fact_Administrativa[[#This Row],[Concepto Anterior]],Conceptos_Administrativa[#All],5,0),"")</f>
        <v>Facturas Procesadas por Marca</v>
      </c>
      <c r="F429" t="str">
        <f ca="1">+IFERROR(VLOOKUP(Fact_Administrativa[[#This Row],[Concepto Anterior]],Conceptos_Administrativa[#All],7,0),"")</f>
        <v/>
      </c>
      <c r="G429" s="138" t="s">
        <v>225</v>
      </c>
      <c r="H429" s="138" t="s">
        <v>230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123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14</v>
      </c>
      <c r="E430" t="str">
        <f>+IFERROR(VLOOKUP(Fact_Administrativa[[#This Row],[Concepto Anterior]],Conceptos_Administrativa[#All],5,0),"")</f>
        <v xml:space="preserve">Ahorro reformas tiendas </v>
      </c>
      <c r="F430" t="str">
        <f ca="1">+IFERROR(VLOOKUP(Fact_Administrativa[[#This Row],[Concepto Anterior]],Conceptos_Administrativa[#All],7,0),"")</f>
        <v/>
      </c>
      <c r="G430" s="138" t="s">
        <v>230</v>
      </c>
      <c r="H430" s="138" t="s">
        <v>230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123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240</v>
      </c>
      <c r="E431" t="str">
        <f>+IFERROR(VLOOKUP(Fact_Administrativa[[#This Row],[Concepto Anterior]],Conceptos_Administrativa[#All],5,0),"")</f>
        <v>Noches hospedaje</v>
      </c>
      <c r="F431" t="str">
        <f ca="1">+IFERROR(VLOOKUP(Fact_Administrativa[[#This Row],[Concepto Anterior]],Conceptos_Administrativa[#All],7,0),"")</f>
        <v/>
      </c>
      <c r="G431" s="138" t="s">
        <v>230</v>
      </c>
      <c r="H431" s="138" t="s">
        <v>230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123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15</v>
      </c>
      <c r="E432" t="str">
        <f>+IFERROR(VLOOKUP(Fact_Administrativa[[#This Row],[Concepto Anterior]],Conceptos_Administrativa[#All],5,0),"")</f>
        <v>Recuperaciones Siniestros</v>
      </c>
      <c r="F432" t="str">
        <f ca="1">+IFERROR(VLOOKUP(Fact_Administrativa[[#This Row],[Concepto Anterior]],Conceptos_Administrativa[#All],7,0),"")</f>
        <v/>
      </c>
      <c r="G432" s="138" t="s">
        <v>230</v>
      </c>
      <c r="H432" s="138" t="s">
        <v>230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123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16</v>
      </c>
      <c r="E433" t="str">
        <f>+IFERROR(VLOOKUP(Fact_Administrativa[[#This Row],[Concepto Anterior]],Conceptos_Administrativa[#All],5,0),"")</f>
        <v>Gestión de Polizas</v>
      </c>
      <c r="F433" t="str">
        <f ca="1">+IFERROR(VLOOKUP(Fact_Administrativa[[#This Row],[Concepto Anterior]],Conceptos_Administrativa[#All],7,0),"")</f>
        <v/>
      </c>
      <c r="G433" s="138" t="s">
        <v>230</v>
      </c>
      <c r="H433" s="138" t="s">
        <v>230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123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250</v>
      </c>
      <c r="E434" t="str">
        <f>+IFERROR(VLOOKUP(Fact_Administrativa[[#This Row],[Concepto Anterior]],Conceptos_Administrativa[#All],5,0),"")</f>
        <v>Total tickets recibidos</v>
      </c>
      <c r="F434" t="str">
        <f ca="1">+IFERROR(VLOOKUP(Fact_Administrativa[[#This Row],[Concepto Anterior]],Conceptos_Administrativa[#All],7,0),"")</f>
        <v/>
      </c>
      <c r="G434" s="138" t="s">
        <v>230</v>
      </c>
      <c r="H434" s="138" t="s">
        <v>230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123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253</v>
      </c>
      <c r="E435" t="str">
        <f>+IFERROR(VLOOKUP(Fact_Administrativa[[#This Row],[Concepto Anterior]],Conceptos_Administrativa[#All],5,0),"")</f>
        <v>Tickets Cerrados con ANS</v>
      </c>
      <c r="F435" t="str">
        <f ca="1">+IFERROR(VLOOKUP(Fact_Administrativa[[#This Row],[Concepto Anterior]],Conceptos_Administrativa[#All],7,0),"")</f>
        <v/>
      </c>
      <c r="G435" s="138" t="s">
        <v>230</v>
      </c>
      <c r="H435" s="138" t="s">
        <v>230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123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256</v>
      </c>
      <c r="E436" t="str">
        <f>+IFERROR(VLOOKUP(Fact_Administrativa[[#This Row],[Concepto Anterior]],Conceptos_Administrativa[#All],5,0),"")</f>
        <v>Tickets Vencidos</v>
      </c>
      <c r="F436" t="str">
        <f ca="1">+IFERROR(VLOOKUP(Fact_Administrativa[[#This Row],[Concepto Anterior]],Conceptos_Administrativa[#All],7,0),"")</f>
        <v/>
      </c>
      <c r="G436" s="138" t="s">
        <v>230</v>
      </c>
      <c r="H436" s="138" t="s">
        <v>230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130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180</v>
      </c>
      <c r="E437" t="str">
        <f>+IFERROR(VLOOKUP(Fact_Administrativa[[#This Row],[Concepto Anterior]],Conceptos_Administrativa[#All],5,0),"")</f>
        <v>Ahorro energía</v>
      </c>
      <c r="F437" t="str">
        <f ca="1">+IFERROR(VLOOKUP(Fact_Administrativa[[#This Row],[Concepto Anterior]],Conceptos_Administrativa[#All],7,0),"")</f>
        <v/>
      </c>
      <c r="G437" s="138" t="s">
        <v>230</v>
      </c>
      <c r="H437" s="138" t="s">
        <v>230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130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189</v>
      </c>
      <c r="E438" t="str">
        <f>+IFERROR(VLOOKUP(Fact_Administrativa[[#This Row],[Concepto Anterior]],Conceptos_Administrativa[#All],5,0),"")</f>
        <v xml:space="preserve">Cant. reformas tiendas </v>
      </c>
      <c r="F438" t="str">
        <f ca="1">+IFERROR(VLOOKUP(Fact_Administrativa[[#This Row],[Concepto Anterior]],Conceptos_Administrativa[#All],7,0),"")</f>
        <v/>
      </c>
      <c r="G438" s="138" t="s">
        <v>230</v>
      </c>
      <c r="H438" s="138" t="s">
        <v>230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130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197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 ca="1">+IFERROR(VLOOKUP(Fact_Administrativa[[#This Row],[Concepto Anterior]],Conceptos_Administrativa[#All],7,0),"")</f>
        <v/>
      </c>
      <c r="G439" s="138" t="s">
        <v>230</v>
      </c>
      <c r="H439" s="138" t="s">
        <v>230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130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11</v>
      </c>
      <c r="E440" t="str">
        <f>+IFERROR(VLOOKUP(Fact_Administrativa[[#This Row],[Concepto Anterior]],Conceptos_Administrativa[#All],5,0),"")</f>
        <v>Control Ingresos cede Dogama</v>
      </c>
      <c r="F440" t="str">
        <f ca="1">+IFERROR(VLOOKUP(Fact_Administrativa[[#This Row],[Concepto Anterior]],Conceptos_Administrativa[#All],7,0),"")</f>
        <v/>
      </c>
      <c r="G440" s="138" t="s">
        <v>230</v>
      </c>
      <c r="H440" s="138" t="s">
        <v>230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130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210</v>
      </c>
      <c r="E441" t="str">
        <f>+IFERROR(VLOOKUP(Fact_Administrativa[[#This Row],[Concepto Anterior]],Conceptos_Administrativa[#All],5,0),"")</f>
        <v>Emisiones CO²</v>
      </c>
      <c r="F441" t="str">
        <f ca="1">+IFERROR(VLOOKUP(Fact_Administrativa[[#This Row],[Concepto Anterior]],Conceptos_Administrativa[#All],7,0),"")</f>
        <v/>
      </c>
      <c r="G441" s="138" t="s">
        <v>230</v>
      </c>
      <c r="H441" s="138" t="s">
        <v>230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130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217</v>
      </c>
      <c r="E442" t="str">
        <f>+IFERROR(VLOOKUP(Fact_Administrativa[[#This Row],[Concepto Anterior]],Conceptos_Administrativa[#All],5,0),"")</f>
        <v>Facturas de arrendamientos y administración</v>
      </c>
      <c r="F442" t="str">
        <f ca="1">+IFERROR(VLOOKUP(Fact_Administrativa[[#This Row],[Concepto Anterior]],Conceptos_Administrativa[#All],7,0),"")</f>
        <v/>
      </c>
      <c r="G442" s="138" t="s">
        <v>230</v>
      </c>
      <c r="H442" s="138" t="s">
        <v>230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130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223</v>
      </c>
      <c r="E443" t="str">
        <f>+IFERROR(VLOOKUP(Fact_Administrativa[[#This Row],[Concepto Anterior]],Conceptos_Administrativa[#All],5,0),"")</f>
        <v>Facturas Procesadas por Marca</v>
      </c>
      <c r="F443" t="str">
        <f ca="1">+IFERROR(VLOOKUP(Fact_Administrativa[[#This Row],[Concepto Anterior]],Conceptos_Administrativa[#All],7,0),"")</f>
        <v/>
      </c>
      <c r="G443" s="138" t="s">
        <v>108</v>
      </c>
      <c r="H443" s="138" t="s">
        <v>230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130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223</v>
      </c>
      <c r="E444" t="str">
        <f>+IFERROR(VLOOKUP(Fact_Administrativa[[#This Row],[Concepto Anterior]],Conceptos_Administrativa[#All],5,0),"")</f>
        <v>Facturas Procesadas por Marca</v>
      </c>
      <c r="F444" t="str">
        <f ca="1">+IFERROR(VLOOKUP(Fact_Administrativa[[#This Row],[Concepto Anterior]],Conceptos_Administrativa[#All],7,0),"")</f>
        <v/>
      </c>
      <c r="G444" s="138" t="s">
        <v>118</v>
      </c>
      <c r="H444" s="138" t="s">
        <v>230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130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223</v>
      </c>
      <c r="E445" t="str">
        <f>+IFERROR(VLOOKUP(Fact_Administrativa[[#This Row],[Concepto Anterior]],Conceptos_Administrativa[#All],5,0),"")</f>
        <v>Facturas Procesadas por Marca</v>
      </c>
      <c r="F445" t="str">
        <f ca="1">+IFERROR(VLOOKUP(Fact_Administrativa[[#This Row],[Concepto Anterior]],Conceptos_Administrativa[#All],7,0),"")</f>
        <v/>
      </c>
      <c r="G445" s="138" t="s">
        <v>125</v>
      </c>
      <c r="H445" s="138" t="s">
        <v>230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130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223</v>
      </c>
      <c r="E446" t="str">
        <f>+IFERROR(VLOOKUP(Fact_Administrativa[[#This Row],[Concepto Anterior]],Conceptos_Administrativa[#All],5,0),"")</f>
        <v>Facturas Procesadas por Marca</v>
      </c>
      <c r="F446" t="str">
        <f ca="1">+IFERROR(VLOOKUP(Fact_Administrativa[[#This Row],[Concepto Anterior]],Conceptos_Administrativa[#All],7,0),"")</f>
        <v/>
      </c>
      <c r="G446" s="138" t="s">
        <v>131</v>
      </c>
      <c r="H446" s="138" t="s">
        <v>230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130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223</v>
      </c>
      <c r="E447" t="str">
        <f>+IFERROR(VLOOKUP(Fact_Administrativa[[#This Row],[Concepto Anterior]],Conceptos_Administrativa[#All],5,0),"")</f>
        <v>Facturas Procesadas por Marca</v>
      </c>
      <c r="F447" t="str">
        <f ca="1">+IFERROR(VLOOKUP(Fact_Administrativa[[#This Row],[Concepto Anterior]],Conceptos_Administrativa[#All],7,0),"")</f>
        <v/>
      </c>
      <c r="G447" s="138" t="s">
        <v>141</v>
      </c>
      <c r="H447" s="138" t="s">
        <v>230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130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223</v>
      </c>
      <c r="E448" t="str">
        <f>+IFERROR(VLOOKUP(Fact_Administrativa[[#This Row],[Concepto Anterior]],Conceptos_Administrativa[#All],5,0),"")</f>
        <v>Facturas Procesadas por Marca</v>
      </c>
      <c r="F448" t="str">
        <f ca="1">+IFERROR(VLOOKUP(Fact_Administrativa[[#This Row],[Concepto Anterior]],Conceptos_Administrativa[#All],7,0),"")</f>
        <v/>
      </c>
      <c r="G448" s="138" t="s">
        <v>150</v>
      </c>
      <c r="H448" s="138" t="s">
        <v>230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130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223</v>
      </c>
      <c r="E449" t="str">
        <f>+IFERROR(VLOOKUP(Fact_Administrativa[[#This Row],[Concepto Anterior]],Conceptos_Administrativa[#All],5,0),"")</f>
        <v>Facturas Procesadas por Marca</v>
      </c>
      <c r="F449" t="str">
        <f ca="1">+IFERROR(VLOOKUP(Fact_Administrativa[[#This Row],[Concepto Anterior]],Conceptos_Administrativa[#All],7,0),"")</f>
        <v/>
      </c>
      <c r="G449" s="138" t="s">
        <v>159</v>
      </c>
      <c r="H449" s="138" t="s">
        <v>230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130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223</v>
      </c>
      <c r="E450" t="str">
        <f>+IFERROR(VLOOKUP(Fact_Administrativa[[#This Row],[Concepto Anterior]],Conceptos_Administrativa[#All],5,0),"")</f>
        <v>Facturas Procesadas por Marca</v>
      </c>
      <c r="F450" t="str">
        <f ca="1">+IFERROR(VLOOKUP(Fact_Administrativa[[#This Row],[Concepto Anterior]],Conceptos_Administrativa[#All],7,0),"")</f>
        <v/>
      </c>
      <c r="G450" s="138" t="s">
        <v>167</v>
      </c>
      <c r="H450" s="138" t="s">
        <v>230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130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223</v>
      </c>
      <c r="E451" t="str">
        <f>+IFERROR(VLOOKUP(Fact_Administrativa[[#This Row],[Concepto Anterior]],Conceptos_Administrativa[#All],5,0),"")</f>
        <v>Facturas Procesadas por Marca</v>
      </c>
      <c r="F451" t="str">
        <f ca="1">+IFERROR(VLOOKUP(Fact_Administrativa[[#This Row],[Concepto Anterior]],Conceptos_Administrativa[#All],7,0),"")</f>
        <v/>
      </c>
      <c r="G451" s="138" t="s">
        <v>174</v>
      </c>
      <c r="H451" s="138" t="s">
        <v>230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130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223</v>
      </c>
      <c r="E452" t="str">
        <f>+IFERROR(VLOOKUP(Fact_Administrativa[[#This Row],[Concepto Anterior]],Conceptos_Administrativa[#All],5,0),"")</f>
        <v>Facturas Procesadas por Marca</v>
      </c>
      <c r="F452" t="str">
        <f ca="1">+IFERROR(VLOOKUP(Fact_Administrativa[[#This Row],[Concepto Anterior]],Conceptos_Administrativa[#All],7,0),"")</f>
        <v/>
      </c>
      <c r="G452" s="138" t="s">
        <v>182</v>
      </c>
      <c r="H452" s="138" t="s">
        <v>230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130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223</v>
      </c>
      <c r="E453" t="str">
        <f>+IFERROR(VLOOKUP(Fact_Administrativa[[#This Row],[Concepto Anterior]],Conceptos_Administrativa[#All],5,0),"")</f>
        <v>Facturas Procesadas por Marca</v>
      </c>
      <c r="F453" t="str">
        <f ca="1">+IFERROR(VLOOKUP(Fact_Administrativa[[#This Row],[Concepto Anterior]],Conceptos_Administrativa[#All],7,0),"")</f>
        <v/>
      </c>
      <c r="G453" s="138" t="s">
        <v>191</v>
      </c>
      <c r="H453" s="138" t="s">
        <v>230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130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223</v>
      </c>
      <c r="E454" t="str">
        <f>+IFERROR(VLOOKUP(Fact_Administrativa[[#This Row],[Concepto Anterior]],Conceptos_Administrativa[#All],5,0),"")</f>
        <v>Facturas Procesadas por Marca</v>
      </c>
      <c r="F454" t="str">
        <f ca="1">+IFERROR(VLOOKUP(Fact_Administrativa[[#This Row],[Concepto Anterior]],Conceptos_Administrativa[#All],7,0),"")</f>
        <v/>
      </c>
      <c r="G454" s="138" t="s">
        <v>199</v>
      </c>
      <c r="H454" s="138" t="s">
        <v>230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130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223</v>
      </c>
      <c r="E455" t="str">
        <f>+IFERROR(VLOOKUP(Fact_Administrativa[[#This Row],[Concepto Anterior]],Conceptos_Administrativa[#All],5,0),"")</f>
        <v>Facturas Procesadas por Marca</v>
      </c>
      <c r="F455" t="str">
        <f ca="1">+IFERROR(VLOOKUP(Fact_Administrativa[[#This Row],[Concepto Anterior]],Conceptos_Administrativa[#All],7,0),"")</f>
        <v/>
      </c>
      <c r="G455" s="138" t="s">
        <v>205</v>
      </c>
      <c r="H455" s="138" t="s">
        <v>230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130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223</v>
      </c>
      <c r="E456" t="str">
        <f>+IFERROR(VLOOKUP(Fact_Administrativa[[#This Row],[Concepto Anterior]],Conceptos_Administrativa[#All],5,0),"")</f>
        <v>Facturas Procesadas por Marca</v>
      </c>
      <c r="F456" t="str">
        <f ca="1">+IFERROR(VLOOKUP(Fact_Administrativa[[#This Row],[Concepto Anterior]],Conceptos_Administrativa[#All],7,0),"")</f>
        <v/>
      </c>
      <c r="G456" s="138" t="s">
        <v>212</v>
      </c>
      <c r="H456" s="138" t="s">
        <v>230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130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229</v>
      </c>
      <c r="E457" t="str">
        <f>+IFERROR(VLOOKUP(Fact_Administrativa[[#This Row],[Concepto Anterior]],Conceptos_Administrativa[#All],5,0),"")</f>
        <v>Facturas Procesadas por Marca</v>
      </c>
      <c r="F457" t="str">
        <f ca="1">+IFERROR(VLOOKUP(Fact_Administrativa[[#This Row],[Concepto Anterior]],Conceptos_Administrativa[#All],7,0),"")</f>
        <v/>
      </c>
      <c r="G457" s="138" t="s">
        <v>218</v>
      </c>
      <c r="H457" s="138" t="s">
        <v>230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130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234</v>
      </c>
      <c r="E458" t="str">
        <f>+IFERROR(VLOOKUP(Fact_Administrativa[[#This Row],[Concepto Anterior]],Conceptos_Administrativa[#All],5,0),"")</f>
        <v>Facturas Procesadas por Marca</v>
      </c>
      <c r="F458" t="str">
        <f ca="1">+IFERROR(VLOOKUP(Fact_Administrativa[[#This Row],[Concepto Anterior]],Conceptos_Administrativa[#All],7,0),"")</f>
        <v/>
      </c>
      <c r="G458" s="138" t="s">
        <v>225</v>
      </c>
      <c r="H458" s="138" t="s">
        <v>230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130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14</v>
      </c>
      <c r="E459" t="str">
        <f>+IFERROR(VLOOKUP(Fact_Administrativa[[#This Row],[Concepto Anterior]],Conceptos_Administrativa[#All],5,0),"")</f>
        <v xml:space="preserve">Ahorro reformas tiendas </v>
      </c>
      <c r="F459" t="str">
        <f ca="1">+IFERROR(VLOOKUP(Fact_Administrativa[[#This Row],[Concepto Anterior]],Conceptos_Administrativa[#All],7,0),"")</f>
        <v/>
      </c>
      <c r="G459" s="138" t="s">
        <v>230</v>
      </c>
      <c r="H459" s="138" t="s">
        <v>230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130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240</v>
      </c>
      <c r="E460" t="str">
        <f>+IFERROR(VLOOKUP(Fact_Administrativa[[#This Row],[Concepto Anterior]],Conceptos_Administrativa[#All],5,0),"")</f>
        <v>Noches hospedaje</v>
      </c>
      <c r="F460" t="str">
        <f ca="1">+IFERROR(VLOOKUP(Fact_Administrativa[[#This Row],[Concepto Anterior]],Conceptos_Administrativa[#All],7,0),"")</f>
        <v/>
      </c>
      <c r="G460" s="138" t="s">
        <v>230</v>
      </c>
      <c r="H460" s="138" t="s">
        <v>230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130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15</v>
      </c>
      <c r="E461" t="str">
        <f>+IFERROR(VLOOKUP(Fact_Administrativa[[#This Row],[Concepto Anterior]],Conceptos_Administrativa[#All],5,0),"")</f>
        <v>Recuperaciones Siniestros</v>
      </c>
      <c r="F461" t="str">
        <f ca="1">+IFERROR(VLOOKUP(Fact_Administrativa[[#This Row],[Concepto Anterior]],Conceptos_Administrativa[#All],7,0),"")</f>
        <v/>
      </c>
      <c r="G461" s="138" t="s">
        <v>230</v>
      </c>
      <c r="H461" s="138" t="s">
        <v>230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130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16</v>
      </c>
      <c r="E462" t="str">
        <f>+IFERROR(VLOOKUP(Fact_Administrativa[[#This Row],[Concepto Anterior]],Conceptos_Administrativa[#All],5,0),"")</f>
        <v>Gestión de Polizas</v>
      </c>
      <c r="F462" t="str">
        <f ca="1">+IFERROR(VLOOKUP(Fact_Administrativa[[#This Row],[Concepto Anterior]],Conceptos_Administrativa[#All],7,0),"")</f>
        <v/>
      </c>
      <c r="G462" s="138" t="s">
        <v>230</v>
      </c>
      <c r="H462" s="138" t="s">
        <v>230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130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250</v>
      </c>
      <c r="E463" t="str">
        <f>+IFERROR(VLOOKUP(Fact_Administrativa[[#This Row],[Concepto Anterior]],Conceptos_Administrativa[#All],5,0),"")</f>
        <v>Total tickets recibidos</v>
      </c>
      <c r="F463" t="str">
        <f ca="1">+IFERROR(VLOOKUP(Fact_Administrativa[[#This Row],[Concepto Anterior]],Conceptos_Administrativa[#All],7,0),"")</f>
        <v/>
      </c>
      <c r="G463" s="138" t="s">
        <v>230</v>
      </c>
      <c r="H463" s="138" t="s">
        <v>230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130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253</v>
      </c>
      <c r="E464" t="str">
        <f>+IFERROR(VLOOKUP(Fact_Administrativa[[#This Row],[Concepto Anterior]],Conceptos_Administrativa[#All],5,0),"")</f>
        <v>Tickets Cerrados con ANS</v>
      </c>
      <c r="F464" t="str">
        <f ca="1">+IFERROR(VLOOKUP(Fact_Administrativa[[#This Row],[Concepto Anterior]],Conceptos_Administrativa[#All],7,0),"")</f>
        <v/>
      </c>
      <c r="G464" s="138" t="s">
        <v>230</v>
      </c>
      <c r="H464" s="138" t="s">
        <v>230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130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256</v>
      </c>
      <c r="E465" t="str">
        <f>+IFERROR(VLOOKUP(Fact_Administrativa[[#This Row],[Concepto Anterior]],Conceptos_Administrativa[#All],5,0),"")</f>
        <v>Tickets Vencidos</v>
      </c>
      <c r="F465" t="str">
        <f ca="1">+IFERROR(VLOOKUP(Fact_Administrativa[[#This Row],[Concepto Anterior]],Conceptos_Administrativa[#All],7,0),"")</f>
        <v/>
      </c>
      <c r="G465" s="138" t="s">
        <v>230</v>
      </c>
      <c r="H465" s="138" t="s">
        <v>230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137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180</v>
      </c>
      <c r="E466" t="str">
        <f>+IFERROR(VLOOKUP(Fact_Administrativa[[#This Row],[Concepto Anterior]],Conceptos_Administrativa[#All],5,0),"")</f>
        <v>Ahorro energía</v>
      </c>
      <c r="F466" t="str">
        <f ca="1">+IFERROR(VLOOKUP(Fact_Administrativa[[#This Row],[Concepto Anterior]],Conceptos_Administrativa[#All],7,0),"")</f>
        <v/>
      </c>
      <c r="G466" s="138" t="s">
        <v>230</v>
      </c>
      <c r="H466" s="138" t="s">
        <v>230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137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189</v>
      </c>
      <c r="E467" t="str">
        <f>+IFERROR(VLOOKUP(Fact_Administrativa[[#This Row],[Concepto Anterior]],Conceptos_Administrativa[#All],5,0),"")</f>
        <v xml:space="preserve">Cant. reformas tiendas </v>
      </c>
      <c r="F467" t="str">
        <f ca="1">+IFERROR(VLOOKUP(Fact_Administrativa[[#This Row],[Concepto Anterior]],Conceptos_Administrativa[#All],7,0),"")</f>
        <v/>
      </c>
      <c r="G467" s="138" t="s">
        <v>230</v>
      </c>
      <c r="H467" s="138" t="s">
        <v>230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137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197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 ca="1">+IFERROR(VLOOKUP(Fact_Administrativa[[#This Row],[Concepto Anterior]],Conceptos_Administrativa[#All],7,0),"")</f>
        <v/>
      </c>
      <c r="G468" s="138" t="s">
        <v>230</v>
      </c>
      <c r="H468" s="138" t="s">
        <v>230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137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11</v>
      </c>
      <c r="E469" t="str">
        <f>+IFERROR(VLOOKUP(Fact_Administrativa[[#This Row],[Concepto Anterior]],Conceptos_Administrativa[#All],5,0),"")</f>
        <v>Control Ingresos cede Dogama</v>
      </c>
      <c r="F469" t="str">
        <f ca="1">+IFERROR(VLOOKUP(Fact_Administrativa[[#This Row],[Concepto Anterior]],Conceptos_Administrativa[#All],7,0),"")</f>
        <v/>
      </c>
      <c r="G469" s="138" t="s">
        <v>230</v>
      </c>
      <c r="H469" s="138" t="s">
        <v>230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137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210</v>
      </c>
      <c r="E470" t="str">
        <f>+IFERROR(VLOOKUP(Fact_Administrativa[[#This Row],[Concepto Anterior]],Conceptos_Administrativa[#All],5,0),"")</f>
        <v>Emisiones CO²</v>
      </c>
      <c r="F470" t="str">
        <f ca="1">+IFERROR(VLOOKUP(Fact_Administrativa[[#This Row],[Concepto Anterior]],Conceptos_Administrativa[#All],7,0),"")</f>
        <v/>
      </c>
      <c r="G470" s="138" t="s">
        <v>230</v>
      </c>
      <c r="H470" s="138" t="s">
        <v>230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137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217</v>
      </c>
      <c r="E471" t="str">
        <f>+IFERROR(VLOOKUP(Fact_Administrativa[[#This Row],[Concepto Anterior]],Conceptos_Administrativa[#All],5,0),"")</f>
        <v>Facturas de arrendamientos y administración</v>
      </c>
      <c r="F471" t="str">
        <f ca="1">+IFERROR(VLOOKUP(Fact_Administrativa[[#This Row],[Concepto Anterior]],Conceptos_Administrativa[#All],7,0),"")</f>
        <v/>
      </c>
      <c r="G471" s="138" t="s">
        <v>230</v>
      </c>
      <c r="H471" s="138" t="s">
        <v>230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137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223</v>
      </c>
      <c r="E472" t="str">
        <f>+IFERROR(VLOOKUP(Fact_Administrativa[[#This Row],[Concepto Anterior]],Conceptos_Administrativa[#All],5,0),"")</f>
        <v>Facturas Procesadas por Marca</v>
      </c>
      <c r="F472" t="str">
        <f ca="1">+IFERROR(VLOOKUP(Fact_Administrativa[[#This Row],[Concepto Anterior]],Conceptos_Administrativa[#All],7,0),"")</f>
        <v/>
      </c>
      <c r="G472" s="138" t="s">
        <v>108</v>
      </c>
      <c r="H472" s="138" t="s">
        <v>230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137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223</v>
      </c>
      <c r="E473" t="str">
        <f>+IFERROR(VLOOKUP(Fact_Administrativa[[#This Row],[Concepto Anterior]],Conceptos_Administrativa[#All],5,0),"")</f>
        <v>Facturas Procesadas por Marca</v>
      </c>
      <c r="F473" t="str">
        <f ca="1">+IFERROR(VLOOKUP(Fact_Administrativa[[#This Row],[Concepto Anterior]],Conceptos_Administrativa[#All],7,0),"")</f>
        <v/>
      </c>
      <c r="G473" s="138" t="s">
        <v>118</v>
      </c>
      <c r="H473" s="138" t="s">
        <v>230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137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223</v>
      </c>
      <c r="E474" t="str">
        <f>+IFERROR(VLOOKUP(Fact_Administrativa[[#This Row],[Concepto Anterior]],Conceptos_Administrativa[#All],5,0),"")</f>
        <v>Facturas Procesadas por Marca</v>
      </c>
      <c r="F474" t="str">
        <f ca="1">+IFERROR(VLOOKUP(Fact_Administrativa[[#This Row],[Concepto Anterior]],Conceptos_Administrativa[#All],7,0),"")</f>
        <v/>
      </c>
      <c r="G474" s="138" t="s">
        <v>125</v>
      </c>
      <c r="H474" s="138" t="s">
        <v>230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137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223</v>
      </c>
      <c r="E475" t="str">
        <f>+IFERROR(VLOOKUP(Fact_Administrativa[[#This Row],[Concepto Anterior]],Conceptos_Administrativa[#All],5,0),"")</f>
        <v>Facturas Procesadas por Marca</v>
      </c>
      <c r="F475" t="str">
        <f ca="1">+IFERROR(VLOOKUP(Fact_Administrativa[[#This Row],[Concepto Anterior]],Conceptos_Administrativa[#All],7,0),"")</f>
        <v/>
      </c>
      <c r="G475" s="138" t="s">
        <v>131</v>
      </c>
      <c r="H475" s="138" t="s">
        <v>230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137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223</v>
      </c>
      <c r="E476" t="str">
        <f>+IFERROR(VLOOKUP(Fact_Administrativa[[#This Row],[Concepto Anterior]],Conceptos_Administrativa[#All],5,0),"")</f>
        <v>Facturas Procesadas por Marca</v>
      </c>
      <c r="F476" t="str">
        <f ca="1">+IFERROR(VLOOKUP(Fact_Administrativa[[#This Row],[Concepto Anterior]],Conceptos_Administrativa[#All],7,0),"")</f>
        <v/>
      </c>
      <c r="G476" s="138" t="s">
        <v>141</v>
      </c>
      <c r="H476" s="138" t="s">
        <v>230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137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223</v>
      </c>
      <c r="E477" t="str">
        <f>+IFERROR(VLOOKUP(Fact_Administrativa[[#This Row],[Concepto Anterior]],Conceptos_Administrativa[#All],5,0),"")</f>
        <v>Facturas Procesadas por Marca</v>
      </c>
      <c r="F477" t="str">
        <f ca="1">+IFERROR(VLOOKUP(Fact_Administrativa[[#This Row],[Concepto Anterior]],Conceptos_Administrativa[#All],7,0),"")</f>
        <v/>
      </c>
      <c r="G477" s="138" t="s">
        <v>150</v>
      </c>
      <c r="H477" s="138" t="s">
        <v>230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137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223</v>
      </c>
      <c r="E478" t="str">
        <f>+IFERROR(VLOOKUP(Fact_Administrativa[[#This Row],[Concepto Anterior]],Conceptos_Administrativa[#All],5,0),"")</f>
        <v>Facturas Procesadas por Marca</v>
      </c>
      <c r="F478" t="str">
        <f ca="1">+IFERROR(VLOOKUP(Fact_Administrativa[[#This Row],[Concepto Anterior]],Conceptos_Administrativa[#All],7,0),"")</f>
        <v/>
      </c>
      <c r="G478" s="138" t="s">
        <v>159</v>
      </c>
      <c r="H478" s="138" t="s">
        <v>230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137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223</v>
      </c>
      <c r="E479" t="str">
        <f>+IFERROR(VLOOKUP(Fact_Administrativa[[#This Row],[Concepto Anterior]],Conceptos_Administrativa[#All],5,0),"")</f>
        <v>Facturas Procesadas por Marca</v>
      </c>
      <c r="F479" t="str">
        <f ca="1">+IFERROR(VLOOKUP(Fact_Administrativa[[#This Row],[Concepto Anterior]],Conceptos_Administrativa[#All],7,0),"")</f>
        <v/>
      </c>
      <c r="G479" s="138" t="s">
        <v>167</v>
      </c>
      <c r="H479" s="138" t="s">
        <v>230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137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223</v>
      </c>
      <c r="E480" t="str">
        <f>+IFERROR(VLOOKUP(Fact_Administrativa[[#This Row],[Concepto Anterior]],Conceptos_Administrativa[#All],5,0),"")</f>
        <v>Facturas Procesadas por Marca</v>
      </c>
      <c r="F480" t="str">
        <f ca="1">+IFERROR(VLOOKUP(Fact_Administrativa[[#This Row],[Concepto Anterior]],Conceptos_Administrativa[#All],7,0),"")</f>
        <v/>
      </c>
      <c r="G480" s="138" t="s">
        <v>174</v>
      </c>
      <c r="H480" s="138" t="s">
        <v>230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137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223</v>
      </c>
      <c r="E481" t="str">
        <f>+IFERROR(VLOOKUP(Fact_Administrativa[[#This Row],[Concepto Anterior]],Conceptos_Administrativa[#All],5,0),"")</f>
        <v>Facturas Procesadas por Marca</v>
      </c>
      <c r="F481" t="str">
        <f ca="1">+IFERROR(VLOOKUP(Fact_Administrativa[[#This Row],[Concepto Anterior]],Conceptos_Administrativa[#All],7,0),"")</f>
        <v/>
      </c>
      <c r="G481" s="138" t="s">
        <v>182</v>
      </c>
      <c r="H481" s="138" t="s">
        <v>230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137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223</v>
      </c>
      <c r="E482" t="str">
        <f>+IFERROR(VLOOKUP(Fact_Administrativa[[#This Row],[Concepto Anterior]],Conceptos_Administrativa[#All],5,0),"")</f>
        <v>Facturas Procesadas por Marca</v>
      </c>
      <c r="F482" t="str">
        <f ca="1">+IFERROR(VLOOKUP(Fact_Administrativa[[#This Row],[Concepto Anterior]],Conceptos_Administrativa[#All],7,0),"")</f>
        <v/>
      </c>
      <c r="G482" s="138" t="s">
        <v>191</v>
      </c>
      <c r="H482" s="138" t="s">
        <v>230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137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223</v>
      </c>
      <c r="E483" t="str">
        <f>+IFERROR(VLOOKUP(Fact_Administrativa[[#This Row],[Concepto Anterior]],Conceptos_Administrativa[#All],5,0),"")</f>
        <v>Facturas Procesadas por Marca</v>
      </c>
      <c r="F483" t="str">
        <f ca="1">+IFERROR(VLOOKUP(Fact_Administrativa[[#This Row],[Concepto Anterior]],Conceptos_Administrativa[#All],7,0),"")</f>
        <v/>
      </c>
      <c r="G483" s="138" t="s">
        <v>199</v>
      </c>
      <c r="H483" s="138" t="s">
        <v>230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137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223</v>
      </c>
      <c r="E484" t="str">
        <f>+IFERROR(VLOOKUP(Fact_Administrativa[[#This Row],[Concepto Anterior]],Conceptos_Administrativa[#All],5,0),"")</f>
        <v>Facturas Procesadas por Marca</v>
      </c>
      <c r="F484" t="str">
        <f ca="1">+IFERROR(VLOOKUP(Fact_Administrativa[[#This Row],[Concepto Anterior]],Conceptos_Administrativa[#All],7,0),"")</f>
        <v/>
      </c>
      <c r="G484" s="138" t="s">
        <v>205</v>
      </c>
      <c r="H484" s="138" t="s">
        <v>230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137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223</v>
      </c>
      <c r="E485" t="str">
        <f>+IFERROR(VLOOKUP(Fact_Administrativa[[#This Row],[Concepto Anterior]],Conceptos_Administrativa[#All],5,0),"")</f>
        <v>Facturas Procesadas por Marca</v>
      </c>
      <c r="F485" t="str">
        <f ca="1">+IFERROR(VLOOKUP(Fact_Administrativa[[#This Row],[Concepto Anterior]],Conceptos_Administrativa[#All],7,0),"")</f>
        <v/>
      </c>
      <c r="G485" s="138" t="s">
        <v>212</v>
      </c>
      <c r="H485" s="138" t="s">
        <v>230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137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229</v>
      </c>
      <c r="E486" t="str">
        <f>+IFERROR(VLOOKUP(Fact_Administrativa[[#This Row],[Concepto Anterior]],Conceptos_Administrativa[#All],5,0),"")</f>
        <v>Facturas Procesadas por Marca</v>
      </c>
      <c r="F486" t="str">
        <f ca="1">+IFERROR(VLOOKUP(Fact_Administrativa[[#This Row],[Concepto Anterior]],Conceptos_Administrativa[#All],7,0),"")</f>
        <v/>
      </c>
      <c r="G486" s="138" t="s">
        <v>218</v>
      </c>
      <c r="H486" s="138" t="s">
        <v>230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137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234</v>
      </c>
      <c r="E487" t="str">
        <f>+IFERROR(VLOOKUP(Fact_Administrativa[[#This Row],[Concepto Anterior]],Conceptos_Administrativa[#All],5,0),"")</f>
        <v>Facturas Procesadas por Marca</v>
      </c>
      <c r="F487" t="str">
        <f ca="1">+IFERROR(VLOOKUP(Fact_Administrativa[[#This Row],[Concepto Anterior]],Conceptos_Administrativa[#All],7,0),"")</f>
        <v/>
      </c>
      <c r="G487" s="138" t="s">
        <v>225</v>
      </c>
      <c r="H487" s="138" t="s">
        <v>230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137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14</v>
      </c>
      <c r="E488" t="str">
        <f>+IFERROR(VLOOKUP(Fact_Administrativa[[#This Row],[Concepto Anterior]],Conceptos_Administrativa[#All],5,0),"")</f>
        <v xml:space="preserve">Ahorro reformas tiendas </v>
      </c>
      <c r="F488" t="str">
        <f ca="1">+IFERROR(VLOOKUP(Fact_Administrativa[[#This Row],[Concepto Anterior]],Conceptos_Administrativa[#All],7,0),"")</f>
        <v/>
      </c>
      <c r="G488" s="138" t="s">
        <v>230</v>
      </c>
      <c r="H488" s="138" t="s">
        <v>230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137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240</v>
      </c>
      <c r="E489" t="str">
        <f>+IFERROR(VLOOKUP(Fact_Administrativa[[#This Row],[Concepto Anterior]],Conceptos_Administrativa[#All],5,0),"")</f>
        <v>Noches hospedaje</v>
      </c>
      <c r="F489" t="str">
        <f ca="1">+IFERROR(VLOOKUP(Fact_Administrativa[[#This Row],[Concepto Anterior]],Conceptos_Administrativa[#All],7,0),"")</f>
        <v/>
      </c>
      <c r="G489" s="138" t="s">
        <v>230</v>
      </c>
      <c r="H489" s="138" t="s">
        <v>230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137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15</v>
      </c>
      <c r="E490" t="str">
        <f>+IFERROR(VLOOKUP(Fact_Administrativa[[#This Row],[Concepto Anterior]],Conceptos_Administrativa[#All],5,0),"")</f>
        <v>Recuperaciones Siniestros</v>
      </c>
      <c r="F490" t="str">
        <f ca="1">+IFERROR(VLOOKUP(Fact_Administrativa[[#This Row],[Concepto Anterior]],Conceptos_Administrativa[#All],7,0),"")</f>
        <v/>
      </c>
      <c r="G490" s="138" t="s">
        <v>230</v>
      </c>
      <c r="H490" s="138" t="s">
        <v>230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137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16</v>
      </c>
      <c r="E491" t="str">
        <f>+IFERROR(VLOOKUP(Fact_Administrativa[[#This Row],[Concepto Anterior]],Conceptos_Administrativa[#All],5,0),"")</f>
        <v>Gestión de Polizas</v>
      </c>
      <c r="F491" t="str">
        <f ca="1">+IFERROR(VLOOKUP(Fact_Administrativa[[#This Row],[Concepto Anterior]],Conceptos_Administrativa[#All],7,0),"")</f>
        <v/>
      </c>
      <c r="G491" s="138" t="s">
        <v>230</v>
      </c>
      <c r="H491" s="138" t="s">
        <v>230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137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250</v>
      </c>
      <c r="E492" t="str">
        <f>+IFERROR(VLOOKUP(Fact_Administrativa[[#This Row],[Concepto Anterior]],Conceptos_Administrativa[#All],5,0),"")</f>
        <v>Total tickets recibidos</v>
      </c>
      <c r="F492" t="str">
        <f ca="1">+IFERROR(VLOOKUP(Fact_Administrativa[[#This Row],[Concepto Anterior]],Conceptos_Administrativa[#All],7,0),"")</f>
        <v/>
      </c>
      <c r="G492" s="138" t="s">
        <v>230</v>
      </c>
      <c r="H492" s="138" t="s">
        <v>230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137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253</v>
      </c>
      <c r="E493" t="str">
        <f>+IFERROR(VLOOKUP(Fact_Administrativa[[#This Row],[Concepto Anterior]],Conceptos_Administrativa[#All],5,0),"")</f>
        <v>Tickets Cerrados con ANS</v>
      </c>
      <c r="F493" t="str">
        <f ca="1">+IFERROR(VLOOKUP(Fact_Administrativa[[#This Row],[Concepto Anterior]],Conceptos_Administrativa[#All],7,0),"")</f>
        <v/>
      </c>
      <c r="G493" s="138" t="s">
        <v>230</v>
      </c>
      <c r="H493" s="138" t="s">
        <v>230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137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256</v>
      </c>
      <c r="E494" t="str">
        <f>+IFERROR(VLOOKUP(Fact_Administrativa[[#This Row],[Concepto Anterior]],Conceptos_Administrativa[#All],5,0),"")</f>
        <v>Tickets Vencidos</v>
      </c>
      <c r="F494" t="str">
        <f ca="1">+IFERROR(VLOOKUP(Fact_Administrativa[[#This Row],[Concepto Anterior]],Conceptos_Administrativa[#All],7,0),"")</f>
        <v/>
      </c>
      <c r="G494" s="138" t="s">
        <v>230</v>
      </c>
      <c r="H494" s="138" t="s">
        <v>230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147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180</v>
      </c>
      <c r="E495" t="str">
        <f>+IFERROR(VLOOKUP(Fact_Administrativa[[#This Row],[Concepto Anterior]],Conceptos_Administrativa[#All],5,0),"")</f>
        <v>Ahorro energía</v>
      </c>
      <c r="F495" t="str">
        <f ca="1">+IFERROR(VLOOKUP(Fact_Administrativa[[#This Row],[Concepto Anterior]],Conceptos_Administrativa[#All],7,0),"")</f>
        <v/>
      </c>
      <c r="G495" s="138" t="s">
        <v>230</v>
      </c>
      <c r="H495" s="138" t="s">
        <v>230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147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189</v>
      </c>
      <c r="E496" t="str">
        <f>+IFERROR(VLOOKUP(Fact_Administrativa[[#This Row],[Concepto Anterior]],Conceptos_Administrativa[#All],5,0),"")</f>
        <v xml:space="preserve">Cant. reformas tiendas </v>
      </c>
      <c r="F496" t="str">
        <f ca="1">+IFERROR(VLOOKUP(Fact_Administrativa[[#This Row],[Concepto Anterior]],Conceptos_Administrativa[#All],7,0),"")</f>
        <v/>
      </c>
      <c r="G496" s="138" t="s">
        <v>230</v>
      </c>
      <c r="H496" s="138" t="s">
        <v>230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147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197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 ca="1">+IFERROR(VLOOKUP(Fact_Administrativa[[#This Row],[Concepto Anterior]],Conceptos_Administrativa[#All],7,0),"")</f>
        <v/>
      </c>
      <c r="G497" s="138" t="s">
        <v>230</v>
      </c>
      <c r="H497" s="138" t="s">
        <v>230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147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11</v>
      </c>
      <c r="E498" t="str">
        <f>+IFERROR(VLOOKUP(Fact_Administrativa[[#This Row],[Concepto Anterior]],Conceptos_Administrativa[#All],5,0),"")</f>
        <v>Control Ingresos cede Dogama</v>
      </c>
      <c r="F498" t="str">
        <f ca="1">+IFERROR(VLOOKUP(Fact_Administrativa[[#This Row],[Concepto Anterior]],Conceptos_Administrativa[#All],7,0),"")</f>
        <v/>
      </c>
      <c r="G498" s="138" t="s">
        <v>230</v>
      </c>
      <c r="H498" s="138" t="s">
        <v>230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147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210</v>
      </c>
      <c r="E499" t="str">
        <f>+IFERROR(VLOOKUP(Fact_Administrativa[[#This Row],[Concepto Anterior]],Conceptos_Administrativa[#All],5,0),"")</f>
        <v>Emisiones CO²</v>
      </c>
      <c r="F499" t="str">
        <f ca="1">+IFERROR(VLOOKUP(Fact_Administrativa[[#This Row],[Concepto Anterior]],Conceptos_Administrativa[#All],7,0),"")</f>
        <v/>
      </c>
      <c r="G499" s="138" t="s">
        <v>230</v>
      </c>
      <c r="H499" s="138" t="s">
        <v>230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147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217</v>
      </c>
      <c r="E500" t="str">
        <f>+IFERROR(VLOOKUP(Fact_Administrativa[[#This Row],[Concepto Anterior]],Conceptos_Administrativa[#All],5,0),"")</f>
        <v>Facturas de arrendamientos y administración</v>
      </c>
      <c r="F500" t="str">
        <f ca="1">+IFERROR(VLOOKUP(Fact_Administrativa[[#This Row],[Concepto Anterior]],Conceptos_Administrativa[#All],7,0),"")</f>
        <v/>
      </c>
      <c r="G500" s="138" t="s">
        <v>230</v>
      </c>
      <c r="H500" s="138" t="s">
        <v>230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147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223</v>
      </c>
      <c r="E501" t="str">
        <f>+IFERROR(VLOOKUP(Fact_Administrativa[[#This Row],[Concepto Anterior]],Conceptos_Administrativa[#All],5,0),"")</f>
        <v>Facturas Procesadas por Marca</v>
      </c>
      <c r="F501" t="str">
        <f ca="1">+IFERROR(VLOOKUP(Fact_Administrativa[[#This Row],[Concepto Anterior]],Conceptos_Administrativa[#All],7,0),"")</f>
        <v/>
      </c>
      <c r="G501" s="138" t="s">
        <v>108</v>
      </c>
      <c r="H501" s="138" t="s">
        <v>230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147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223</v>
      </c>
      <c r="E502" t="str">
        <f>+IFERROR(VLOOKUP(Fact_Administrativa[[#This Row],[Concepto Anterior]],Conceptos_Administrativa[#All],5,0),"")</f>
        <v>Facturas Procesadas por Marca</v>
      </c>
      <c r="F502" t="str">
        <f ca="1">+IFERROR(VLOOKUP(Fact_Administrativa[[#This Row],[Concepto Anterior]],Conceptos_Administrativa[#All],7,0),"")</f>
        <v/>
      </c>
      <c r="G502" s="138" t="s">
        <v>118</v>
      </c>
      <c r="H502" s="138" t="s">
        <v>230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147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223</v>
      </c>
      <c r="E503" t="str">
        <f>+IFERROR(VLOOKUP(Fact_Administrativa[[#This Row],[Concepto Anterior]],Conceptos_Administrativa[#All],5,0),"")</f>
        <v>Facturas Procesadas por Marca</v>
      </c>
      <c r="F503" t="str">
        <f ca="1">+IFERROR(VLOOKUP(Fact_Administrativa[[#This Row],[Concepto Anterior]],Conceptos_Administrativa[#All],7,0),"")</f>
        <v/>
      </c>
      <c r="G503" s="138" t="s">
        <v>125</v>
      </c>
      <c r="H503" s="138" t="s">
        <v>230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147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223</v>
      </c>
      <c r="E504" t="str">
        <f>+IFERROR(VLOOKUP(Fact_Administrativa[[#This Row],[Concepto Anterior]],Conceptos_Administrativa[#All],5,0),"")</f>
        <v>Facturas Procesadas por Marca</v>
      </c>
      <c r="F504" t="str">
        <f ca="1">+IFERROR(VLOOKUP(Fact_Administrativa[[#This Row],[Concepto Anterior]],Conceptos_Administrativa[#All],7,0),"")</f>
        <v/>
      </c>
      <c r="G504" s="138" t="s">
        <v>131</v>
      </c>
      <c r="H504" s="138" t="s">
        <v>230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147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223</v>
      </c>
      <c r="E505" t="str">
        <f>+IFERROR(VLOOKUP(Fact_Administrativa[[#This Row],[Concepto Anterior]],Conceptos_Administrativa[#All],5,0),"")</f>
        <v>Facturas Procesadas por Marca</v>
      </c>
      <c r="F505" t="str">
        <f ca="1">+IFERROR(VLOOKUP(Fact_Administrativa[[#This Row],[Concepto Anterior]],Conceptos_Administrativa[#All],7,0),"")</f>
        <v/>
      </c>
      <c r="G505" s="138" t="s">
        <v>141</v>
      </c>
      <c r="H505" s="138" t="s">
        <v>230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147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223</v>
      </c>
      <c r="E506" t="str">
        <f>+IFERROR(VLOOKUP(Fact_Administrativa[[#This Row],[Concepto Anterior]],Conceptos_Administrativa[#All],5,0),"")</f>
        <v>Facturas Procesadas por Marca</v>
      </c>
      <c r="F506" t="str">
        <f ca="1">+IFERROR(VLOOKUP(Fact_Administrativa[[#This Row],[Concepto Anterior]],Conceptos_Administrativa[#All],7,0),"")</f>
        <v/>
      </c>
      <c r="G506" s="138" t="s">
        <v>150</v>
      </c>
      <c r="H506" s="138" t="s">
        <v>230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147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223</v>
      </c>
      <c r="E507" t="str">
        <f>+IFERROR(VLOOKUP(Fact_Administrativa[[#This Row],[Concepto Anterior]],Conceptos_Administrativa[#All],5,0),"")</f>
        <v>Facturas Procesadas por Marca</v>
      </c>
      <c r="F507" t="str">
        <f ca="1">+IFERROR(VLOOKUP(Fact_Administrativa[[#This Row],[Concepto Anterior]],Conceptos_Administrativa[#All],7,0),"")</f>
        <v/>
      </c>
      <c r="G507" s="138" t="s">
        <v>159</v>
      </c>
      <c r="H507" s="138" t="s">
        <v>230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147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223</v>
      </c>
      <c r="E508" t="str">
        <f>+IFERROR(VLOOKUP(Fact_Administrativa[[#This Row],[Concepto Anterior]],Conceptos_Administrativa[#All],5,0),"")</f>
        <v>Facturas Procesadas por Marca</v>
      </c>
      <c r="F508" t="str">
        <f ca="1">+IFERROR(VLOOKUP(Fact_Administrativa[[#This Row],[Concepto Anterior]],Conceptos_Administrativa[#All],7,0),"")</f>
        <v/>
      </c>
      <c r="G508" s="138" t="s">
        <v>167</v>
      </c>
      <c r="H508" s="138" t="s">
        <v>230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147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223</v>
      </c>
      <c r="E509" t="str">
        <f>+IFERROR(VLOOKUP(Fact_Administrativa[[#This Row],[Concepto Anterior]],Conceptos_Administrativa[#All],5,0),"")</f>
        <v>Facturas Procesadas por Marca</v>
      </c>
      <c r="F509" t="str">
        <f ca="1">+IFERROR(VLOOKUP(Fact_Administrativa[[#This Row],[Concepto Anterior]],Conceptos_Administrativa[#All],7,0),"")</f>
        <v/>
      </c>
      <c r="G509" s="138" t="s">
        <v>174</v>
      </c>
      <c r="H509" s="138" t="s">
        <v>230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147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223</v>
      </c>
      <c r="E510" t="str">
        <f>+IFERROR(VLOOKUP(Fact_Administrativa[[#This Row],[Concepto Anterior]],Conceptos_Administrativa[#All],5,0),"")</f>
        <v>Facturas Procesadas por Marca</v>
      </c>
      <c r="F510" t="str">
        <f ca="1">+IFERROR(VLOOKUP(Fact_Administrativa[[#This Row],[Concepto Anterior]],Conceptos_Administrativa[#All],7,0),"")</f>
        <v/>
      </c>
      <c r="G510" s="138" t="s">
        <v>182</v>
      </c>
      <c r="H510" s="138" t="s">
        <v>230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147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223</v>
      </c>
      <c r="E511" t="str">
        <f>+IFERROR(VLOOKUP(Fact_Administrativa[[#This Row],[Concepto Anterior]],Conceptos_Administrativa[#All],5,0),"")</f>
        <v>Facturas Procesadas por Marca</v>
      </c>
      <c r="F511" t="str">
        <f ca="1">+IFERROR(VLOOKUP(Fact_Administrativa[[#This Row],[Concepto Anterior]],Conceptos_Administrativa[#All],7,0),"")</f>
        <v/>
      </c>
      <c r="G511" s="138" t="s">
        <v>191</v>
      </c>
      <c r="H511" s="138" t="s">
        <v>230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147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223</v>
      </c>
      <c r="E512" t="str">
        <f>+IFERROR(VLOOKUP(Fact_Administrativa[[#This Row],[Concepto Anterior]],Conceptos_Administrativa[#All],5,0),"")</f>
        <v>Facturas Procesadas por Marca</v>
      </c>
      <c r="F512" t="str">
        <f ca="1">+IFERROR(VLOOKUP(Fact_Administrativa[[#This Row],[Concepto Anterior]],Conceptos_Administrativa[#All],7,0),"")</f>
        <v/>
      </c>
      <c r="G512" s="138" t="s">
        <v>199</v>
      </c>
      <c r="H512" s="138" t="s">
        <v>230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147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223</v>
      </c>
      <c r="E513" t="str">
        <f>+IFERROR(VLOOKUP(Fact_Administrativa[[#This Row],[Concepto Anterior]],Conceptos_Administrativa[#All],5,0),"")</f>
        <v>Facturas Procesadas por Marca</v>
      </c>
      <c r="F513" t="str">
        <f ca="1">+IFERROR(VLOOKUP(Fact_Administrativa[[#This Row],[Concepto Anterior]],Conceptos_Administrativa[#All],7,0),"")</f>
        <v/>
      </c>
      <c r="G513" s="138" t="s">
        <v>205</v>
      </c>
      <c r="H513" s="138" t="s">
        <v>230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147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223</v>
      </c>
      <c r="E514" t="str">
        <f>+IFERROR(VLOOKUP(Fact_Administrativa[[#This Row],[Concepto Anterior]],Conceptos_Administrativa[#All],5,0),"")</f>
        <v>Facturas Procesadas por Marca</v>
      </c>
      <c r="F514" t="str">
        <f ca="1">+IFERROR(VLOOKUP(Fact_Administrativa[[#This Row],[Concepto Anterior]],Conceptos_Administrativa[#All],7,0),"")</f>
        <v/>
      </c>
      <c r="G514" s="138" t="s">
        <v>212</v>
      </c>
      <c r="H514" s="138" t="s">
        <v>230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147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229</v>
      </c>
      <c r="E515" t="str">
        <f>+IFERROR(VLOOKUP(Fact_Administrativa[[#This Row],[Concepto Anterior]],Conceptos_Administrativa[#All],5,0),"")</f>
        <v>Facturas Procesadas por Marca</v>
      </c>
      <c r="F515" t="str">
        <f ca="1">+IFERROR(VLOOKUP(Fact_Administrativa[[#This Row],[Concepto Anterior]],Conceptos_Administrativa[#All],7,0),"")</f>
        <v/>
      </c>
      <c r="G515" s="138" t="s">
        <v>218</v>
      </c>
      <c r="H515" s="138" t="s">
        <v>230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147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234</v>
      </c>
      <c r="E516" t="str">
        <f>+IFERROR(VLOOKUP(Fact_Administrativa[[#This Row],[Concepto Anterior]],Conceptos_Administrativa[#All],5,0),"")</f>
        <v>Facturas Procesadas por Marca</v>
      </c>
      <c r="F516" t="str">
        <f ca="1">+IFERROR(VLOOKUP(Fact_Administrativa[[#This Row],[Concepto Anterior]],Conceptos_Administrativa[#All],7,0),"")</f>
        <v/>
      </c>
      <c r="G516" s="138" t="s">
        <v>225</v>
      </c>
      <c r="H516" s="138" t="s">
        <v>230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147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14</v>
      </c>
      <c r="E517" t="str">
        <f>+IFERROR(VLOOKUP(Fact_Administrativa[[#This Row],[Concepto Anterior]],Conceptos_Administrativa[#All],5,0),"")</f>
        <v xml:space="preserve">Ahorro reformas tiendas </v>
      </c>
      <c r="F517" t="str">
        <f ca="1">+IFERROR(VLOOKUP(Fact_Administrativa[[#This Row],[Concepto Anterior]],Conceptos_Administrativa[#All],7,0),"")</f>
        <v/>
      </c>
      <c r="G517" s="138" t="s">
        <v>230</v>
      </c>
      <c r="H517" s="138" t="s">
        <v>230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147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240</v>
      </c>
      <c r="E518" t="str">
        <f>+IFERROR(VLOOKUP(Fact_Administrativa[[#This Row],[Concepto Anterior]],Conceptos_Administrativa[#All],5,0),"")</f>
        <v>Noches hospedaje</v>
      </c>
      <c r="F518" t="str">
        <f ca="1">+IFERROR(VLOOKUP(Fact_Administrativa[[#This Row],[Concepto Anterior]],Conceptos_Administrativa[#All],7,0),"")</f>
        <v/>
      </c>
      <c r="G518" s="138" t="s">
        <v>230</v>
      </c>
      <c r="H518" s="138" t="s">
        <v>230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147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15</v>
      </c>
      <c r="E519" t="str">
        <f>+IFERROR(VLOOKUP(Fact_Administrativa[[#This Row],[Concepto Anterior]],Conceptos_Administrativa[#All],5,0),"")</f>
        <v>Recuperaciones Siniestros</v>
      </c>
      <c r="F519" t="str">
        <f ca="1">+IFERROR(VLOOKUP(Fact_Administrativa[[#This Row],[Concepto Anterior]],Conceptos_Administrativa[#All],7,0),"")</f>
        <v/>
      </c>
      <c r="G519" s="138" t="s">
        <v>230</v>
      </c>
      <c r="H519" s="138" t="s">
        <v>230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147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16</v>
      </c>
      <c r="E520" t="str">
        <f>+IFERROR(VLOOKUP(Fact_Administrativa[[#This Row],[Concepto Anterior]],Conceptos_Administrativa[#All],5,0),"")</f>
        <v>Gestión de Polizas</v>
      </c>
      <c r="F520" t="str">
        <f ca="1">+IFERROR(VLOOKUP(Fact_Administrativa[[#This Row],[Concepto Anterior]],Conceptos_Administrativa[#All],7,0),"")</f>
        <v/>
      </c>
      <c r="G520" s="138" t="s">
        <v>230</v>
      </c>
      <c r="H520" s="138" t="s">
        <v>230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147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250</v>
      </c>
      <c r="E521" t="str">
        <f>+IFERROR(VLOOKUP(Fact_Administrativa[[#This Row],[Concepto Anterior]],Conceptos_Administrativa[#All],5,0),"")</f>
        <v>Total tickets recibidos</v>
      </c>
      <c r="F521" t="str">
        <f ca="1">+IFERROR(VLOOKUP(Fact_Administrativa[[#This Row],[Concepto Anterior]],Conceptos_Administrativa[#All],7,0),"")</f>
        <v/>
      </c>
      <c r="G521" s="138" t="s">
        <v>230</v>
      </c>
      <c r="H521" s="138" t="s">
        <v>230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147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253</v>
      </c>
      <c r="E522" t="str">
        <f>+IFERROR(VLOOKUP(Fact_Administrativa[[#This Row],[Concepto Anterior]],Conceptos_Administrativa[#All],5,0),"")</f>
        <v>Tickets Cerrados con ANS</v>
      </c>
      <c r="F522" t="str">
        <f ca="1">+IFERROR(VLOOKUP(Fact_Administrativa[[#This Row],[Concepto Anterior]],Conceptos_Administrativa[#All],7,0),"")</f>
        <v/>
      </c>
      <c r="G522" s="138" t="s">
        <v>230</v>
      </c>
      <c r="H522" s="138" t="s">
        <v>230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147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256</v>
      </c>
      <c r="E523" t="str">
        <f>+IFERROR(VLOOKUP(Fact_Administrativa[[#This Row],[Concepto Anterior]],Conceptos_Administrativa[#All],5,0),"")</f>
        <v>Tickets Vencidos</v>
      </c>
      <c r="F523" t="str">
        <f ca="1">+IFERROR(VLOOKUP(Fact_Administrativa[[#This Row],[Concepto Anterior]],Conceptos_Administrativa[#All],7,0),"")</f>
        <v/>
      </c>
      <c r="G523" s="138" t="s">
        <v>230</v>
      </c>
      <c r="H523" s="138" t="s">
        <v>230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157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180</v>
      </c>
      <c r="E524" t="str">
        <f>+IFERROR(VLOOKUP(Fact_Administrativa[[#This Row],[Concepto Anterior]],Conceptos_Administrativa[#All],5,0),"")</f>
        <v>Ahorro energía</v>
      </c>
      <c r="F524" t="str">
        <f ca="1">+IFERROR(VLOOKUP(Fact_Administrativa[[#This Row],[Concepto Anterior]],Conceptos_Administrativa[#All],7,0),"")</f>
        <v/>
      </c>
      <c r="G524" s="138" t="s">
        <v>230</v>
      </c>
      <c r="H524" s="138" t="s">
        <v>230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157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189</v>
      </c>
      <c r="E525" t="str">
        <f>+IFERROR(VLOOKUP(Fact_Administrativa[[#This Row],[Concepto Anterior]],Conceptos_Administrativa[#All],5,0),"")</f>
        <v xml:space="preserve">Cant. reformas tiendas </v>
      </c>
      <c r="F525" t="str">
        <f ca="1">+IFERROR(VLOOKUP(Fact_Administrativa[[#This Row],[Concepto Anterior]],Conceptos_Administrativa[#All],7,0),"")</f>
        <v/>
      </c>
      <c r="G525" s="138" t="s">
        <v>230</v>
      </c>
      <c r="H525" s="138" t="s">
        <v>230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157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197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 ca="1">+IFERROR(VLOOKUP(Fact_Administrativa[[#This Row],[Concepto Anterior]],Conceptos_Administrativa[#All],7,0),"")</f>
        <v/>
      </c>
      <c r="G526" s="138" t="s">
        <v>230</v>
      </c>
      <c r="H526" s="138" t="s">
        <v>230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157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11</v>
      </c>
      <c r="E527" t="str">
        <f>+IFERROR(VLOOKUP(Fact_Administrativa[[#This Row],[Concepto Anterior]],Conceptos_Administrativa[#All],5,0),"")</f>
        <v>Control Ingresos cede Dogama</v>
      </c>
      <c r="F527" t="str">
        <f ca="1">+IFERROR(VLOOKUP(Fact_Administrativa[[#This Row],[Concepto Anterior]],Conceptos_Administrativa[#All],7,0),"")</f>
        <v/>
      </c>
      <c r="G527" s="138" t="s">
        <v>230</v>
      </c>
      <c r="H527" s="138" t="s">
        <v>230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157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210</v>
      </c>
      <c r="E528" t="str">
        <f>+IFERROR(VLOOKUP(Fact_Administrativa[[#This Row],[Concepto Anterior]],Conceptos_Administrativa[#All],5,0),"")</f>
        <v>Emisiones CO²</v>
      </c>
      <c r="F528" t="str">
        <f ca="1">+IFERROR(VLOOKUP(Fact_Administrativa[[#This Row],[Concepto Anterior]],Conceptos_Administrativa[#All],7,0),"")</f>
        <v/>
      </c>
      <c r="G528" s="138" t="s">
        <v>230</v>
      </c>
      <c r="H528" s="138" t="s">
        <v>230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157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217</v>
      </c>
      <c r="E529" t="str">
        <f>+IFERROR(VLOOKUP(Fact_Administrativa[[#This Row],[Concepto Anterior]],Conceptos_Administrativa[#All],5,0),"")</f>
        <v>Facturas de arrendamientos y administración</v>
      </c>
      <c r="F529" t="str">
        <f ca="1">+IFERROR(VLOOKUP(Fact_Administrativa[[#This Row],[Concepto Anterior]],Conceptos_Administrativa[#All],7,0),"")</f>
        <v/>
      </c>
      <c r="G529" s="138" t="s">
        <v>230</v>
      </c>
      <c r="H529" s="138" t="s">
        <v>230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157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223</v>
      </c>
      <c r="E530" t="str">
        <f>+IFERROR(VLOOKUP(Fact_Administrativa[[#This Row],[Concepto Anterior]],Conceptos_Administrativa[#All],5,0),"")</f>
        <v>Facturas Procesadas por Marca</v>
      </c>
      <c r="F530" t="str">
        <f ca="1">+IFERROR(VLOOKUP(Fact_Administrativa[[#This Row],[Concepto Anterior]],Conceptos_Administrativa[#All],7,0),"")</f>
        <v/>
      </c>
      <c r="G530" s="138" t="s">
        <v>108</v>
      </c>
      <c r="H530" s="138" t="s">
        <v>230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157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223</v>
      </c>
      <c r="E531" t="str">
        <f>+IFERROR(VLOOKUP(Fact_Administrativa[[#This Row],[Concepto Anterior]],Conceptos_Administrativa[#All],5,0),"")</f>
        <v>Facturas Procesadas por Marca</v>
      </c>
      <c r="F531" t="str">
        <f ca="1">+IFERROR(VLOOKUP(Fact_Administrativa[[#This Row],[Concepto Anterior]],Conceptos_Administrativa[#All],7,0),"")</f>
        <v/>
      </c>
      <c r="G531" s="138" t="s">
        <v>118</v>
      </c>
      <c r="H531" s="138" t="s">
        <v>230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157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223</v>
      </c>
      <c r="E532" t="str">
        <f>+IFERROR(VLOOKUP(Fact_Administrativa[[#This Row],[Concepto Anterior]],Conceptos_Administrativa[#All],5,0),"")</f>
        <v>Facturas Procesadas por Marca</v>
      </c>
      <c r="F532" t="str">
        <f ca="1">+IFERROR(VLOOKUP(Fact_Administrativa[[#This Row],[Concepto Anterior]],Conceptos_Administrativa[#All],7,0),"")</f>
        <v/>
      </c>
      <c r="G532" s="138" t="s">
        <v>125</v>
      </c>
      <c r="H532" s="138" t="s">
        <v>230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157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223</v>
      </c>
      <c r="E533" t="str">
        <f>+IFERROR(VLOOKUP(Fact_Administrativa[[#This Row],[Concepto Anterior]],Conceptos_Administrativa[#All],5,0),"")</f>
        <v>Facturas Procesadas por Marca</v>
      </c>
      <c r="F533" t="str">
        <f ca="1">+IFERROR(VLOOKUP(Fact_Administrativa[[#This Row],[Concepto Anterior]],Conceptos_Administrativa[#All],7,0),"")</f>
        <v/>
      </c>
      <c r="G533" s="138" t="s">
        <v>131</v>
      </c>
      <c r="H533" s="138" t="s">
        <v>230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157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223</v>
      </c>
      <c r="E534" t="str">
        <f>+IFERROR(VLOOKUP(Fact_Administrativa[[#This Row],[Concepto Anterior]],Conceptos_Administrativa[#All],5,0),"")</f>
        <v>Facturas Procesadas por Marca</v>
      </c>
      <c r="F534" t="str">
        <f ca="1">+IFERROR(VLOOKUP(Fact_Administrativa[[#This Row],[Concepto Anterior]],Conceptos_Administrativa[#All],7,0),"")</f>
        <v/>
      </c>
      <c r="G534" s="138" t="s">
        <v>141</v>
      </c>
      <c r="H534" s="138" t="s">
        <v>230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157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223</v>
      </c>
      <c r="E535" t="str">
        <f>+IFERROR(VLOOKUP(Fact_Administrativa[[#This Row],[Concepto Anterior]],Conceptos_Administrativa[#All],5,0),"")</f>
        <v>Facturas Procesadas por Marca</v>
      </c>
      <c r="F535" t="str">
        <f ca="1">+IFERROR(VLOOKUP(Fact_Administrativa[[#This Row],[Concepto Anterior]],Conceptos_Administrativa[#All],7,0),"")</f>
        <v/>
      </c>
      <c r="G535" s="138" t="s">
        <v>150</v>
      </c>
      <c r="H535" s="138" t="s">
        <v>230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157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223</v>
      </c>
      <c r="E536" t="str">
        <f>+IFERROR(VLOOKUP(Fact_Administrativa[[#This Row],[Concepto Anterior]],Conceptos_Administrativa[#All],5,0),"")</f>
        <v>Facturas Procesadas por Marca</v>
      </c>
      <c r="F536" t="str">
        <f ca="1">+IFERROR(VLOOKUP(Fact_Administrativa[[#This Row],[Concepto Anterior]],Conceptos_Administrativa[#All],7,0),"")</f>
        <v/>
      </c>
      <c r="G536" s="138" t="s">
        <v>159</v>
      </c>
      <c r="H536" s="138" t="s">
        <v>230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157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223</v>
      </c>
      <c r="E537" t="str">
        <f>+IFERROR(VLOOKUP(Fact_Administrativa[[#This Row],[Concepto Anterior]],Conceptos_Administrativa[#All],5,0),"")</f>
        <v>Facturas Procesadas por Marca</v>
      </c>
      <c r="F537" t="str">
        <f ca="1">+IFERROR(VLOOKUP(Fact_Administrativa[[#This Row],[Concepto Anterior]],Conceptos_Administrativa[#All],7,0),"")</f>
        <v/>
      </c>
      <c r="G537" s="138" t="s">
        <v>167</v>
      </c>
      <c r="H537" s="138" t="s">
        <v>230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157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223</v>
      </c>
      <c r="E538" t="str">
        <f>+IFERROR(VLOOKUP(Fact_Administrativa[[#This Row],[Concepto Anterior]],Conceptos_Administrativa[#All],5,0),"")</f>
        <v>Facturas Procesadas por Marca</v>
      </c>
      <c r="F538" t="str">
        <f ca="1">+IFERROR(VLOOKUP(Fact_Administrativa[[#This Row],[Concepto Anterior]],Conceptos_Administrativa[#All],7,0),"")</f>
        <v/>
      </c>
      <c r="G538" s="138" t="s">
        <v>174</v>
      </c>
      <c r="H538" s="138" t="s">
        <v>230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157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223</v>
      </c>
      <c r="E539" t="str">
        <f>+IFERROR(VLOOKUP(Fact_Administrativa[[#This Row],[Concepto Anterior]],Conceptos_Administrativa[#All],5,0),"")</f>
        <v>Facturas Procesadas por Marca</v>
      </c>
      <c r="F539" t="str">
        <f ca="1">+IFERROR(VLOOKUP(Fact_Administrativa[[#This Row],[Concepto Anterior]],Conceptos_Administrativa[#All],7,0),"")</f>
        <v/>
      </c>
      <c r="G539" s="138" t="s">
        <v>182</v>
      </c>
      <c r="H539" s="138" t="s">
        <v>230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157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223</v>
      </c>
      <c r="E540" t="str">
        <f>+IFERROR(VLOOKUP(Fact_Administrativa[[#This Row],[Concepto Anterior]],Conceptos_Administrativa[#All],5,0),"")</f>
        <v>Facturas Procesadas por Marca</v>
      </c>
      <c r="F540" t="str">
        <f ca="1">+IFERROR(VLOOKUP(Fact_Administrativa[[#This Row],[Concepto Anterior]],Conceptos_Administrativa[#All],7,0),"")</f>
        <v/>
      </c>
      <c r="G540" s="138" t="s">
        <v>191</v>
      </c>
      <c r="H540" s="138" t="s">
        <v>230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157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223</v>
      </c>
      <c r="E541" t="str">
        <f>+IFERROR(VLOOKUP(Fact_Administrativa[[#This Row],[Concepto Anterior]],Conceptos_Administrativa[#All],5,0),"")</f>
        <v>Facturas Procesadas por Marca</v>
      </c>
      <c r="F541" t="str">
        <f ca="1">+IFERROR(VLOOKUP(Fact_Administrativa[[#This Row],[Concepto Anterior]],Conceptos_Administrativa[#All],7,0),"")</f>
        <v/>
      </c>
      <c r="G541" s="138" t="s">
        <v>199</v>
      </c>
      <c r="H541" s="138" t="s">
        <v>230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157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223</v>
      </c>
      <c r="E542" t="str">
        <f>+IFERROR(VLOOKUP(Fact_Administrativa[[#This Row],[Concepto Anterior]],Conceptos_Administrativa[#All],5,0),"")</f>
        <v>Facturas Procesadas por Marca</v>
      </c>
      <c r="F542" t="str">
        <f ca="1">+IFERROR(VLOOKUP(Fact_Administrativa[[#This Row],[Concepto Anterior]],Conceptos_Administrativa[#All],7,0),"")</f>
        <v/>
      </c>
      <c r="G542" s="138" t="s">
        <v>205</v>
      </c>
      <c r="H542" s="138" t="s">
        <v>230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157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223</v>
      </c>
      <c r="E543" t="str">
        <f>+IFERROR(VLOOKUP(Fact_Administrativa[[#This Row],[Concepto Anterior]],Conceptos_Administrativa[#All],5,0),"")</f>
        <v>Facturas Procesadas por Marca</v>
      </c>
      <c r="F543" t="str">
        <f ca="1">+IFERROR(VLOOKUP(Fact_Administrativa[[#This Row],[Concepto Anterior]],Conceptos_Administrativa[#All],7,0),"")</f>
        <v/>
      </c>
      <c r="G543" s="138" t="s">
        <v>212</v>
      </c>
      <c r="H543" s="138" t="s">
        <v>230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157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229</v>
      </c>
      <c r="E544" t="str">
        <f>+IFERROR(VLOOKUP(Fact_Administrativa[[#This Row],[Concepto Anterior]],Conceptos_Administrativa[#All],5,0),"")</f>
        <v>Facturas Procesadas por Marca</v>
      </c>
      <c r="F544" t="str">
        <f ca="1">+IFERROR(VLOOKUP(Fact_Administrativa[[#This Row],[Concepto Anterior]],Conceptos_Administrativa[#All],7,0),"")</f>
        <v/>
      </c>
      <c r="G544" s="138" t="s">
        <v>218</v>
      </c>
      <c r="H544" s="138" t="s">
        <v>230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157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234</v>
      </c>
      <c r="E545" t="str">
        <f>+IFERROR(VLOOKUP(Fact_Administrativa[[#This Row],[Concepto Anterior]],Conceptos_Administrativa[#All],5,0),"")</f>
        <v>Facturas Procesadas por Marca</v>
      </c>
      <c r="F545" t="str">
        <f ca="1">+IFERROR(VLOOKUP(Fact_Administrativa[[#This Row],[Concepto Anterior]],Conceptos_Administrativa[#All],7,0),"")</f>
        <v/>
      </c>
      <c r="G545" s="138" t="s">
        <v>225</v>
      </c>
      <c r="H545" s="138" t="s">
        <v>230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157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14</v>
      </c>
      <c r="E546" t="str">
        <f>+IFERROR(VLOOKUP(Fact_Administrativa[[#This Row],[Concepto Anterior]],Conceptos_Administrativa[#All],5,0),"")</f>
        <v xml:space="preserve">Ahorro reformas tiendas </v>
      </c>
      <c r="F546" t="str">
        <f ca="1">+IFERROR(VLOOKUP(Fact_Administrativa[[#This Row],[Concepto Anterior]],Conceptos_Administrativa[#All],7,0),"")</f>
        <v/>
      </c>
      <c r="G546" s="138" t="s">
        <v>230</v>
      </c>
      <c r="H546" s="138" t="s">
        <v>230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157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240</v>
      </c>
      <c r="E547" t="str">
        <f>+IFERROR(VLOOKUP(Fact_Administrativa[[#This Row],[Concepto Anterior]],Conceptos_Administrativa[#All],5,0),"")</f>
        <v>Noches hospedaje</v>
      </c>
      <c r="F547" t="str">
        <f ca="1">+IFERROR(VLOOKUP(Fact_Administrativa[[#This Row],[Concepto Anterior]],Conceptos_Administrativa[#All],7,0),"")</f>
        <v/>
      </c>
      <c r="G547" s="138" t="s">
        <v>230</v>
      </c>
      <c r="H547" s="138" t="s">
        <v>230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157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15</v>
      </c>
      <c r="E548" t="str">
        <f>+IFERROR(VLOOKUP(Fact_Administrativa[[#This Row],[Concepto Anterior]],Conceptos_Administrativa[#All],5,0),"")</f>
        <v>Recuperaciones Siniestros</v>
      </c>
      <c r="F548" t="str">
        <f ca="1">+IFERROR(VLOOKUP(Fact_Administrativa[[#This Row],[Concepto Anterior]],Conceptos_Administrativa[#All],7,0),"")</f>
        <v/>
      </c>
      <c r="G548" s="138" t="s">
        <v>230</v>
      </c>
      <c r="H548" s="138" t="s">
        <v>230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157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16</v>
      </c>
      <c r="E549" t="str">
        <f>+IFERROR(VLOOKUP(Fact_Administrativa[[#This Row],[Concepto Anterior]],Conceptos_Administrativa[#All],5,0),"")</f>
        <v>Gestión de Polizas</v>
      </c>
      <c r="F549" t="str">
        <f ca="1">+IFERROR(VLOOKUP(Fact_Administrativa[[#This Row],[Concepto Anterior]],Conceptos_Administrativa[#All],7,0),"")</f>
        <v/>
      </c>
      <c r="G549" s="138" t="s">
        <v>230</v>
      </c>
      <c r="H549" s="138" t="s">
        <v>230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157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250</v>
      </c>
      <c r="E550" t="str">
        <f>+IFERROR(VLOOKUP(Fact_Administrativa[[#This Row],[Concepto Anterior]],Conceptos_Administrativa[#All],5,0),"")</f>
        <v>Total tickets recibidos</v>
      </c>
      <c r="F550" t="str">
        <f ca="1">+IFERROR(VLOOKUP(Fact_Administrativa[[#This Row],[Concepto Anterior]],Conceptos_Administrativa[#All],7,0),"")</f>
        <v/>
      </c>
      <c r="G550" s="138" t="s">
        <v>230</v>
      </c>
      <c r="H550" s="138" t="s">
        <v>230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157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253</v>
      </c>
      <c r="E551" t="str">
        <f>+IFERROR(VLOOKUP(Fact_Administrativa[[#This Row],[Concepto Anterior]],Conceptos_Administrativa[#All],5,0),"")</f>
        <v>Tickets Cerrados con ANS</v>
      </c>
      <c r="F551" t="str">
        <f ca="1">+IFERROR(VLOOKUP(Fact_Administrativa[[#This Row],[Concepto Anterior]],Conceptos_Administrativa[#All],7,0),"")</f>
        <v/>
      </c>
      <c r="G551" s="138" t="s">
        <v>230</v>
      </c>
      <c r="H551" s="138" t="s">
        <v>230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157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256</v>
      </c>
      <c r="E552" t="str">
        <f>+IFERROR(VLOOKUP(Fact_Administrativa[[#This Row],[Concepto Anterior]],Conceptos_Administrativa[#All],5,0),"")</f>
        <v>Tickets Vencidos</v>
      </c>
      <c r="F552" t="str">
        <f ca="1">+IFERROR(VLOOKUP(Fact_Administrativa[[#This Row],[Concepto Anterior]],Conceptos_Administrativa[#All],7,0),"")</f>
        <v/>
      </c>
      <c r="G552" s="138" t="s">
        <v>230</v>
      </c>
      <c r="H552" s="138" t="s">
        <v>230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165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223</v>
      </c>
      <c r="E553" t="str">
        <f>+IFERROR(VLOOKUP(Fact_Administrativa[[#This Row],[Concepto Anterior]],Conceptos_Administrativa[#All],5,0),"")</f>
        <v>Facturas Procesadas por Marca</v>
      </c>
      <c r="F553" t="str">
        <f ca="1">+IFERROR(VLOOKUP(Fact_Administrativa[[#This Row],[Concepto Anterior]],Conceptos_Administrativa[#All],7,0),"")</f>
        <v/>
      </c>
      <c r="G553" s="138" t="s">
        <v>108</v>
      </c>
      <c r="H553" s="138" t="s">
        <v>230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165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223</v>
      </c>
      <c r="E554" t="str">
        <f>+IFERROR(VLOOKUP(Fact_Administrativa[[#This Row],[Concepto Anterior]],Conceptos_Administrativa[#All],5,0),"")</f>
        <v>Facturas Procesadas por Marca</v>
      </c>
      <c r="F554" t="str">
        <f ca="1">+IFERROR(VLOOKUP(Fact_Administrativa[[#This Row],[Concepto Anterior]],Conceptos_Administrativa[#All],7,0),"")</f>
        <v/>
      </c>
      <c r="G554" s="138" t="s">
        <v>118</v>
      </c>
      <c r="H554" s="138" t="s">
        <v>230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165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223</v>
      </c>
      <c r="E555" t="str">
        <f>+IFERROR(VLOOKUP(Fact_Administrativa[[#This Row],[Concepto Anterior]],Conceptos_Administrativa[#All],5,0),"")</f>
        <v>Facturas Procesadas por Marca</v>
      </c>
      <c r="F555" t="str">
        <f ca="1">+IFERROR(VLOOKUP(Fact_Administrativa[[#This Row],[Concepto Anterior]],Conceptos_Administrativa[#All],7,0),"")</f>
        <v/>
      </c>
      <c r="G555" s="138" t="s">
        <v>125</v>
      </c>
      <c r="H555" s="138" t="s">
        <v>230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165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223</v>
      </c>
      <c r="E556" t="str">
        <f>+IFERROR(VLOOKUP(Fact_Administrativa[[#This Row],[Concepto Anterior]],Conceptos_Administrativa[#All],5,0),"")</f>
        <v>Facturas Procesadas por Marca</v>
      </c>
      <c r="F556" t="str">
        <f ca="1">+IFERROR(VLOOKUP(Fact_Administrativa[[#This Row],[Concepto Anterior]],Conceptos_Administrativa[#All],7,0),"")</f>
        <v/>
      </c>
      <c r="G556" s="138" t="s">
        <v>131</v>
      </c>
      <c r="H556" s="138" t="s">
        <v>230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165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223</v>
      </c>
      <c r="E557" t="str">
        <f>+IFERROR(VLOOKUP(Fact_Administrativa[[#This Row],[Concepto Anterior]],Conceptos_Administrativa[#All],5,0),"")</f>
        <v>Facturas Procesadas por Marca</v>
      </c>
      <c r="F557" t="str">
        <f ca="1">+IFERROR(VLOOKUP(Fact_Administrativa[[#This Row],[Concepto Anterior]],Conceptos_Administrativa[#All],7,0),"")</f>
        <v/>
      </c>
      <c r="G557" s="138" t="s">
        <v>141</v>
      </c>
      <c r="H557" s="138" t="s">
        <v>230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165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223</v>
      </c>
      <c r="E558" t="str">
        <f>+IFERROR(VLOOKUP(Fact_Administrativa[[#This Row],[Concepto Anterior]],Conceptos_Administrativa[#All],5,0),"")</f>
        <v>Facturas Procesadas por Marca</v>
      </c>
      <c r="F558" t="str">
        <f ca="1">+IFERROR(VLOOKUP(Fact_Administrativa[[#This Row],[Concepto Anterior]],Conceptos_Administrativa[#All],7,0),"")</f>
        <v/>
      </c>
      <c r="G558" s="138" t="s">
        <v>150</v>
      </c>
      <c r="H558" s="138" t="s">
        <v>230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165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223</v>
      </c>
      <c r="E559" t="str">
        <f>+IFERROR(VLOOKUP(Fact_Administrativa[[#This Row],[Concepto Anterior]],Conceptos_Administrativa[#All],5,0),"")</f>
        <v>Facturas Procesadas por Marca</v>
      </c>
      <c r="F559" t="str">
        <f ca="1">+IFERROR(VLOOKUP(Fact_Administrativa[[#This Row],[Concepto Anterior]],Conceptos_Administrativa[#All],7,0),"")</f>
        <v/>
      </c>
      <c r="G559" s="138" t="s">
        <v>159</v>
      </c>
      <c r="H559" s="138" t="s">
        <v>230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165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223</v>
      </c>
      <c r="E560" t="str">
        <f>+IFERROR(VLOOKUP(Fact_Administrativa[[#This Row],[Concepto Anterior]],Conceptos_Administrativa[#All],5,0),"")</f>
        <v>Facturas Procesadas por Marca</v>
      </c>
      <c r="F560" t="str">
        <f ca="1">+IFERROR(VLOOKUP(Fact_Administrativa[[#This Row],[Concepto Anterior]],Conceptos_Administrativa[#All],7,0),"")</f>
        <v/>
      </c>
      <c r="G560" s="138" t="s">
        <v>167</v>
      </c>
      <c r="H560" s="138" t="s">
        <v>230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165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223</v>
      </c>
      <c r="E561" t="str">
        <f>+IFERROR(VLOOKUP(Fact_Administrativa[[#This Row],[Concepto Anterior]],Conceptos_Administrativa[#All],5,0),"")</f>
        <v>Facturas Procesadas por Marca</v>
      </c>
      <c r="F561" t="str">
        <f ca="1">+IFERROR(VLOOKUP(Fact_Administrativa[[#This Row],[Concepto Anterior]],Conceptos_Administrativa[#All],7,0),"")</f>
        <v/>
      </c>
      <c r="G561" s="138" t="s">
        <v>174</v>
      </c>
      <c r="H561" s="138" t="s">
        <v>230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165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223</v>
      </c>
      <c r="E562" t="str">
        <f>+IFERROR(VLOOKUP(Fact_Administrativa[[#This Row],[Concepto Anterior]],Conceptos_Administrativa[#All],5,0),"")</f>
        <v>Facturas Procesadas por Marca</v>
      </c>
      <c r="F562" t="str">
        <f ca="1">+IFERROR(VLOOKUP(Fact_Administrativa[[#This Row],[Concepto Anterior]],Conceptos_Administrativa[#All],7,0),"")</f>
        <v/>
      </c>
      <c r="G562" s="138" t="s">
        <v>182</v>
      </c>
      <c r="H562" s="138" t="s">
        <v>230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165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223</v>
      </c>
      <c r="E563" t="str">
        <f>+IFERROR(VLOOKUP(Fact_Administrativa[[#This Row],[Concepto Anterior]],Conceptos_Administrativa[#All],5,0),"")</f>
        <v>Facturas Procesadas por Marca</v>
      </c>
      <c r="F563" t="str">
        <f ca="1">+IFERROR(VLOOKUP(Fact_Administrativa[[#This Row],[Concepto Anterior]],Conceptos_Administrativa[#All],7,0),"")</f>
        <v/>
      </c>
      <c r="G563" s="138" t="s">
        <v>191</v>
      </c>
      <c r="H563" s="138" t="s">
        <v>230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165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223</v>
      </c>
      <c r="E564" t="str">
        <f>+IFERROR(VLOOKUP(Fact_Administrativa[[#This Row],[Concepto Anterior]],Conceptos_Administrativa[#All],5,0),"")</f>
        <v>Facturas Procesadas por Marca</v>
      </c>
      <c r="F564" t="str">
        <f ca="1">+IFERROR(VLOOKUP(Fact_Administrativa[[#This Row],[Concepto Anterior]],Conceptos_Administrativa[#All],7,0),"")</f>
        <v/>
      </c>
      <c r="G564" s="138" t="s">
        <v>199</v>
      </c>
      <c r="H564" s="138" t="s">
        <v>230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165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223</v>
      </c>
      <c r="E565" t="str">
        <f>+IFERROR(VLOOKUP(Fact_Administrativa[[#This Row],[Concepto Anterior]],Conceptos_Administrativa[#All],5,0),"")</f>
        <v>Facturas Procesadas por Marca</v>
      </c>
      <c r="F565" t="str">
        <f ca="1">+IFERROR(VLOOKUP(Fact_Administrativa[[#This Row],[Concepto Anterior]],Conceptos_Administrativa[#All],7,0),"")</f>
        <v/>
      </c>
      <c r="G565" s="138" t="s">
        <v>205</v>
      </c>
      <c r="H565" s="138" t="s">
        <v>230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165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223</v>
      </c>
      <c r="E566" t="str">
        <f>+IFERROR(VLOOKUP(Fact_Administrativa[[#This Row],[Concepto Anterior]],Conceptos_Administrativa[#All],5,0),"")</f>
        <v>Facturas Procesadas por Marca</v>
      </c>
      <c r="F566" t="str">
        <f ca="1">+IFERROR(VLOOKUP(Fact_Administrativa[[#This Row],[Concepto Anterior]],Conceptos_Administrativa[#All],7,0),"")</f>
        <v/>
      </c>
      <c r="G566" s="138" t="s">
        <v>212</v>
      </c>
      <c r="H566" s="138" t="s">
        <v>230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165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229</v>
      </c>
      <c r="E567" t="str">
        <f>+IFERROR(VLOOKUP(Fact_Administrativa[[#This Row],[Concepto Anterior]],Conceptos_Administrativa[#All],5,0),"")</f>
        <v>Facturas Procesadas por Marca</v>
      </c>
      <c r="F567" t="str">
        <f ca="1">+IFERROR(VLOOKUP(Fact_Administrativa[[#This Row],[Concepto Anterior]],Conceptos_Administrativa[#All],7,0),"")</f>
        <v/>
      </c>
      <c r="G567" s="138" t="s">
        <v>218</v>
      </c>
      <c r="H567" s="138" t="s">
        <v>230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165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234</v>
      </c>
      <c r="E568" t="str">
        <f>+IFERROR(VLOOKUP(Fact_Administrativa[[#This Row],[Concepto Anterior]],Conceptos_Administrativa[#All],5,0),"")</f>
        <v>Facturas Procesadas por Marca</v>
      </c>
      <c r="F568" t="str">
        <f ca="1">+IFERROR(VLOOKUP(Fact_Administrativa[[#This Row],[Concepto Anterior]],Conceptos_Administrativa[#All],7,0),"")</f>
        <v/>
      </c>
      <c r="G568" s="138" t="s">
        <v>225</v>
      </c>
      <c r="H568" s="138" t="s">
        <v>230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165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210</v>
      </c>
      <c r="E569" t="str">
        <f>+IFERROR(VLOOKUP(Fact_Administrativa[[#This Row],[Concepto Anterior]],Conceptos_Administrativa[#All],5,0),"")</f>
        <v>Emisiones CO²</v>
      </c>
      <c r="F569" t="str">
        <f ca="1">+IFERROR(VLOOKUP(Fact_Administrativa[[#This Row],[Concepto Anterior]],Conceptos_Administrativa[#All],7,0),"")</f>
        <v/>
      </c>
      <c r="G569" s="138" t="s">
        <v>230</v>
      </c>
      <c r="H569" s="138" t="s">
        <v>230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165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11</v>
      </c>
      <c r="E570" t="str">
        <f>+IFERROR(VLOOKUP(Fact_Administrativa[[#This Row],[Concepto Anterior]],Conceptos_Administrativa[#All],5,0),"")</f>
        <v>Control Ingresos cede Dogama</v>
      </c>
      <c r="F570" t="str">
        <f ca="1">+IFERROR(VLOOKUP(Fact_Administrativa[[#This Row],[Concepto Anterior]],Conceptos_Administrativa[#All],7,0),"")</f>
        <v/>
      </c>
      <c r="G570" s="138" t="s">
        <v>230</v>
      </c>
      <c r="H570" s="138" t="s">
        <v>230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165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367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 ca="1">+IFERROR(VLOOKUP(Fact_Administrativa[[#This Row],[Concepto Anterior]],Conceptos_Administrativa[#All],7,0),"")</f>
        <v/>
      </c>
      <c r="G571" s="138" t="s">
        <v>230</v>
      </c>
      <c r="H571" s="138" t="s">
        <v>230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165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217</v>
      </c>
      <c r="E572" t="str">
        <f>+IFERROR(VLOOKUP(Fact_Administrativa[[#This Row],[Concepto Anterior]],Conceptos_Administrativa[#All],5,0),"")</f>
        <v>Facturas de arrendamientos y administración</v>
      </c>
      <c r="F572" t="str">
        <f ca="1">+IFERROR(VLOOKUP(Fact_Administrativa[[#This Row],[Concepto Anterior]],Conceptos_Administrativa[#All],7,0),"")</f>
        <v/>
      </c>
      <c r="G572" s="138" t="s">
        <v>230</v>
      </c>
      <c r="H572" s="138" t="s">
        <v>230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165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240</v>
      </c>
      <c r="E573" t="str">
        <f>+IFERROR(VLOOKUP(Fact_Administrativa[[#This Row],[Concepto Anterior]],Conceptos_Administrativa[#All],5,0),"")</f>
        <v>Noches hospedaje</v>
      </c>
      <c r="F573" t="str">
        <f ca="1">+IFERROR(VLOOKUP(Fact_Administrativa[[#This Row],[Concepto Anterior]],Conceptos_Administrativa[#All],7,0),"")</f>
        <v/>
      </c>
      <c r="G573" s="138" t="s">
        <v>230</v>
      </c>
      <c r="H573" s="138" t="s">
        <v>230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165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15</v>
      </c>
      <c r="E574" t="str">
        <f>+IFERROR(VLOOKUP(Fact_Administrativa[[#This Row],[Concepto Anterior]],Conceptos_Administrativa[#All],5,0),"")</f>
        <v>Recuperaciones Siniestros</v>
      </c>
      <c r="F574" t="str">
        <f ca="1">+IFERROR(VLOOKUP(Fact_Administrativa[[#This Row],[Concepto Anterior]],Conceptos_Administrativa[#All],7,0),"")</f>
        <v/>
      </c>
      <c r="G574" s="138" t="s">
        <v>230</v>
      </c>
      <c r="H574" s="138" t="s">
        <v>230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165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16</v>
      </c>
      <c r="E575" t="str">
        <f>+IFERROR(VLOOKUP(Fact_Administrativa[[#This Row],[Concepto Anterior]],Conceptos_Administrativa[#All],5,0),"")</f>
        <v>Gestión de Polizas</v>
      </c>
      <c r="F575" t="str">
        <f ca="1">+IFERROR(VLOOKUP(Fact_Administrativa[[#This Row],[Concepto Anterior]],Conceptos_Administrativa[#All],7,0),"")</f>
        <v/>
      </c>
      <c r="G575" s="138" t="s">
        <v>230</v>
      </c>
      <c r="H575" s="138" t="s">
        <v>230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165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180</v>
      </c>
      <c r="E576" t="str">
        <f>+IFERROR(VLOOKUP(Fact_Administrativa[[#This Row],[Concepto Anterior]],Conceptos_Administrativa[#All],5,0),"")</f>
        <v>Ahorro energía</v>
      </c>
      <c r="F576" t="str">
        <f ca="1">+IFERROR(VLOOKUP(Fact_Administrativa[[#This Row],[Concepto Anterior]],Conceptos_Administrativa[#All],7,0),"")</f>
        <v/>
      </c>
      <c r="G576" s="138" t="s">
        <v>230</v>
      </c>
      <c r="H576" s="138" t="s">
        <v>230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165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189</v>
      </c>
      <c r="E577" t="str">
        <f>+IFERROR(VLOOKUP(Fact_Administrativa[[#This Row],[Concepto Anterior]],Conceptos_Administrativa[#All],5,0),"")</f>
        <v xml:space="preserve">Cant. reformas tiendas </v>
      </c>
      <c r="F577" t="str">
        <f ca="1">+IFERROR(VLOOKUP(Fact_Administrativa[[#This Row],[Concepto Anterior]],Conceptos_Administrativa[#All],7,0),"")</f>
        <v/>
      </c>
      <c r="G577" s="138" t="s">
        <v>230</v>
      </c>
      <c r="H577" s="138" t="s">
        <v>230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165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14</v>
      </c>
      <c r="E578" t="str">
        <f>+IFERROR(VLOOKUP(Fact_Administrativa[[#This Row],[Concepto Anterior]],Conceptos_Administrativa[#All],5,0),"")</f>
        <v xml:space="preserve">Ahorro reformas tiendas </v>
      </c>
      <c r="F578" t="str">
        <f ca="1">+IFERROR(VLOOKUP(Fact_Administrativa[[#This Row],[Concepto Anterior]],Conceptos_Administrativa[#All],7,0),"")</f>
        <v/>
      </c>
      <c r="G578" s="138" t="s">
        <v>230</v>
      </c>
      <c r="H578" s="138" t="s">
        <v>230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165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250</v>
      </c>
      <c r="E579" t="str">
        <f>+IFERROR(VLOOKUP(Fact_Administrativa[[#This Row],[Concepto Anterior]],Conceptos_Administrativa[#All],5,0),"")</f>
        <v>Total tickets recibidos</v>
      </c>
      <c r="F579" t="str">
        <f ca="1">+IFERROR(VLOOKUP(Fact_Administrativa[[#This Row],[Concepto Anterior]],Conceptos_Administrativa[#All],7,0),"")</f>
        <v/>
      </c>
      <c r="G579" s="138" t="s">
        <v>230</v>
      </c>
      <c r="H579" s="138" t="s">
        <v>230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165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253</v>
      </c>
      <c r="E580" t="str">
        <f>+IFERROR(VLOOKUP(Fact_Administrativa[[#This Row],[Concepto Anterior]],Conceptos_Administrativa[#All],5,0),"")</f>
        <v>Tickets Cerrados con ANS</v>
      </c>
      <c r="F580" t="str">
        <f ca="1">+IFERROR(VLOOKUP(Fact_Administrativa[[#This Row],[Concepto Anterior]],Conceptos_Administrativa[#All],7,0),"")</f>
        <v/>
      </c>
      <c r="G580" s="138" t="s">
        <v>230</v>
      </c>
      <c r="H580" s="138" t="s">
        <v>230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165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256</v>
      </c>
      <c r="E581" t="str">
        <f>+IFERROR(VLOOKUP(Fact_Administrativa[[#This Row],[Concepto Anterior]],Conceptos_Administrativa[#All],5,0),"")</f>
        <v>Tickets Vencidos</v>
      </c>
      <c r="F581" t="str">
        <f ca="1">+IFERROR(VLOOKUP(Fact_Administrativa[[#This Row],[Concepto Anterior]],Conceptos_Administrativa[#All],7,0),"")</f>
        <v/>
      </c>
      <c r="G581" s="138" t="s">
        <v>230</v>
      </c>
      <c r="H581" s="138" t="s">
        <v>230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223</v>
      </c>
      <c r="E582" t="str">
        <f>+IFERROR(VLOOKUP(Fact_Administrativa[[#This Row],[Concepto Anterior]],Conceptos_Administrativa[#All],5,0),"")</f>
        <v>Facturas Procesadas por Marca</v>
      </c>
      <c r="F582" t="str">
        <f ca="1">+IFERROR(VLOOKUP(Fact_Administrativa[[#This Row],[Concepto Anterior]],Conceptos_Administrativa[#All],7,0),"")</f>
        <v/>
      </c>
      <c r="G582" s="138" t="s">
        <v>108</v>
      </c>
      <c r="H582" s="138" t="s">
        <v>230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223</v>
      </c>
      <c r="E583" t="str">
        <f>+IFERROR(VLOOKUP(Fact_Administrativa[[#This Row],[Concepto Anterior]],Conceptos_Administrativa[#All],5,0),"")</f>
        <v>Facturas Procesadas por Marca</v>
      </c>
      <c r="F583" t="str">
        <f ca="1">+IFERROR(VLOOKUP(Fact_Administrativa[[#This Row],[Concepto Anterior]],Conceptos_Administrativa[#All],7,0),"")</f>
        <v/>
      </c>
      <c r="G583" s="138" t="s">
        <v>118</v>
      </c>
      <c r="H583" s="138" t="s">
        <v>230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223</v>
      </c>
      <c r="E584" t="str">
        <f>+IFERROR(VLOOKUP(Fact_Administrativa[[#This Row],[Concepto Anterior]],Conceptos_Administrativa[#All],5,0),"")</f>
        <v>Facturas Procesadas por Marca</v>
      </c>
      <c r="F584" t="str">
        <f ca="1">+IFERROR(VLOOKUP(Fact_Administrativa[[#This Row],[Concepto Anterior]],Conceptos_Administrativa[#All],7,0),"")</f>
        <v/>
      </c>
      <c r="G584" s="138" t="s">
        <v>125</v>
      </c>
      <c r="H584" s="138" t="s">
        <v>230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223</v>
      </c>
      <c r="E585" t="str">
        <f>+IFERROR(VLOOKUP(Fact_Administrativa[[#This Row],[Concepto Anterior]],Conceptos_Administrativa[#All],5,0),"")</f>
        <v>Facturas Procesadas por Marca</v>
      </c>
      <c r="F585" t="str">
        <f ca="1">+IFERROR(VLOOKUP(Fact_Administrativa[[#This Row],[Concepto Anterior]],Conceptos_Administrativa[#All],7,0),"")</f>
        <v/>
      </c>
      <c r="G585" s="138" t="s">
        <v>131</v>
      </c>
      <c r="H585" s="138" t="s">
        <v>230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223</v>
      </c>
      <c r="E586" t="str">
        <f>+IFERROR(VLOOKUP(Fact_Administrativa[[#This Row],[Concepto Anterior]],Conceptos_Administrativa[#All],5,0),"")</f>
        <v>Facturas Procesadas por Marca</v>
      </c>
      <c r="F586" t="str">
        <f ca="1">+IFERROR(VLOOKUP(Fact_Administrativa[[#This Row],[Concepto Anterior]],Conceptos_Administrativa[#All],7,0),"")</f>
        <v/>
      </c>
      <c r="G586" s="138" t="s">
        <v>141</v>
      </c>
      <c r="H586" s="138" t="s">
        <v>230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223</v>
      </c>
      <c r="E587" t="str">
        <f>+IFERROR(VLOOKUP(Fact_Administrativa[[#This Row],[Concepto Anterior]],Conceptos_Administrativa[#All],5,0),"")</f>
        <v>Facturas Procesadas por Marca</v>
      </c>
      <c r="F587" t="str">
        <f ca="1">+IFERROR(VLOOKUP(Fact_Administrativa[[#This Row],[Concepto Anterior]],Conceptos_Administrativa[#All],7,0),"")</f>
        <v/>
      </c>
      <c r="G587" s="138" t="s">
        <v>150</v>
      </c>
      <c r="H587" s="138" t="s">
        <v>230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223</v>
      </c>
      <c r="E588" t="str">
        <f>+IFERROR(VLOOKUP(Fact_Administrativa[[#This Row],[Concepto Anterior]],Conceptos_Administrativa[#All],5,0),"")</f>
        <v>Facturas Procesadas por Marca</v>
      </c>
      <c r="F588" t="str">
        <f ca="1">+IFERROR(VLOOKUP(Fact_Administrativa[[#This Row],[Concepto Anterior]],Conceptos_Administrativa[#All],7,0),"")</f>
        <v/>
      </c>
      <c r="G588" s="138" t="s">
        <v>159</v>
      </c>
      <c r="H588" s="138" t="s">
        <v>230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223</v>
      </c>
      <c r="E589" t="str">
        <f>+IFERROR(VLOOKUP(Fact_Administrativa[[#This Row],[Concepto Anterior]],Conceptos_Administrativa[#All],5,0),"")</f>
        <v>Facturas Procesadas por Marca</v>
      </c>
      <c r="F589" t="str">
        <f ca="1">+IFERROR(VLOOKUP(Fact_Administrativa[[#This Row],[Concepto Anterior]],Conceptos_Administrativa[#All],7,0),"")</f>
        <v/>
      </c>
      <c r="G589" s="138" t="s">
        <v>167</v>
      </c>
      <c r="H589" s="138" t="s">
        <v>230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223</v>
      </c>
      <c r="E590" t="str">
        <f>+IFERROR(VLOOKUP(Fact_Administrativa[[#This Row],[Concepto Anterior]],Conceptos_Administrativa[#All],5,0),"")</f>
        <v>Facturas Procesadas por Marca</v>
      </c>
      <c r="F590" t="str">
        <f ca="1">+IFERROR(VLOOKUP(Fact_Administrativa[[#This Row],[Concepto Anterior]],Conceptos_Administrativa[#All],7,0),"")</f>
        <v/>
      </c>
      <c r="G590" s="138" t="s">
        <v>174</v>
      </c>
      <c r="H590" s="138" t="s">
        <v>230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223</v>
      </c>
      <c r="E591" t="str">
        <f>+IFERROR(VLOOKUP(Fact_Administrativa[[#This Row],[Concepto Anterior]],Conceptos_Administrativa[#All],5,0),"")</f>
        <v>Facturas Procesadas por Marca</v>
      </c>
      <c r="F591" t="str">
        <f ca="1">+IFERROR(VLOOKUP(Fact_Administrativa[[#This Row],[Concepto Anterior]],Conceptos_Administrativa[#All],7,0),"")</f>
        <v/>
      </c>
      <c r="G591" s="138" t="s">
        <v>182</v>
      </c>
      <c r="H591" s="138" t="s">
        <v>230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223</v>
      </c>
      <c r="E592" t="str">
        <f>+IFERROR(VLOOKUP(Fact_Administrativa[[#This Row],[Concepto Anterior]],Conceptos_Administrativa[#All],5,0),"")</f>
        <v>Facturas Procesadas por Marca</v>
      </c>
      <c r="F592" t="str">
        <f ca="1">+IFERROR(VLOOKUP(Fact_Administrativa[[#This Row],[Concepto Anterior]],Conceptos_Administrativa[#All],7,0),"")</f>
        <v/>
      </c>
      <c r="G592" s="138" t="s">
        <v>191</v>
      </c>
      <c r="H592" s="138" t="s">
        <v>230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223</v>
      </c>
      <c r="E593" t="str">
        <f>+IFERROR(VLOOKUP(Fact_Administrativa[[#This Row],[Concepto Anterior]],Conceptos_Administrativa[#All],5,0),"")</f>
        <v>Facturas Procesadas por Marca</v>
      </c>
      <c r="F593" t="str">
        <f ca="1">+IFERROR(VLOOKUP(Fact_Administrativa[[#This Row],[Concepto Anterior]],Conceptos_Administrativa[#All],7,0),"")</f>
        <v/>
      </c>
      <c r="G593" s="138" t="s">
        <v>199</v>
      </c>
      <c r="H593" s="138" t="s">
        <v>230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223</v>
      </c>
      <c r="E594" t="str">
        <f>+IFERROR(VLOOKUP(Fact_Administrativa[[#This Row],[Concepto Anterior]],Conceptos_Administrativa[#All],5,0),"")</f>
        <v>Facturas Procesadas por Marca</v>
      </c>
      <c r="F594" t="str">
        <f ca="1">+IFERROR(VLOOKUP(Fact_Administrativa[[#This Row],[Concepto Anterior]],Conceptos_Administrativa[#All],7,0),"")</f>
        <v/>
      </c>
      <c r="G594" s="138" t="s">
        <v>205</v>
      </c>
      <c r="H594" s="138" t="s">
        <v>230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223</v>
      </c>
      <c r="E595" t="str">
        <f>+IFERROR(VLOOKUP(Fact_Administrativa[[#This Row],[Concepto Anterior]],Conceptos_Administrativa[#All],5,0),"")</f>
        <v>Facturas Procesadas por Marca</v>
      </c>
      <c r="F595" t="str">
        <f ca="1">+IFERROR(VLOOKUP(Fact_Administrativa[[#This Row],[Concepto Anterior]],Conceptos_Administrativa[#All],7,0),"")</f>
        <v/>
      </c>
      <c r="G595" s="138" t="s">
        <v>212</v>
      </c>
      <c r="H595" s="138" t="s">
        <v>230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229</v>
      </c>
      <c r="E596" t="str">
        <f>+IFERROR(VLOOKUP(Fact_Administrativa[[#This Row],[Concepto Anterior]],Conceptos_Administrativa[#All],5,0),"")</f>
        <v>Facturas Procesadas por Marca</v>
      </c>
      <c r="F596" t="str">
        <f ca="1">+IFERROR(VLOOKUP(Fact_Administrativa[[#This Row],[Concepto Anterior]],Conceptos_Administrativa[#All],7,0),"")</f>
        <v/>
      </c>
      <c r="G596" s="138" t="s">
        <v>218</v>
      </c>
      <c r="H596" s="138" t="s">
        <v>230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234</v>
      </c>
      <c r="E597" t="str">
        <f>+IFERROR(VLOOKUP(Fact_Administrativa[[#This Row],[Concepto Anterior]],Conceptos_Administrativa[#All],5,0),"")</f>
        <v>Facturas Procesadas por Marca</v>
      </c>
      <c r="F597" t="str">
        <f ca="1">+IFERROR(VLOOKUP(Fact_Administrativa[[#This Row],[Concepto Anterior]],Conceptos_Administrativa[#All],7,0),"")</f>
        <v/>
      </c>
      <c r="G597" s="138" t="s">
        <v>225</v>
      </c>
      <c r="H597" s="138" t="s">
        <v>230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210</v>
      </c>
      <c r="E598" t="str">
        <f>+IFERROR(VLOOKUP(Fact_Administrativa[[#This Row],[Concepto Anterior]],Conceptos_Administrativa[#All],5,0),"")</f>
        <v>Emisiones CO²</v>
      </c>
      <c r="F598" t="str">
        <f ca="1">+IFERROR(VLOOKUP(Fact_Administrativa[[#This Row],[Concepto Anterior]],Conceptos_Administrativa[#All],7,0),"")</f>
        <v/>
      </c>
      <c r="G598" s="138" t="s">
        <v>230</v>
      </c>
      <c r="H598" s="138" t="s">
        <v>230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11</v>
      </c>
      <c r="E599" t="str">
        <f>+IFERROR(VLOOKUP(Fact_Administrativa[[#This Row],[Concepto Anterior]],Conceptos_Administrativa[#All],5,0),"")</f>
        <v>Control Ingresos cede Dogama</v>
      </c>
      <c r="F599" t="str">
        <f ca="1">+IFERROR(VLOOKUP(Fact_Administrativa[[#This Row],[Concepto Anterior]],Conceptos_Administrativa[#All],7,0),"")</f>
        <v/>
      </c>
      <c r="G599" s="138" t="s">
        <v>230</v>
      </c>
      <c r="H599" s="138" t="s">
        <v>230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367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 ca="1">+IFERROR(VLOOKUP(Fact_Administrativa[[#This Row],[Concepto Anterior]],Conceptos_Administrativa[#All],7,0),"")</f>
        <v/>
      </c>
      <c r="G600" s="138" t="s">
        <v>230</v>
      </c>
      <c r="H600" s="138" t="s">
        <v>230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217</v>
      </c>
      <c r="E601" t="str">
        <f>+IFERROR(VLOOKUP(Fact_Administrativa[[#This Row],[Concepto Anterior]],Conceptos_Administrativa[#All],5,0),"")</f>
        <v>Facturas de arrendamientos y administración</v>
      </c>
      <c r="F601" t="str">
        <f ca="1">+IFERROR(VLOOKUP(Fact_Administrativa[[#This Row],[Concepto Anterior]],Conceptos_Administrativa[#All],7,0),"")</f>
        <v/>
      </c>
      <c r="G601" s="138" t="s">
        <v>230</v>
      </c>
      <c r="H601" s="138" t="s">
        <v>230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240</v>
      </c>
      <c r="E602" t="str">
        <f>+IFERROR(VLOOKUP(Fact_Administrativa[[#This Row],[Concepto Anterior]],Conceptos_Administrativa[#All],5,0),"")</f>
        <v>Noches hospedaje</v>
      </c>
      <c r="F602" t="str">
        <f ca="1">+IFERROR(VLOOKUP(Fact_Administrativa[[#This Row],[Concepto Anterior]],Conceptos_Administrativa[#All],7,0),"")</f>
        <v/>
      </c>
      <c r="G602" s="138" t="s">
        <v>230</v>
      </c>
      <c r="H602" s="138" t="s">
        <v>230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15</v>
      </c>
      <c r="E603" t="str">
        <f>+IFERROR(VLOOKUP(Fact_Administrativa[[#This Row],[Concepto Anterior]],Conceptos_Administrativa[#All],5,0),"")</f>
        <v>Recuperaciones Siniestros</v>
      </c>
      <c r="F603" t="str">
        <f ca="1">+IFERROR(VLOOKUP(Fact_Administrativa[[#This Row],[Concepto Anterior]],Conceptos_Administrativa[#All],7,0),"")</f>
        <v/>
      </c>
      <c r="G603" s="138" t="s">
        <v>230</v>
      </c>
      <c r="H603" s="138" t="s">
        <v>230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16</v>
      </c>
      <c r="E604" t="str">
        <f>+IFERROR(VLOOKUP(Fact_Administrativa[[#This Row],[Concepto Anterior]],Conceptos_Administrativa[#All],5,0),"")</f>
        <v>Gestión de Polizas</v>
      </c>
      <c r="F604" t="str">
        <f ca="1">+IFERROR(VLOOKUP(Fact_Administrativa[[#This Row],[Concepto Anterior]],Conceptos_Administrativa[#All],7,0),"")</f>
        <v/>
      </c>
      <c r="G604" s="138" t="s">
        <v>230</v>
      </c>
      <c r="H604" s="138" t="s">
        <v>230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180</v>
      </c>
      <c r="E605" t="str">
        <f>+IFERROR(VLOOKUP(Fact_Administrativa[[#This Row],[Concepto Anterior]],Conceptos_Administrativa[#All],5,0),"")</f>
        <v>Ahorro energía</v>
      </c>
      <c r="F605" t="str">
        <f ca="1">+IFERROR(VLOOKUP(Fact_Administrativa[[#This Row],[Concepto Anterior]],Conceptos_Administrativa[#All],7,0),"")</f>
        <v/>
      </c>
      <c r="G605" s="138" t="s">
        <v>230</v>
      </c>
      <c r="H605" s="138" t="s">
        <v>230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189</v>
      </c>
      <c r="E606" t="str">
        <f>+IFERROR(VLOOKUP(Fact_Administrativa[[#This Row],[Concepto Anterior]],Conceptos_Administrativa[#All],5,0),"")</f>
        <v xml:space="preserve">Cant. reformas tiendas </v>
      </c>
      <c r="F606" t="str">
        <f ca="1">+IFERROR(VLOOKUP(Fact_Administrativa[[#This Row],[Concepto Anterior]],Conceptos_Administrativa[#All],7,0),"")</f>
        <v/>
      </c>
      <c r="G606" s="138" t="s">
        <v>230</v>
      </c>
      <c r="H606" s="138" t="s">
        <v>230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14</v>
      </c>
      <c r="E607" t="str">
        <f>+IFERROR(VLOOKUP(Fact_Administrativa[[#This Row],[Concepto Anterior]],Conceptos_Administrativa[#All],5,0),"")</f>
        <v xml:space="preserve">Ahorro reformas tiendas </v>
      </c>
      <c r="F607" t="str">
        <f ca="1">+IFERROR(VLOOKUP(Fact_Administrativa[[#This Row],[Concepto Anterior]],Conceptos_Administrativa[#All],7,0),"")</f>
        <v/>
      </c>
      <c r="G607" s="138" t="s">
        <v>230</v>
      </c>
      <c r="H607" s="138" t="s">
        <v>230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250</v>
      </c>
      <c r="E608" t="str">
        <f>+IFERROR(VLOOKUP(Fact_Administrativa[[#This Row],[Concepto Anterior]],Conceptos_Administrativa[#All],5,0),"")</f>
        <v>Total tickets recibidos</v>
      </c>
      <c r="F608" t="str">
        <f ca="1">+IFERROR(VLOOKUP(Fact_Administrativa[[#This Row],[Concepto Anterior]],Conceptos_Administrativa[#All],7,0),"")</f>
        <v/>
      </c>
      <c r="G608" s="138" t="s">
        <v>230</v>
      </c>
      <c r="H608" s="138" t="s">
        <v>230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253</v>
      </c>
      <c r="E609" t="str">
        <f>+IFERROR(VLOOKUP(Fact_Administrativa[[#This Row],[Concepto Anterior]],Conceptos_Administrativa[#All],5,0),"")</f>
        <v>Tickets Cerrados con ANS</v>
      </c>
      <c r="F609" t="str">
        <f ca="1">+IFERROR(VLOOKUP(Fact_Administrativa[[#This Row],[Concepto Anterior]],Conceptos_Administrativa[#All],7,0),"")</f>
        <v/>
      </c>
      <c r="G609" s="138" t="s">
        <v>230</v>
      </c>
      <c r="H609" s="138" t="s">
        <v>230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256</v>
      </c>
      <c r="E610" t="str">
        <f>+IFERROR(VLOOKUP(Fact_Administrativa[[#This Row],[Concepto Anterior]],Conceptos_Administrativa[#All],5,0),"")</f>
        <v>Tickets Vencidos</v>
      </c>
      <c r="F610" t="str">
        <f ca="1">+IFERROR(VLOOKUP(Fact_Administrativa[[#This Row],[Concepto Anterior]],Conceptos_Administrativa[#All],7,0),"")</f>
        <v/>
      </c>
      <c r="G610" s="138" t="s">
        <v>230</v>
      </c>
      <c r="H610" s="138" t="s">
        <v>230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92D050"/>
  </sheetPr>
  <dimension ref="A1:K3003"/>
  <sheetViews>
    <sheetView tabSelected="1" topLeftCell="E1" workbookViewId="0">
      <pane ySplit="1" topLeftCell="A201" activePane="bottomLeft" state="frozen"/>
      <selection pane="bottomLeft" activeCell="K217" sqref="K217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style="138" customWidth="1"/>
    <col min="4" max="4" width="72.81640625" style="138" bestFit="1" customWidth="1"/>
    <col min="5" max="5" width="63.81640625" style="138" customWidth="1"/>
    <col min="6" max="6" width="30.54296875" style="138" customWidth="1"/>
    <col min="7" max="7" width="14.453125" style="138" customWidth="1"/>
    <col min="8" max="8" width="13.1796875" style="138" customWidth="1"/>
    <col min="9" max="9" width="10" style="138" bestFit="1" customWidth="1"/>
    <col min="10" max="10" width="8.81640625" style="138" customWidth="1"/>
    <col min="11" max="11" width="10.81640625" style="138" bestFit="1" customWidth="1"/>
    <col min="12" max="12" width="10.90625" style="138" customWidth="1"/>
    <col min="13" max="16384" width="10.90625" style="138"/>
  </cols>
  <sheetData>
    <row r="1" spans="1:11" x14ac:dyDescent="0.35">
      <c r="A1" s="140" t="s">
        <v>361</v>
      </c>
      <c r="B1" s="140" t="s">
        <v>362</v>
      </c>
      <c r="C1" s="155" t="s">
        <v>363</v>
      </c>
      <c r="D1" s="140" t="s">
        <v>97</v>
      </c>
      <c r="E1" s="155" t="s">
        <v>99</v>
      </c>
      <c r="F1" s="155" t="s">
        <v>0</v>
      </c>
      <c r="G1" s="140" t="s">
        <v>364</v>
      </c>
      <c r="H1" s="140" t="s">
        <v>365</v>
      </c>
      <c r="I1" s="155" t="s">
        <v>2</v>
      </c>
      <c r="J1" s="155" t="s">
        <v>3</v>
      </c>
      <c r="K1" s="141" t="s">
        <v>366</v>
      </c>
    </row>
    <row r="2" spans="1:11" x14ac:dyDescent="0.35">
      <c r="A2" s="138">
        <v>2024</v>
      </c>
      <c r="B2" s="144" t="s">
        <v>105</v>
      </c>
      <c r="C2" s="144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110</v>
      </c>
      <c r="E2" s="138" t="str">
        <f>+IFERROR(VLOOKUP(Fact_Analitica[[#This Row],[Concepto Anterior]],Conceptos_Analítica_contraloría[#All],5,0),"")</f>
        <v>Ajustes Inventarios Cíclico</v>
      </c>
      <c r="F2" s="138" t="str">
        <f ca="1">+IFERROR(VLOOKUP(Fact_Analitica[[#This Row],[Concepto Anterior]],Conceptos_Analítica_contraloría[#All],7,0),"")</f>
        <v/>
      </c>
      <c r="G2" s="138" t="s">
        <v>230</v>
      </c>
      <c r="H2" s="138" t="s">
        <v>230</v>
      </c>
      <c r="I2" s="138" t="str">
        <f>+IFERROR(VLOOKUP(D2,Conceptos_Analítica_contraloría[#All],2,0),"")</f>
        <v>Volumetria</v>
      </c>
      <c r="J2" s="138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105</v>
      </c>
      <c r="C3" s="144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35</v>
      </c>
      <c r="E3" s="138" t="str">
        <f>+IFERROR(VLOOKUP(Fact_Analitica[[#This Row],[Concepto Anterior]],Conceptos_Analítica_contraloría[#All],5,0),"")</f>
        <v>Ajustes sobrevaloración acumulada de inventarios "Unified"</v>
      </c>
      <c r="F3" s="138" t="str">
        <f ca="1">+IFERROR(VLOOKUP(Fact_Analitica[[#This Row],[Concepto Anterior]],Conceptos_Analítica_contraloría[#All],7,0),"")</f>
        <v/>
      </c>
      <c r="G3" s="138" t="s">
        <v>230</v>
      </c>
      <c r="H3" s="138" t="s">
        <v>230</v>
      </c>
      <c r="I3" s="138" t="str">
        <f>+IFERROR(VLOOKUP(D3,Conceptos_Analítica_contraloría[#All],2,0),"")</f>
        <v>Eficiencia</v>
      </c>
      <c r="J3" s="138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105</v>
      </c>
      <c r="C4" s="144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37</v>
      </c>
      <c r="E4" s="138" t="str">
        <f>+IFERROR(VLOOKUP(Fact_Analitica[[#This Row],[Concepto Anterior]],Conceptos_Analítica_contraloría[#All],5,0),"")</f>
        <v>Automatizaciones descarga y reconversión archivos stock España Mango</v>
      </c>
      <c r="F4" s="138" t="str">
        <f ca="1">+IFERROR(VLOOKUP(Fact_Analitica[[#This Row],[Concepto Anterior]],Conceptos_Analítica_contraloría[#All],7,0),"")</f>
        <v/>
      </c>
      <c r="G4" s="138" t="s">
        <v>230</v>
      </c>
      <c r="H4" s="138" t="s">
        <v>230</v>
      </c>
      <c r="I4" s="138" t="str">
        <f>+IFERROR(VLOOKUP(D4,Conceptos_Analítica_contraloría[#All],2,0),"")</f>
        <v>Volumetria</v>
      </c>
      <c r="J4" s="138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105</v>
      </c>
      <c r="C5" s="144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133</v>
      </c>
      <c r="E5" s="138" t="str">
        <f>+IFERROR(VLOOKUP(Fact_Analitica[[#This Row],[Concepto Anterior]],Conceptos_Analítica_contraloría[#All],5,0),"")</f>
        <v>Cantidad de registros (consecutivos) a conciliar (Facturas 94%, otros movimientos 6%)</v>
      </c>
      <c r="F5" s="138" t="str">
        <f ca="1">+IFERROR(VLOOKUP(Fact_Analitica[[#This Row],[Concepto Anterior]],Conceptos_Analítica_contraloría[#All],7,0),"")</f>
        <v/>
      </c>
      <c r="G5" s="138" t="s">
        <v>230</v>
      </c>
      <c r="H5" s="138" t="s">
        <v>230</v>
      </c>
      <c r="I5" s="138" t="str">
        <f>+IFERROR(VLOOKUP(D5,Conceptos_Analítica_contraloría[#All],2,0),"")</f>
        <v>Volumetria</v>
      </c>
      <c r="J5" s="138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105</v>
      </c>
      <c r="C6" s="144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143</v>
      </c>
      <c r="E6" s="138" t="str">
        <f>+IFERROR(VLOOKUP(Fact_Analitica[[#This Row],[Concepto Anterior]],Conceptos_Analítica_contraloría[#All],5,0),"")</f>
        <v>Cantidad de unds a conciliar</v>
      </c>
      <c r="F6" s="138" t="str">
        <f ca="1">+IFERROR(VLOOKUP(Fact_Analitica[[#This Row],[Concepto Anterior]],Conceptos_Analítica_contraloría[#All],7,0),"")</f>
        <v/>
      </c>
      <c r="G6" s="138" t="s">
        <v>230</v>
      </c>
      <c r="H6" s="138" t="s">
        <v>230</v>
      </c>
      <c r="I6" s="138" t="str">
        <f>+IFERROR(VLOOKUP(D6,Conceptos_Analítica_contraloría[#All],2,0),"")</f>
        <v>Volumetria</v>
      </c>
      <c r="J6" s="138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105</v>
      </c>
      <c r="C7" s="144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152</v>
      </c>
      <c r="E7" s="138" t="str">
        <f>+IFERROR(VLOOKUP(Fact_Analitica[[#This Row],[Concepto Anterior]],Conceptos_Analítica_contraloría[#All],5,0),"")</f>
        <v>Desatrase de facturación merma franquicias</v>
      </c>
      <c r="F7" s="138" t="str">
        <f ca="1">+IFERROR(VLOOKUP(Fact_Analitica[[#This Row],[Concepto Anterior]],Conceptos_Analítica_contraloría[#All],7,0),"")</f>
        <v/>
      </c>
      <c r="G7" s="138" t="s">
        <v>230</v>
      </c>
      <c r="H7" s="138" t="s">
        <v>230</v>
      </c>
      <c r="I7" s="138" t="str">
        <f>+IFERROR(VLOOKUP(D7,Conceptos_Analítica_contraloría[#All],2,0),"")</f>
        <v>Eficiencia</v>
      </c>
      <c r="J7" s="138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105</v>
      </c>
      <c r="C8" s="144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161</v>
      </c>
      <c r="E8" s="138" t="str">
        <f>+IFERROR(VLOOKUP(Fact_Analitica[[#This Row],[Concepto Anterior]],Conceptos_Analítica_contraloría[#All],5,0),"")</f>
        <v>Puntos a conciliar</v>
      </c>
      <c r="F8" s="138" t="str">
        <f ca="1">+IFERROR(VLOOKUP(Fact_Analitica[[#This Row],[Concepto Anterior]],Conceptos_Analítica_contraloría[#All],7,0),"")</f>
        <v/>
      </c>
      <c r="G8" s="138" t="s">
        <v>230</v>
      </c>
      <c r="H8" s="138" t="s">
        <v>230</v>
      </c>
      <c r="I8" s="138" t="str">
        <f>+IFERROR(VLOOKUP(D8,Conceptos_Analítica_contraloría[#All],2,0),"")</f>
        <v>Volumetria</v>
      </c>
      <c r="J8" s="13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105</v>
      </c>
      <c r="C9" s="144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169</v>
      </c>
      <c r="E9" s="138" t="str">
        <f>+IFERROR(VLOOKUP(Fact_Analitica[[#This Row],[Concepto Anterior]],Conceptos_Analítica_contraloría[#All],5,0),"")</f>
        <v>Puntos x marca a conciliar</v>
      </c>
      <c r="F9" s="138" t="str">
        <f ca="1">+IFERROR(VLOOKUP(Fact_Analitica[[#This Row],[Concepto Anterior]],Conceptos_Analítica_contraloría[#All],7,0),"")</f>
        <v/>
      </c>
      <c r="G9" s="138" t="s">
        <v>230</v>
      </c>
      <c r="H9" s="138" t="s">
        <v>230</v>
      </c>
      <c r="I9" s="138" t="str">
        <f>+IFERROR(VLOOKUP(D9,Conceptos_Analítica_contraloría[#All],2,0),"")</f>
        <v>Volumetria</v>
      </c>
      <c r="J9" s="138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105</v>
      </c>
      <c r="C10" s="144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176</v>
      </c>
      <c r="E10" s="138" t="str">
        <f>+IFERROR(VLOOKUP(Fact_Analitica[[#This Row],[Concepto Anterior]],Conceptos_Analítica_contraloría[#All],5,0),"")</f>
        <v>Ajuste Costo Merma Desconocida - Tiendas y Grandes S.</v>
      </c>
      <c r="F10" s="138" t="str">
        <f ca="1">+IFERROR(VLOOKUP(Fact_Analitica[[#This Row],[Concepto Anterior]],Conceptos_Analítica_contraloría[#All],7,0),"")</f>
        <v/>
      </c>
      <c r="G10" s="138" t="s">
        <v>230</v>
      </c>
      <c r="H10" s="138" t="s">
        <v>230</v>
      </c>
      <c r="I10" s="138" t="str">
        <f>+IFERROR(VLOOKUP(D10,Conceptos_Analítica_contraloría[#All],2,0),"")</f>
        <v>Volumetria</v>
      </c>
      <c r="J10" s="138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117</v>
      </c>
      <c r="C11" s="144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110</v>
      </c>
      <c r="E11" s="138" t="str">
        <f>+IFERROR(VLOOKUP(Fact_Analitica[[#This Row],[Concepto Anterior]],Conceptos_Analítica_contraloría[#All],5,0),"")</f>
        <v>Ajustes Inventarios Cíclico</v>
      </c>
      <c r="F11" s="138" t="str">
        <f ca="1">+IFERROR(VLOOKUP(Fact_Analitica[[#This Row],[Concepto Anterior]],Conceptos_Analítica_contraloría[#All],7,0),"")</f>
        <v/>
      </c>
      <c r="G11" s="138" t="s">
        <v>230</v>
      </c>
      <c r="H11" s="138" t="s">
        <v>230</v>
      </c>
      <c r="I11" s="138" t="str">
        <f>+IFERROR(VLOOKUP(D11,Conceptos_Analítica_contraloría[#All],2,0),"")</f>
        <v>Volumetria</v>
      </c>
      <c r="J11" s="138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117</v>
      </c>
      <c r="C12" s="144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35</v>
      </c>
      <c r="E12" s="138" t="str">
        <f>+IFERROR(VLOOKUP(Fact_Analitica[[#This Row],[Concepto Anterior]],Conceptos_Analítica_contraloría[#All],5,0),"")</f>
        <v>Ajustes sobrevaloración acumulada de inventarios "Unified"</v>
      </c>
      <c r="F12" s="138" t="str">
        <f ca="1">+IFERROR(VLOOKUP(Fact_Analitica[[#This Row],[Concepto Anterior]],Conceptos_Analítica_contraloría[#All],7,0),"")</f>
        <v/>
      </c>
      <c r="G12" s="138" t="s">
        <v>230</v>
      </c>
      <c r="H12" s="138" t="s">
        <v>230</v>
      </c>
      <c r="I12" s="138" t="str">
        <f>+IFERROR(VLOOKUP(D12,Conceptos_Analítica_contraloría[#All],2,0),"")</f>
        <v>Eficiencia</v>
      </c>
      <c r="J12" s="138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117</v>
      </c>
      <c r="C13" s="144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37</v>
      </c>
      <c r="E13" s="138" t="str">
        <f>+IFERROR(VLOOKUP(Fact_Analitica[[#This Row],[Concepto Anterior]],Conceptos_Analítica_contraloría[#All],5,0),"")</f>
        <v>Automatizaciones descarga y reconversión archivos stock España Mango</v>
      </c>
      <c r="F13" s="138" t="str">
        <f ca="1">+IFERROR(VLOOKUP(Fact_Analitica[[#This Row],[Concepto Anterior]],Conceptos_Analítica_contraloría[#All],7,0),"")</f>
        <v/>
      </c>
      <c r="G13" s="138" t="s">
        <v>230</v>
      </c>
      <c r="H13" s="138" t="s">
        <v>230</v>
      </c>
      <c r="I13" s="138" t="str">
        <f>+IFERROR(VLOOKUP(D13,Conceptos_Analítica_contraloría[#All],2,0),"")</f>
        <v>Volumetria</v>
      </c>
      <c r="J13" s="138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44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133</v>
      </c>
      <c r="E14" s="138" t="str">
        <f>+IFERROR(VLOOKUP(Fact_Analitica[[#This Row],[Concepto Anterior]],Conceptos_Analítica_contraloría[#All],5,0),"")</f>
        <v>Cantidad de registros (consecutivos) a conciliar (Facturas 94%, otros movimientos 6%)</v>
      </c>
      <c r="F14" s="138" t="str">
        <f ca="1">+IFERROR(VLOOKUP(Fact_Analitica[[#This Row],[Concepto Anterior]],Conceptos_Analítica_contraloría[#All],7,0),"")</f>
        <v/>
      </c>
      <c r="G14" s="138" t="s">
        <v>230</v>
      </c>
      <c r="H14" s="138" t="s">
        <v>230</v>
      </c>
      <c r="I14" s="138" t="str">
        <f>+IFERROR(VLOOKUP(D14,Conceptos_Analítica_contraloría[#All],2,0),"")</f>
        <v>Volumetria</v>
      </c>
      <c r="J14" s="138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117</v>
      </c>
      <c r="C15" s="144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143</v>
      </c>
      <c r="E15" s="138" t="str">
        <f>+IFERROR(VLOOKUP(Fact_Analitica[[#This Row],[Concepto Anterior]],Conceptos_Analítica_contraloría[#All],5,0),"")</f>
        <v>Cantidad de unds a conciliar</v>
      </c>
      <c r="F15" s="138" t="str">
        <f ca="1">+IFERROR(VLOOKUP(Fact_Analitica[[#This Row],[Concepto Anterior]],Conceptos_Analítica_contraloría[#All],7,0),"")</f>
        <v/>
      </c>
      <c r="G15" s="138" t="s">
        <v>230</v>
      </c>
      <c r="H15" s="138" t="s">
        <v>230</v>
      </c>
      <c r="I15" s="138" t="str">
        <f>+IFERROR(VLOOKUP(D15,Conceptos_Analítica_contraloría[#All],2,0),"")</f>
        <v>Volumetria</v>
      </c>
      <c r="J15" s="138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117</v>
      </c>
      <c r="C16" s="144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152</v>
      </c>
      <c r="E16" s="138" t="str">
        <f>+IFERROR(VLOOKUP(Fact_Analitica[[#This Row],[Concepto Anterior]],Conceptos_Analítica_contraloría[#All],5,0),"")</f>
        <v>Desatrase de facturación merma franquicias</v>
      </c>
      <c r="F16" s="138" t="str">
        <f ca="1">+IFERROR(VLOOKUP(Fact_Analitica[[#This Row],[Concepto Anterior]],Conceptos_Analítica_contraloría[#All],7,0),"")</f>
        <v/>
      </c>
      <c r="G16" s="138" t="s">
        <v>230</v>
      </c>
      <c r="H16" s="138" t="s">
        <v>230</v>
      </c>
      <c r="I16" s="138" t="str">
        <f>+IFERROR(VLOOKUP(D16,Conceptos_Analítica_contraloría[#All],2,0),"")</f>
        <v>Eficiencia</v>
      </c>
      <c r="J16" s="138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117</v>
      </c>
      <c r="C17" s="144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161</v>
      </c>
      <c r="E17" s="138" t="str">
        <f>+IFERROR(VLOOKUP(Fact_Analitica[[#This Row],[Concepto Anterior]],Conceptos_Analítica_contraloría[#All],5,0),"")</f>
        <v>Puntos a conciliar</v>
      </c>
      <c r="F17" s="138" t="str">
        <f ca="1">+IFERROR(VLOOKUP(Fact_Analitica[[#This Row],[Concepto Anterior]],Conceptos_Analítica_contraloría[#All],7,0),"")</f>
        <v/>
      </c>
      <c r="G17" s="138" t="s">
        <v>230</v>
      </c>
      <c r="H17" s="138" t="s">
        <v>230</v>
      </c>
      <c r="I17" s="138" t="str">
        <f>+IFERROR(VLOOKUP(D17,Conceptos_Analítica_contraloría[#All],2,0),"")</f>
        <v>Volumetria</v>
      </c>
      <c r="J17" s="138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117</v>
      </c>
      <c r="C18" s="144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169</v>
      </c>
      <c r="E18" s="138" t="str">
        <f>+IFERROR(VLOOKUP(Fact_Analitica[[#This Row],[Concepto Anterior]],Conceptos_Analítica_contraloría[#All],5,0),"")</f>
        <v>Puntos x marca a conciliar</v>
      </c>
      <c r="F18" s="138" t="str">
        <f ca="1">+IFERROR(VLOOKUP(Fact_Analitica[[#This Row],[Concepto Anterior]],Conceptos_Analítica_contraloría[#All],7,0),"")</f>
        <v/>
      </c>
      <c r="G18" s="138" t="s">
        <v>230</v>
      </c>
      <c r="H18" s="138" t="s">
        <v>230</v>
      </c>
      <c r="I18" s="138" t="str">
        <f>+IFERROR(VLOOKUP(D18,Conceptos_Analítica_contraloría[#All],2,0),"")</f>
        <v>Volumetria</v>
      </c>
      <c r="J18" s="13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117</v>
      </c>
      <c r="C19" s="144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176</v>
      </c>
      <c r="E19" s="138" t="str">
        <f>+IFERROR(VLOOKUP(Fact_Analitica[[#This Row],[Concepto Anterior]],Conceptos_Analítica_contraloría[#All],5,0),"")</f>
        <v>Ajuste Costo Merma Desconocida - Tiendas y Grandes S.</v>
      </c>
      <c r="F19" s="138" t="str">
        <f ca="1">+IFERROR(VLOOKUP(Fact_Analitica[[#This Row],[Concepto Anterior]],Conceptos_Analítica_contraloría[#All],7,0),"")</f>
        <v/>
      </c>
      <c r="G19" s="138" t="s">
        <v>230</v>
      </c>
      <c r="H19" s="138" t="s">
        <v>230</v>
      </c>
      <c r="I19" s="138" t="str">
        <f>+IFERROR(VLOOKUP(D19,Conceptos_Analítica_contraloría[#All],2,0),"")</f>
        <v>Volumetria</v>
      </c>
      <c r="J19" s="138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123</v>
      </c>
      <c r="C20" s="144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110</v>
      </c>
      <c r="E20" s="138" t="str">
        <f>+IFERROR(VLOOKUP(Fact_Analitica[[#This Row],[Concepto Anterior]],Conceptos_Analítica_contraloría[#All],5,0),"")</f>
        <v>Ajustes Inventarios Cíclico</v>
      </c>
      <c r="F20" s="138" t="str">
        <f ca="1">+IFERROR(VLOOKUP(Fact_Analitica[[#This Row],[Concepto Anterior]],Conceptos_Analítica_contraloría[#All],7,0),"")</f>
        <v/>
      </c>
      <c r="G20" s="138" t="s">
        <v>230</v>
      </c>
      <c r="H20" s="138" t="s">
        <v>230</v>
      </c>
      <c r="I20" s="138" t="str">
        <f>+IFERROR(VLOOKUP(D20,Conceptos_Analítica_contraloría[#All],2,0),"")</f>
        <v>Volumetria</v>
      </c>
      <c r="J20" s="138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123</v>
      </c>
      <c r="C21" s="144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35</v>
      </c>
      <c r="E21" s="138" t="str">
        <f>+IFERROR(VLOOKUP(Fact_Analitica[[#This Row],[Concepto Anterior]],Conceptos_Analítica_contraloría[#All],5,0),"")</f>
        <v>Ajustes sobrevaloración acumulada de inventarios "Unified"</v>
      </c>
      <c r="F21" s="138" t="str">
        <f ca="1">+IFERROR(VLOOKUP(Fact_Analitica[[#This Row],[Concepto Anterior]],Conceptos_Analítica_contraloría[#All],7,0),"")</f>
        <v/>
      </c>
      <c r="G21" s="138" t="s">
        <v>230</v>
      </c>
      <c r="H21" s="138" t="s">
        <v>230</v>
      </c>
      <c r="I21" s="138" t="str">
        <f>+IFERROR(VLOOKUP(D21,Conceptos_Analítica_contraloría[#All],2,0),"")</f>
        <v>Eficiencia</v>
      </c>
      <c r="J21" s="138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123</v>
      </c>
      <c r="C22" s="144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37</v>
      </c>
      <c r="E22" s="138" t="str">
        <f>+IFERROR(VLOOKUP(Fact_Analitica[[#This Row],[Concepto Anterior]],Conceptos_Analítica_contraloría[#All],5,0),"")</f>
        <v>Automatizaciones descarga y reconversión archivos stock España Mango</v>
      </c>
      <c r="F22" s="138" t="str">
        <f ca="1">+IFERROR(VLOOKUP(Fact_Analitica[[#This Row],[Concepto Anterior]],Conceptos_Analítica_contraloría[#All],7,0),"")</f>
        <v/>
      </c>
      <c r="G22" s="138" t="s">
        <v>230</v>
      </c>
      <c r="H22" s="138" t="s">
        <v>230</v>
      </c>
      <c r="I22" s="138" t="str">
        <f>+IFERROR(VLOOKUP(D22,Conceptos_Analítica_contraloría[#All],2,0),"")</f>
        <v>Volumetria</v>
      </c>
      <c r="J22" s="138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123</v>
      </c>
      <c r="C23" s="144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133</v>
      </c>
      <c r="E23" s="138" t="str">
        <f>+IFERROR(VLOOKUP(Fact_Analitica[[#This Row],[Concepto Anterior]],Conceptos_Analítica_contraloría[#All],5,0),"")</f>
        <v>Cantidad de registros (consecutivos) a conciliar (Facturas 94%, otros movimientos 6%)</v>
      </c>
      <c r="F23" s="138" t="str">
        <f ca="1">+IFERROR(VLOOKUP(Fact_Analitica[[#This Row],[Concepto Anterior]],Conceptos_Analítica_contraloría[#All],7,0),"")</f>
        <v/>
      </c>
      <c r="G23" s="138" t="s">
        <v>230</v>
      </c>
      <c r="H23" s="138" t="s">
        <v>230</v>
      </c>
      <c r="I23" s="138" t="str">
        <f>+IFERROR(VLOOKUP(D23,Conceptos_Analítica_contraloría[#All],2,0),"")</f>
        <v>Volumetria</v>
      </c>
      <c r="J23" s="138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123</v>
      </c>
      <c r="C24" s="144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143</v>
      </c>
      <c r="E24" s="138" t="str">
        <f>+IFERROR(VLOOKUP(Fact_Analitica[[#This Row],[Concepto Anterior]],Conceptos_Analítica_contraloría[#All],5,0),"")</f>
        <v>Cantidad de unds a conciliar</v>
      </c>
      <c r="F24" s="138" t="str">
        <f ca="1">+IFERROR(VLOOKUP(Fact_Analitica[[#This Row],[Concepto Anterior]],Conceptos_Analítica_contraloría[#All],7,0),"")</f>
        <v/>
      </c>
      <c r="G24" s="138" t="s">
        <v>230</v>
      </c>
      <c r="H24" s="138" t="s">
        <v>230</v>
      </c>
      <c r="I24" s="138" t="str">
        <f>+IFERROR(VLOOKUP(D24,Conceptos_Analítica_contraloría[#All],2,0),"")</f>
        <v>Volumetria</v>
      </c>
      <c r="J24" s="138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123</v>
      </c>
      <c r="C25" s="144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152</v>
      </c>
      <c r="E25" s="138" t="str">
        <f>+IFERROR(VLOOKUP(Fact_Analitica[[#This Row],[Concepto Anterior]],Conceptos_Analítica_contraloría[#All],5,0),"")</f>
        <v>Desatrase de facturación merma franquicias</v>
      </c>
      <c r="F25" s="138" t="str">
        <f ca="1">+IFERROR(VLOOKUP(Fact_Analitica[[#This Row],[Concepto Anterior]],Conceptos_Analítica_contraloría[#All],7,0),"")</f>
        <v/>
      </c>
      <c r="G25" s="138" t="s">
        <v>230</v>
      </c>
      <c r="H25" s="138" t="s">
        <v>230</v>
      </c>
      <c r="I25" s="138" t="str">
        <f>+IFERROR(VLOOKUP(D25,Conceptos_Analítica_contraloría[#All],2,0),"")</f>
        <v>Eficiencia</v>
      </c>
      <c r="J25" s="138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123</v>
      </c>
      <c r="C26" s="144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161</v>
      </c>
      <c r="E26" s="138" t="str">
        <f>+IFERROR(VLOOKUP(Fact_Analitica[[#This Row],[Concepto Anterior]],Conceptos_Analítica_contraloría[#All],5,0),"")</f>
        <v>Puntos a conciliar</v>
      </c>
      <c r="F26" s="138" t="str">
        <f ca="1">+IFERROR(VLOOKUP(Fact_Analitica[[#This Row],[Concepto Anterior]],Conceptos_Analítica_contraloría[#All],7,0),"")</f>
        <v/>
      </c>
      <c r="G26" s="138" t="s">
        <v>230</v>
      </c>
      <c r="H26" s="138" t="s">
        <v>230</v>
      </c>
      <c r="I26" s="138" t="str">
        <f>+IFERROR(VLOOKUP(D26,Conceptos_Analítica_contraloría[#All],2,0),"")</f>
        <v>Volumetria</v>
      </c>
      <c r="J26" s="138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123</v>
      </c>
      <c r="C27" s="144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169</v>
      </c>
      <c r="E27" s="138" t="str">
        <f>+IFERROR(VLOOKUP(Fact_Analitica[[#This Row],[Concepto Anterior]],Conceptos_Analítica_contraloría[#All],5,0),"")</f>
        <v>Puntos x marca a conciliar</v>
      </c>
      <c r="F27" s="138" t="str">
        <f ca="1">+IFERROR(VLOOKUP(Fact_Analitica[[#This Row],[Concepto Anterior]],Conceptos_Analítica_contraloría[#All],7,0),"")</f>
        <v/>
      </c>
      <c r="G27" s="138" t="s">
        <v>230</v>
      </c>
      <c r="H27" s="138" t="s">
        <v>230</v>
      </c>
      <c r="I27" s="138" t="str">
        <f>+IFERROR(VLOOKUP(D27,Conceptos_Analítica_contraloría[#All],2,0),"")</f>
        <v>Volumetria</v>
      </c>
      <c r="J27" s="138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130</v>
      </c>
      <c r="C28" s="144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110</v>
      </c>
      <c r="E28" s="138" t="str">
        <f>+IFERROR(VLOOKUP(Fact_Analitica[[#This Row],[Concepto Anterior]],Conceptos_Analítica_contraloría[#All],5,0),"")</f>
        <v>Ajustes Inventarios Cíclico</v>
      </c>
      <c r="F28" s="138" t="str">
        <f ca="1">+IFERROR(VLOOKUP(Fact_Analitica[[#This Row],[Concepto Anterior]],Conceptos_Analítica_contraloría[#All],7,0),"")</f>
        <v/>
      </c>
      <c r="G28" s="138" t="s">
        <v>230</v>
      </c>
      <c r="H28" s="138" t="s">
        <v>230</v>
      </c>
      <c r="I28" s="138" t="str">
        <f>+IFERROR(VLOOKUP(D28,Conceptos_Analítica_contraloría[#All],2,0),"")</f>
        <v>Volumetria</v>
      </c>
      <c r="J28" s="13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130</v>
      </c>
      <c r="C29" s="144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35</v>
      </c>
      <c r="E29" s="138" t="str">
        <f>+IFERROR(VLOOKUP(Fact_Analitica[[#This Row],[Concepto Anterior]],Conceptos_Analítica_contraloría[#All],5,0),"")</f>
        <v>Ajustes sobrevaloración acumulada de inventarios "Unified"</v>
      </c>
      <c r="F29" s="138" t="str">
        <f ca="1">+IFERROR(VLOOKUP(Fact_Analitica[[#This Row],[Concepto Anterior]],Conceptos_Analítica_contraloría[#All],7,0),"")</f>
        <v/>
      </c>
      <c r="G29" s="138" t="s">
        <v>230</v>
      </c>
      <c r="H29" s="138" t="s">
        <v>230</v>
      </c>
      <c r="I29" s="138" t="str">
        <f>+IFERROR(VLOOKUP(D29,Conceptos_Analítica_contraloría[#All],2,0),"")</f>
        <v>Eficiencia</v>
      </c>
      <c r="J29" s="138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130</v>
      </c>
      <c r="C30" s="144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37</v>
      </c>
      <c r="E30" s="138" t="str">
        <f>+IFERROR(VLOOKUP(Fact_Analitica[[#This Row],[Concepto Anterior]],Conceptos_Analítica_contraloría[#All],5,0),"")</f>
        <v>Automatizaciones descarga y reconversión archivos stock España Mango</v>
      </c>
      <c r="F30" s="138" t="str">
        <f ca="1">+IFERROR(VLOOKUP(Fact_Analitica[[#This Row],[Concepto Anterior]],Conceptos_Analítica_contraloría[#All],7,0),"")</f>
        <v/>
      </c>
      <c r="G30" s="138" t="s">
        <v>230</v>
      </c>
      <c r="H30" s="138" t="s">
        <v>230</v>
      </c>
      <c r="I30" s="138" t="str">
        <f>+IFERROR(VLOOKUP(D30,Conceptos_Analítica_contraloría[#All],2,0),"")</f>
        <v>Volumetria</v>
      </c>
      <c r="J30" s="138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130</v>
      </c>
      <c r="C31" s="144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133</v>
      </c>
      <c r="E31" s="138" t="str">
        <f>+IFERROR(VLOOKUP(Fact_Analitica[[#This Row],[Concepto Anterior]],Conceptos_Analítica_contraloría[#All],5,0),"")</f>
        <v>Cantidad de registros (consecutivos) a conciliar (Facturas 94%, otros movimientos 6%)</v>
      </c>
      <c r="F31" s="138" t="str">
        <f ca="1">+IFERROR(VLOOKUP(Fact_Analitica[[#This Row],[Concepto Anterior]],Conceptos_Analítica_contraloría[#All],7,0),"")</f>
        <v/>
      </c>
      <c r="G31" s="138" t="s">
        <v>230</v>
      </c>
      <c r="H31" s="138" t="s">
        <v>230</v>
      </c>
      <c r="I31" s="138" t="str">
        <f>+IFERROR(VLOOKUP(D31,Conceptos_Analítica_contraloría[#All],2,0),"")</f>
        <v>Volumetria</v>
      </c>
      <c r="J31" s="138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130</v>
      </c>
      <c r="C32" s="144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143</v>
      </c>
      <c r="E32" s="138" t="str">
        <f>+IFERROR(VLOOKUP(Fact_Analitica[[#This Row],[Concepto Anterior]],Conceptos_Analítica_contraloría[#All],5,0),"")</f>
        <v>Cantidad de unds a conciliar</v>
      </c>
      <c r="F32" s="138" t="str">
        <f ca="1">+IFERROR(VLOOKUP(Fact_Analitica[[#This Row],[Concepto Anterior]],Conceptos_Analítica_contraloría[#All],7,0),"")</f>
        <v/>
      </c>
      <c r="G32" s="138" t="s">
        <v>230</v>
      </c>
      <c r="H32" s="138" t="s">
        <v>230</v>
      </c>
      <c r="I32" s="138" t="str">
        <f>+IFERROR(VLOOKUP(D32,Conceptos_Analítica_contraloría[#All],2,0),"")</f>
        <v>Volumetria</v>
      </c>
      <c r="J32" s="138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130</v>
      </c>
      <c r="C33" s="144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152</v>
      </c>
      <c r="E33" s="138" t="str">
        <f>+IFERROR(VLOOKUP(Fact_Analitica[[#This Row],[Concepto Anterior]],Conceptos_Analítica_contraloría[#All],5,0),"")</f>
        <v>Desatrase de facturación merma franquicias</v>
      </c>
      <c r="F33" s="138" t="str">
        <f ca="1">+IFERROR(VLOOKUP(Fact_Analitica[[#This Row],[Concepto Anterior]],Conceptos_Analítica_contraloría[#All],7,0),"")</f>
        <v/>
      </c>
      <c r="G33" s="138" t="s">
        <v>230</v>
      </c>
      <c r="H33" s="138" t="s">
        <v>230</v>
      </c>
      <c r="I33" s="138" t="str">
        <f>+IFERROR(VLOOKUP(D33,Conceptos_Analítica_contraloría[#All],2,0),"")</f>
        <v>Eficiencia</v>
      </c>
      <c r="J33" s="138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130</v>
      </c>
      <c r="C34" s="144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161</v>
      </c>
      <c r="E34" s="138" t="str">
        <f>+IFERROR(VLOOKUP(Fact_Analitica[[#This Row],[Concepto Anterior]],Conceptos_Analítica_contraloría[#All],5,0),"")</f>
        <v>Puntos a conciliar</v>
      </c>
      <c r="F34" s="138" t="str">
        <f ca="1">+IFERROR(VLOOKUP(Fact_Analitica[[#This Row],[Concepto Anterior]],Conceptos_Analítica_contraloría[#All],7,0),"")</f>
        <v/>
      </c>
      <c r="G34" s="138" t="s">
        <v>230</v>
      </c>
      <c r="H34" s="138" t="s">
        <v>230</v>
      </c>
      <c r="I34" s="138" t="str">
        <f>+IFERROR(VLOOKUP(D34,Conceptos_Analítica_contraloría[#All],2,0),"")</f>
        <v>Volumetria</v>
      </c>
      <c r="J34" s="138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130</v>
      </c>
      <c r="C35" s="144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169</v>
      </c>
      <c r="E35" s="138" t="str">
        <f>+IFERROR(VLOOKUP(Fact_Analitica[[#This Row],[Concepto Anterior]],Conceptos_Analítica_contraloría[#All],5,0),"")</f>
        <v>Puntos x marca a conciliar</v>
      </c>
      <c r="F35" s="138" t="str">
        <f ca="1">+IFERROR(VLOOKUP(Fact_Analitica[[#This Row],[Concepto Anterior]],Conceptos_Analítica_contraloría[#All],7,0),"")</f>
        <v/>
      </c>
      <c r="G35" s="138" t="s">
        <v>230</v>
      </c>
      <c r="H35" s="138" t="s">
        <v>230</v>
      </c>
      <c r="I35" s="138" t="str">
        <f>+IFERROR(VLOOKUP(D35,Conceptos_Analítica_contraloría[#All],2,0),"")</f>
        <v>Volumetria</v>
      </c>
      <c r="J35" s="138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130</v>
      </c>
      <c r="C36" s="144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176</v>
      </c>
      <c r="E36" s="138" t="str">
        <f>+IFERROR(VLOOKUP(Fact_Analitica[[#This Row],[Concepto Anterior]],Conceptos_Analítica_contraloría[#All],5,0),"")</f>
        <v>Ajuste Costo Merma Desconocida - Tiendas y Grandes S.</v>
      </c>
      <c r="F36" s="138" t="str">
        <f ca="1">+IFERROR(VLOOKUP(Fact_Analitica[[#This Row],[Concepto Anterior]],Conceptos_Analítica_contraloría[#All],7,0),"")</f>
        <v/>
      </c>
      <c r="G36" s="138" t="s">
        <v>230</v>
      </c>
      <c r="H36" s="138" t="s">
        <v>230</v>
      </c>
      <c r="I36" s="138" t="str">
        <f>+IFERROR(VLOOKUP(D36,Conceptos_Analítica_contraloría[#All],2,0),"")</f>
        <v>Volumetria</v>
      </c>
      <c r="J36" s="138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137</v>
      </c>
      <c r="C37" s="144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110</v>
      </c>
      <c r="E37" s="138" t="str">
        <f>+IFERROR(VLOOKUP(Fact_Analitica[[#This Row],[Concepto Anterior]],Conceptos_Analítica_contraloría[#All],5,0),"")</f>
        <v>Ajustes Inventarios Cíclico</v>
      </c>
      <c r="F37" s="138" t="str">
        <f ca="1">+IFERROR(VLOOKUP(Fact_Analitica[[#This Row],[Concepto Anterior]],Conceptos_Analítica_contraloría[#All],7,0),"")</f>
        <v/>
      </c>
      <c r="G37" s="138" t="s">
        <v>230</v>
      </c>
      <c r="H37" s="138" t="s">
        <v>230</v>
      </c>
      <c r="I37" s="138" t="str">
        <f>+IFERROR(VLOOKUP(D37,Conceptos_Analítica_contraloría[#All],2,0),"")</f>
        <v>Volumetria</v>
      </c>
      <c r="J37" s="138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137</v>
      </c>
      <c r="C38" s="144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35</v>
      </c>
      <c r="E38" s="138" t="str">
        <f>+IFERROR(VLOOKUP(Fact_Analitica[[#This Row],[Concepto Anterior]],Conceptos_Analítica_contraloría[#All],5,0),"")</f>
        <v>Ajustes sobrevaloración acumulada de inventarios "Unified"</v>
      </c>
      <c r="F38" s="138" t="str">
        <f ca="1">+IFERROR(VLOOKUP(Fact_Analitica[[#This Row],[Concepto Anterior]],Conceptos_Analítica_contraloría[#All],7,0),"")</f>
        <v/>
      </c>
      <c r="G38" s="138" t="s">
        <v>230</v>
      </c>
      <c r="H38" s="138" t="s">
        <v>230</v>
      </c>
      <c r="I38" s="138" t="str">
        <f>+IFERROR(VLOOKUP(D38,Conceptos_Analítica_contraloría[#All],2,0),"")</f>
        <v>Eficiencia</v>
      </c>
      <c r="J38" s="1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137</v>
      </c>
      <c r="C39" s="144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37</v>
      </c>
      <c r="E39" s="138" t="str">
        <f>+IFERROR(VLOOKUP(Fact_Analitica[[#This Row],[Concepto Anterior]],Conceptos_Analítica_contraloría[#All],5,0),"")</f>
        <v>Automatizaciones descarga y reconversión archivos stock España Mango</v>
      </c>
      <c r="F39" s="138" t="str">
        <f ca="1">+IFERROR(VLOOKUP(Fact_Analitica[[#This Row],[Concepto Anterior]],Conceptos_Analítica_contraloría[#All],7,0),"")</f>
        <v/>
      </c>
      <c r="G39" s="138" t="s">
        <v>230</v>
      </c>
      <c r="H39" s="138" t="s">
        <v>230</v>
      </c>
      <c r="I39" s="138" t="str">
        <f>+IFERROR(VLOOKUP(D39,Conceptos_Analítica_contraloría[#All],2,0),"")</f>
        <v>Volumetria</v>
      </c>
      <c r="J39" s="138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137</v>
      </c>
      <c r="C40" s="144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133</v>
      </c>
      <c r="E40" s="138" t="str">
        <f>+IFERROR(VLOOKUP(Fact_Analitica[[#This Row],[Concepto Anterior]],Conceptos_Analítica_contraloría[#All],5,0),"")</f>
        <v>Cantidad de registros (consecutivos) a conciliar (Facturas 94%, otros movimientos 6%)</v>
      </c>
      <c r="F40" s="138" t="str">
        <f ca="1">+IFERROR(VLOOKUP(Fact_Analitica[[#This Row],[Concepto Anterior]],Conceptos_Analítica_contraloría[#All],7,0),"")</f>
        <v/>
      </c>
      <c r="G40" s="138" t="s">
        <v>230</v>
      </c>
      <c r="H40" s="138" t="s">
        <v>230</v>
      </c>
      <c r="I40" s="138" t="str">
        <f>+IFERROR(VLOOKUP(D40,Conceptos_Analítica_contraloría[#All],2,0),"")</f>
        <v>Volumetria</v>
      </c>
      <c r="J40" s="138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137</v>
      </c>
      <c r="C41" s="144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143</v>
      </c>
      <c r="E41" s="138" t="str">
        <f>+IFERROR(VLOOKUP(Fact_Analitica[[#This Row],[Concepto Anterior]],Conceptos_Analítica_contraloría[#All],5,0),"")</f>
        <v>Cantidad de unds a conciliar</v>
      </c>
      <c r="F41" s="138" t="str">
        <f ca="1">+IFERROR(VLOOKUP(Fact_Analitica[[#This Row],[Concepto Anterior]],Conceptos_Analítica_contraloría[#All],7,0),"")</f>
        <v/>
      </c>
      <c r="G41" s="138" t="s">
        <v>230</v>
      </c>
      <c r="H41" s="138" t="s">
        <v>230</v>
      </c>
      <c r="I41" s="138" t="str">
        <f>+IFERROR(VLOOKUP(D41,Conceptos_Analítica_contraloría[#All],2,0),"")</f>
        <v>Volumetria</v>
      </c>
      <c r="J41" s="138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137</v>
      </c>
      <c r="C42" s="144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152</v>
      </c>
      <c r="E42" s="138" t="str">
        <f>+IFERROR(VLOOKUP(Fact_Analitica[[#This Row],[Concepto Anterior]],Conceptos_Analítica_contraloría[#All],5,0),"")</f>
        <v>Desatrase de facturación merma franquicias</v>
      </c>
      <c r="F42" s="138" t="str">
        <f ca="1">+IFERROR(VLOOKUP(Fact_Analitica[[#This Row],[Concepto Anterior]],Conceptos_Analítica_contraloría[#All],7,0),"")</f>
        <v/>
      </c>
      <c r="G42" s="138" t="s">
        <v>230</v>
      </c>
      <c r="H42" s="138" t="s">
        <v>230</v>
      </c>
      <c r="I42" s="138" t="str">
        <f>+IFERROR(VLOOKUP(D42,Conceptos_Analítica_contraloría[#All],2,0),"")</f>
        <v>Eficiencia</v>
      </c>
      <c r="J42" s="138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137</v>
      </c>
      <c r="C43" s="144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161</v>
      </c>
      <c r="E43" s="138" t="str">
        <f>+IFERROR(VLOOKUP(Fact_Analitica[[#This Row],[Concepto Anterior]],Conceptos_Analítica_contraloría[#All],5,0),"")</f>
        <v>Puntos a conciliar</v>
      </c>
      <c r="F43" s="138" t="str">
        <f ca="1">+IFERROR(VLOOKUP(Fact_Analitica[[#This Row],[Concepto Anterior]],Conceptos_Analítica_contraloría[#All],7,0),"")</f>
        <v/>
      </c>
      <c r="G43" s="138" t="s">
        <v>230</v>
      </c>
      <c r="H43" s="138" t="s">
        <v>230</v>
      </c>
      <c r="I43" s="138" t="str">
        <f>+IFERROR(VLOOKUP(D43,Conceptos_Analítica_contraloría[#All],2,0),"")</f>
        <v>Volumetria</v>
      </c>
      <c r="J43" s="138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137</v>
      </c>
      <c r="C44" s="144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169</v>
      </c>
      <c r="E44" s="138" t="str">
        <f>+IFERROR(VLOOKUP(Fact_Analitica[[#This Row],[Concepto Anterior]],Conceptos_Analítica_contraloría[#All],5,0),"")</f>
        <v>Puntos x marca a conciliar</v>
      </c>
      <c r="F44" s="138" t="str">
        <f ca="1">+IFERROR(VLOOKUP(Fact_Analitica[[#This Row],[Concepto Anterior]],Conceptos_Analítica_contraloría[#All],7,0),"")</f>
        <v/>
      </c>
      <c r="G44" s="138" t="s">
        <v>230</v>
      </c>
      <c r="H44" s="138" t="s">
        <v>230</v>
      </c>
      <c r="I44" s="138" t="str">
        <f>+IFERROR(VLOOKUP(D44,Conceptos_Analítica_contraloría[#All],2,0),"")</f>
        <v>Volumetria</v>
      </c>
      <c r="J44" s="138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147</v>
      </c>
      <c r="C45" s="144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110</v>
      </c>
      <c r="E45" s="138" t="str">
        <f>+IFERROR(VLOOKUP(Fact_Analitica[[#This Row],[Concepto Anterior]],Conceptos_Analítica_contraloría[#All],5,0),"")</f>
        <v>Ajustes Inventarios Cíclico</v>
      </c>
      <c r="F45" s="138" t="str">
        <f ca="1">+IFERROR(VLOOKUP(Fact_Analitica[[#This Row],[Concepto Anterior]],Conceptos_Analítica_contraloría[#All],7,0),"")</f>
        <v/>
      </c>
      <c r="G45" s="138" t="s">
        <v>230</v>
      </c>
      <c r="H45" s="138" t="s">
        <v>230</v>
      </c>
      <c r="I45" s="138" t="str">
        <f>+IFERROR(VLOOKUP(D45,Conceptos_Analítica_contraloría[#All],2,0),"")</f>
        <v>Volumetria</v>
      </c>
      <c r="J45" s="138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147</v>
      </c>
      <c r="C46" s="144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35</v>
      </c>
      <c r="E46" s="138" t="str">
        <f>+IFERROR(VLOOKUP(Fact_Analitica[[#This Row],[Concepto Anterior]],Conceptos_Analítica_contraloría[#All],5,0),"")</f>
        <v>Ajustes sobrevaloración acumulada de inventarios "Unified"</v>
      </c>
      <c r="F46" s="138" t="str">
        <f ca="1">+IFERROR(VLOOKUP(Fact_Analitica[[#This Row],[Concepto Anterior]],Conceptos_Analítica_contraloría[#All],7,0),"")</f>
        <v/>
      </c>
      <c r="G46" s="138" t="s">
        <v>230</v>
      </c>
      <c r="H46" s="138" t="s">
        <v>230</v>
      </c>
      <c r="I46" s="138" t="str">
        <f>+IFERROR(VLOOKUP(D46,Conceptos_Analítica_contraloría[#All],2,0),"")</f>
        <v>Eficiencia</v>
      </c>
      <c r="J46" s="138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147</v>
      </c>
      <c r="C47" s="144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37</v>
      </c>
      <c r="E47" s="138" t="str">
        <f>+IFERROR(VLOOKUP(Fact_Analitica[[#This Row],[Concepto Anterior]],Conceptos_Analítica_contraloría[#All],5,0),"")</f>
        <v>Automatizaciones descarga y reconversión archivos stock España Mango</v>
      </c>
      <c r="F47" s="138" t="str">
        <f ca="1">+IFERROR(VLOOKUP(Fact_Analitica[[#This Row],[Concepto Anterior]],Conceptos_Analítica_contraloría[#All],7,0),"")</f>
        <v/>
      </c>
      <c r="G47" s="138" t="s">
        <v>230</v>
      </c>
      <c r="H47" s="138" t="s">
        <v>230</v>
      </c>
      <c r="I47" s="138" t="str">
        <f>+IFERROR(VLOOKUP(D47,Conceptos_Analítica_contraloría[#All],2,0),"")</f>
        <v>Volumetria</v>
      </c>
      <c r="J47" s="138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147</v>
      </c>
      <c r="C48" s="144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133</v>
      </c>
      <c r="E48" s="138" t="str">
        <f>+IFERROR(VLOOKUP(Fact_Analitica[[#This Row],[Concepto Anterior]],Conceptos_Analítica_contraloría[#All],5,0),"")</f>
        <v>Cantidad de registros (consecutivos) a conciliar (Facturas 94%, otros movimientos 6%)</v>
      </c>
      <c r="F48" s="138" t="str">
        <f ca="1">+IFERROR(VLOOKUP(Fact_Analitica[[#This Row],[Concepto Anterior]],Conceptos_Analítica_contraloría[#All],7,0),"")</f>
        <v/>
      </c>
      <c r="G48" s="138" t="s">
        <v>230</v>
      </c>
      <c r="H48" s="138" t="s">
        <v>230</v>
      </c>
      <c r="I48" s="138" t="str">
        <f>+IFERROR(VLOOKUP(D48,Conceptos_Analítica_contraloría[#All],2,0),"")</f>
        <v>Volumetria</v>
      </c>
      <c r="J48" s="13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147</v>
      </c>
      <c r="C49" s="144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143</v>
      </c>
      <c r="E49" s="138" t="str">
        <f>+IFERROR(VLOOKUP(Fact_Analitica[[#This Row],[Concepto Anterior]],Conceptos_Analítica_contraloría[#All],5,0),"")</f>
        <v>Cantidad de unds a conciliar</v>
      </c>
      <c r="F49" s="138" t="str">
        <f ca="1">+IFERROR(VLOOKUP(Fact_Analitica[[#This Row],[Concepto Anterior]],Conceptos_Analítica_contraloría[#All],7,0),"")</f>
        <v/>
      </c>
      <c r="G49" s="138" t="s">
        <v>230</v>
      </c>
      <c r="H49" s="138" t="s">
        <v>230</v>
      </c>
      <c r="I49" s="138" t="str">
        <f>+IFERROR(VLOOKUP(D49,Conceptos_Analítica_contraloría[#All],2,0),"")</f>
        <v>Volumetria</v>
      </c>
      <c r="J49" s="138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147</v>
      </c>
      <c r="C50" s="144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152</v>
      </c>
      <c r="E50" s="138" t="str">
        <f>+IFERROR(VLOOKUP(Fact_Analitica[[#This Row],[Concepto Anterior]],Conceptos_Analítica_contraloría[#All],5,0),"")</f>
        <v>Desatrase de facturación merma franquicias</v>
      </c>
      <c r="F50" s="138" t="str">
        <f ca="1">+IFERROR(VLOOKUP(Fact_Analitica[[#This Row],[Concepto Anterior]],Conceptos_Analítica_contraloría[#All],7,0),"")</f>
        <v/>
      </c>
      <c r="G50" s="138" t="s">
        <v>230</v>
      </c>
      <c r="H50" s="138" t="s">
        <v>230</v>
      </c>
      <c r="I50" s="138" t="str">
        <f>+IFERROR(VLOOKUP(D50,Conceptos_Analítica_contraloría[#All],2,0),"")</f>
        <v>Eficiencia</v>
      </c>
      <c r="J50" s="138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147</v>
      </c>
      <c r="C51" s="144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161</v>
      </c>
      <c r="E51" s="138" t="str">
        <f>+IFERROR(VLOOKUP(Fact_Analitica[[#This Row],[Concepto Anterior]],Conceptos_Analítica_contraloría[#All],5,0),"")</f>
        <v>Puntos a conciliar</v>
      </c>
      <c r="F51" s="138" t="str">
        <f ca="1">+IFERROR(VLOOKUP(Fact_Analitica[[#This Row],[Concepto Anterior]],Conceptos_Analítica_contraloría[#All],7,0),"")</f>
        <v/>
      </c>
      <c r="G51" s="138" t="s">
        <v>230</v>
      </c>
      <c r="H51" s="138" t="s">
        <v>230</v>
      </c>
      <c r="I51" s="138" t="str">
        <f>+IFERROR(VLOOKUP(D51,Conceptos_Analítica_contraloría[#All],2,0),"")</f>
        <v>Volumetria</v>
      </c>
      <c r="J51" s="138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147</v>
      </c>
      <c r="C52" s="144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169</v>
      </c>
      <c r="E52" s="138" t="str">
        <f>+IFERROR(VLOOKUP(Fact_Analitica[[#This Row],[Concepto Anterior]],Conceptos_Analítica_contraloría[#All],5,0),"")</f>
        <v>Puntos x marca a conciliar</v>
      </c>
      <c r="F52" s="138" t="str">
        <f ca="1">+IFERROR(VLOOKUP(Fact_Analitica[[#This Row],[Concepto Anterior]],Conceptos_Analítica_contraloría[#All],7,0),"")</f>
        <v/>
      </c>
      <c r="G52" s="138" t="s">
        <v>230</v>
      </c>
      <c r="H52" s="138" t="s">
        <v>230</v>
      </c>
      <c r="I52" s="138" t="str">
        <f>+IFERROR(VLOOKUP(D52,Conceptos_Analítica_contraloría[#All],2,0),"")</f>
        <v>Volumetria</v>
      </c>
      <c r="J52" s="138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157</v>
      </c>
      <c r="C53" s="144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110</v>
      </c>
      <c r="E53" s="138" t="str">
        <f>+IFERROR(VLOOKUP(Fact_Analitica[[#This Row],[Concepto Anterior]],Conceptos_Analítica_contraloría[#All],5,0),"")</f>
        <v>Ajustes Inventarios Cíclico</v>
      </c>
      <c r="F53" s="138" t="str">
        <f ca="1">+IFERROR(VLOOKUP(Fact_Analitica[[#This Row],[Concepto Anterior]],Conceptos_Analítica_contraloría[#All],7,0),"")</f>
        <v/>
      </c>
      <c r="G53" s="138" t="s">
        <v>230</v>
      </c>
      <c r="H53" s="138" t="s">
        <v>230</v>
      </c>
      <c r="I53" s="138" t="str">
        <f>+IFERROR(VLOOKUP(D53,Conceptos_Analítica_contraloría[#All],2,0),"")</f>
        <v>Volumetria</v>
      </c>
      <c r="J53" s="138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157</v>
      </c>
      <c r="C54" s="144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35</v>
      </c>
      <c r="E54" s="138" t="str">
        <f>+IFERROR(VLOOKUP(Fact_Analitica[[#This Row],[Concepto Anterior]],Conceptos_Analítica_contraloría[#All],5,0),"")</f>
        <v>Ajustes sobrevaloración acumulada de inventarios "Unified"</v>
      </c>
      <c r="F54" s="138" t="str">
        <f ca="1">+IFERROR(VLOOKUP(Fact_Analitica[[#This Row],[Concepto Anterior]],Conceptos_Analítica_contraloría[#All],7,0),"")</f>
        <v/>
      </c>
      <c r="G54" s="138" t="s">
        <v>230</v>
      </c>
      <c r="H54" s="138" t="s">
        <v>230</v>
      </c>
      <c r="I54" s="138" t="str">
        <f>+IFERROR(VLOOKUP(D54,Conceptos_Analítica_contraloría[#All],2,0),"")</f>
        <v>Eficiencia</v>
      </c>
      <c r="J54" s="138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157</v>
      </c>
      <c r="C55" s="144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37</v>
      </c>
      <c r="E55" s="138" t="str">
        <f>+IFERROR(VLOOKUP(Fact_Analitica[[#This Row],[Concepto Anterior]],Conceptos_Analítica_contraloría[#All],5,0),"")</f>
        <v>Automatizaciones descarga y reconversión archivos stock España Mango</v>
      </c>
      <c r="F55" s="138" t="str">
        <f ca="1">+IFERROR(VLOOKUP(Fact_Analitica[[#This Row],[Concepto Anterior]],Conceptos_Analítica_contraloría[#All],7,0),"")</f>
        <v/>
      </c>
      <c r="G55" s="138" t="s">
        <v>230</v>
      </c>
      <c r="H55" s="138" t="s">
        <v>230</v>
      </c>
      <c r="I55" s="138" t="str">
        <f>+IFERROR(VLOOKUP(D55,Conceptos_Analítica_contraloría[#All],2,0),"")</f>
        <v>Volumetria</v>
      </c>
      <c r="J55" s="138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157</v>
      </c>
      <c r="C56" s="144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133</v>
      </c>
      <c r="E56" s="138" t="str">
        <f>+IFERROR(VLOOKUP(Fact_Analitica[[#This Row],[Concepto Anterior]],Conceptos_Analítica_contraloría[#All],5,0),"")</f>
        <v>Cantidad de registros (consecutivos) a conciliar (Facturas 94%, otros movimientos 6%)</v>
      </c>
      <c r="F56" s="138" t="str">
        <f ca="1">+IFERROR(VLOOKUP(Fact_Analitica[[#This Row],[Concepto Anterior]],Conceptos_Analítica_contraloría[#All],7,0),"")</f>
        <v/>
      </c>
      <c r="G56" s="138" t="s">
        <v>230</v>
      </c>
      <c r="H56" s="138" t="s">
        <v>230</v>
      </c>
      <c r="I56" s="138" t="str">
        <f>+IFERROR(VLOOKUP(D56,Conceptos_Analítica_contraloría[#All],2,0),"")</f>
        <v>Volumetria</v>
      </c>
      <c r="J56" s="138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157</v>
      </c>
      <c r="C57" s="144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143</v>
      </c>
      <c r="E57" s="138" t="str">
        <f>+IFERROR(VLOOKUP(Fact_Analitica[[#This Row],[Concepto Anterior]],Conceptos_Analítica_contraloría[#All],5,0),"")</f>
        <v>Cantidad de unds a conciliar</v>
      </c>
      <c r="F57" s="138" t="str">
        <f ca="1">+IFERROR(VLOOKUP(Fact_Analitica[[#This Row],[Concepto Anterior]],Conceptos_Analítica_contraloría[#All],7,0),"")</f>
        <v/>
      </c>
      <c r="G57" s="138" t="s">
        <v>230</v>
      </c>
      <c r="H57" s="138" t="s">
        <v>230</v>
      </c>
      <c r="I57" s="138" t="str">
        <f>+IFERROR(VLOOKUP(D57,Conceptos_Analítica_contraloría[#All],2,0),"")</f>
        <v>Volumetria</v>
      </c>
      <c r="J57" s="138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157</v>
      </c>
      <c r="C58" s="144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152</v>
      </c>
      <c r="E58" s="138" t="str">
        <f>+IFERROR(VLOOKUP(Fact_Analitica[[#This Row],[Concepto Anterior]],Conceptos_Analítica_contraloría[#All],5,0),"")</f>
        <v>Desatrase de facturación merma franquicias</v>
      </c>
      <c r="F58" s="138" t="str">
        <f ca="1">+IFERROR(VLOOKUP(Fact_Analitica[[#This Row],[Concepto Anterior]],Conceptos_Analítica_contraloría[#All],7,0),"")</f>
        <v/>
      </c>
      <c r="G58" s="138" t="s">
        <v>230</v>
      </c>
      <c r="H58" s="138" t="s">
        <v>230</v>
      </c>
      <c r="I58" s="138" t="str">
        <f>+IFERROR(VLOOKUP(D58,Conceptos_Analítica_contraloría[#All],2,0),"")</f>
        <v>Eficiencia</v>
      </c>
      <c r="J58" s="13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157</v>
      </c>
      <c r="C59" s="144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161</v>
      </c>
      <c r="E59" s="138" t="str">
        <f>+IFERROR(VLOOKUP(Fact_Analitica[[#This Row],[Concepto Anterior]],Conceptos_Analítica_contraloría[#All],5,0),"")</f>
        <v>Puntos a conciliar</v>
      </c>
      <c r="F59" s="138" t="str">
        <f ca="1">+IFERROR(VLOOKUP(Fact_Analitica[[#This Row],[Concepto Anterior]],Conceptos_Analítica_contraloría[#All],7,0),"")</f>
        <v/>
      </c>
      <c r="G59" s="138" t="s">
        <v>230</v>
      </c>
      <c r="H59" s="138" t="s">
        <v>230</v>
      </c>
      <c r="I59" s="138" t="str">
        <f>+IFERROR(VLOOKUP(D59,Conceptos_Analítica_contraloría[#All],2,0),"")</f>
        <v>Volumetria</v>
      </c>
      <c r="J59" s="138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157</v>
      </c>
      <c r="C60" s="144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169</v>
      </c>
      <c r="E60" s="138" t="str">
        <f>+IFERROR(VLOOKUP(Fact_Analitica[[#This Row],[Concepto Anterior]],Conceptos_Analítica_contraloría[#All],5,0),"")</f>
        <v>Puntos x marca a conciliar</v>
      </c>
      <c r="F60" s="138" t="str">
        <f ca="1">+IFERROR(VLOOKUP(Fact_Analitica[[#This Row],[Concepto Anterior]],Conceptos_Analítica_contraloría[#All],7,0),"")</f>
        <v/>
      </c>
      <c r="G60" s="138" t="s">
        <v>230</v>
      </c>
      <c r="H60" s="138" t="s">
        <v>230</v>
      </c>
      <c r="I60" s="138" t="str">
        <f>+IFERROR(VLOOKUP(D60,Conceptos_Analítica_contraloría[#All],2,0),"")</f>
        <v>Volumetria</v>
      </c>
      <c r="J60" s="138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165</v>
      </c>
      <c r="C61" s="144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110</v>
      </c>
      <c r="E61" s="138" t="str">
        <f>+IFERROR(VLOOKUP(Fact_Analitica[[#This Row],[Concepto Anterior]],Conceptos_Analítica_contraloría[#All],5,0),"")</f>
        <v>Ajustes Inventarios Cíclico</v>
      </c>
      <c r="F61" s="138" t="str">
        <f ca="1">+IFERROR(VLOOKUP(Fact_Analitica[[#This Row],[Concepto Anterior]],Conceptos_Analítica_contraloría[#All],7,0),"")</f>
        <v/>
      </c>
      <c r="G61" s="138" t="s">
        <v>230</v>
      </c>
      <c r="H61" s="138" t="s">
        <v>230</v>
      </c>
      <c r="I61" s="138" t="str">
        <f>+IFERROR(VLOOKUP(D61,Conceptos_Analítica_contraloría[#All],2,0),"")</f>
        <v>Volumetria</v>
      </c>
      <c r="J61" s="138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165</v>
      </c>
      <c r="C62" s="144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35</v>
      </c>
      <c r="E62" s="138" t="str">
        <f>+IFERROR(VLOOKUP(Fact_Analitica[[#This Row],[Concepto Anterior]],Conceptos_Analítica_contraloría[#All],5,0),"")</f>
        <v>Ajustes sobrevaloración acumulada de inventarios "Unified"</v>
      </c>
      <c r="F62" s="138" t="str">
        <f ca="1">+IFERROR(VLOOKUP(Fact_Analitica[[#This Row],[Concepto Anterior]],Conceptos_Analítica_contraloría[#All],7,0),"")</f>
        <v/>
      </c>
      <c r="G62" s="138" t="s">
        <v>230</v>
      </c>
      <c r="H62" s="138" t="s">
        <v>230</v>
      </c>
      <c r="I62" s="138" t="str">
        <f>+IFERROR(VLOOKUP(D62,Conceptos_Analítica_contraloría[#All],2,0),"")</f>
        <v>Eficiencia</v>
      </c>
      <c r="J62" s="138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165</v>
      </c>
      <c r="C63" s="144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37</v>
      </c>
      <c r="E63" s="138" t="str">
        <f>+IFERROR(VLOOKUP(Fact_Analitica[[#This Row],[Concepto Anterior]],Conceptos_Analítica_contraloría[#All],5,0),"")</f>
        <v>Automatizaciones descarga y reconversión archivos stock España Mango</v>
      </c>
      <c r="F63" s="138" t="str">
        <f ca="1">+IFERROR(VLOOKUP(Fact_Analitica[[#This Row],[Concepto Anterior]],Conceptos_Analítica_contraloría[#All],7,0),"")</f>
        <v/>
      </c>
      <c r="G63" s="138" t="s">
        <v>230</v>
      </c>
      <c r="H63" s="138" t="s">
        <v>230</v>
      </c>
      <c r="I63" s="138" t="str">
        <f>+IFERROR(VLOOKUP(D63,Conceptos_Analítica_contraloría[#All],2,0),"")</f>
        <v>Volumetria</v>
      </c>
      <c r="J63" s="138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165</v>
      </c>
      <c r="C64" s="144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133</v>
      </c>
      <c r="E64" s="138" t="str">
        <f>+IFERROR(VLOOKUP(Fact_Analitica[[#This Row],[Concepto Anterior]],Conceptos_Analítica_contraloría[#All],5,0),"")</f>
        <v>Cantidad de registros (consecutivos) a conciliar (Facturas 94%, otros movimientos 6%)</v>
      </c>
      <c r="F64" s="138" t="str">
        <f ca="1">+IFERROR(VLOOKUP(Fact_Analitica[[#This Row],[Concepto Anterior]],Conceptos_Analítica_contraloría[#All],7,0),"")</f>
        <v/>
      </c>
      <c r="G64" s="138" t="s">
        <v>230</v>
      </c>
      <c r="H64" s="138" t="s">
        <v>230</v>
      </c>
      <c r="I64" s="138" t="str">
        <f>+IFERROR(VLOOKUP(D64,Conceptos_Analítica_contraloría[#All],2,0),"")</f>
        <v>Volumetria</v>
      </c>
      <c r="J64" s="138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165</v>
      </c>
      <c r="C65" s="144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143</v>
      </c>
      <c r="E65" s="138" t="str">
        <f>+IFERROR(VLOOKUP(Fact_Analitica[[#This Row],[Concepto Anterior]],Conceptos_Analítica_contraloría[#All],5,0),"")</f>
        <v>Cantidad de unds a conciliar</v>
      </c>
      <c r="F65" s="138" t="str">
        <f ca="1">+IFERROR(VLOOKUP(Fact_Analitica[[#This Row],[Concepto Anterior]],Conceptos_Analítica_contraloría[#All],7,0),"")</f>
        <v/>
      </c>
      <c r="G65" s="138" t="s">
        <v>230</v>
      </c>
      <c r="H65" s="138" t="s">
        <v>230</v>
      </c>
      <c r="I65" s="138" t="str">
        <f>+IFERROR(VLOOKUP(D65,Conceptos_Analítica_contraloría[#All],2,0),"")</f>
        <v>Volumetria</v>
      </c>
      <c r="J65" s="138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165</v>
      </c>
      <c r="C66" s="144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152</v>
      </c>
      <c r="E66" s="138" t="str">
        <f>+IFERROR(VLOOKUP(Fact_Analitica[[#This Row],[Concepto Anterior]],Conceptos_Analítica_contraloría[#All],5,0),"")</f>
        <v>Desatrase de facturación merma franquicias</v>
      </c>
      <c r="F66" s="138" t="str">
        <f ca="1">+IFERROR(VLOOKUP(Fact_Analitica[[#This Row],[Concepto Anterior]],Conceptos_Analítica_contraloría[#All],7,0),"")</f>
        <v/>
      </c>
      <c r="G66" s="138" t="s">
        <v>230</v>
      </c>
      <c r="H66" s="138" t="s">
        <v>230</v>
      </c>
      <c r="I66" s="138" t="str">
        <f>+IFERROR(VLOOKUP(D66,Conceptos_Analítica_contraloría[#All],2,0),"")</f>
        <v>Eficiencia</v>
      </c>
      <c r="J66" s="138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165</v>
      </c>
      <c r="C67" s="144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161</v>
      </c>
      <c r="E67" s="138" t="str">
        <f>+IFERROR(VLOOKUP(Fact_Analitica[[#This Row],[Concepto Anterior]],Conceptos_Analítica_contraloría[#All],5,0),"")</f>
        <v>Puntos a conciliar</v>
      </c>
      <c r="F67" s="138" t="str">
        <f ca="1">+IFERROR(VLOOKUP(Fact_Analitica[[#This Row],[Concepto Anterior]],Conceptos_Analítica_contraloría[#All],7,0),"")</f>
        <v/>
      </c>
      <c r="G67" s="138" t="s">
        <v>230</v>
      </c>
      <c r="H67" s="138" t="s">
        <v>230</v>
      </c>
      <c r="I67" s="138" t="str">
        <f>+IFERROR(VLOOKUP(D67,Conceptos_Analítica_contraloría[#All],2,0),"")</f>
        <v>Volumetria</v>
      </c>
      <c r="J67" s="138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165</v>
      </c>
      <c r="C68" s="144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169</v>
      </c>
      <c r="E68" s="138" t="str">
        <f>+IFERROR(VLOOKUP(Fact_Analitica[[#This Row],[Concepto Anterior]],Conceptos_Analítica_contraloría[#All],5,0),"")</f>
        <v>Puntos x marca a conciliar</v>
      </c>
      <c r="F68" s="138" t="str">
        <f ca="1">+IFERROR(VLOOKUP(Fact_Analitica[[#This Row],[Concepto Anterior]],Conceptos_Analítica_contraloría[#All],7,0),"")</f>
        <v/>
      </c>
      <c r="G68" s="138" t="s">
        <v>230</v>
      </c>
      <c r="H68" s="138" t="s">
        <v>230</v>
      </c>
      <c r="I68" s="138" t="str">
        <f>+IFERROR(VLOOKUP(D68,Conceptos_Analítica_contraloría[#All],2,0),"")</f>
        <v>Volumetria</v>
      </c>
      <c r="J68" s="13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44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110</v>
      </c>
      <c r="E69" s="138" t="str">
        <f>+IFERROR(VLOOKUP(Fact_Analitica[[#This Row],[Concepto Anterior]],Conceptos_Analítica_contraloría[#All],5,0),"")</f>
        <v>Ajustes Inventarios Cíclico</v>
      </c>
      <c r="F69" s="138" t="str">
        <f ca="1">+IFERROR(VLOOKUP(Fact_Analitica[[#This Row],[Concepto Anterior]],Conceptos_Analítica_contraloría[#All],7,0),"")</f>
        <v/>
      </c>
      <c r="G69" s="138" t="s">
        <v>230</v>
      </c>
      <c r="H69" s="138" t="s">
        <v>230</v>
      </c>
      <c r="I69" s="138" t="str">
        <f>+IFERROR(VLOOKUP(D69,Conceptos_Analítica_contraloría[#All],2,0),"")</f>
        <v>Volumetria</v>
      </c>
      <c r="J69" s="138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44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35</v>
      </c>
      <c r="E70" s="138" t="str">
        <f>+IFERROR(VLOOKUP(Fact_Analitica[[#This Row],[Concepto Anterior]],Conceptos_Analítica_contraloría[#All],5,0),"")</f>
        <v>Ajustes sobrevaloración acumulada de inventarios "Unified"</v>
      </c>
      <c r="F70" s="138" t="str">
        <f ca="1">+IFERROR(VLOOKUP(Fact_Analitica[[#This Row],[Concepto Anterior]],Conceptos_Analítica_contraloría[#All],7,0),"")</f>
        <v/>
      </c>
      <c r="G70" s="138" t="s">
        <v>230</v>
      </c>
      <c r="H70" s="138" t="s">
        <v>230</v>
      </c>
      <c r="I70" s="138" t="str">
        <f>+IFERROR(VLOOKUP(D70,Conceptos_Analítica_contraloría[#All],2,0),"")</f>
        <v>Eficiencia</v>
      </c>
      <c r="J70" s="138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44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37</v>
      </c>
      <c r="E71" s="138" t="str">
        <f>+IFERROR(VLOOKUP(Fact_Analitica[[#This Row],[Concepto Anterior]],Conceptos_Analítica_contraloría[#All],5,0),"")</f>
        <v>Automatizaciones descarga y reconversión archivos stock España Mango</v>
      </c>
      <c r="F71" s="138" t="str">
        <f ca="1">+IFERROR(VLOOKUP(Fact_Analitica[[#This Row],[Concepto Anterior]],Conceptos_Analítica_contraloría[#All],7,0),"")</f>
        <v/>
      </c>
      <c r="G71" s="138" t="s">
        <v>230</v>
      </c>
      <c r="H71" s="138" t="s">
        <v>230</v>
      </c>
      <c r="I71" s="138" t="str">
        <f>+IFERROR(VLOOKUP(D71,Conceptos_Analítica_contraloría[#All],2,0),"")</f>
        <v>Volumetria</v>
      </c>
      <c r="J71" s="138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44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133</v>
      </c>
      <c r="E72" s="138" t="str">
        <f>+IFERROR(VLOOKUP(Fact_Analitica[[#This Row],[Concepto Anterior]],Conceptos_Analítica_contraloría[#All],5,0),"")</f>
        <v>Cantidad de registros (consecutivos) a conciliar (Facturas 94%, otros movimientos 6%)</v>
      </c>
      <c r="F72" s="138" t="str">
        <f ca="1">+IFERROR(VLOOKUP(Fact_Analitica[[#This Row],[Concepto Anterior]],Conceptos_Analítica_contraloría[#All],7,0),"")</f>
        <v/>
      </c>
      <c r="G72" s="138" t="s">
        <v>230</v>
      </c>
      <c r="H72" s="138" t="s">
        <v>230</v>
      </c>
      <c r="I72" s="138" t="str">
        <f>+IFERROR(VLOOKUP(D72,Conceptos_Analítica_contraloría[#All],2,0),"")</f>
        <v>Volumetria</v>
      </c>
      <c r="J72" s="138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44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143</v>
      </c>
      <c r="E73" s="138" t="str">
        <f>+IFERROR(VLOOKUP(Fact_Analitica[[#This Row],[Concepto Anterior]],Conceptos_Analítica_contraloría[#All],5,0),"")</f>
        <v>Cantidad de unds a conciliar</v>
      </c>
      <c r="F73" s="138" t="str">
        <f ca="1">+IFERROR(VLOOKUP(Fact_Analitica[[#This Row],[Concepto Anterior]],Conceptos_Analítica_contraloría[#All],7,0),"")</f>
        <v/>
      </c>
      <c r="G73" s="138" t="s">
        <v>230</v>
      </c>
      <c r="H73" s="138" t="s">
        <v>230</v>
      </c>
      <c r="I73" s="138" t="str">
        <f>+IFERROR(VLOOKUP(D73,Conceptos_Analítica_contraloría[#All],2,0),"")</f>
        <v>Volumetria</v>
      </c>
      <c r="J73" s="138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44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152</v>
      </c>
      <c r="E74" s="138" t="str">
        <f>+IFERROR(VLOOKUP(Fact_Analitica[[#This Row],[Concepto Anterior]],Conceptos_Analítica_contraloría[#All],5,0),"")</f>
        <v>Desatrase de facturación merma franquicias</v>
      </c>
      <c r="F74" s="138" t="str">
        <f ca="1">+IFERROR(VLOOKUP(Fact_Analitica[[#This Row],[Concepto Anterior]],Conceptos_Analítica_contraloría[#All],7,0),"")</f>
        <v/>
      </c>
      <c r="G74" s="138" t="s">
        <v>230</v>
      </c>
      <c r="H74" s="138" t="s">
        <v>230</v>
      </c>
      <c r="I74" s="138" t="str">
        <f>+IFERROR(VLOOKUP(D74,Conceptos_Analítica_contraloría[#All],2,0),"")</f>
        <v>Eficiencia</v>
      </c>
      <c r="J74" s="138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44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161</v>
      </c>
      <c r="E75" s="138" t="str">
        <f>+IFERROR(VLOOKUP(Fact_Analitica[[#This Row],[Concepto Anterior]],Conceptos_Analítica_contraloría[#All],5,0),"")</f>
        <v>Puntos a conciliar</v>
      </c>
      <c r="F75" s="138" t="str">
        <f ca="1">+IFERROR(VLOOKUP(Fact_Analitica[[#This Row],[Concepto Anterior]],Conceptos_Analítica_contraloría[#All],7,0),"")</f>
        <v/>
      </c>
      <c r="G75" s="138" t="s">
        <v>230</v>
      </c>
      <c r="H75" s="138" t="s">
        <v>230</v>
      </c>
      <c r="I75" s="138" t="str">
        <f>+IFERROR(VLOOKUP(D75,Conceptos_Analítica_contraloría[#All],2,0),"")</f>
        <v>Volumetria</v>
      </c>
      <c r="J75" s="138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44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169</v>
      </c>
      <c r="E76" s="138" t="str">
        <f>+IFERROR(VLOOKUP(Fact_Analitica[[#This Row],[Concepto Anterior]],Conceptos_Analítica_contraloría[#All],5,0),"")</f>
        <v>Puntos x marca a conciliar</v>
      </c>
      <c r="F76" s="138" t="str">
        <f ca="1">+IFERROR(VLOOKUP(Fact_Analitica[[#This Row],[Concepto Anterior]],Conceptos_Analítica_contraloría[#All],7,0),"")</f>
        <v/>
      </c>
      <c r="G76" s="138" t="s">
        <v>230</v>
      </c>
      <c r="H76" s="138" t="s">
        <v>230</v>
      </c>
      <c r="I76" s="138" t="str">
        <f>+IFERROR(VLOOKUP(D76,Conceptos_Analítica_contraloría[#All],2,0),"")</f>
        <v>Volumetria</v>
      </c>
      <c r="J76" s="138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179</v>
      </c>
      <c r="C77" s="144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110</v>
      </c>
      <c r="E77" s="138" t="str">
        <f>+IFERROR(VLOOKUP(Fact_Analitica[[#This Row],[Concepto Anterior]],Conceptos_Analítica_contraloría[#All],5,0),"")</f>
        <v>Ajustes Inventarios Cíclico</v>
      </c>
      <c r="F77" s="138" t="str">
        <f ca="1">+IFERROR(VLOOKUP(Fact_Analitica[[#This Row],[Concepto Anterior]],Conceptos_Analítica_contraloría[#All],7,0),"")</f>
        <v/>
      </c>
      <c r="G77" s="138" t="s">
        <v>230</v>
      </c>
      <c r="H77" s="138" t="s">
        <v>230</v>
      </c>
      <c r="I77" s="138" t="str">
        <f>+IFERROR(VLOOKUP(D77,Conceptos_Analítica_contraloría[#All],2,0),"")</f>
        <v>Volumetria</v>
      </c>
      <c r="J77" s="138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179</v>
      </c>
      <c r="C78" s="144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35</v>
      </c>
      <c r="E78" s="138" t="str">
        <f>+IFERROR(VLOOKUP(Fact_Analitica[[#This Row],[Concepto Anterior]],Conceptos_Analítica_contraloría[#All],5,0),"")</f>
        <v>Ajustes sobrevaloración acumulada de inventarios "Unified"</v>
      </c>
      <c r="F78" s="138" t="str">
        <f ca="1">+IFERROR(VLOOKUP(Fact_Analitica[[#This Row],[Concepto Anterior]],Conceptos_Analítica_contraloría[#All],7,0),"")</f>
        <v/>
      </c>
      <c r="G78" s="138" t="s">
        <v>230</v>
      </c>
      <c r="H78" s="138" t="s">
        <v>230</v>
      </c>
      <c r="I78" s="138" t="str">
        <f>+IFERROR(VLOOKUP(D78,Conceptos_Analítica_contraloría[#All],2,0),"")</f>
        <v>Eficiencia</v>
      </c>
      <c r="J78" s="13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179</v>
      </c>
      <c r="C79" s="144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37</v>
      </c>
      <c r="E79" s="138" t="str">
        <f>+IFERROR(VLOOKUP(Fact_Analitica[[#This Row],[Concepto Anterior]],Conceptos_Analítica_contraloría[#All],5,0),"")</f>
        <v>Automatizaciones descarga y reconversión archivos stock España Mango</v>
      </c>
      <c r="F79" s="138" t="str">
        <f ca="1">+IFERROR(VLOOKUP(Fact_Analitica[[#This Row],[Concepto Anterior]],Conceptos_Analítica_contraloría[#All],7,0),"")</f>
        <v/>
      </c>
      <c r="G79" s="138" t="s">
        <v>230</v>
      </c>
      <c r="H79" s="138" t="s">
        <v>230</v>
      </c>
      <c r="I79" s="138" t="str">
        <f>+IFERROR(VLOOKUP(D79,Conceptos_Analítica_contraloría[#All],2,0),"")</f>
        <v>Volumetria</v>
      </c>
      <c r="J79" s="138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179</v>
      </c>
      <c r="C80" s="144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133</v>
      </c>
      <c r="E80" s="138" t="str">
        <f>+IFERROR(VLOOKUP(Fact_Analitica[[#This Row],[Concepto Anterior]],Conceptos_Analítica_contraloría[#All],5,0),"")</f>
        <v>Cantidad de registros (consecutivos) a conciliar (Facturas 94%, otros movimientos 6%)</v>
      </c>
      <c r="F80" s="138" t="str">
        <f ca="1">+IFERROR(VLOOKUP(Fact_Analitica[[#This Row],[Concepto Anterior]],Conceptos_Analítica_contraloría[#All],7,0),"")</f>
        <v/>
      </c>
      <c r="G80" s="138" t="s">
        <v>230</v>
      </c>
      <c r="H80" s="138" t="s">
        <v>230</v>
      </c>
      <c r="I80" s="138" t="str">
        <f>+IFERROR(VLOOKUP(D80,Conceptos_Analítica_contraloría[#All],2,0),"")</f>
        <v>Volumetria</v>
      </c>
      <c r="J80" s="138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179</v>
      </c>
      <c r="C81" s="144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143</v>
      </c>
      <c r="E81" s="138" t="str">
        <f>+IFERROR(VLOOKUP(Fact_Analitica[[#This Row],[Concepto Anterior]],Conceptos_Analítica_contraloría[#All],5,0),"")</f>
        <v>Cantidad de unds a conciliar</v>
      </c>
      <c r="F81" s="138" t="str">
        <f ca="1">+IFERROR(VLOOKUP(Fact_Analitica[[#This Row],[Concepto Anterior]],Conceptos_Analítica_contraloría[#All],7,0),"")</f>
        <v/>
      </c>
      <c r="G81" s="138" t="s">
        <v>230</v>
      </c>
      <c r="H81" s="138" t="s">
        <v>230</v>
      </c>
      <c r="I81" s="138" t="str">
        <f>+IFERROR(VLOOKUP(D81,Conceptos_Analítica_contraloría[#All],2,0),"")</f>
        <v>Volumetria</v>
      </c>
      <c r="J81" s="138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179</v>
      </c>
      <c r="C82" s="144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152</v>
      </c>
      <c r="E82" s="138" t="str">
        <f>+IFERROR(VLOOKUP(Fact_Analitica[[#This Row],[Concepto Anterior]],Conceptos_Analítica_contraloría[#All],5,0),"")</f>
        <v>Desatrase de facturación merma franquicias</v>
      </c>
      <c r="F82" s="138" t="str">
        <f ca="1">+IFERROR(VLOOKUP(Fact_Analitica[[#This Row],[Concepto Anterior]],Conceptos_Analítica_contraloría[#All],7,0),"")</f>
        <v/>
      </c>
      <c r="G82" s="138" t="s">
        <v>230</v>
      </c>
      <c r="H82" s="138" t="s">
        <v>230</v>
      </c>
      <c r="I82" s="138" t="str">
        <f>+IFERROR(VLOOKUP(D82,Conceptos_Analítica_contraloría[#All],2,0),"")</f>
        <v>Eficiencia</v>
      </c>
      <c r="J82" s="138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179</v>
      </c>
      <c r="C83" s="144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161</v>
      </c>
      <c r="E83" s="138" t="str">
        <f>+IFERROR(VLOOKUP(Fact_Analitica[[#This Row],[Concepto Anterior]],Conceptos_Analítica_contraloría[#All],5,0),"")</f>
        <v>Puntos a conciliar</v>
      </c>
      <c r="F83" s="138" t="str">
        <f ca="1">+IFERROR(VLOOKUP(Fact_Analitica[[#This Row],[Concepto Anterior]],Conceptos_Analítica_contraloría[#All],7,0),"")</f>
        <v/>
      </c>
      <c r="G83" s="138" t="s">
        <v>230</v>
      </c>
      <c r="H83" s="138" t="s">
        <v>230</v>
      </c>
      <c r="I83" s="138" t="str">
        <f>+IFERROR(VLOOKUP(D83,Conceptos_Analítica_contraloría[#All],2,0),"")</f>
        <v>Volumetria</v>
      </c>
      <c r="J83" s="138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179</v>
      </c>
      <c r="C84" s="144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169</v>
      </c>
      <c r="E84" s="138" t="str">
        <f>+IFERROR(VLOOKUP(Fact_Analitica[[#This Row],[Concepto Anterior]],Conceptos_Analítica_contraloría[#All],5,0),"")</f>
        <v>Puntos x marca a conciliar</v>
      </c>
      <c r="F84" s="138" t="str">
        <f ca="1">+IFERROR(VLOOKUP(Fact_Analitica[[#This Row],[Concepto Anterior]],Conceptos_Analítica_contraloría[#All],7,0),"")</f>
        <v/>
      </c>
      <c r="G84" s="138" t="s">
        <v>230</v>
      </c>
      <c r="H84" s="138" t="s">
        <v>230</v>
      </c>
      <c r="I84" s="138" t="str">
        <f>+IFERROR(VLOOKUP(D84,Conceptos_Analítica_contraloría[#All],2,0),"")</f>
        <v>Volumetria</v>
      </c>
      <c r="J84" s="138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188</v>
      </c>
      <c r="C85" s="144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110</v>
      </c>
      <c r="E85" s="138" t="str">
        <f>+IFERROR(VLOOKUP(Fact_Analitica[[#This Row],[Concepto Anterior]],Conceptos_Analítica_contraloría[#All],5,0),"")</f>
        <v>Ajustes Inventarios Cíclico</v>
      </c>
      <c r="F85" s="138" t="str">
        <f ca="1">+IFERROR(VLOOKUP(Fact_Analitica[[#This Row],[Concepto Anterior]],Conceptos_Analítica_contraloría[#All],7,0),"")</f>
        <v/>
      </c>
      <c r="G85" s="138" t="s">
        <v>230</v>
      </c>
      <c r="H85" s="138" t="s">
        <v>230</v>
      </c>
      <c r="I85" s="138" t="str">
        <f>+IFERROR(VLOOKUP(D85,Conceptos_Analítica_contraloría[#All],2,0),"")</f>
        <v>Volumetria</v>
      </c>
      <c r="J85" s="138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188</v>
      </c>
      <c r="C86" s="144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35</v>
      </c>
      <c r="E86" s="138" t="str">
        <f>+IFERROR(VLOOKUP(Fact_Analitica[[#This Row],[Concepto Anterior]],Conceptos_Analítica_contraloría[#All],5,0),"")</f>
        <v>Ajustes sobrevaloración acumulada de inventarios "Unified"</v>
      </c>
      <c r="F86" s="138" t="str">
        <f ca="1">+IFERROR(VLOOKUP(Fact_Analitica[[#This Row],[Concepto Anterior]],Conceptos_Analítica_contraloría[#All],7,0),"")</f>
        <v/>
      </c>
      <c r="G86" s="138" t="s">
        <v>230</v>
      </c>
      <c r="H86" s="138" t="s">
        <v>230</v>
      </c>
      <c r="I86" s="138" t="str">
        <f>+IFERROR(VLOOKUP(D86,Conceptos_Analítica_contraloría[#All],2,0),"")</f>
        <v>Eficiencia</v>
      </c>
      <c r="J86" s="138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188</v>
      </c>
      <c r="C87" s="144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37</v>
      </c>
      <c r="E87" s="138" t="str">
        <f>+IFERROR(VLOOKUP(Fact_Analitica[[#This Row],[Concepto Anterior]],Conceptos_Analítica_contraloría[#All],5,0),"")</f>
        <v>Automatizaciones descarga y reconversión archivos stock España Mango</v>
      </c>
      <c r="F87" s="138" t="str">
        <f ca="1">+IFERROR(VLOOKUP(Fact_Analitica[[#This Row],[Concepto Anterior]],Conceptos_Analítica_contraloría[#All],7,0),"")</f>
        <v/>
      </c>
      <c r="G87" s="138" t="s">
        <v>230</v>
      </c>
      <c r="H87" s="138" t="s">
        <v>230</v>
      </c>
      <c r="I87" s="138" t="str">
        <f>+IFERROR(VLOOKUP(D87,Conceptos_Analítica_contraloría[#All],2,0),"")</f>
        <v>Volumetria</v>
      </c>
      <c r="J87" s="138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188</v>
      </c>
      <c r="C88" s="144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133</v>
      </c>
      <c r="E88" s="138" t="str">
        <f>+IFERROR(VLOOKUP(Fact_Analitica[[#This Row],[Concepto Anterior]],Conceptos_Analítica_contraloría[#All],5,0),"")</f>
        <v>Cantidad de registros (consecutivos) a conciliar (Facturas 94%, otros movimientos 6%)</v>
      </c>
      <c r="F88" s="138" t="str">
        <f ca="1">+IFERROR(VLOOKUP(Fact_Analitica[[#This Row],[Concepto Anterior]],Conceptos_Analítica_contraloría[#All],7,0),"")</f>
        <v/>
      </c>
      <c r="G88" s="138" t="s">
        <v>230</v>
      </c>
      <c r="H88" s="138" t="s">
        <v>230</v>
      </c>
      <c r="I88" s="138" t="str">
        <f>+IFERROR(VLOOKUP(D88,Conceptos_Analítica_contraloría[#All],2,0),"")</f>
        <v>Volumetria</v>
      </c>
      <c r="J88" s="13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188</v>
      </c>
      <c r="C89" s="144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143</v>
      </c>
      <c r="E89" s="138" t="str">
        <f>+IFERROR(VLOOKUP(Fact_Analitica[[#This Row],[Concepto Anterior]],Conceptos_Analítica_contraloría[#All],5,0),"")</f>
        <v>Cantidad de unds a conciliar</v>
      </c>
      <c r="F89" s="138" t="str">
        <f ca="1">+IFERROR(VLOOKUP(Fact_Analitica[[#This Row],[Concepto Anterior]],Conceptos_Analítica_contraloría[#All],7,0),"")</f>
        <v/>
      </c>
      <c r="G89" s="138" t="s">
        <v>230</v>
      </c>
      <c r="H89" s="138" t="s">
        <v>230</v>
      </c>
      <c r="I89" s="138" t="str">
        <f>+IFERROR(VLOOKUP(D89,Conceptos_Analítica_contraloría[#All],2,0),"")</f>
        <v>Volumetria</v>
      </c>
      <c r="J89" s="138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188</v>
      </c>
      <c r="C90" s="144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152</v>
      </c>
      <c r="E90" s="138" t="str">
        <f>+IFERROR(VLOOKUP(Fact_Analitica[[#This Row],[Concepto Anterior]],Conceptos_Analítica_contraloría[#All],5,0),"")</f>
        <v>Desatrase de facturación merma franquicias</v>
      </c>
      <c r="F90" s="138" t="str">
        <f ca="1">+IFERROR(VLOOKUP(Fact_Analitica[[#This Row],[Concepto Anterior]],Conceptos_Analítica_contraloría[#All],7,0),"")</f>
        <v/>
      </c>
      <c r="G90" s="138" t="s">
        <v>230</v>
      </c>
      <c r="H90" s="138" t="s">
        <v>230</v>
      </c>
      <c r="I90" s="138" t="str">
        <f>+IFERROR(VLOOKUP(D90,Conceptos_Analítica_contraloría[#All],2,0),"")</f>
        <v>Eficiencia</v>
      </c>
      <c r="J90" s="138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188</v>
      </c>
      <c r="C91" s="144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161</v>
      </c>
      <c r="E91" s="138" t="str">
        <f>+IFERROR(VLOOKUP(Fact_Analitica[[#This Row],[Concepto Anterior]],Conceptos_Analítica_contraloría[#All],5,0),"")</f>
        <v>Puntos a conciliar</v>
      </c>
      <c r="F91" s="138" t="str">
        <f ca="1">+IFERROR(VLOOKUP(Fact_Analitica[[#This Row],[Concepto Anterior]],Conceptos_Analítica_contraloría[#All],7,0),"")</f>
        <v/>
      </c>
      <c r="G91" s="138" t="s">
        <v>230</v>
      </c>
      <c r="H91" s="138" t="s">
        <v>230</v>
      </c>
      <c r="I91" s="138" t="str">
        <f>+IFERROR(VLOOKUP(D91,Conceptos_Analítica_contraloría[#All],2,0),"")</f>
        <v>Volumetria</v>
      </c>
      <c r="J91" s="138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188</v>
      </c>
      <c r="C92" s="144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169</v>
      </c>
      <c r="E92" s="138" t="str">
        <f>+IFERROR(VLOOKUP(Fact_Analitica[[#This Row],[Concepto Anterior]],Conceptos_Analítica_contraloría[#All],5,0),"")</f>
        <v>Puntos x marca a conciliar</v>
      </c>
      <c r="F92" s="138" t="str">
        <f ca="1">+IFERROR(VLOOKUP(Fact_Analitica[[#This Row],[Concepto Anterior]],Conceptos_Analítica_contraloría[#All],7,0),"")</f>
        <v/>
      </c>
      <c r="G92" s="138" t="s">
        <v>230</v>
      </c>
      <c r="H92" s="138" t="s">
        <v>230</v>
      </c>
      <c r="I92" s="138" t="str">
        <f>+IFERROR(VLOOKUP(D92,Conceptos_Analítica_contraloría[#All],2,0),"")</f>
        <v>Volumetria</v>
      </c>
      <c r="J92" s="138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196</v>
      </c>
      <c r="C93" s="144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110</v>
      </c>
      <c r="E93" s="138" t="str">
        <f>+IFERROR(VLOOKUP(Fact_Analitica[[#This Row],[Concepto Anterior]],Conceptos_Analítica_contraloría[#All],5,0),"")</f>
        <v>Ajustes Inventarios Cíclico</v>
      </c>
      <c r="F93" s="138" t="str">
        <f ca="1">+IFERROR(VLOOKUP(Fact_Analitica[[#This Row],[Concepto Anterior]],Conceptos_Analítica_contraloría[#All],7,0),"")</f>
        <v/>
      </c>
      <c r="G93" s="138" t="s">
        <v>230</v>
      </c>
      <c r="H93" s="138" t="s">
        <v>230</v>
      </c>
      <c r="I93" s="138" t="str">
        <f>+IFERROR(VLOOKUP(D93,Conceptos_Analítica_contraloría[#All],2,0),"")</f>
        <v>Volumetria</v>
      </c>
      <c r="J93" s="138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196</v>
      </c>
      <c r="C94" s="144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35</v>
      </c>
      <c r="E94" s="138" t="str">
        <f>+IFERROR(VLOOKUP(Fact_Analitica[[#This Row],[Concepto Anterior]],Conceptos_Analítica_contraloría[#All],5,0),"")</f>
        <v>Ajustes sobrevaloración acumulada de inventarios "Unified"</v>
      </c>
      <c r="F94" s="138" t="str">
        <f ca="1">+IFERROR(VLOOKUP(Fact_Analitica[[#This Row],[Concepto Anterior]],Conceptos_Analítica_contraloría[#All],7,0),"")</f>
        <v/>
      </c>
      <c r="G94" s="138" t="s">
        <v>230</v>
      </c>
      <c r="H94" s="138" t="s">
        <v>230</v>
      </c>
      <c r="I94" s="138" t="str">
        <f>+IFERROR(VLOOKUP(D94,Conceptos_Analítica_contraloría[#All],2,0),"")</f>
        <v>Eficiencia</v>
      </c>
      <c r="J94" s="138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196</v>
      </c>
      <c r="C95" s="144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37</v>
      </c>
      <c r="E95" s="138" t="str">
        <f>+IFERROR(VLOOKUP(Fact_Analitica[[#This Row],[Concepto Anterior]],Conceptos_Analítica_contraloría[#All],5,0),"")</f>
        <v>Automatizaciones descarga y reconversión archivos stock España Mango</v>
      </c>
      <c r="F95" s="138" t="str">
        <f ca="1">+IFERROR(VLOOKUP(Fact_Analitica[[#This Row],[Concepto Anterior]],Conceptos_Analítica_contraloría[#All],7,0),"")</f>
        <v/>
      </c>
      <c r="G95" s="138" t="s">
        <v>230</v>
      </c>
      <c r="H95" s="138" t="s">
        <v>230</v>
      </c>
      <c r="I95" s="138" t="str">
        <f>+IFERROR(VLOOKUP(D95,Conceptos_Analítica_contraloría[#All],2,0),"")</f>
        <v>Volumetria</v>
      </c>
      <c r="J95" s="138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196</v>
      </c>
      <c r="C96" s="144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133</v>
      </c>
      <c r="E96" s="138" t="str">
        <f>+IFERROR(VLOOKUP(Fact_Analitica[[#This Row],[Concepto Anterior]],Conceptos_Analítica_contraloría[#All],5,0),"")</f>
        <v>Cantidad de registros (consecutivos) a conciliar (Facturas 94%, otros movimientos 6%)</v>
      </c>
      <c r="F96" s="138" t="str">
        <f ca="1">+IFERROR(VLOOKUP(Fact_Analitica[[#This Row],[Concepto Anterior]],Conceptos_Analítica_contraloría[#All],7,0),"")</f>
        <v/>
      </c>
      <c r="G96" s="138" t="s">
        <v>230</v>
      </c>
      <c r="H96" s="138" t="s">
        <v>230</v>
      </c>
      <c r="I96" s="138" t="str">
        <f>+IFERROR(VLOOKUP(D96,Conceptos_Analítica_contraloría[#All],2,0),"")</f>
        <v>Volumetria</v>
      </c>
      <c r="J96" s="138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196</v>
      </c>
      <c r="C97" s="144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143</v>
      </c>
      <c r="E97" s="138" t="str">
        <f>+IFERROR(VLOOKUP(Fact_Analitica[[#This Row],[Concepto Anterior]],Conceptos_Analítica_contraloría[#All],5,0),"")</f>
        <v>Cantidad de unds a conciliar</v>
      </c>
      <c r="F97" s="138" t="str">
        <f ca="1">+IFERROR(VLOOKUP(Fact_Analitica[[#This Row],[Concepto Anterior]],Conceptos_Analítica_contraloría[#All],7,0),"")</f>
        <v/>
      </c>
      <c r="G97" s="138" t="s">
        <v>230</v>
      </c>
      <c r="H97" s="138" t="s">
        <v>230</v>
      </c>
      <c r="I97" s="138" t="str">
        <f>+IFERROR(VLOOKUP(D97,Conceptos_Analítica_contraloría[#All],2,0),"")</f>
        <v>Volumetria</v>
      </c>
      <c r="J97" s="138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196</v>
      </c>
      <c r="C98" s="144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152</v>
      </c>
      <c r="E98" s="138" t="str">
        <f>+IFERROR(VLOOKUP(Fact_Analitica[[#This Row],[Concepto Anterior]],Conceptos_Analítica_contraloría[#All],5,0),"")</f>
        <v>Desatrase de facturación merma franquicias</v>
      </c>
      <c r="F98" s="138" t="str">
        <f ca="1">+IFERROR(VLOOKUP(Fact_Analitica[[#This Row],[Concepto Anterior]],Conceptos_Analítica_contraloría[#All],7,0),"")</f>
        <v/>
      </c>
      <c r="G98" s="138" t="s">
        <v>230</v>
      </c>
      <c r="H98" s="138" t="s">
        <v>230</v>
      </c>
      <c r="I98" s="138" t="str">
        <f>+IFERROR(VLOOKUP(D98,Conceptos_Analítica_contraloría[#All],2,0),"")</f>
        <v>Eficiencia</v>
      </c>
      <c r="J98" s="13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196</v>
      </c>
      <c r="C99" s="144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161</v>
      </c>
      <c r="E99" s="138" t="str">
        <f>+IFERROR(VLOOKUP(Fact_Analitica[[#This Row],[Concepto Anterior]],Conceptos_Analítica_contraloría[#All],5,0),"")</f>
        <v>Puntos a conciliar</v>
      </c>
      <c r="F99" s="138" t="str">
        <f ca="1">+IFERROR(VLOOKUP(Fact_Analitica[[#This Row],[Concepto Anterior]],Conceptos_Analítica_contraloría[#All],7,0),"")</f>
        <v/>
      </c>
      <c r="G99" s="138" t="s">
        <v>230</v>
      </c>
      <c r="H99" s="138" t="s">
        <v>230</v>
      </c>
      <c r="I99" s="138" t="str">
        <f>+IFERROR(VLOOKUP(D99,Conceptos_Analítica_contraloría[#All],2,0),"")</f>
        <v>Volumetria</v>
      </c>
      <c r="J99" s="138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196</v>
      </c>
      <c r="C100" s="144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169</v>
      </c>
      <c r="E100" s="138" t="str">
        <f>+IFERROR(VLOOKUP(Fact_Analitica[[#This Row],[Concepto Anterior]],Conceptos_Analítica_contraloría[#All],5,0),"")</f>
        <v>Puntos x marca a conciliar</v>
      </c>
      <c r="F100" s="138" t="str">
        <f ca="1">+IFERROR(VLOOKUP(Fact_Analitica[[#This Row],[Concepto Anterior]],Conceptos_Analítica_contraloría[#All],7,0),"")</f>
        <v/>
      </c>
      <c r="G100" s="138" t="s">
        <v>230</v>
      </c>
      <c r="H100" s="138" t="s">
        <v>230</v>
      </c>
      <c r="I100" s="138" t="str">
        <f>+IFERROR(VLOOKUP(D100,Conceptos_Analítica_contraloría[#All],2,0),"")</f>
        <v>Volumetria</v>
      </c>
      <c r="J100" s="138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105</v>
      </c>
      <c r="C101" s="144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184</v>
      </c>
      <c r="E101" s="138" t="str">
        <f>+IFERROR(VLOOKUP(Fact_Analitica[[#This Row],[Concepto Anterior]],Conceptos_Analítica_contraloría[#All],5,0),"")</f>
        <v>Ajuste Unds Merma Desconocida - Tiendas y Grandes S.</v>
      </c>
      <c r="F101" s="138" t="str">
        <f ca="1">+IFERROR(VLOOKUP(Fact_Analitica[[#This Row],[Concepto Anterior]],Conceptos_Analítica_contraloría[#All],7,0),"")</f>
        <v/>
      </c>
      <c r="G101" s="138" t="s">
        <v>230</v>
      </c>
      <c r="H101" s="138" t="s">
        <v>230</v>
      </c>
      <c r="I101" s="138" t="str">
        <f>+IFERROR(VLOOKUP(D101,Conceptos_Analítica_contraloría[#All],2,0),"")</f>
        <v>Volumetria</v>
      </c>
      <c r="J101" s="138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105</v>
      </c>
      <c r="C102" s="144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110</v>
      </c>
      <c r="E102" s="138" t="str">
        <f>+IFERROR(VLOOKUP(Fact_Analitica[[#This Row],[Concepto Anterior]],Conceptos_Analítica_contraloría[#All],5,0),"")</f>
        <v>Ajustes Inventarios Cíclico</v>
      </c>
      <c r="F102" s="138" t="str">
        <f ca="1">+IFERROR(VLOOKUP(Fact_Analitica[[#This Row],[Concepto Anterior]],Conceptos_Analítica_contraloría[#All],7,0),"")</f>
        <v/>
      </c>
      <c r="G102" s="138" t="s">
        <v>230</v>
      </c>
      <c r="H102" s="138" t="s">
        <v>230</v>
      </c>
      <c r="I102" s="138" t="str">
        <f>+IFERROR(VLOOKUP(D102,Conceptos_Analítica_contraloría[#All],2,0),"")</f>
        <v>Volumetria</v>
      </c>
      <c r="J102" s="138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105</v>
      </c>
      <c r="C103" s="144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133</v>
      </c>
      <c r="E103" s="138" t="str">
        <f>+IFERROR(VLOOKUP(Fact_Analitica[[#This Row],[Concepto Anterior]],Conceptos_Analítica_contraloría[#All],5,0),"")</f>
        <v>Cantidad de registros (consecutivos) a conciliar (Facturas 94%, otros movimientos 6%)</v>
      </c>
      <c r="F103" s="138" t="str">
        <f ca="1">+IFERROR(VLOOKUP(Fact_Analitica[[#This Row],[Concepto Anterior]],Conceptos_Analítica_contraloría[#All],7,0),"")</f>
        <v/>
      </c>
      <c r="G103" s="138" t="s">
        <v>230</v>
      </c>
      <c r="H103" s="138" t="s">
        <v>230</v>
      </c>
      <c r="I103" s="138" t="str">
        <f>+IFERROR(VLOOKUP(D103,Conceptos_Analítica_contraloría[#All],2,0),"")</f>
        <v>Volumetria</v>
      </c>
      <c r="J103" s="138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105</v>
      </c>
      <c r="C104" s="144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193</v>
      </c>
      <c r="E104" s="138" t="str">
        <f>+IFERROR(VLOOKUP(Fact_Analitica[[#This Row],[Concepto Anterior]],Conceptos_Analítica_contraloría[#All],5,0),"")</f>
        <v>Cantidad de unidades a conciliar</v>
      </c>
      <c r="F104" s="138" t="str">
        <f ca="1">+IFERROR(VLOOKUP(Fact_Analitica[[#This Row],[Concepto Anterior]],Conceptos_Analítica_contraloría[#All],7,0),"")</f>
        <v/>
      </c>
      <c r="G104" s="138" t="s">
        <v>230</v>
      </c>
      <c r="H104" s="138" t="s">
        <v>230</v>
      </c>
      <c r="I104" s="138" t="str">
        <f>+IFERROR(VLOOKUP(D104,Conceptos_Analítica_contraloría[#All],2,0),"")</f>
        <v>Volumetria</v>
      </c>
      <c r="J104" s="138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105</v>
      </c>
      <c r="C105" s="144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201</v>
      </c>
      <c r="E105" s="138" t="str">
        <f>+IFERROR(VLOOKUP(Fact_Analitica[[#This Row],[Concepto Anterior]],Conceptos_Analítica_contraloría[#All],5,0),"")</f>
        <v>Presentación Resultados Inventarios a Dirección Comercial</v>
      </c>
      <c r="F105" s="138" t="str">
        <f ca="1">+IFERROR(VLOOKUP(Fact_Analitica[[#This Row],[Concepto Anterior]],Conceptos_Analítica_contraloría[#All],7,0),"")</f>
        <v/>
      </c>
      <c r="G105" s="138" t="s">
        <v>230</v>
      </c>
      <c r="H105" s="138" t="s">
        <v>230</v>
      </c>
      <c r="I105" s="138" t="str">
        <f>+IFERROR(VLOOKUP(D105,Conceptos_Analítica_contraloría[#All],2,0),"")</f>
        <v>Volumetria</v>
      </c>
      <c r="J105" s="138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105</v>
      </c>
      <c r="C106" s="144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161</v>
      </c>
      <c r="E106" s="138" t="str">
        <f>+IFERROR(VLOOKUP(Fact_Analitica[[#This Row],[Concepto Anterior]],Conceptos_Analítica_contraloría[#All],5,0),"")</f>
        <v>Puntos a conciliar</v>
      </c>
      <c r="F106" s="138" t="str">
        <f ca="1">+IFERROR(VLOOKUP(Fact_Analitica[[#This Row],[Concepto Anterior]],Conceptos_Analítica_contraloría[#All],7,0),"")</f>
        <v/>
      </c>
      <c r="G106" s="138" t="s">
        <v>230</v>
      </c>
      <c r="H106" s="138" t="s">
        <v>230</v>
      </c>
      <c r="I106" s="138" t="str">
        <f>+IFERROR(VLOOKUP(D106,Conceptos_Analítica_contraloría[#All],2,0),"")</f>
        <v>Volumetria</v>
      </c>
      <c r="J106" s="138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105</v>
      </c>
      <c r="C107" s="144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207</v>
      </c>
      <c r="E107" s="138" t="str">
        <f>+IFERROR(VLOOKUP(Fact_Analitica[[#This Row],[Concepto Anterior]],Conceptos_Analítica_contraloría[#All],5,0),"")</f>
        <v>Puntos Conciliados</v>
      </c>
      <c r="F107" s="138" t="str">
        <f ca="1">+IFERROR(VLOOKUP(Fact_Analitica[[#This Row],[Concepto Anterior]],Conceptos_Analítica_contraloría[#All],7,0),"")</f>
        <v/>
      </c>
      <c r="G107" s="138" t="s">
        <v>230</v>
      </c>
      <c r="H107" s="138" t="s">
        <v>230</v>
      </c>
      <c r="I107" s="138" t="str">
        <f>+IFERROR(VLOOKUP(D107,Conceptos_Analítica_contraloría[#All],2,0),"")</f>
        <v>Volumetria</v>
      </c>
      <c r="J107" s="138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105</v>
      </c>
      <c r="C108" s="144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169</v>
      </c>
      <c r="E108" s="138" t="str">
        <f>+IFERROR(VLOOKUP(Fact_Analitica[[#This Row],[Concepto Anterior]],Conceptos_Analítica_contraloría[#All],5,0),"")</f>
        <v>Puntos x marca a conciliar</v>
      </c>
      <c r="F108" s="138" t="str">
        <f ca="1">+IFERROR(VLOOKUP(Fact_Analitica[[#This Row],[Concepto Anterior]],Conceptos_Analítica_contraloría[#All],7,0),"")</f>
        <v/>
      </c>
      <c r="G108" s="138" t="s">
        <v>230</v>
      </c>
      <c r="H108" s="138" t="s">
        <v>230</v>
      </c>
      <c r="I108" s="138" t="str">
        <f>+IFERROR(VLOOKUP(D108,Conceptos_Analítica_contraloría[#All],2,0),"")</f>
        <v>Volumetria</v>
      </c>
      <c r="J108" s="13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105</v>
      </c>
      <c r="C109" s="144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214</v>
      </c>
      <c r="E109" s="138" t="str">
        <f>+IFERROR(VLOOKUP(Fact_Analitica[[#This Row],[Concepto Anterior]],Conceptos_Analítica_contraloría[#All],5,0),"")</f>
        <v>Recuperación de la merma franquicias y grandes superficies</v>
      </c>
      <c r="F109" s="138" t="str">
        <f ca="1">+IFERROR(VLOOKUP(Fact_Analitica[[#This Row],[Concepto Anterior]],Conceptos_Analítica_contraloría[#All],7,0),"")</f>
        <v/>
      </c>
      <c r="G109" s="138" t="s">
        <v>230</v>
      </c>
      <c r="H109" s="138" t="s">
        <v>230</v>
      </c>
      <c r="I109" s="138" t="str">
        <f>+IFERROR(VLOOKUP(D109,Conceptos_Analítica_contraloría[#All],2,0),"")</f>
        <v>Eficiencia</v>
      </c>
      <c r="J109" s="138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117</v>
      </c>
      <c r="C110" s="144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184</v>
      </c>
      <c r="E110" s="138" t="str">
        <f>+IFERROR(VLOOKUP(Fact_Analitica[[#This Row],[Concepto Anterior]],Conceptos_Analítica_contraloría[#All],5,0),"")</f>
        <v>Ajuste Unds Merma Desconocida - Tiendas y Grandes S.</v>
      </c>
      <c r="F110" s="138" t="str">
        <f ca="1">+IFERROR(VLOOKUP(Fact_Analitica[[#This Row],[Concepto Anterior]],Conceptos_Analítica_contraloría[#All],7,0),"")</f>
        <v/>
      </c>
      <c r="G110" s="138" t="s">
        <v>230</v>
      </c>
      <c r="H110" s="138" t="s">
        <v>230</v>
      </c>
      <c r="I110" s="138" t="str">
        <f>+IFERROR(VLOOKUP(D110,Conceptos_Analítica_contraloría[#All],2,0),"")</f>
        <v>Volumetria</v>
      </c>
      <c r="J110" s="138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117</v>
      </c>
      <c r="C111" s="144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110</v>
      </c>
      <c r="E111" s="138" t="str">
        <f>+IFERROR(VLOOKUP(Fact_Analitica[[#This Row],[Concepto Anterior]],Conceptos_Analítica_contraloría[#All],5,0),"")</f>
        <v>Ajustes Inventarios Cíclico</v>
      </c>
      <c r="F111" s="138" t="str">
        <f ca="1">+IFERROR(VLOOKUP(Fact_Analitica[[#This Row],[Concepto Anterior]],Conceptos_Analítica_contraloría[#All],7,0),"")</f>
        <v/>
      </c>
      <c r="G111" s="138" t="s">
        <v>230</v>
      </c>
      <c r="H111" s="138" t="s">
        <v>230</v>
      </c>
      <c r="I111" s="138" t="str">
        <f>+IFERROR(VLOOKUP(D111,Conceptos_Analítica_contraloría[#All],2,0),"")</f>
        <v>Volumetria</v>
      </c>
      <c r="J111" s="138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117</v>
      </c>
      <c r="C112" s="144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133</v>
      </c>
      <c r="E112" s="138" t="str">
        <f>+IFERROR(VLOOKUP(Fact_Analitica[[#This Row],[Concepto Anterior]],Conceptos_Analítica_contraloría[#All],5,0),"")</f>
        <v>Cantidad de registros (consecutivos) a conciliar (Facturas 94%, otros movimientos 6%)</v>
      </c>
      <c r="F112" s="138" t="str">
        <f ca="1">+IFERROR(VLOOKUP(Fact_Analitica[[#This Row],[Concepto Anterior]],Conceptos_Analítica_contraloría[#All],7,0),"")</f>
        <v/>
      </c>
      <c r="G112" s="138" t="s">
        <v>230</v>
      </c>
      <c r="H112" s="138" t="s">
        <v>230</v>
      </c>
      <c r="I112" s="138" t="str">
        <f>+IFERROR(VLOOKUP(D112,Conceptos_Analítica_contraloría[#All],2,0),"")</f>
        <v>Volumetria</v>
      </c>
      <c r="J112" s="138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117</v>
      </c>
      <c r="C113" s="144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193</v>
      </c>
      <c r="E113" s="138" t="str">
        <f>+IFERROR(VLOOKUP(Fact_Analitica[[#This Row],[Concepto Anterior]],Conceptos_Analítica_contraloría[#All],5,0),"")</f>
        <v>Cantidad de unidades a conciliar</v>
      </c>
      <c r="F113" s="138" t="str">
        <f ca="1">+IFERROR(VLOOKUP(Fact_Analitica[[#This Row],[Concepto Anterior]],Conceptos_Analítica_contraloría[#All],7,0),"")</f>
        <v/>
      </c>
      <c r="G113" s="138" t="s">
        <v>230</v>
      </c>
      <c r="H113" s="138" t="s">
        <v>230</v>
      </c>
      <c r="I113" s="138" t="str">
        <f>+IFERROR(VLOOKUP(D113,Conceptos_Analítica_contraloría[#All],2,0),"")</f>
        <v>Volumetria</v>
      </c>
      <c r="J113" s="138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117</v>
      </c>
      <c r="C114" s="144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201</v>
      </c>
      <c r="E114" s="138" t="str">
        <f>+IFERROR(VLOOKUP(Fact_Analitica[[#This Row],[Concepto Anterior]],Conceptos_Analítica_contraloría[#All],5,0),"")</f>
        <v>Presentación Resultados Inventarios a Dirección Comercial</v>
      </c>
      <c r="F114" s="138" t="str">
        <f ca="1">+IFERROR(VLOOKUP(Fact_Analitica[[#This Row],[Concepto Anterior]],Conceptos_Analítica_contraloría[#All],7,0),"")</f>
        <v/>
      </c>
      <c r="G114" s="138" t="s">
        <v>230</v>
      </c>
      <c r="H114" s="138" t="s">
        <v>230</v>
      </c>
      <c r="I114" s="138" t="str">
        <f>+IFERROR(VLOOKUP(D114,Conceptos_Analítica_contraloría[#All],2,0),"")</f>
        <v>Volumetria</v>
      </c>
      <c r="J114" s="138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117</v>
      </c>
      <c r="C115" s="144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161</v>
      </c>
      <c r="E115" s="138" t="str">
        <f>+IFERROR(VLOOKUP(Fact_Analitica[[#This Row],[Concepto Anterior]],Conceptos_Analítica_contraloría[#All],5,0),"")</f>
        <v>Puntos a conciliar</v>
      </c>
      <c r="F115" s="138" t="str">
        <f ca="1">+IFERROR(VLOOKUP(Fact_Analitica[[#This Row],[Concepto Anterior]],Conceptos_Analítica_contraloría[#All],7,0),"")</f>
        <v/>
      </c>
      <c r="G115" s="138" t="s">
        <v>230</v>
      </c>
      <c r="H115" s="138" t="s">
        <v>230</v>
      </c>
      <c r="I115" s="138" t="str">
        <f>+IFERROR(VLOOKUP(D115,Conceptos_Analítica_contraloría[#All],2,0),"")</f>
        <v>Volumetria</v>
      </c>
      <c r="J115" s="138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117</v>
      </c>
      <c r="C116" s="144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207</v>
      </c>
      <c r="E116" s="138" t="str">
        <f>+IFERROR(VLOOKUP(Fact_Analitica[[#This Row],[Concepto Anterior]],Conceptos_Analítica_contraloría[#All],5,0),"")</f>
        <v>Puntos Conciliados</v>
      </c>
      <c r="F116" s="138" t="str">
        <f ca="1">+IFERROR(VLOOKUP(Fact_Analitica[[#This Row],[Concepto Anterior]],Conceptos_Analítica_contraloría[#All],7,0),"")</f>
        <v/>
      </c>
      <c r="G116" s="138" t="s">
        <v>230</v>
      </c>
      <c r="H116" s="138" t="s">
        <v>230</v>
      </c>
      <c r="I116" s="138" t="str">
        <f>+IFERROR(VLOOKUP(D116,Conceptos_Analítica_contraloría[#All],2,0),"")</f>
        <v>Volumetria</v>
      </c>
      <c r="J116" s="138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117</v>
      </c>
      <c r="C117" s="144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169</v>
      </c>
      <c r="E117" s="138" t="str">
        <f>+IFERROR(VLOOKUP(Fact_Analitica[[#This Row],[Concepto Anterior]],Conceptos_Analítica_contraloría[#All],5,0),"")</f>
        <v>Puntos x marca a conciliar</v>
      </c>
      <c r="F117" s="138" t="str">
        <f ca="1">+IFERROR(VLOOKUP(Fact_Analitica[[#This Row],[Concepto Anterior]],Conceptos_Analítica_contraloría[#All],7,0),"")</f>
        <v/>
      </c>
      <c r="G117" s="138" t="s">
        <v>230</v>
      </c>
      <c r="H117" s="138" t="s">
        <v>230</v>
      </c>
      <c r="I117" s="138" t="str">
        <f>+IFERROR(VLOOKUP(D117,Conceptos_Analítica_contraloría[#All],2,0),"")</f>
        <v>Volumetria</v>
      </c>
      <c r="J117" s="138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117</v>
      </c>
      <c r="C118" s="144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214</v>
      </c>
      <c r="E118" s="138" t="str">
        <f>+IFERROR(VLOOKUP(Fact_Analitica[[#This Row],[Concepto Anterior]],Conceptos_Analítica_contraloría[#All],5,0),"")</f>
        <v>Recuperación de la merma franquicias y grandes superficies</v>
      </c>
      <c r="F118" s="138" t="str">
        <f ca="1">+IFERROR(VLOOKUP(Fact_Analitica[[#This Row],[Concepto Anterior]],Conceptos_Analítica_contraloría[#All],7,0),"")</f>
        <v/>
      </c>
      <c r="G118" s="138" t="s">
        <v>230</v>
      </c>
      <c r="H118" s="138" t="s">
        <v>230</v>
      </c>
      <c r="I118" s="138" t="str">
        <f>+IFERROR(VLOOKUP(D118,Conceptos_Analítica_contraloría[#All],2,0),"")</f>
        <v>Eficiencia</v>
      </c>
      <c r="J118" s="13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123</v>
      </c>
      <c r="C119" s="144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176</v>
      </c>
      <c r="E119" s="138" t="str">
        <f>+IFERROR(VLOOKUP(Fact_Analitica[[#This Row],[Concepto Anterior]],Conceptos_Analítica_contraloría[#All],5,0),"")</f>
        <v>Ajuste Costo Merma Desconocida - Tiendas y Grandes S.</v>
      </c>
      <c r="F119" s="138" t="str">
        <f ca="1">+IFERROR(VLOOKUP(Fact_Analitica[[#This Row],[Concepto Anterior]],Conceptos_Analítica_contraloría[#All],7,0),"")</f>
        <v/>
      </c>
      <c r="G119" s="138" t="s">
        <v>230</v>
      </c>
      <c r="H119" s="138" t="s">
        <v>230</v>
      </c>
      <c r="I119" s="138" t="str">
        <f>+IFERROR(VLOOKUP(D119,Conceptos_Analítica_contraloría[#All],2,0),"")</f>
        <v>Volumetria</v>
      </c>
      <c r="J119" s="138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123</v>
      </c>
      <c r="C120" s="144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184</v>
      </c>
      <c r="E120" s="138" t="str">
        <f>+IFERROR(VLOOKUP(Fact_Analitica[[#This Row],[Concepto Anterior]],Conceptos_Analítica_contraloría[#All],5,0),"")</f>
        <v>Ajuste Unds Merma Desconocida - Tiendas y Grandes S.</v>
      </c>
      <c r="F120" s="138" t="str">
        <f ca="1">+IFERROR(VLOOKUP(Fact_Analitica[[#This Row],[Concepto Anterior]],Conceptos_Analítica_contraloría[#All],7,0),"")</f>
        <v/>
      </c>
      <c r="G120" s="138" t="s">
        <v>230</v>
      </c>
      <c r="H120" s="138" t="s">
        <v>230</v>
      </c>
      <c r="I120" s="138" t="str">
        <f>+IFERROR(VLOOKUP(D120,Conceptos_Analítica_contraloría[#All],2,0),"")</f>
        <v>Volumetria</v>
      </c>
      <c r="J120" s="138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123</v>
      </c>
      <c r="C121" s="144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110</v>
      </c>
      <c r="E121" s="138" t="str">
        <f>+IFERROR(VLOOKUP(Fact_Analitica[[#This Row],[Concepto Anterior]],Conceptos_Analítica_contraloría[#All],5,0),"")</f>
        <v>Ajustes Inventarios Cíclico</v>
      </c>
      <c r="F121" s="138" t="str">
        <f ca="1">+IFERROR(VLOOKUP(Fact_Analitica[[#This Row],[Concepto Anterior]],Conceptos_Analítica_contraloría[#All],7,0),"")</f>
        <v/>
      </c>
      <c r="G121" s="138" t="s">
        <v>230</v>
      </c>
      <c r="H121" s="138" t="s">
        <v>230</v>
      </c>
      <c r="I121" s="138" t="str">
        <f>+IFERROR(VLOOKUP(D121,Conceptos_Analítica_contraloría[#All],2,0),"")</f>
        <v>Volumetria</v>
      </c>
      <c r="J121" s="138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123</v>
      </c>
      <c r="C122" s="144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133</v>
      </c>
      <c r="E122" s="138" t="str">
        <f>+IFERROR(VLOOKUP(Fact_Analitica[[#This Row],[Concepto Anterior]],Conceptos_Analítica_contraloría[#All],5,0),"")</f>
        <v>Cantidad de registros (consecutivos) a conciliar (Facturas 94%, otros movimientos 6%)</v>
      </c>
      <c r="F122" s="138" t="str">
        <f ca="1">+IFERROR(VLOOKUP(Fact_Analitica[[#This Row],[Concepto Anterior]],Conceptos_Analítica_contraloría[#All],7,0),"")</f>
        <v/>
      </c>
      <c r="G122" s="138" t="s">
        <v>230</v>
      </c>
      <c r="H122" s="138" t="s">
        <v>230</v>
      </c>
      <c r="I122" s="138" t="str">
        <f>+IFERROR(VLOOKUP(D122,Conceptos_Analítica_contraloría[#All],2,0),"")</f>
        <v>Volumetria</v>
      </c>
      <c r="J122" s="138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123</v>
      </c>
      <c r="C123" s="144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193</v>
      </c>
      <c r="E123" s="138" t="str">
        <f>+IFERROR(VLOOKUP(Fact_Analitica[[#This Row],[Concepto Anterior]],Conceptos_Analítica_contraloría[#All],5,0),"")</f>
        <v>Cantidad de unidades a conciliar</v>
      </c>
      <c r="F123" s="138" t="str">
        <f ca="1">+IFERROR(VLOOKUP(Fact_Analitica[[#This Row],[Concepto Anterior]],Conceptos_Analítica_contraloría[#All],7,0),"")</f>
        <v/>
      </c>
      <c r="G123" s="138" t="s">
        <v>230</v>
      </c>
      <c r="H123" s="138" t="s">
        <v>230</v>
      </c>
      <c r="I123" s="138" t="str">
        <f>+IFERROR(VLOOKUP(D123,Conceptos_Analítica_contraloría[#All],2,0),"")</f>
        <v>Volumetria</v>
      </c>
      <c r="J123" s="138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123</v>
      </c>
      <c r="C124" s="144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201</v>
      </c>
      <c r="E124" s="138" t="str">
        <f>+IFERROR(VLOOKUP(Fact_Analitica[[#This Row],[Concepto Anterior]],Conceptos_Analítica_contraloría[#All],5,0),"")</f>
        <v>Presentación Resultados Inventarios a Dirección Comercial</v>
      </c>
      <c r="F124" s="138" t="str">
        <f ca="1">+IFERROR(VLOOKUP(Fact_Analitica[[#This Row],[Concepto Anterior]],Conceptos_Analítica_contraloría[#All],7,0),"")</f>
        <v/>
      </c>
      <c r="G124" s="138" t="s">
        <v>230</v>
      </c>
      <c r="H124" s="138" t="s">
        <v>230</v>
      </c>
      <c r="I124" s="138" t="str">
        <f>+IFERROR(VLOOKUP(D124,Conceptos_Analítica_contraloría[#All],2,0),"")</f>
        <v>Volumetria</v>
      </c>
      <c r="J124" s="138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123</v>
      </c>
      <c r="C125" s="144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161</v>
      </c>
      <c r="E125" s="138" t="str">
        <f>+IFERROR(VLOOKUP(Fact_Analitica[[#This Row],[Concepto Anterior]],Conceptos_Analítica_contraloría[#All],5,0),"")</f>
        <v>Puntos a conciliar</v>
      </c>
      <c r="F125" s="138" t="str">
        <f ca="1">+IFERROR(VLOOKUP(Fact_Analitica[[#This Row],[Concepto Anterior]],Conceptos_Analítica_contraloría[#All],7,0),"")</f>
        <v/>
      </c>
      <c r="G125" s="138" t="s">
        <v>230</v>
      </c>
      <c r="H125" s="138" t="s">
        <v>230</v>
      </c>
      <c r="I125" s="138" t="str">
        <f>+IFERROR(VLOOKUP(D125,Conceptos_Analítica_contraloría[#All],2,0),"")</f>
        <v>Volumetria</v>
      </c>
      <c r="J125" s="138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123</v>
      </c>
      <c r="C126" s="144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207</v>
      </c>
      <c r="E126" s="138" t="str">
        <f>+IFERROR(VLOOKUP(Fact_Analitica[[#This Row],[Concepto Anterior]],Conceptos_Analítica_contraloría[#All],5,0),"")</f>
        <v>Puntos Conciliados</v>
      </c>
      <c r="F126" s="138" t="str">
        <f ca="1">+IFERROR(VLOOKUP(Fact_Analitica[[#This Row],[Concepto Anterior]],Conceptos_Analítica_contraloría[#All],7,0),"")</f>
        <v/>
      </c>
      <c r="G126" s="138" t="s">
        <v>230</v>
      </c>
      <c r="H126" s="138" t="s">
        <v>230</v>
      </c>
      <c r="I126" s="138" t="str">
        <f>+IFERROR(VLOOKUP(D126,Conceptos_Analítica_contraloría[#All],2,0),"")</f>
        <v>Volumetria</v>
      </c>
      <c r="J126" s="138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123</v>
      </c>
      <c r="C127" s="144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169</v>
      </c>
      <c r="E127" s="138" t="str">
        <f>+IFERROR(VLOOKUP(Fact_Analitica[[#This Row],[Concepto Anterior]],Conceptos_Analítica_contraloría[#All],5,0),"")</f>
        <v>Puntos x marca a conciliar</v>
      </c>
      <c r="F127" s="138" t="str">
        <f ca="1">+IFERROR(VLOOKUP(Fact_Analitica[[#This Row],[Concepto Anterior]],Conceptos_Analítica_contraloría[#All],7,0),"")</f>
        <v/>
      </c>
      <c r="G127" s="138" t="s">
        <v>230</v>
      </c>
      <c r="H127" s="138" t="s">
        <v>230</v>
      </c>
      <c r="I127" s="138" t="str">
        <f>+IFERROR(VLOOKUP(D127,Conceptos_Analítica_contraloría[#All],2,0),"")</f>
        <v>Volumetria</v>
      </c>
      <c r="J127" s="138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123</v>
      </c>
      <c r="C128" s="144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214</v>
      </c>
      <c r="E128" s="138" t="str">
        <f>+IFERROR(VLOOKUP(Fact_Analitica[[#This Row],[Concepto Anterior]],Conceptos_Analítica_contraloría[#All],5,0),"")</f>
        <v>Recuperación de la merma franquicias y grandes superficies</v>
      </c>
      <c r="F128" s="138" t="str">
        <f ca="1">+IFERROR(VLOOKUP(Fact_Analitica[[#This Row],[Concepto Anterior]],Conceptos_Analítica_contraloría[#All],7,0),"")</f>
        <v/>
      </c>
      <c r="G128" s="138" t="s">
        <v>230</v>
      </c>
      <c r="H128" s="138" t="s">
        <v>230</v>
      </c>
      <c r="I128" s="138" t="str">
        <f>+IFERROR(VLOOKUP(D128,Conceptos_Analítica_contraloría[#All],2,0),"")</f>
        <v>Eficiencia</v>
      </c>
      <c r="J128" s="13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130</v>
      </c>
      <c r="C129" s="144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184</v>
      </c>
      <c r="E129" s="138" t="str">
        <f>+IFERROR(VLOOKUP(Fact_Analitica[[#This Row],[Concepto Anterior]],Conceptos_Analítica_contraloría[#All],5,0),"")</f>
        <v>Ajuste Unds Merma Desconocida - Tiendas y Grandes S.</v>
      </c>
      <c r="F129" s="138" t="str">
        <f ca="1">+IFERROR(VLOOKUP(Fact_Analitica[[#This Row],[Concepto Anterior]],Conceptos_Analítica_contraloría[#All],7,0),"")</f>
        <v/>
      </c>
      <c r="G129" s="138" t="s">
        <v>230</v>
      </c>
      <c r="H129" s="138" t="s">
        <v>230</v>
      </c>
      <c r="I129" s="138" t="str">
        <f>+IFERROR(VLOOKUP(D129,Conceptos_Analítica_contraloría[#All],2,0),"")</f>
        <v>Volumetria</v>
      </c>
      <c r="J129" s="138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130</v>
      </c>
      <c r="C130" s="144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110</v>
      </c>
      <c r="E130" s="138" t="str">
        <f>+IFERROR(VLOOKUP(Fact_Analitica[[#This Row],[Concepto Anterior]],Conceptos_Analítica_contraloría[#All],5,0),"")</f>
        <v>Ajustes Inventarios Cíclico</v>
      </c>
      <c r="F130" s="138" t="str">
        <f ca="1">+IFERROR(VLOOKUP(Fact_Analitica[[#This Row],[Concepto Anterior]],Conceptos_Analítica_contraloría[#All],7,0),"")</f>
        <v/>
      </c>
      <c r="G130" s="138" t="s">
        <v>230</v>
      </c>
      <c r="H130" s="138" t="s">
        <v>230</v>
      </c>
      <c r="I130" s="138" t="str">
        <f>+IFERROR(VLOOKUP(D130,Conceptos_Analítica_contraloría[#All],2,0),"")</f>
        <v>Volumetria</v>
      </c>
      <c r="J130" s="138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130</v>
      </c>
      <c r="C131" s="144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133</v>
      </c>
      <c r="E131" s="138" t="str">
        <f>+IFERROR(VLOOKUP(Fact_Analitica[[#This Row],[Concepto Anterior]],Conceptos_Analítica_contraloría[#All],5,0),"")</f>
        <v>Cantidad de registros (consecutivos) a conciliar (Facturas 94%, otros movimientos 6%)</v>
      </c>
      <c r="F131" s="138" t="str">
        <f ca="1">+IFERROR(VLOOKUP(Fact_Analitica[[#This Row],[Concepto Anterior]],Conceptos_Analítica_contraloría[#All],7,0),"")</f>
        <v/>
      </c>
      <c r="G131" s="138" t="s">
        <v>230</v>
      </c>
      <c r="H131" s="138" t="s">
        <v>230</v>
      </c>
      <c r="I131" s="138" t="str">
        <f>+IFERROR(VLOOKUP(D131,Conceptos_Analítica_contraloría[#All],2,0),"")</f>
        <v>Volumetria</v>
      </c>
      <c r="J131" s="138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130</v>
      </c>
      <c r="C132" s="144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193</v>
      </c>
      <c r="E132" s="138" t="str">
        <f>+IFERROR(VLOOKUP(Fact_Analitica[[#This Row],[Concepto Anterior]],Conceptos_Analítica_contraloría[#All],5,0),"")</f>
        <v>Cantidad de unidades a conciliar</v>
      </c>
      <c r="F132" s="138" t="str">
        <f ca="1">+IFERROR(VLOOKUP(Fact_Analitica[[#This Row],[Concepto Anterior]],Conceptos_Analítica_contraloría[#All],7,0),"")</f>
        <v/>
      </c>
      <c r="G132" s="138" t="s">
        <v>230</v>
      </c>
      <c r="H132" s="138" t="s">
        <v>230</v>
      </c>
      <c r="I132" s="138" t="str">
        <f>+IFERROR(VLOOKUP(D132,Conceptos_Analítica_contraloría[#All],2,0),"")</f>
        <v>Volumetria</v>
      </c>
      <c r="J132" s="138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130</v>
      </c>
      <c r="C133" s="144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201</v>
      </c>
      <c r="E133" s="138" t="str">
        <f>+IFERROR(VLOOKUP(Fact_Analitica[[#This Row],[Concepto Anterior]],Conceptos_Analítica_contraloría[#All],5,0),"")</f>
        <v>Presentación Resultados Inventarios a Dirección Comercial</v>
      </c>
      <c r="F133" s="138" t="str">
        <f ca="1">+IFERROR(VLOOKUP(Fact_Analitica[[#This Row],[Concepto Anterior]],Conceptos_Analítica_contraloría[#All],7,0),"")</f>
        <v/>
      </c>
      <c r="G133" s="138" t="s">
        <v>230</v>
      </c>
      <c r="H133" s="138" t="s">
        <v>230</v>
      </c>
      <c r="I133" s="138" t="str">
        <f>+IFERROR(VLOOKUP(D133,Conceptos_Analítica_contraloría[#All],2,0),"")</f>
        <v>Volumetria</v>
      </c>
      <c r="J133" s="138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130</v>
      </c>
      <c r="C134" s="144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161</v>
      </c>
      <c r="E134" s="138" t="str">
        <f>+IFERROR(VLOOKUP(Fact_Analitica[[#This Row],[Concepto Anterior]],Conceptos_Analítica_contraloría[#All],5,0),"")</f>
        <v>Puntos a conciliar</v>
      </c>
      <c r="F134" s="138" t="str">
        <f ca="1">+IFERROR(VLOOKUP(Fact_Analitica[[#This Row],[Concepto Anterior]],Conceptos_Analítica_contraloría[#All],7,0),"")</f>
        <v/>
      </c>
      <c r="G134" s="138" t="s">
        <v>230</v>
      </c>
      <c r="H134" s="138" t="s">
        <v>230</v>
      </c>
      <c r="I134" s="138" t="str">
        <f>+IFERROR(VLOOKUP(D134,Conceptos_Analítica_contraloría[#All],2,0),"")</f>
        <v>Volumetria</v>
      </c>
      <c r="J134" s="138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130</v>
      </c>
      <c r="C135" s="144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207</v>
      </c>
      <c r="E135" s="138" t="str">
        <f>+IFERROR(VLOOKUP(Fact_Analitica[[#This Row],[Concepto Anterior]],Conceptos_Analítica_contraloría[#All],5,0),"")</f>
        <v>Puntos Conciliados</v>
      </c>
      <c r="F135" s="138" t="str">
        <f ca="1">+IFERROR(VLOOKUP(Fact_Analitica[[#This Row],[Concepto Anterior]],Conceptos_Analítica_contraloría[#All],7,0),"")</f>
        <v/>
      </c>
      <c r="G135" s="138" t="s">
        <v>230</v>
      </c>
      <c r="H135" s="138" t="s">
        <v>230</v>
      </c>
      <c r="I135" s="138" t="str">
        <f>+IFERROR(VLOOKUP(D135,Conceptos_Analítica_contraloría[#All],2,0),"")</f>
        <v>Volumetria</v>
      </c>
      <c r="J135" s="138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130</v>
      </c>
      <c r="C136" s="144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169</v>
      </c>
      <c r="E136" s="138" t="str">
        <f>+IFERROR(VLOOKUP(Fact_Analitica[[#This Row],[Concepto Anterior]],Conceptos_Analítica_contraloría[#All],5,0),"")</f>
        <v>Puntos x marca a conciliar</v>
      </c>
      <c r="F136" s="138" t="str">
        <f ca="1">+IFERROR(VLOOKUP(Fact_Analitica[[#This Row],[Concepto Anterior]],Conceptos_Analítica_contraloría[#All],7,0),"")</f>
        <v/>
      </c>
      <c r="G136" s="138" t="s">
        <v>230</v>
      </c>
      <c r="H136" s="138" t="s">
        <v>230</v>
      </c>
      <c r="I136" s="138" t="str">
        <f>+IFERROR(VLOOKUP(D136,Conceptos_Analítica_contraloría[#All],2,0),"")</f>
        <v>Volumetria</v>
      </c>
      <c r="J136" s="138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130</v>
      </c>
      <c r="C137" s="144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214</v>
      </c>
      <c r="E137" s="138" t="str">
        <f>+IFERROR(VLOOKUP(Fact_Analitica[[#This Row],[Concepto Anterior]],Conceptos_Analítica_contraloría[#All],5,0),"")</f>
        <v>Recuperación de la merma franquicias y grandes superficies</v>
      </c>
      <c r="F137" s="138" t="str">
        <f ca="1">+IFERROR(VLOOKUP(Fact_Analitica[[#This Row],[Concepto Anterior]],Conceptos_Analítica_contraloría[#All],7,0),"")</f>
        <v/>
      </c>
      <c r="G137" s="138" t="s">
        <v>230</v>
      </c>
      <c r="H137" s="138" t="s">
        <v>230</v>
      </c>
      <c r="I137" s="138" t="str">
        <f>+IFERROR(VLOOKUP(D137,Conceptos_Analítica_contraloría[#All],2,0),"")</f>
        <v>Eficiencia</v>
      </c>
      <c r="J137" s="138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368</v>
      </c>
      <c r="C138" s="144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184</v>
      </c>
      <c r="E138" s="138" t="str">
        <f>+IFERROR(VLOOKUP(Fact_Analitica[[#This Row],[Concepto Anterior]],Conceptos_Analítica_contraloría[#All],5,0),"")</f>
        <v>Ajuste Unds Merma Desconocida - Tiendas y Grandes S.</v>
      </c>
      <c r="F138" s="138" t="str">
        <f ca="1">+IFERROR(VLOOKUP(Fact_Analitica[[#This Row],[Concepto Anterior]],Conceptos_Analítica_contraloría[#All],7,0),"")</f>
        <v/>
      </c>
      <c r="G138" s="138" t="s">
        <v>230</v>
      </c>
      <c r="H138" s="138" t="s">
        <v>230</v>
      </c>
      <c r="I138" s="138" t="str">
        <f>+IFERROR(VLOOKUP(D138,Conceptos_Analítica_contraloría[#All],2,0),"")</f>
        <v>Volumetria</v>
      </c>
      <c r="J138" s="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368</v>
      </c>
      <c r="C139" s="144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110</v>
      </c>
      <c r="E139" s="138" t="str">
        <f>+IFERROR(VLOOKUP(Fact_Analitica[[#This Row],[Concepto Anterior]],Conceptos_Analítica_contraloría[#All],5,0),"")</f>
        <v>Ajustes Inventarios Cíclico</v>
      </c>
      <c r="F139" s="138" t="str">
        <f ca="1">+IFERROR(VLOOKUP(Fact_Analitica[[#This Row],[Concepto Anterior]],Conceptos_Analítica_contraloría[#All],7,0),"")</f>
        <v/>
      </c>
      <c r="G139" s="138" t="s">
        <v>230</v>
      </c>
      <c r="H139" s="138" t="s">
        <v>230</v>
      </c>
      <c r="I139" s="138" t="str">
        <f>+IFERROR(VLOOKUP(D139,Conceptos_Analítica_contraloría[#All],2,0),"")</f>
        <v>Volumetria</v>
      </c>
      <c r="J139" s="138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368</v>
      </c>
      <c r="C140" s="144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133</v>
      </c>
      <c r="E140" s="138" t="str">
        <f>+IFERROR(VLOOKUP(Fact_Analitica[[#This Row],[Concepto Anterior]],Conceptos_Analítica_contraloría[#All],5,0),"")</f>
        <v>Cantidad de registros (consecutivos) a conciliar (Facturas 94%, otros movimientos 6%)</v>
      </c>
      <c r="F140" s="138" t="str">
        <f ca="1">+IFERROR(VLOOKUP(Fact_Analitica[[#This Row],[Concepto Anterior]],Conceptos_Analítica_contraloría[#All],7,0),"")</f>
        <v/>
      </c>
      <c r="G140" s="138" t="s">
        <v>230</v>
      </c>
      <c r="H140" s="138" t="s">
        <v>230</v>
      </c>
      <c r="I140" s="138" t="str">
        <f>+IFERROR(VLOOKUP(D140,Conceptos_Analítica_contraloría[#All],2,0),"")</f>
        <v>Volumetria</v>
      </c>
      <c r="J140" s="138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368</v>
      </c>
      <c r="C141" s="144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193</v>
      </c>
      <c r="E141" s="138" t="str">
        <f>+IFERROR(VLOOKUP(Fact_Analitica[[#This Row],[Concepto Anterior]],Conceptos_Analítica_contraloría[#All],5,0),"")</f>
        <v>Cantidad de unidades a conciliar</v>
      </c>
      <c r="F141" s="138" t="str">
        <f ca="1">+IFERROR(VLOOKUP(Fact_Analitica[[#This Row],[Concepto Anterior]],Conceptos_Analítica_contraloría[#All],7,0),"")</f>
        <v/>
      </c>
      <c r="G141" s="138" t="s">
        <v>230</v>
      </c>
      <c r="H141" s="138" t="s">
        <v>230</v>
      </c>
      <c r="I141" s="138" t="str">
        <f>+IFERROR(VLOOKUP(D141,Conceptos_Analítica_contraloría[#All],2,0),"")</f>
        <v>Volumetria</v>
      </c>
      <c r="J141" s="138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368</v>
      </c>
      <c r="C142" s="144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161</v>
      </c>
      <c r="E142" s="138" t="str">
        <f>+IFERROR(VLOOKUP(Fact_Analitica[[#This Row],[Concepto Anterior]],Conceptos_Analítica_contraloría[#All],5,0),"")</f>
        <v>Puntos a conciliar</v>
      </c>
      <c r="F142" s="138" t="str">
        <f ca="1">+IFERROR(VLOOKUP(Fact_Analitica[[#This Row],[Concepto Anterior]],Conceptos_Analítica_contraloría[#All],7,0),"")</f>
        <v/>
      </c>
      <c r="G142" s="138" t="s">
        <v>230</v>
      </c>
      <c r="H142" s="138" t="s">
        <v>230</v>
      </c>
      <c r="I142" s="138" t="str">
        <f>+IFERROR(VLOOKUP(D142,Conceptos_Analítica_contraloría[#All],2,0),"")</f>
        <v>Volumetria</v>
      </c>
      <c r="J142" s="138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368</v>
      </c>
      <c r="C143" s="144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207</v>
      </c>
      <c r="E143" s="138" t="str">
        <f>+IFERROR(VLOOKUP(Fact_Analitica[[#This Row],[Concepto Anterior]],Conceptos_Analítica_contraloría[#All],5,0),"")</f>
        <v>Puntos Conciliados</v>
      </c>
      <c r="F143" s="138" t="str">
        <f ca="1">+IFERROR(VLOOKUP(Fact_Analitica[[#This Row],[Concepto Anterior]],Conceptos_Analítica_contraloría[#All],7,0),"")</f>
        <v/>
      </c>
      <c r="G143" s="138" t="s">
        <v>230</v>
      </c>
      <c r="H143" s="138" t="s">
        <v>230</v>
      </c>
      <c r="I143" s="138" t="str">
        <f>+IFERROR(VLOOKUP(D143,Conceptos_Analítica_contraloría[#All],2,0),"")</f>
        <v>Volumetria</v>
      </c>
      <c r="J143" s="138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368</v>
      </c>
      <c r="C144" s="144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169</v>
      </c>
      <c r="E144" s="138" t="str">
        <f>+IFERROR(VLOOKUP(Fact_Analitica[[#This Row],[Concepto Anterior]],Conceptos_Analítica_contraloría[#All],5,0),"")</f>
        <v>Puntos x marca a conciliar</v>
      </c>
      <c r="F144" s="138" t="str">
        <f ca="1">+IFERROR(VLOOKUP(Fact_Analitica[[#This Row],[Concepto Anterior]],Conceptos_Analítica_contraloría[#All],7,0),"")</f>
        <v/>
      </c>
      <c r="G144" s="138" t="s">
        <v>230</v>
      </c>
      <c r="H144" s="138" t="s">
        <v>230</v>
      </c>
      <c r="I144" s="138" t="str">
        <f>+IFERROR(VLOOKUP(D144,Conceptos_Analítica_contraloría[#All],2,0),"")</f>
        <v>Volumetria</v>
      </c>
      <c r="J144" s="138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368</v>
      </c>
      <c r="C145" s="144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176</v>
      </c>
      <c r="E145" s="138" t="str">
        <f>+IFERROR(VLOOKUP(Fact_Analitica[[#This Row],[Concepto Anterior]],Conceptos_Analítica_contraloría[#All],5,0),"")</f>
        <v>Ajuste Costo Merma Desconocida - Tiendas y Grandes S.</v>
      </c>
      <c r="F145" s="138" t="str">
        <f ca="1">+IFERROR(VLOOKUP(Fact_Analitica[[#This Row],[Concepto Anterior]],Conceptos_Analítica_contraloría[#All],7,0),"")</f>
        <v/>
      </c>
      <c r="G145" s="138" t="s">
        <v>230</v>
      </c>
      <c r="H145" s="138" t="s">
        <v>230</v>
      </c>
      <c r="I145" s="138" t="str">
        <f>+IFERROR(VLOOKUP(D145,Conceptos_Analítica_contraloría[#All],2,0),"")</f>
        <v>Volumetria</v>
      </c>
      <c r="J145" s="138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368</v>
      </c>
      <c r="C146" s="144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220</v>
      </c>
      <c r="E146" s="138" t="str">
        <f>+IFERROR(VLOOKUP(Fact_Analitica[[#This Row],[Concepto Anterior]],Conceptos_Analítica_contraloría[#All],5,0),"")</f>
        <v>Cierres de tienda</v>
      </c>
      <c r="F146" s="138" t="str">
        <f ca="1">+IFERROR(VLOOKUP(Fact_Analitica[[#This Row],[Concepto Anterior]],Conceptos_Analítica_contraloría[#All],7,0),"")</f>
        <v/>
      </c>
      <c r="G146" s="138" t="s">
        <v>230</v>
      </c>
      <c r="H146" s="138" t="s">
        <v>230</v>
      </c>
      <c r="I146" s="138" t="str">
        <f>+IFERROR(VLOOKUP(D146,Conceptos_Analítica_contraloría[#All],2,0),"")</f>
        <v>Volumetria</v>
      </c>
      <c r="J146" s="138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368</v>
      </c>
      <c r="C147" s="144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201</v>
      </c>
      <c r="E147" s="138" t="str">
        <f>+IFERROR(VLOOKUP(Fact_Analitica[[#This Row],[Concepto Anterior]],Conceptos_Analítica_contraloría[#All],5,0),"")</f>
        <v>Presentación Resultados Inventarios a Dirección Comercial</v>
      </c>
      <c r="F147" s="138" t="str">
        <f ca="1">+IFERROR(VLOOKUP(Fact_Analitica[[#This Row],[Concepto Anterior]],Conceptos_Analítica_contraloría[#All],7,0),"")</f>
        <v/>
      </c>
      <c r="G147" s="138" t="s">
        <v>230</v>
      </c>
      <c r="H147" s="138" t="s">
        <v>230</v>
      </c>
      <c r="I147" s="138" t="str">
        <f>+IFERROR(VLOOKUP(D147,Conceptos_Analítica_contraloría[#All],2,0),"")</f>
        <v>Volumetria</v>
      </c>
      <c r="J147" s="138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368</v>
      </c>
      <c r="C148" s="144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227</v>
      </c>
      <c r="E148" s="138" t="str">
        <f>+IFERROR(VLOOKUP(Fact_Analitica[[#This Row],[Concepto Anterior]],Conceptos_Analítica_contraloría[#All],5,0),"")</f>
        <v>Cambios de Razón Social</v>
      </c>
      <c r="F148" s="138" t="str">
        <f ca="1">+IFERROR(VLOOKUP(Fact_Analitica[[#This Row],[Concepto Anterior]],Conceptos_Analítica_contraloría[#All],7,0),"")</f>
        <v/>
      </c>
      <c r="G148" s="138" t="s">
        <v>230</v>
      </c>
      <c r="H148" s="138" t="s">
        <v>230</v>
      </c>
      <c r="I148" s="138" t="str">
        <f>+IFERROR(VLOOKUP(D148,Conceptos_Analítica_contraloría[#All],2,0),"")</f>
        <v>Volumetria</v>
      </c>
      <c r="J148" s="13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368</v>
      </c>
      <c r="C149" s="144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236</v>
      </c>
      <c r="E149" s="138" t="str">
        <f>+IFERROR(VLOOKUP(Fact_Analitica[[#This Row],[Concepto Anterior]],Conceptos_Analítica_contraloría[#All],5,0),"")</f>
        <v>Inventarios Maestra</v>
      </c>
      <c r="F149" s="138" t="str">
        <f ca="1">+IFERROR(VLOOKUP(Fact_Analitica[[#This Row],[Concepto Anterior]],Conceptos_Analítica_contraloría[#All],7,0),"")</f>
        <v/>
      </c>
      <c r="G149" s="138" t="s">
        <v>230</v>
      </c>
      <c r="H149" s="138" t="s">
        <v>230</v>
      </c>
      <c r="I149" s="138" t="str">
        <f>+IFERROR(VLOOKUP(D149,Conceptos_Analítica_contraloría[#All],2,0),"")</f>
        <v>Volumetria</v>
      </c>
      <c r="J149" s="138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368</v>
      </c>
      <c r="C150" s="144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232</v>
      </c>
      <c r="E150" s="138" t="str">
        <f>+IFERROR(VLOOKUP(Fact_Analitica[[#This Row],[Concepto Anterior]],Conceptos_Analítica_contraloría[#All],5,0),"")</f>
        <v>Automatizaciones</v>
      </c>
      <c r="F150" s="138" t="str">
        <f ca="1">+IFERROR(VLOOKUP(Fact_Analitica[[#This Row],[Concepto Anterior]],Conceptos_Analítica_contraloría[#All],7,0),"")</f>
        <v/>
      </c>
      <c r="G150" s="138" t="s">
        <v>230</v>
      </c>
      <c r="H150" s="138" t="s">
        <v>230</v>
      </c>
      <c r="I150" s="138" t="str">
        <f>+IFERROR(VLOOKUP(D150,Conceptos_Analítica_contraloría[#All],2,0),"")</f>
        <v>Volumetria</v>
      </c>
      <c r="J150" s="138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369</v>
      </c>
      <c r="C151" s="144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184</v>
      </c>
      <c r="E151" s="138" t="str">
        <f>+IFERROR(VLOOKUP(Fact_Analitica[[#This Row],[Concepto Anterior]],Conceptos_Analítica_contraloría[#All],5,0),"")</f>
        <v>Ajuste Unds Merma Desconocida - Tiendas y Grandes S.</v>
      </c>
      <c r="F151" s="138" t="str">
        <f ca="1">+IFERROR(VLOOKUP(Fact_Analitica[[#This Row],[Concepto Anterior]],Conceptos_Analítica_contraloría[#All],7,0),"")</f>
        <v/>
      </c>
      <c r="G151" s="138" t="s">
        <v>230</v>
      </c>
      <c r="H151" s="138" t="s">
        <v>230</v>
      </c>
      <c r="I151" s="138" t="str">
        <f>+IFERROR(VLOOKUP(D151,Conceptos_Analítica_contraloría[#All],2,0),"")</f>
        <v>Volumetria</v>
      </c>
      <c r="J151" s="138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369</v>
      </c>
      <c r="C152" s="144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110</v>
      </c>
      <c r="E152" s="138" t="str">
        <f>+IFERROR(VLOOKUP(Fact_Analitica[[#This Row],[Concepto Anterior]],Conceptos_Analítica_contraloría[#All],5,0),"")</f>
        <v>Ajustes Inventarios Cíclico</v>
      </c>
      <c r="F152" s="138" t="str">
        <f ca="1">+IFERROR(VLOOKUP(Fact_Analitica[[#This Row],[Concepto Anterior]],Conceptos_Analítica_contraloría[#All],7,0),"")</f>
        <v/>
      </c>
      <c r="G152" s="138" t="s">
        <v>230</v>
      </c>
      <c r="H152" s="138" t="s">
        <v>230</v>
      </c>
      <c r="I152" s="138" t="str">
        <f>+IFERROR(VLOOKUP(D152,Conceptos_Analítica_contraloría[#All],2,0),"")</f>
        <v>Volumetria</v>
      </c>
      <c r="J152" s="138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369</v>
      </c>
      <c r="C153" s="144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133</v>
      </c>
      <c r="E153" s="138" t="str">
        <f>+IFERROR(VLOOKUP(Fact_Analitica[[#This Row],[Concepto Anterior]],Conceptos_Analítica_contraloría[#All],5,0),"")</f>
        <v>Cantidad de registros (consecutivos) a conciliar (Facturas 94%, otros movimientos 6%)</v>
      </c>
      <c r="F153" s="138" t="str">
        <f ca="1">+IFERROR(VLOOKUP(Fact_Analitica[[#This Row],[Concepto Anterior]],Conceptos_Analítica_contraloría[#All],7,0),"")</f>
        <v/>
      </c>
      <c r="G153" s="138" t="s">
        <v>230</v>
      </c>
      <c r="H153" s="138" t="s">
        <v>230</v>
      </c>
      <c r="I153" s="138" t="str">
        <f>+IFERROR(VLOOKUP(D153,Conceptos_Analítica_contraloría[#All],2,0),"")</f>
        <v>Volumetria</v>
      </c>
      <c r="J153" s="138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369</v>
      </c>
      <c r="C154" s="144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193</v>
      </c>
      <c r="E154" s="138" t="str">
        <f>+IFERROR(VLOOKUP(Fact_Analitica[[#This Row],[Concepto Anterior]],Conceptos_Analítica_contraloría[#All],5,0),"")</f>
        <v>Cantidad de unidades a conciliar</v>
      </c>
      <c r="F154" s="138" t="str">
        <f ca="1">+IFERROR(VLOOKUP(Fact_Analitica[[#This Row],[Concepto Anterior]],Conceptos_Analítica_contraloría[#All],7,0),"")</f>
        <v/>
      </c>
      <c r="G154" s="138" t="s">
        <v>230</v>
      </c>
      <c r="H154" s="138" t="s">
        <v>230</v>
      </c>
      <c r="I154" s="138" t="str">
        <f>+IFERROR(VLOOKUP(D154,Conceptos_Analítica_contraloría[#All],2,0),"")</f>
        <v>Volumetria</v>
      </c>
      <c r="J154" s="138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369</v>
      </c>
      <c r="C155" s="144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201</v>
      </c>
      <c r="E155" s="138" t="str">
        <f>+IFERROR(VLOOKUP(Fact_Analitica[[#This Row],[Concepto Anterior]],Conceptos_Analítica_contraloría[#All],5,0),"")</f>
        <v>Presentación Resultados Inventarios a Dirección Comercial</v>
      </c>
      <c r="F155" s="138" t="str">
        <f ca="1">+IFERROR(VLOOKUP(Fact_Analitica[[#This Row],[Concepto Anterior]],Conceptos_Analítica_contraloría[#All],7,0),"")</f>
        <v/>
      </c>
      <c r="G155" s="138" t="s">
        <v>230</v>
      </c>
      <c r="H155" s="138" t="s">
        <v>230</v>
      </c>
      <c r="I155" s="138" t="str">
        <f>+IFERROR(VLOOKUP(D155,Conceptos_Analítica_contraloría[#All],2,0),"")</f>
        <v>Volumetria</v>
      </c>
      <c r="J155" s="138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369</v>
      </c>
      <c r="C156" s="144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161</v>
      </c>
      <c r="E156" s="138" t="str">
        <f>+IFERROR(VLOOKUP(Fact_Analitica[[#This Row],[Concepto Anterior]],Conceptos_Analítica_contraloría[#All],5,0),"")</f>
        <v>Puntos a conciliar</v>
      </c>
      <c r="F156" s="138" t="str">
        <f ca="1">+IFERROR(VLOOKUP(Fact_Analitica[[#This Row],[Concepto Anterior]],Conceptos_Analítica_contraloría[#All],7,0),"")</f>
        <v/>
      </c>
      <c r="G156" s="138" t="s">
        <v>230</v>
      </c>
      <c r="H156" s="138" t="s">
        <v>230</v>
      </c>
      <c r="I156" s="138" t="str">
        <f>+IFERROR(VLOOKUP(D156,Conceptos_Analítica_contraloría[#All],2,0),"")</f>
        <v>Volumetria</v>
      </c>
      <c r="J156" s="138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369</v>
      </c>
      <c r="C157" s="144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207</v>
      </c>
      <c r="E157" s="138" t="str">
        <f>+IFERROR(VLOOKUP(Fact_Analitica[[#This Row],[Concepto Anterior]],Conceptos_Analítica_contraloría[#All],5,0),"")</f>
        <v>Puntos Conciliados</v>
      </c>
      <c r="F157" s="138" t="str">
        <f ca="1">+IFERROR(VLOOKUP(Fact_Analitica[[#This Row],[Concepto Anterior]],Conceptos_Analítica_contraloría[#All],7,0),"")</f>
        <v/>
      </c>
      <c r="G157" s="138" t="s">
        <v>230</v>
      </c>
      <c r="H157" s="138" t="s">
        <v>230</v>
      </c>
      <c r="I157" s="138" t="str">
        <f>+IFERROR(VLOOKUP(D157,Conceptos_Analítica_contraloría[#All],2,0),"")</f>
        <v>Volumetria</v>
      </c>
      <c r="J157" s="138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369</v>
      </c>
      <c r="C158" s="144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169</v>
      </c>
      <c r="E158" s="138" t="str">
        <f>+IFERROR(VLOOKUP(Fact_Analitica[[#This Row],[Concepto Anterior]],Conceptos_Analítica_contraloría[#All],5,0),"")</f>
        <v>Puntos x marca a conciliar</v>
      </c>
      <c r="F158" s="138" t="str">
        <f ca="1">+IFERROR(VLOOKUP(Fact_Analitica[[#This Row],[Concepto Anterior]],Conceptos_Analítica_contraloría[#All],7,0),"")</f>
        <v/>
      </c>
      <c r="G158" s="138" t="s">
        <v>230</v>
      </c>
      <c r="H158" s="138" t="s">
        <v>230</v>
      </c>
      <c r="I158" s="138" t="str">
        <f>+IFERROR(VLOOKUP(D158,Conceptos_Analítica_contraloría[#All],2,0),"")</f>
        <v>Volumetria</v>
      </c>
      <c r="J158" s="13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369</v>
      </c>
      <c r="C159" s="144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176</v>
      </c>
      <c r="E159" s="138" t="str">
        <f>+IFERROR(VLOOKUP(Fact_Analitica[[#This Row],[Concepto Anterior]],Conceptos_Analítica_contraloría[#All],5,0),"")</f>
        <v>Ajuste Costo Merma Desconocida - Tiendas y Grandes S.</v>
      </c>
      <c r="F159" s="138" t="str">
        <f ca="1">+IFERROR(VLOOKUP(Fact_Analitica[[#This Row],[Concepto Anterior]],Conceptos_Analítica_contraloría[#All],7,0),"")</f>
        <v/>
      </c>
      <c r="G159" s="138" t="s">
        <v>230</v>
      </c>
      <c r="H159" s="138" t="s">
        <v>230</v>
      </c>
      <c r="I159" s="138" t="str">
        <f>+IFERROR(VLOOKUP(D159,Conceptos_Analítica_contraloría[#All],2,0),"")</f>
        <v>Volumetria</v>
      </c>
      <c r="J159" s="138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369</v>
      </c>
      <c r="C160" s="144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220</v>
      </c>
      <c r="E160" s="138" t="str">
        <f>+IFERROR(VLOOKUP(Fact_Analitica[[#This Row],[Concepto Anterior]],Conceptos_Analítica_contraloría[#All],5,0),"")</f>
        <v>Cierres de tienda</v>
      </c>
      <c r="F160" s="138" t="str">
        <f ca="1">+IFERROR(VLOOKUP(Fact_Analitica[[#This Row],[Concepto Anterior]],Conceptos_Analítica_contraloría[#All],7,0),"")</f>
        <v/>
      </c>
      <c r="G160" s="138" t="s">
        <v>230</v>
      </c>
      <c r="H160" s="138" t="s">
        <v>230</v>
      </c>
      <c r="I160" s="138" t="str">
        <f>+IFERROR(VLOOKUP(D160,Conceptos_Analítica_contraloría[#All],2,0),"")</f>
        <v>Volumetria</v>
      </c>
      <c r="J160" s="138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369</v>
      </c>
      <c r="C161" s="144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227</v>
      </c>
      <c r="E161" s="138" t="str">
        <f>+IFERROR(VLOOKUP(Fact_Analitica[[#This Row],[Concepto Anterior]],Conceptos_Analítica_contraloría[#All],5,0),"")</f>
        <v>Cambios de Razón Social</v>
      </c>
      <c r="F161" s="138" t="str">
        <f ca="1">+IFERROR(VLOOKUP(Fact_Analitica[[#This Row],[Concepto Anterior]],Conceptos_Analítica_contraloría[#All],7,0),"")</f>
        <v/>
      </c>
      <c r="G161" s="138" t="s">
        <v>230</v>
      </c>
      <c r="H161" s="138" t="s">
        <v>230</v>
      </c>
      <c r="I161" s="138" t="str">
        <f>+IFERROR(VLOOKUP(D161,Conceptos_Analítica_contraloría[#All],2,0),"")</f>
        <v>Volumetria</v>
      </c>
      <c r="J161" s="138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369</v>
      </c>
      <c r="C162" s="144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232</v>
      </c>
      <c r="E162" s="138" t="str">
        <f>+IFERROR(VLOOKUP(Fact_Analitica[[#This Row],[Concepto Anterior]],Conceptos_Analítica_contraloría[#All],5,0),"")</f>
        <v>Automatizaciones</v>
      </c>
      <c r="F162" s="138" t="str">
        <f ca="1">+IFERROR(VLOOKUP(Fact_Analitica[[#This Row],[Concepto Anterior]],Conceptos_Analítica_contraloría[#All],7,0),"")</f>
        <v/>
      </c>
      <c r="G162" s="138" t="s">
        <v>230</v>
      </c>
      <c r="H162" s="138" t="s">
        <v>230</v>
      </c>
      <c r="I162" s="138" t="str">
        <f>+IFERROR(VLOOKUP(D162,Conceptos_Analítica_contraloría[#All],2,0),"")</f>
        <v>Volumetria</v>
      </c>
      <c r="J162" s="138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369</v>
      </c>
      <c r="C163" s="144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236</v>
      </c>
      <c r="E163" s="138" t="str">
        <f>+IFERROR(VLOOKUP(Fact_Analitica[[#This Row],[Concepto Anterior]],Conceptos_Analítica_contraloría[#All],5,0),"")</f>
        <v>Inventarios Maestra</v>
      </c>
      <c r="F163" s="138" t="str">
        <f ca="1">+IFERROR(VLOOKUP(Fact_Analitica[[#This Row],[Concepto Anterior]],Conceptos_Analítica_contraloría[#All],7,0),"")</f>
        <v/>
      </c>
      <c r="G163" s="138" t="s">
        <v>230</v>
      </c>
      <c r="H163" s="138" t="s">
        <v>230</v>
      </c>
      <c r="I163" s="138" t="str">
        <f>+IFERROR(VLOOKUP(D163,Conceptos_Analítica_contraloría[#All],2,0),"")</f>
        <v>Volumetria</v>
      </c>
      <c r="J163" s="138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370</v>
      </c>
      <c r="C164" s="144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184</v>
      </c>
      <c r="E164" s="138" t="str">
        <f>+IFERROR(VLOOKUP(Fact_Analitica[[#This Row],[Concepto Anterior]],Conceptos_Analítica_contraloría[#All],5,0),"")</f>
        <v>Ajuste Unds Merma Desconocida - Tiendas y Grandes S.</v>
      </c>
      <c r="F164" s="138" t="str">
        <f ca="1">+IFERROR(VLOOKUP(Fact_Analitica[[#This Row],[Concepto Anterior]],Conceptos_Analítica_contraloría[#All],7,0),"")</f>
        <v/>
      </c>
      <c r="G164" s="138" t="s">
        <v>230</v>
      </c>
      <c r="H164" s="138" t="s">
        <v>230</v>
      </c>
      <c r="I164" s="138" t="str">
        <f>+IFERROR(VLOOKUP(D164,Conceptos_Analítica_contraloría[#All],2,0),"")</f>
        <v>Volumetria</v>
      </c>
      <c r="J164" s="138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370</v>
      </c>
      <c r="C165" s="144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110</v>
      </c>
      <c r="E165" s="138" t="str">
        <f>+IFERROR(VLOOKUP(Fact_Analitica[[#This Row],[Concepto Anterior]],Conceptos_Analítica_contraloría[#All],5,0),"")</f>
        <v>Ajustes Inventarios Cíclico</v>
      </c>
      <c r="F165" s="138" t="str">
        <f ca="1">+IFERROR(VLOOKUP(Fact_Analitica[[#This Row],[Concepto Anterior]],Conceptos_Analítica_contraloría[#All],7,0),"")</f>
        <v/>
      </c>
      <c r="G165" s="138" t="s">
        <v>230</v>
      </c>
      <c r="H165" s="138" t="s">
        <v>230</v>
      </c>
      <c r="I165" s="138" t="str">
        <f>+IFERROR(VLOOKUP(D165,Conceptos_Analítica_contraloría[#All],2,0),"")</f>
        <v>Volumetria</v>
      </c>
      <c r="J165" s="138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370</v>
      </c>
      <c r="C166" s="144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133</v>
      </c>
      <c r="E166" s="138" t="str">
        <f>+IFERROR(VLOOKUP(Fact_Analitica[[#This Row],[Concepto Anterior]],Conceptos_Analítica_contraloría[#All],5,0),"")</f>
        <v>Cantidad de registros (consecutivos) a conciliar (Facturas 94%, otros movimientos 6%)</v>
      </c>
      <c r="F166" s="138" t="str">
        <f ca="1">+IFERROR(VLOOKUP(Fact_Analitica[[#This Row],[Concepto Anterior]],Conceptos_Analítica_contraloría[#All],7,0),"")</f>
        <v/>
      </c>
      <c r="G166" s="138" t="s">
        <v>230</v>
      </c>
      <c r="H166" s="138" t="s">
        <v>230</v>
      </c>
      <c r="I166" s="138" t="str">
        <f>+IFERROR(VLOOKUP(D166,Conceptos_Analítica_contraloría[#All],2,0),"")</f>
        <v>Volumetria</v>
      </c>
      <c r="J166" s="138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370</v>
      </c>
      <c r="C167" s="144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193</v>
      </c>
      <c r="E167" s="138" t="str">
        <f>+IFERROR(VLOOKUP(Fact_Analitica[[#This Row],[Concepto Anterior]],Conceptos_Analítica_contraloría[#All],5,0),"")</f>
        <v>Cantidad de unidades a conciliar</v>
      </c>
      <c r="F167" s="138" t="str">
        <f ca="1">+IFERROR(VLOOKUP(Fact_Analitica[[#This Row],[Concepto Anterior]],Conceptos_Analítica_contraloría[#All],7,0),"")</f>
        <v/>
      </c>
      <c r="G167" s="138" t="s">
        <v>230</v>
      </c>
      <c r="H167" s="138" t="s">
        <v>230</v>
      </c>
      <c r="I167" s="138" t="str">
        <f>+IFERROR(VLOOKUP(D167,Conceptos_Analítica_contraloría[#All],2,0),"")</f>
        <v>Volumetria</v>
      </c>
      <c r="J167" s="138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370</v>
      </c>
      <c r="C168" s="144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161</v>
      </c>
      <c r="E168" s="138" t="str">
        <f>+IFERROR(VLOOKUP(Fact_Analitica[[#This Row],[Concepto Anterior]],Conceptos_Analítica_contraloría[#All],5,0),"")</f>
        <v>Puntos a conciliar</v>
      </c>
      <c r="F168" s="138" t="str">
        <f ca="1">+IFERROR(VLOOKUP(Fact_Analitica[[#This Row],[Concepto Anterior]],Conceptos_Analítica_contraloría[#All],7,0),"")</f>
        <v/>
      </c>
      <c r="G168" s="138" t="s">
        <v>230</v>
      </c>
      <c r="H168" s="138" t="s">
        <v>230</v>
      </c>
      <c r="I168" s="138" t="str">
        <f>+IFERROR(VLOOKUP(D168,Conceptos_Analítica_contraloría[#All],2,0),"")</f>
        <v>Volumetria</v>
      </c>
      <c r="J168" s="13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370</v>
      </c>
      <c r="C169" s="144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207</v>
      </c>
      <c r="E169" s="138" t="str">
        <f>+IFERROR(VLOOKUP(Fact_Analitica[[#This Row],[Concepto Anterior]],Conceptos_Analítica_contraloría[#All],5,0),"")</f>
        <v>Puntos Conciliados</v>
      </c>
      <c r="F169" s="138" t="str">
        <f ca="1">+IFERROR(VLOOKUP(Fact_Analitica[[#This Row],[Concepto Anterior]],Conceptos_Analítica_contraloría[#All],7,0),"")</f>
        <v/>
      </c>
      <c r="G169" s="138" t="s">
        <v>230</v>
      </c>
      <c r="H169" s="138" t="s">
        <v>230</v>
      </c>
      <c r="I169" s="138" t="str">
        <f>+IFERROR(VLOOKUP(D169,Conceptos_Analítica_contraloría[#All],2,0),"")</f>
        <v>Volumetria</v>
      </c>
      <c r="J169" s="138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370</v>
      </c>
      <c r="C170" s="144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169</v>
      </c>
      <c r="E170" s="138" t="str">
        <f>+IFERROR(VLOOKUP(Fact_Analitica[[#This Row],[Concepto Anterior]],Conceptos_Analítica_contraloría[#All],5,0),"")</f>
        <v>Puntos x marca a conciliar</v>
      </c>
      <c r="F170" s="138" t="str">
        <f ca="1">+IFERROR(VLOOKUP(Fact_Analitica[[#This Row],[Concepto Anterior]],Conceptos_Analítica_contraloría[#All],7,0),"")</f>
        <v/>
      </c>
      <c r="G170" s="138" t="s">
        <v>230</v>
      </c>
      <c r="H170" s="138" t="s">
        <v>230</v>
      </c>
      <c r="I170" s="138" t="str">
        <f>+IFERROR(VLOOKUP(D170,Conceptos_Analítica_contraloría[#All],2,0),"")</f>
        <v>Volumetria</v>
      </c>
      <c r="J170" s="138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370</v>
      </c>
      <c r="C171" s="144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176</v>
      </c>
      <c r="E171" s="138" t="str">
        <f>+IFERROR(VLOOKUP(Fact_Analitica[[#This Row],[Concepto Anterior]],Conceptos_Analítica_contraloría[#All],5,0),"")</f>
        <v>Ajuste Costo Merma Desconocida - Tiendas y Grandes S.</v>
      </c>
      <c r="F171" s="138" t="str">
        <f ca="1">+IFERROR(VLOOKUP(Fact_Analitica[[#This Row],[Concepto Anterior]],Conceptos_Analítica_contraloría[#All],7,0),"")</f>
        <v/>
      </c>
      <c r="G171" s="138" t="s">
        <v>230</v>
      </c>
      <c r="H171" s="138" t="s">
        <v>230</v>
      </c>
      <c r="I171" s="138" t="str">
        <f>+IFERROR(VLOOKUP(D171,Conceptos_Analítica_contraloría[#All],2,0),"")</f>
        <v>Volumetria</v>
      </c>
      <c r="J171" s="138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370</v>
      </c>
      <c r="C172" s="144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220</v>
      </c>
      <c r="E172" s="138" t="str">
        <f>+IFERROR(VLOOKUP(Fact_Analitica[[#This Row],[Concepto Anterior]],Conceptos_Analítica_contraloría[#All],5,0),"")</f>
        <v>Cierres de tienda</v>
      </c>
      <c r="F172" s="138" t="str">
        <f ca="1">+IFERROR(VLOOKUP(Fact_Analitica[[#This Row],[Concepto Anterior]],Conceptos_Analítica_contraloría[#All],7,0),"")</f>
        <v/>
      </c>
      <c r="G172" s="138" t="s">
        <v>230</v>
      </c>
      <c r="H172" s="138" t="s">
        <v>230</v>
      </c>
      <c r="I172" s="138" t="str">
        <f>+IFERROR(VLOOKUP(D172,Conceptos_Analítica_contraloría[#All],2,0),"")</f>
        <v>Volumetria</v>
      </c>
      <c r="J172" s="138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370</v>
      </c>
      <c r="C173" s="144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201</v>
      </c>
      <c r="E173" s="138" t="str">
        <f>+IFERROR(VLOOKUP(Fact_Analitica[[#This Row],[Concepto Anterior]],Conceptos_Analítica_contraloría[#All],5,0),"")</f>
        <v>Presentación Resultados Inventarios a Dirección Comercial</v>
      </c>
      <c r="F173" s="138" t="str">
        <f ca="1">+IFERROR(VLOOKUP(Fact_Analitica[[#This Row],[Concepto Anterior]],Conceptos_Analítica_contraloría[#All],7,0),"")</f>
        <v/>
      </c>
      <c r="G173" s="138" t="s">
        <v>230</v>
      </c>
      <c r="H173" s="138" t="s">
        <v>230</v>
      </c>
      <c r="I173" s="138" t="str">
        <f>+IFERROR(VLOOKUP(D173,Conceptos_Analítica_contraloría[#All],2,0),"")</f>
        <v>Volumetria</v>
      </c>
      <c r="J173" s="138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370</v>
      </c>
      <c r="C174" s="144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227</v>
      </c>
      <c r="E174" s="138" t="str">
        <f>+IFERROR(VLOOKUP(Fact_Analitica[[#This Row],[Concepto Anterior]],Conceptos_Analítica_contraloría[#All],5,0),"")</f>
        <v>Cambios de Razón Social</v>
      </c>
      <c r="F174" s="138" t="str">
        <f ca="1">+IFERROR(VLOOKUP(Fact_Analitica[[#This Row],[Concepto Anterior]],Conceptos_Analítica_contraloría[#All],7,0),"")</f>
        <v/>
      </c>
      <c r="G174" s="138" t="s">
        <v>230</v>
      </c>
      <c r="H174" s="138" t="s">
        <v>230</v>
      </c>
      <c r="I174" s="138" t="str">
        <f>+IFERROR(VLOOKUP(D174,Conceptos_Analítica_contraloría[#All],2,0),"")</f>
        <v>Volumetria</v>
      </c>
      <c r="J174" s="138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370</v>
      </c>
      <c r="C175" s="144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236</v>
      </c>
      <c r="E175" s="138" t="str">
        <f>+IFERROR(VLOOKUP(Fact_Analitica[[#This Row],[Concepto Anterior]],Conceptos_Analítica_contraloría[#All],5,0),"")</f>
        <v>Inventarios Maestra</v>
      </c>
      <c r="F175" s="138" t="str">
        <f ca="1">+IFERROR(VLOOKUP(Fact_Analitica[[#This Row],[Concepto Anterior]],Conceptos_Analítica_contraloría[#All],7,0),"")</f>
        <v/>
      </c>
      <c r="G175" s="138" t="s">
        <v>230</v>
      </c>
      <c r="H175" s="138" t="s">
        <v>230</v>
      </c>
      <c r="I175" s="138" t="str">
        <f>+IFERROR(VLOOKUP(D175,Conceptos_Analítica_contraloría[#All],2,0),"")</f>
        <v>Volumetria</v>
      </c>
      <c r="J175" s="138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370</v>
      </c>
      <c r="C176" s="144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232</v>
      </c>
      <c r="E176" s="138" t="str">
        <f>+IFERROR(VLOOKUP(Fact_Analitica[[#This Row],[Concepto Anterior]],Conceptos_Analítica_contraloría[#All],5,0),"")</f>
        <v>Automatizaciones</v>
      </c>
      <c r="F176" s="138" t="str">
        <f ca="1">+IFERROR(VLOOKUP(Fact_Analitica[[#This Row],[Concepto Anterior]],Conceptos_Analítica_contraloría[#All],7,0),"")</f>
        <v/>
      </c>
      <c r="G176" s="138" t="s">
        <v>230</v>
      </c>
      <c r="H176" s="138" t="s">
        <v>230</v>
      </c>
      <c r="I176" s="138" t="str">
        <f>+IFERROR(VLOOKUP(D176,Conceptos_Analítica_contraloría[#All],2,0),"")</f>
        <v>Volumetria</v>
      </c>
      <c r="J176" s="138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371</v>
      </c>
      <c r="C177" s="144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184</v>
      </c>
      <c r="E177" s="138" t="str">
        <f>+IFERROR(VLOOKUP(Fact_Analitica[[#This Row],[Concepto Anterior]],Conceptos_Analítica_contraloría[#All],5,0),"")</f>
        <v>Ajuste Unds Merma Desconocida - Tiendas y Grandes S.</v>
      </c>
      <c r="F177" s="138" t="str">
        <f ca="1">+IFERROR(VLOOKUP(Fact_Analitica[[#This Row],[Concepto Anterior]],Conceptos_Analítica_contraloría[#All],7,0),"")</f>
        <v/>
      </c>
      <c r="G177" s="138" t="s">
        <v>230</v>
      </c>
      <c r="H177" s="138" t="s">
        <v>230</v>
      </c>
      <c r="I177" s="138" t="str">
        <f>+IFERROR(VLOOKUP(D177,Conceptos_Analítica_contraloría[#All],2,0),"")</f>
        <v>Volumetria</v>
      </c>
      <c r="J177" s="138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371</v>
      </c>
      <c r="C178" s="144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110</v>
      </c>
      <c r="E178" s="138" t="str">
        <f>+IFERROR(VLOOKUP(Fact_Analitica[[#This Row],[Concepto Anterior]],Conceptos_Analítica_contraloría[#All],5,0),"")</f>
        <v>Ajustes Inventarios Cíclico</v>
      </c>
      <c r="F178" s="138" t="str">
        <f ca="1">+IFERROR(VLOOKUP(Fact_Analitica[[#This Row],[Concepto Anterior]],Conceptos_Analítica_contraloría[#All],7,0),"")</f>
        <v/>
      </c>
      <c r="G178" s="138" t="s">
        <v>230</v>
      </c>
      <c r="H178" s="138" t="s">
        <v>230</v>
      </c>
      <c r="I178" s="138" t="str">
        <f>+IFERROR(VLOOKUP(D178,Conceptos_Analítica_contraloría[#All],2,0),"")</f>
        <v>Volumetria</v>
      </c>
      <c r="J178" s="13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371</v>
      </c>
      <c r="C179" s="144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133</v>
      </c>
      <c r="E179" s="138" t="str">
        <f>+IFERROR(VLOOKUP(Fact_Analitica[[#This Row],[Concepto Anterior]],Conceptos_Analítica_contraloría[#All],5,0),"")</f>
        <v>Cantidad de registros (consecutivos) a conciliar (Facturas 94%, otros movimientos 6%)</v>
      </c>
      <c r="F179" s="138" t="str">
        <f ca="1">+IFERROR(VLOOKUP(Fact_Analitica[[#This Row],[Concepto Anterior]],Conceptos_Analítica_contraloría[#All],7,0),"")</f>
        <v/>
      </c>
      <c r="G179" s="138" t="s">
        <v>230</v>
      </c>
      <c r="H179" s="138" t="s">
        <v>230</v>
      </c>
      <c r="I179" s="138" t="str">
        <f>+IFERROR(VLOOKUP(D179,Conceptos_Analítica_contraloría[#All],2,0),"")</f>
        <v>Volumetria</v>
      </c>
      <c r="J179" s="138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371</v>
      </c>
      <c r="C180" s="144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193</v>
      </c>
      <c r="E180" s="138" t="str">
        <f>+IFERROR(VLOOKUP(Fact_Analitica[[#This Row],[Concepto Anterior]],Conceptos_Analítica_contraloría[#All],5,0),"")</f>
        <v>Cantidad de unidades a conciliar</v>
      </c>
      <c r="F180" s="138" t="str">
        <f ca="1">+IFERROR(VLOOKUP(Fact_Analitica[[#This Row],[Concepto Anterior]],Conceptos_Analítica_contraloría[#All],7,0),"")</f>
        <v/>
      </c>
      <c r="G180" s="138" t="s">
        <v>230</v>
      </c>
      <c r="H180" s="138" t="s">
        <v>230</v>
      </c>
      <c r="I180" s="138" t="str">
        <f>+IFERROR(VLOOKUP(D180,Conceptos_Analítica_contraloría[#All],2,0),"")</f>
        <v>Volumetria</v>
      </c>
      <c r="J180" s="138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371</v>
      </c>
      <c r="C181" s="144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201</v>
      </c>
      <c r="E181" s="138" t="str">
        <f>+IFERROR(VLOOKUP(Fact_Analitica[[#This Row],[Concepto Anterior]],Conceptos_Analítica_contraloría[#All],5,0),"")</f>
        <v>Presentación Resultados Inventarios a Dirección Comercial</v>
      </c>
      <c r="F181" s="138" t="str">
        <f ca="1">+IFERROR(VLOOKUP(Fact_Analitica[[#This Row],[Concepto Anterior]],Conceptos_Analítica_contraloría[#All],7,0),"")</f>
        <v/>
      </c>
      <c r="G181" s="138" t="s">
        <v>230</v>
      </c>
      <c r="H181" s="138" t="s">
        <v>230</v>
      </c>
      <c r="I181" s="138" t="str">
        <f>+IFERROR(VLOOKUP(D181,Conceptos_Analítica_contraloría[#All],2,0),"")</f>
        <v>Volumetria</v>
      </c>
      <c r="J181" s="138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371</v>
      </c>
      <c r="C182" s="144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161</v>
      </c>
      <c r="E182" s="138" t="str">
        <f>+IFERROR(VLOOKUP(Fact_Analitica[[#This Row],[Concepto Anterior]],Conceptos_Analítica_contraloría[#All],5,0),"")</f>
        <v>Puntos a conciliar</v>
      </c>
      <c r="F182" s="138" t="str">
        <f ca="1">+IFERROR(VLOOKUP(Fact_Analitica[[#This Row],[Concepto Anterior]],Conceptos_Analítica_contraloría[#All],7,0),"")</f>
        <v/>
      </c>
      <c r="G182" s="138" t="s">
        <v>230</v>
      </c>
      <c r="H182" s="138" t="s">
        <v>230</v>
      </c>
      <c r="I182" s="138" t="str">
        <f>+IFERROR(VLOOKUP(D182,Conceptos_Analítica_contraloría[#All],2,0),"")</f>
        <v>Volumetria</v>
      </c>
      <c r="J182" s="138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371</v>
      </c>
      <c r="C183" s="144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207</v>
      </c>
      <c r="E183" s="138" t="str">
        <f>+IFERROR(VLOOKUP(Fact_Analitica[[#This Row],[Concepto Anterior]],Conceptos_Analítica_contraloría[#All],5,0),"")</f>
        <v>Puntos Conciliados</v>
      </c>
      <c r="F183" s="138" t="str">
        <f ca="1">+IFERROR(VLOOKUP(Fact_Analitica[[#This Row],[Concepto Anterior]],Conceptos_Analítica_contraloría[#All],7,0),"")</f>
        <v/>
      </c>
      <c r="G183" s="138" t="s">
        <v>230</v>
      </c>
      <c r="H183" s="138" t="s">
        <v>230</v>
      </c>
      <c r="I183" s="138" t="str">
        <f>+IFERROR(VLOOKUP(D183,Conceptos_Analítica_contraloría[#All],2,0),"")</f>
        <v>Volumetria</v>
      </c>
      <c r="J183" s="138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371</v>
      </c>
      <c r="C184" s="144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169</v>
      </c>
      <c r="E184" s="138" t="str">
        <f>+IFERROR(VLOOKUP(Fact_Analitica[[#This Row],[Concepto Anterior]],Conceptos_Analítica_contraloría[#All],5,0),"")</f>
        <v>Puntos x marca a conciliar</v>
      </c>
      <c r="F184" s="138" t="str">
        <f ca="1">+IFERROR(VLOOKUP(Fact_Analitica[[#This Row],[Concepto Anterior]],Conceptos_Analítica_contraloría[#All],7,0),"")</f>
        <v/>
      </c>
      <c r="G184" s="138" t="s">
        <v>230</v>
      </c>
      <c r="H184" s="138" t="s">
        <v>230</v>
      </c>
      <c r="I184" s="138" t="str">
        <f>+IFERROR(VLOOKUP(D184,Conceptos_Analítica_contraloría[#All],2,0),"")</f>
        <v>Volumetria</v>
      </c>
      <c r="J184" s="138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371</v>
      </c>
      <c r="C185" s="144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176</v>
      </c>
      <c r="E185" s="138" t="str">
        <f>+IFERROR(VLOOKUP(Fact_Analitica[[#This Row],[Concepto Anterior]],Conceptos_Analítica_contraloría[#All],5,0),"")</f>
        <v>Ajuste Costo Merma Desconocida - Tiendas y Grandes S.</v>
      </c>
      <c r="F185" s="138" t="str">
        <f ca="1">+IFERROR(VLOOKUP(Fact_Analitica[[#This Row],[Concepto Anterior]],Conceptos_Analítica_contraloría[#All],7,0),"")</f>
        <v/>
      </c>
      <c r="G185" s="138" t="s">
        <v>230</v>
      </c>
      <c r="H185" s="138" t="s">
        <v>230</v>
      </c>
      <c r="I185" s="138" t="str">
        <f>+IFERROR(VLOOKUP(D185,Conceptos_Analítica_contraloría[#All],2,0),"")</f>
        <v>Volumetria</v>
      </c>
      <c r="J185" s="138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371</v>
      </c>
      <c r="C186" s="144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227</v>
      </c>
      <c r="E186" s="138" t="str">
        <f>+IFERROR(VLOOKUP(Fact_Analitica[[#This Row],[Concepto Anterior]],Conceptos_Analítica_contraloría[#All],5,0),"")</f>
        <v>Cambios de Razón Social</v>
      </c>
      <c r="F186" s="138" t="str">
        <f ca="1">+IFERROR(VLOOKUP(Fact_Analitica[[#This Row],[Concepto Anterior]],Conceptos_Analítica_contraloría[#All],7,0),"")</f>
        <v/>
      </c>
      <c r="G186" s="138" t="s">
        <v>230</v>
      </c>
      <c r="H186" s="138" t="s">
        <v>230</v>
      </c>
      <c r="I186" s="138" t="str">
        <f>+IFERROR(VLOOKUP(D186,Conceptos_Analítica_contraloría[#All],2,0),"")</f>
        <v>Volumetria</v>
      </c>
      <c r="J186" s="138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371</v>
      </c>
      <c r="C187" s="144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220</v>
      </c>
      <c r="E187" s="138" t="str">
        <f>+IFERROR(VLOOKUP(Fact_Analitica[[#This Row],[Concepto Anterior]],Conceptos_Analítica_contraloría[#All],5,0),"")</f>
        <v>Cierres de tienda</v>
      </c>
      <c r="F187" s="138" t="str">
        <f ca="1">+IFERROR(VLOOKUP(Fact_Analitica[[#This Row],[Concepto Anterior]],Conceptos_Analítica_contraloría[#All],7,0),"")</f>
        <v/>
      </c>
      <c r="G187" s="138" t="s">
        <v>230</v>
      </c>
      <c r="H187" s="138" t="s">
        <v>230</v>
      </c>
      <c r="I187" s="138" t="str">
        <f>+IFERROR(VLOOKUP(D187,Conceptos_Analítica_contraloría[#All],2,0),"")</f>
        <v>Volumetria</v>
      </c>
      <c r="J187" s="138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371</v>
      </c>
      <c r="C188" s="144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232</v>
      </c>
      <c r="E188" s="138" t="str">
        <f>+IFERROR(VLOOKUP(Fact_Analitica[[#This Row],[Concepto Anterior]],Conceptos_Analítica_contraloría[#All],5,0),"")</f>
        <v>Automatizaciones</v>
      </c>
      <c r="F188" s="138" t="str">
        <f ca="1">+IFERROR(VLOOKUP(Fact_Analitica[[#This Row],[Concepto Anterior]],Conceptos_Analítica_contraloría[#All],7,0),"")</f>
        <v/>
      </c>
      <c r="G188" s="138" t="s">
        <v>230</v>
      </c>
      <c r="H188" s="138" t="s">
        <v>230</v>
      </c>
      <c r="I188" s="138" t="str">
        <f>+IFERROR(VLOOKUP(D188,Conceptos_Analítica_contraloría[#All],2,0),"")</f>
        <v>Volumetria</v>
      </c>
      <c r="J188" s="13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371</v>
      </c>
      <c r="C189" s="144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236</v>
      </c>
      <c r="E189" s="138" t="str">
        <f>+IFERROR(VLOOKUP(Fact_Analitica[[#This Row],[Concepto Anterior]],Conceptos_Analítica_contraloría[#All],5,0),"")</f>
        <v>Inventarios Maestra</v>
      </c>
      <c r="F189" s="138" t="str">
        <f ca="1">+IFERROR(VLOOKUP(Fact_Analitica[[#This Row],[Concepto Anterior]],Conceptos_Analítica_contraloría[#All],7,0),"")</f>
        <v/>
      </c>
      <c r="G189" s="138" t="s">
        <v>230</v>
      </c>
      <c r="H189" s="138" t="s">
        <v>230</v>
      </c>
      <c r="I189" s="138" t="str">
        <f>+IFERROR(VLOOKUP(D189,Conceptos_Analítica_contraloría[#All],2,0),"")</f>
        <v>Volumetria</v>
      </c>
      <c r="J189" s="138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372</v>
      </c>
      <c r="C190" s="144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184</v>
      </c>
      <c r="E190" s="138" t="str">
        <f>+IFERROR(VLOOKUP(Fact_Analitica[[#This Row],[Concepto Anterior]],Conceptos_Analítica_contraloría[#All],5,0),"")</f>
        <v>Ajuste Unds Merma Desconocida - Tiendas y Grandes S.</v>
      </c>
      <c r="F190" s="138" t="str">
        <f ca="1">+IFERROR(VLOOKUP(Fact_Analitica[[#This Row],[Concepto Anterior]],Conceptos_Analítica_contraloría[#All],7,0),"")</f>
        <v/>
      </c>
      <c r="G190" s="138" t="s">
        <v>230</v>
      </c>
      <c r="H190" s="138" t="s">
        <v>230</v>
      </c>
      <c r="I190" s="138" t="str">
        <f>+IFERROR(VLOOKUP(D190,Conceptos_Analítica_contraloría[#All],2,0),"")</f>
        <v>Volumetria</v>
      </c>
      <c r="J190" s="138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372</v>
      </c>
      <c r="C191" s="144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110</v>
      </c>
      <c r="E191" s="138" t="str">
        <f>+IFERROR(VLOOKUP(Fact_Analitica[[#This Row],[Concepto Anterior]],Conceptos_Analítica_contraloría[#All],5,0),"")</f>
        <v>Ajustes Inventarios Cíclico</v>
      </c>
      <c r="F191" s="138" t="str">
        <f ca="1">+IFERROR(VLOOKUP(Fact_Analitica[[#This Row],[Concepto Anterior]],Conceptos_Analítica_contraloría[#All],7,0),"")</f>
        <v/>
      </c>
      <c r="G191" s="138" t="s">
        <v>230</v>
      </c>
      <c r="H191" s="138" t="s">
        <v>230</v>
      </c>
      <c r="I191" s="138" t="str">
        <f>+IFERROR(VLOOKUP(D191,Conceptos_Analítica_contraloría[#All],2,0),"")</f>
        <v>Volumetria</v>
      </c>
      <c r="J191" s="138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372</v>
      </c>
      <c r="C192" s="144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133</v>
      </c>
      <c r="E192" s="138" t="str">
        <f>+IFERROR(VLOOKUP(Fact_Analitica[[#This Row],[Concepto Anterior]],Conceptos_Analítica_contraloría[#All],5,0),"")</f>
        <v>Cantidad de registros (consecutivos) a conciliar (Facturas 94%, otros movimientos 6%)</v>
      </c>
      <c r="F192" s="138" t="str">
        <f ca="1">+IFERROR(VLOOKUP(Fact_Analitica[[#This Row],[Concepto Anterior]],Conceptos_Analítica_contraloría[#All],7,0),"")</f>
        <v/>
      </c>
      <c r="G192" s="138" t="s">
        <v>230</v>
      </c>
      <c r="H192" s="138" t="s">
        <v>230</v>
      </c>
      <c r="I192" s="138" t="str">
        <f>+IFERROR(VLOOKUP(D192,Conceptos_Analítica_contraloría[#All],2,0),"")</f>
        <v>Volumetria</v>
      </c>
      <c r="J192" s="138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372</v>
      </c>
      <c r="C193" s="144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193</v>
      </c>
      <c r="E193" s="138" t="str">
        <f>+IFERROR(VLOOKUP(Fact_Analitica[[#This Row],[Concepto Anterior]],Conceptos_Analítica_contraloría[#All],5,0),"")</f>
        <v>Cantidad de unidades a conciliar</v>
      </c>
      <c r="F193" s="138" t="str">
        <f ca="1">+IFERROR(VLOOKUP(Fact_Analitica[[#This Row],[Concepto Anterior]],Conceptos_Analítica_contraloría[#All],7,0),"")</f>
        <v/>
      </c>
      <c r="G193" s="138" t="s">
        <v>230</v>
      </c>
      <c r="H193" s="138" t="s">
        <v>230</v>
      </c>
      <c r="I193" s="138" t="str">
        <f>+IFERROR(VLOOKUP(D193,Conceptos_Analítica_contraloría[#All],2,0),"")</f>
        <v>Volumetria</v>
      </c>
      <c r="J193" s="138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372</v>
      </c>
      <c r="C194" s="144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161</v>
      </c>
      <c r="E194" s="138" t="str">
        <f>+IFERROR(VLOOKUP(Fact_Analitica[[#This Row],[Concepto Anterior]],Conceptos_Analítica_contraloría[#All],5,0),"")</f>
        <v>Puntos a conciliar</v>
      </c>
      <c r="F194" s="138" t="str">
        <f ca="1">+IFERROR(VLOOKUP(Fact_Analitica[[#This Row],[Concepto Anterior]],Conceptos_Analítica_contraloría[#All],7,0),"")</f>
        <v/>
      </c>
      <c r="G194" s="138" t="s">
        <v>230</v>
      </c>
      <c r="H194" s="138" t="s">
        <v>230</v>
      </c>
      <c r="I194" s="138" t="str">
        <f>+IFERROR(VLOOKUP(D194,Conceptos_Analítica_contraloría[#All],2,0),"")</f>
        <v>Volumetria</v>
      </c>
      <c r="J194" s="138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372</v>
      </c>
      <c r="C195" s="144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207</v>
      </c>
      <c r="E195" s="138" t="str">
        <f>+IFERROR(VLOOKUP(Fact_Analitica[[#This Row],[Concepto Anterior]],Conceptos_Analítica_contraloría[#All],5,0),"")</f>
        <v>Puntos Conciliados</v>
      </c>
      <c r="F195" s="138" t="str">
        <f ca="1">+IFERROR(VLOOKUP(Fact_Analitica[[#This Row],[Concepto Anterior]],Conceptos_Analítica_contraloría[#All],7,0),"")</f>
        <v/>
      </c>
      <c r="G195" s="138" t="s">
        <v>230</v>
      </c>
      <c r="H195" s="138" t="s">
        <v>230</v>
      </c>
      <c r="I195" s="138" t="str">
        <f>+IFERROR(VLOOKUP(D195,Conceptos_Analítica_contraloría[#All],2,0),"")</f>
        <v>Volumetria</v>
      </c>
      <c r="J195" s="138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372</v>
      </c>
      <c r="C196" s="144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169</v>
      </c>
      <c r="E196" s="138" t="str">
        <f>+IFERROR(VLOOKUP(Fact_Analitica[[#This Row],[Concepto Anterior]],Conceptos_Analítica_contraloría[#All],5,0),"")</f>
        <v>Puntos x marca a conciliar</v>
      </c>
      <c r="F196" s="138" t="str">
        <f ca="1">+IFERROR(VLOOKUP(Fact_Analitica[[#This Row],[Concepto Anterior]],Conceptos_Analítica_contraloría[#All],7,0),"")</f>
        <v/>
      </c>
      <c r="G196" s="138" t="s">
        <v>230</v>
      </c>
      <c r="H196" s="138" t="s">
        <v>230</v>
      </c>
      <c r="I196" s="138" t="str">
        <f>+IFERROR(VLOOKUP(D196,Conceptos_Analítica_contraloría[#All],2,0),"")</f>
        <v>Volumetria</v>
      </c>
      <c r="J196" s="138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372</v>
      </c>
      <c r="C197" s="144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176</v>
      </c>
      <c r="E197" s="138" t="str">
        <f>+IFERROR(VLOOKUP(Fact_Analitica[[#This Row],[Concepto Anterior]],Conceptos_Analítica_contraloría[#All],5,0),"")</f>
        <v>Ajuste Costo Merma Desconocida - Tiendas y Grandes S.</v>
      </c>
      <c r="F197" s="138" t="str">
        <f ca="1">+IFERROR(VLOOKUP(Fact_Analitica[[#This Row],[Concepto Anterior]],Conceptos_Analítica_contraloría[#All],7,0),"")</f>
        <v/>
      </c>
      <c r="G197" s="138" t="s">
        <v>230</v>
      </c>
      <c r="H197" s="138" t="s">
        <v>230</v>
      </c>
      <c r="I197" s="138" t="str">
        <f>+IFERROR(VLOOKUP(D197,Conceptos_Analítica_contraloría[#All],2,0),"")</f>
        <v>Volumetria</v>
      </c>
      <c r="J197" s="138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372</v>
      </c>
      <c r="C198" s="144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201</v>
      </c>
      <c r="E198" s="138" t="str">
        <f>+IFERROR(VLOOKUP(Fact_Analitica[[#This Row],[Concepto Anterior]],Conceptos_Analítica_contraloría[#All],5,0),"")</f>
        <v>Presentación Resultados Inventarios a Dirección Comercial</v>
      </c>
      <c r="F198" s="138" t="str">
        <f ca="1">+IFERROR(VLOOKUP(Fact_Analitica[[#This Row],[Concepto Anterior]],Conceptos_Analítica_contraloría[#All],7,0),"")</f>
        <v/>
      </c>
      <c r="G198" s="138" t="s">
        <v>230</v>
      </c>
      <c r="H198" s="138" t="s">
        <v>230</v>
      </c>
      <c r="I198" s="138" t="str">
        <f>+IFERROR(VLOOKUP(D198,Conceptos_Analítica_contraloría[#All],2,0),"")</f>
        <v>Volumetria</v>
      </c>
      <c r="J198" s="13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372</v>
      </c>
      <c r="C199" s="144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227</v>
      </c>
      <c r="E199" s="138" t="str">
        <f>+IFERROR(VLOOKUP(Fact_Analitica[[#This Row],[Concepto Anterior]],Conceptos_Analítica_contraloría[#All],5,0),"")</f>
        <v>Cambios de Razón Social</v>
      </c>
      <c r="F199" s="138" t="str">
        <f ca="1">+IFERROR(VLOOKUP(Fact_Analitica[[#This Row],[Concepto Anterior]],Conceptos_Analítica_contraloría[#All],7,0),"")</f>
        <v/>
      </c>
      <c r="G199" s="138" t="s">
        <v>230</v>
      </c>
      <c r="H199" s="138" t="s">
        <v>230</v>
      </c>
      <c r="I199" s="138" t="str">
        <f>+IFERROR(VLOOKUP(D199,Conceptos_Analítica_contraloría[#All],2,0),"")</f>
        <v>Volumetria</v>
      </c>
      <c r="J199" s="138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372</v>
      </c>
      <c r="C200" s="144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220</v>
      </c>
      <c r="E200" s="138" t="str">
        <f>+IFERROR(VLOOKUP(Fact_Analitica[[#This Row],[Concepto Anterior]],Conceptos_Analítica_contraloría[#All],5,0),"")</f>
        <v>Cierres de tienda</v>
      </c>
      <c r="F200" s="138" t="str">
        <f ca="1">+IFERROR(VLOOKUP(Fact_Analitica[[#This Row],[Concepto Anterior]],Conceptos_Analítica_contraloría[#All],7,0),"")</f>
        <v/>
      </c>
      <c r="G200" s="138" t="s">
        <v>230</v>
      </c>
      <c r="H200" s="138" t="s">
        <v>230</v>
      </c>
      <c r="I200" s="138" t="str">
        <f>+IFERROR(VLOOKUP(D200,Conceptos_Analítica_contraloría[#All],2,0),"")</f>
        <v>Volumetria</v>
      </c>
      <c r="J200" s="138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372</v>
      </c>
      <c r="C201" s="144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236</v>
      </c>
      <c r="E201" s="138" t="str">
        <f>+IFERROR(VLOOKUP(Fact_Analitica[[#This Row],[Concepto Anterior]],Conceptos_Analítica_contraloría[#All],5,0),"")</f>
        <v>Inventarios Maestra</v>
      </c>
      <c r="F201" s="138" t="str">
        <f ca="1">+IFERROR(VLOOKUP(Fact_Analitica[[#This Row],[Concepto Anterior]],Conceptos_Analítica_contraloría[#All],7,0),"")</f>
        <v/>
      </c>
      <c r="G201" s="138" t="s">
        <v>230</v>
      </c>
      <c r="H201" s="138" t="s">
        <v>230</v>
      </c>
      <c r="I201" s="138" t="str">
        <f>+IFERROR(VLOOKUP(D201,Conceptos_Analítica_contraloría[#All],2,0),"")</f>
        <v>Volumetria</v>
      </c>
      <c r="J201" s="138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372</v>
      </c>
      <c r="C202" s="144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232</v>
      </c>
      <c r="E202" s="138" t="str">
        <f>+IFERROR(VLOOKUP(Fact_Analitica[[#This Row],[Concepto Anterior]],Conceptos_Analítica_contraloría[#All],5,0),"")</f>
        <v>Automatizaciones</v>
      </c>
      <c r="F202" s="138" t="str">
        <f ca="1">+IFERROR(VLOOKUP(Fact_Analitica[[#This Row],[Concepto Anterior]],Conceptos_Analítica_contraloría[#All],7,0),"")</f>
        <v/>
      </c>
      <c r="G202" s="138" t="s">
        <v>230</v>
      </c>
      <c r="H202" s="138" t="s">
        <v>230</v>
      </c>
      <c r="I202" s="138" t="str">
        <f>+IFERROR(VLOOKUP(D202,Conceptos_Analítica_contraloría[#All],2,0),"")</f>
        <v>Volumetria</v>
      </c>
      <c r="J202" s="138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2024</v>
      </c>
      <c r="B203" s="138" t="s">
        <v>373</v>
      </c>
      <c r="C203" s="144">
        <f>IF(OR(Fact_Analitica[[#This Row],[Año]]="",Fact_Analitica[[#This Row],[Mes]]=""),"",DATE(A203,MATCH(B203,{"enero","febrero","marzo","abril","mayo","junio","julio","agosto","septiembre","octubre","noviembre","diciembre"},0)+1,0))</f>
        <v>45322</v>
      </c>
      <c r="D203" s="138" t="s">
        <v>227</v>
      </c>
      <c r="E203" s="138" t="str">
        <f>+IFERROR(VLOOKUP(Fact_Analitica[[#This Row],[Concepto Anterior]],Conceptos_Analítica_contraloría[#All],5,0),"")</f>
        <v>Cambios de Razón Social</v>
      </c>
      <c r="F203" s="138" t="str">
        <f ca="1">+IFERROR(VLOOKUP(Fact_Analitica[[#This Row],[Concepto Anterior]],Conceptos_Analítica_contraloría[#All],7,0),"")</f>
        <v/>
      </c>
      <c r="G203" s="138" t="s">
        <v>118</v>
      </c>
      <c r="H203" s="138" t="s">
        <v>119</v>
      </c>
      <c r="I203" s="138" t="str">
        <f>+IFERROR(VLOOKUP(D203,Conceptos_Analítica_contraloría[#All],2,0),"")</f>
        <v>Volumetria</v>
      </c>
      <c r="J203" s="138" t="str">
        <f>+IFERROR(VLOOKUP(D203,Conceptos_Analítica_contraloría[#All],3,0),"")</f>
        <v>Cantidad</v>
      </c>
      <c r="K203" s="138">
        <v>13333</v>
      </c>
    </row>
    <row r="204" spans="1:11" x14ac:dyDescent="0.35">
      <c r="A204" s="138">
        <v>2025</v>
      </c>
      <c r="B204" s="138" t="s">
        <v>373</v>
      </c>
      <c r="C204" s="144">
        <f>IF(OR(Fact_Analitica[[#This Row],[Año]]="",Fact_Analitica[[#This Row],[Mes]]=""),"",DATE(A204,MATCH(B204,{"enero","febrero","marzo","abril","mayo","junio","julio","agosto","septiembre","octubre","noviembre","diciembre"},0)+1,0))</f>
        <v>45688</v>
      </c>
      <c r="D204" s="138" t="s">
        <v>220</v>
      </c>
      <c r="E204" s="138" t="str">
        <f>+IFERROR(VLOOKUP(Fact_Analitica[[#This Row],[Concepto Anterior]],Conceptos_Analítica_contraloría[#All],5,0),"")</f>
        <v>Cierres de tienda</v>
      </c>
      <c r="F204" s="138" t="str">
        <f ca="1">+IFERROR(VLOOKUP(Fact_Analitica[[#This Row],[Concepto Anterior]],Conceptos_Analítica_contraloría[#All],7,0),"")</f>
        <v/>
      </c>
      <c r="G204" s="138" t="s">
        <v>218</v>
      </c>
      <c r="H204" s="138" t="s">
        <v>200</v>
      </c>
      <c r="I204" s="138" t="str">
        <f>+IFERROR(VLOOKUP(D204,Conceptos_Analítica_contraloría[#All],2,0),"")</f>
        <v>Volumetria</v>
      </c>
      <c r="J204" s="138" t="str">
        <f>+IFERROR(VLOOKUP(D204,Conceptos_Analítica_contraloría[#All],3,0),"")</f>
        <v>Cantidad</v>
      </c>
      <c r="K204" s="138">
        <v>11000000</v>
      </c>
    </row>
    <row r="205" spans="1:11" x14ac:dyDescent="0.35">
      <c r="A205" s="138">
        <v>2025</v>
      </c>
      <c r="B205" s="138" t="s">
        <v>373</v>
      </c>
      <c r="C205" s="144">
        <f>IF(OR(Fact_Analitica[[#This Row],[Año]]="",Fact_Analitica[[#This Row],[Mes]]=""),"",DATE(A205,MATCH(B205,{"enero","febrero","marzo","abril","mayo","junio","julio","agosto","septiembre","octubre","noviembre","diciembre"},0)+1,0))</f>
        <v>45688</v>
      </c>
      <c r="D205" s="138" t="s">
        <v>220</v>
      </c>
      <c r="E205" s="138" t="str">
        <f>+IFERROR(VLOOKUP(Fact_Analitica[[#This Row],[Concepto Anterior]],Conceptos_Analítica_contraloría[#All],5,0),"")</f>
        <v>Cierres de tienda</v>
      </c>
      <c r="F205" s="138" t="str">
        <f ca="1">+IFERROR(VLOOKUP(Fact_Analitica[[#This Row],[Concepto Anterior]],Conceptos_Analítica_contraloría[#All],7,0),"")</f>
        <v/>
      </c>
      <c r="G205" s="138" t="s">
        <v>218</v>
      </c>
      <c r="H205" s="138" t="s">
        <v>200</v>
      </c>
      <c r="I205" s="138" t="str">
        <f>+IFERROR(VLOOKUP(D205,Conceptos_Analítica_contraloría[#All],2,0),"")</f>
        <v>Volumetria</v>
      </c>
      <c r="J205" s="138" t="str">
        <f>+IFERROR(VLOOKUP(D205,Conceptos_Analítica_contraloría[#All],3,0),"")</f>
        <v>Cantidad</v>
      </c>
    </row>
    <row r="206" spans="1:11" x14ac:dyDescent="0.35">
      <c r="A206" s="138">
        <v>2024</v>
      </c>
      <c r="B206" s="138" t="s">
        <v>373</v>
      </c>
      <c r="C206" s="144">
        <f>IF(OR(Fact_Analitica[[#This Row],[Año]]="",Fact_Analitica[[#This Row],[Mes]]=""),"",DATE(A206,MATCH(B206,{"enero","febrero","marzo","abril","mayo","junio","julio","agosto","septiembre","octubre","noviembre","diciembre"},0)+1,0))</f>
        <v>45322</v>
      </c>
      <c r="D206" s="138" t="s">
        <v>110</v>
      </c>
      <c r="E206" s="138" t="str">
        <f>+IFERROR(VLOOKUP(Fact_Analitica[[#This Row],[Concepto Anterior]],Conceptos_Analítica_contraloría[#All],5,0),"")</f>
        <v>Ajustes Inventarios Cíclico</v>
      </c>
      <c r="F206" s="138" t="str">
        <f ca="1">+IFERROR(VLOOKUP(Fact_Analitica[[#This Row],[Concepto Anterior]],Conceptos_Analítica_contraloría[#All],7,0),"")</f>
        <v/>
      </c>
      <c r="G206" s="138" t="s">
        <v>125</v>
      </c>
      <c r="H206" s="138" t="s">
        <v>119</v>
      </c>
      <c r="I206" s="138" t="str">
        <f>+IFERROR(VLOOKUP(D206,Conceptos_Analítica_contraloría[#All],2,0),"")</f>
        <v>Volumetria</v>
      </c>
      <c r="J206" s="138" t="str">
        <f>+IFERROR(VLOOKUP(D206,Conceptos_Analítica_contraloría[#All],3,0),"")</f>
        <v>Cantidad</v>
      </c>
    </row>
    <row r="207" spans="1:11" x14ac:dyDescent="0.35">
      <c r="A207" s="138">
        <v>2024</v>
      </c>
      <c r="B207" s="138" t="s">
        <v>373</v>
      </c>
      <c r="C207" s="144">
        <f>IF(OR(Fact_Analitica[[#This Row],[Año]]="",Fact_Analitica[[#This Row],[Mes]]=""),"",DATE(A207,MATCH(B207,{"enero","febrero","marzo","abril","mayo","junio","julio","agosto","septiembre","octubre","noviembre","diciembre"},0)+1,0))</f>
        <v>45322</v>
      </c>
      <c r="D207" s="138" t="s">
        <v>110</v>
      </c>
      <c r="E207" s="138" t="str">
        <f>+IFERROR(VLOOKUP(Fact_Analitica[[#This Row],[Concepto Anterior]],Conceptos_Analítica_contraloría[#All],5,0),"")</f>
        <v>Ajustes Inventarios Cíclico</v>
      </c>
      <c r="F207" s="138" t="str">
        <f ca="1">+IFERROR(VLOOKUP(Fact_Analitica[[#This Row],[Concepto Anterior]],Conceptos_Analítica_contraloría[#All],7,0),"")</f>
        <v/>
      </c>
      <c r="G207" s="138" t="s">
        <v>125</v>
      </c>
      <c r="H207" s="138" t="s">
        <v>119</v>
      </c>
      <c r="I207" s="138" t="str">
        <f>+IFERROR(VLOOKUP(D207,Conceptos_Analítica_contraloría[#All],2,0),"")</f>
        <v>Volumetria</v>
      </c>
      <c r="J207" s="138" t="str">
        <f>+IFERROR(VLOOKUP(D207,Conceptos_Analítica_contraloría[#All],3,0),"")</f>
        <v>Cantidad</v>
      </c>
    </row>
    <row r="208" spans="1:11" x14ac:dyDescent="0.35">
      <c r="A208" s="138">
        <v>2024</v>
      </c>
      <c r="B208" s="138" t="s">
        <v>373</v>
      </c>
      <c r="C208" s="144">
        <f>IF(OR(Fact_Analitica[[#This Row],[Año]]="",Fact_Analitica[[#This Row],[Mes]]=""),"",DATE(A208,MATCH(B208,{"enero","febrero","marzo","abril","mayo","junio","julio","agosto","septiembre","octubre","noviembre","diciembre"},0)+1,0))</f>
        <v>45322</v>
      </c>
      <c r="D208" s="138" t="s">
        <v>110</v>
      </c>
      <c r="E208" s="138" t="str">
        <f>+IFERROR(VLOOKUP(Fact_Analitica[[#This Row],[Concepto Anterior]],Conceptos_Analítica_contraloría[#All],5,0),"")</f>
        <v>Ajustes Inventarios Cíclico</v>
      </c>
      <c r="F208" s="138" t="str">
        <f ca="1">+IFERROR(VLOOKUP(Fact_Analitica[[#This Row],[Concepto Anterior]],Conceptos_Analítica_contraloría[#All],7,0),"")</f>
        <v/>
      </c>
      <c r="G208" s="138" t="s">
        <v>125</v>
      </c>
      <c r="H208" s="138" t="s">
        <v>119</v>
      </c>
      <c r="I208" s="138" t="str">
        <f>+IFERROR(VLOOKUP(D208,Conceptos_Analítica_contraloría[#All],2,0),"")</f>
        <v>Volumetria</v>
      </c>
      <c r="J208" s="138" t="str">
        <f>+IFERROR(VLOOKUP(D208,Conceptos_Analítica_contraloría[#All],3,0),"")</f>
        <v>Cantidad</v>
      </c>
      <c r="K208" s="138">
        <v>17000</v>
      </c>
    </row>
    <row r="209" spans="1:11" x14ac:dyDescent="0.35">
      <c r="A209" s="138">
        <v>2024</v>
      </c>
      <c r="B209" s="138" t="s">
        <v>373</v>
      </c>
      <c r="C209" s="144">
        <f>IF(OR(Fact_Analitica[[#This Row],[Año]]="",Fact_Analitica[[#This Row],[Mes]]=""),"",DATE(A209,MATCH(B209,{"enero","febrero","marzo","abril","mayo","junio","julio","agosto","septiembre","octubre","noviembre","diciembre"},0)+1,0))</f>
        <v>45322</v>
      </c>
      <c r="D209" s="138" t="s">
        <v>110</v>
      </c>
      <c r="E209" s="138" t="str">
        <f>+IFERROR(VLOOKUP(Fact_Analitica[[#This Row],[Concepto Anterior]],Conceptos_Analítica_contraloría[#All],5,0),"")</f>
        <v>Ajustes Inventarios Cíclico</v>
      </c>
      <c r="F209" s="138" t="str">
        <f ca="1">+IFERROR(VLOOKUP(Fact_Analitica[[#This Row],[Concepto Anterior]],Conceptos_Analítica_contraloría[#All],7,0),"")</f>
        <v/>
      </c>
      <c r="G209" s="138" t="s">
        <v>125</v>
      </c>
      <c r="H209" s="138" t="s">
        <v>119</v>
      </c>
      <c r="I209" s="138" t="str">
        <f>+IFERROR(VLOOKUP(D209,Conceptos_Analítica_contraloría[#All],2,0),"")</f>
        <v>Volumetria</v>
      </c>
      <c r="J209" s="138" t="str">
        <f>+IFERROR(VLOOKUP(D209,Conceptos_Analítica_contraloría[#All],3,0),"")</f>
        <v>Cantidad</v>
      </c>
    </row>
    <row r="210" spans="1:11" x14ac:dyDescent="0.35">
      <c r="A210" s="138">
        <v>2024</v>
      </c>
      <c r="B210" s="138" t="s">
        <v>373</v>
      </c>
      <c r="C210" s="144">
        <f>IF(OR(Fact_Analitica[[#This Row],[Año]]="",Fact_Analitica[[#This Row],[Mes]]=""),"",DATE(A210,MATCH(B210,{"enero","febrero","marzo","abril","mayo","junio","julio","agosto","septiembre","octubre","noviembre","diciembre"},0)+1,0))</f>
        <v>45322</v>
      </c>
      <c r="D210" s="138" t="s">
        <v>110</v>
      </c>
      <c r="E210" s="138" t="str">
        <f>+IFERROR(VLOOKUP(Fact_Analitica[[#This Row],[Concepto Anterior]],Conceptos_Analítica_contraloría[#All],5,0),"")</f>
        <v>Ajustes Inventarios Cíclico</v>
      </c>
      <c r="F210" s="138" t="str">
        <f ca="1">+IFERROR(VLOOKUP(Fact_Analitica[[#This Row],[Concepto Anterior]],Conceptos_Analítica_contraloría[#All],7,0),"")</f>
        <v/>
      </c>
      <c r="G210" s="138" t="s">
        <v>125</v>
      </c>
      <c r="H210" s="138" t="s">
        <v>119</v>
      </c>
      <c r="I210" s="138" t="str">
        <f>+IFERROR(VLOOKUP(D210,Conceptos_Analítica_contraloría[#All],2,0),"")</f>
        <v>Volumetria</v>
      </c>
      <c r="J210" s="138" t="str">
        <f>+IFERROR(VLOOKUP(D210,Conceptos_Analítica_contraloría[#All],3,0),"")</f>
        <v>Cantidad</v>
      </c>
    </row>
    <row r="211" spans="1:11" x14ac:dyDescent="0.35">
      <c r="A211" s="138">
        <v>2025</v>
      </c>
      <c r="B211" s="138" t="s">
        <v>374</v>
      </c>
      <c r="C211" s="144">
        <f>IF(OR(Fact_Analitica[[#This Row],[Año]]="",Fact_Analitica[[#This Row],[Mes]]=""),"",DATE(A211,MATCH(B211,{"enero","febrero","marzo","abril","mayo","junio","julio","agosto","septiembre","octubre","noviembre","diciembre"},0)+1,0))</f>
        <v>45991</v>
      </c>
      <c r="D211" s="138" t="s">
        <v>110</v>
      </c>
      <c r="E211" s="138" t="str">
        <f>+IFERROR(VLOOKUP(Fact_Analitica[[#This Row],[Concepto Anterior]],Conceptos_Analítica_contraloría[#All],5,0),"")</f>
        <v>Ajustes Inventarios Cíclico</v>
      </c>
      <c r="F211" s="138" t="str">
        <f ca="1">+IFERROR(VLOOKUP(Fact_Analitica[[#This Row],[Concepto Anterior]],Conceptos_Analítica_contraloría[#All],7,0),"")</f>
        <v/>
      </c>
      <c r="G211" s="138" t="s">
        <v>108</v>
      </c>
      <c r="H211" s="138" t="s">
        <v>142</v>
      </c>
      <c r="I211" s="138" t="str">
        <f>+IFERROR(VLOOKUP(D211,Conceptos_Analítica_contraloría[#All],2,0),"")</f>
        <v>Volumetria</v>
      </c>
      <c r="J211" s="138" t="str">
        <f>+IFERROR(VLOOKUP(D211,Conceptos_Analítica_contraloría[#All],3,0),"")</f>
        <v>Cantidad</v>
      </c>
    </row>
    <row r="212" spans="1:11" x14ac:dyDescent="0.35">
      <c r="A212" s="138">
        <v>2024</v>
      </c>
      <c r="B212" s="138" t="s">
        <v>369</v>
      </c>
      <c r="C212" s="144">
        <f>IF(OR(Fact_Analitica[[#This Row],[Año]]="",Fact_Analitica[[#This Row],[Mes]]=""),"",DATE(A212,MATCH(B212,{"enero","febrero","marzo","abril","mayo","junio","julio","agosto","septiembre","octubre","noviembre","diciembre"},0)+1,0))</f>
        <v>45473</v>
      </c>
      <c r="D212" s="138" t="s">
        <v>110</v>
      </c>
      <c r="E212" s="138" t="str">
        <f>+IFERROR(VLOOKUP(Fact_Analitica[[#This Row],[Concepto Anterior]],Conceptos_Analítica_contraloría[#All],5,0),"")</f>
        <v>Ajustes Inventarios Cíclico</v>
      </c>
      <c r="F212" s="138" t="str">
        <f ca="1">+IFERROR(VLOOKUP(Fact_Analitica[[#This Row],[Concepto Anterior]],Conceptos_Analítica_contraloría[#All],7,0),"")</f>
        <v/>
      </c>
      <c r="G212" s="138" t="s">
        <v>118</v>
      </c>
      <c r="H212" s="138" t="s">
        <v>126</v>
      </c>
      <c r="I212" s="138" t="str">
        <f>+IFERROR(VLOOKUP(D212,Conceptos_Analítica_contraloría[#All],2,0),"")</f>
        <v>Volumetria</v>
      </c>
      <c r="J212" s="138" t="str">
        <f>+IFERROR(VLOOKUP(D212,Conceptos_Analítica_contraloría[#All],3,0),"")</f>
        <v>Cantidad</v>
      </c>
    </row>
    <row r="213" spans="1:11" x14ac:dyDescent="0.35">
      <c r="A213" s="138">
        <v>2024</v>
      </c>
      <c r="B213" s="138" t="s">
        <v>369</v>
      </c>
      <c r="C213" s="144">
        <f>IF(OR(Fact_Analitica[[#This Row],[Año]]="",Fact_Analitica[[#This Row],[Mes]]=""),"",DATE(A213,MATCH(B213,{"enero","febrero","marzo","abril","mayo","junio","julio","agosto","septiembre","octubre","noviembre","diciembre"},0)+1,0))</f>
        <v>45473</v>
      </c>
      <c r="D213" s="138" t="s">
        <v>110</v>
      </c>
      <c r="E213" s="138" t="str">
        <f>+IFERROR(VLOOKUP(Fact_Analitica[[#This Row],[Concepto Anterior]],Conceptos_Analítica_contraloría[#All],5,0),"")</f>
        <v>Ajustes Inventarios Cíclico</v>
      </c>
      <c r="F213" s="138" t="str">
        <f ca="1">+IFERROR(VLOOKUP(Fact_Analitica[[#This Row],[Concepto Anterior]],Conceptos_Analítica_contraloría[#All],7,0),"")</f>
        <v/>
      </c>
      <c r="G213" s="138" t="s">
        <v>118</v>
      </c>
      <c r="H213" s="138" t="s">
        <v>126</v>
      </c>
      <c r="I213" s="138" t="str">
        <f>+IFERROR(VLOOKUP(D213,Conceptos_Analítica_contraloría[#All],2,0),"")</f>
        <v>Volumetria</v>
      </c>
      <c r="J213" s="138" t="str">
        <f>+IFERROR(VLOOKUP(D213,Conceptos_Analítica_contraloría[#All],3,0),"")</f>
        <v>Cantidad</v>
      </c>
    </row>
    <row r="214" spans="1:11" x14ac:dyDescent="0.35">
      <c r="A214" s="138">
        <v>2024</v>
      </c>
      <c r="B214" s="138" t="s">
        <v>369</v>
      </c>
      <c r="C214" s="144">
        <f>IF(OR(Fact_Analitica[[#This Row],[Año]]="",Fact_Analitica[[#This Row],[Mes]]=""),"",DATE(A214,MATCH(B214,{"enero","febrero","marzo","abril","mayo","junio","julio","agosto","septiembre","octubre","noviembre","diciembre"},0)+1,0))</f>
        <v>45473</v>
      </c>
      <c r="D214" s="138" t="s">
        <v>110</v>
      </c>
      <c r="E214" s="138" t="str">
        <f>+IFERROR(VLOOKUP(Fact_Analitica[[#This Row],[Concepto Anterior]],Conceptos_Analítica_contraloría[#All],5,0),"")</f>
        <v>Ajustes Inventarios Cíclico</v>
      </c>
      <c r="F214" s="138" t="str">
        <f ca="1">+IFERROR(VLOOKUP(Fact_Analitica[[#This Row],[Concepto Anterior]],Conceptos_Analítica_contraloría[#All],7,0),"")</f>
        <v/>
      </c>
      <c r="G214" s="138" t="s">
        <v>118</v>
      </c>
      <c r="H214" s="138" t="s">
        <v>126</v>
      </c>
      <c r="I214" s="138" t="str">
        <f>+IFERROR(VLOOKUP(D214,Conceptos_Analítica_contraloría[#All],2,0),"")</f>
        <v>Volumetria</v>
      </c>
      <c r="J214" s="138" t="str">
        <f>+IFERROR(VLOOKUP(D214,Conceptos_Analítica_contraloría[#All],3,0),"")</f>
        <v>Cantidad</v>
      </c>
      <c r="K214" s="138">
        <v>-12</v>
      </c>
    </row>
    <row r="215" spans="1:11" x14ac:dyDescent="0.35">
      <c r="A215" s="138">
        <v>2024</v>
      </c>
      <c r="B215" s="138" t="s">
        <v>369</v>
      </c>
      <c r="C215" s="144">
        <f>IF(OR(Fact_Analitica[[#This Row],[Año]]="",Fact_Analitica[[#This Row],[Mes]]=""),"",DATE(A215,MATCH(B215,{"enero","febrero","marzo","abril","mayo","junio","julio","agosto","septiembre","octubre","noviembre","diciembre"},0)+1,0))</f>
        <v>45473</v>
      </c>
      <c r="D215" s="138" t="s">
        <v>110</v>
      </c>
      <c r="E215" s="138" t="str">
        <f>+IFERROR(VLOOKUP(Fact_Analitica[[#This Row],[Concepto Anterior]],Conceptos_Analítica_contraloría[#All],5,0),"")</f>
        <v>Ajustes Inventarios Cíclico</v>
      </c>
      <c r="F215" s="138" t="str">
        <f ca="1">+IFERROR(VLOOKUP(Fact_Analitica[[#This Row],[Concepto Anterior]],Conceptos_Analítica_contraloría[#All],7,0),"")</f>
        <v/>
      </c>
      <c r="G215" s="138" t="s">
        <v>118</v>
      </c>
      <c r="H215" s="138" t="s">
        <v>126</v>
      </c>
      <c r="I215" s="138" t="str">
        <f>+IFERROR(VLOOKUP(D215,Conceptos_Analítica_contraloría[#All],2,0),"")</f>
        <v>Volumetria</v>
      </c>
      <c r="J215" s="138" t="str">
        <f>+IFERROR(VLOOKUP(D215,Conceptos_Analítica_contraloría[#All],3,0),"")</f>
        <v>Cantidad</v>
      </c>
      <c r="K215" s="138">
        <v>-15</v>
      </c>
    </row>
    <row r="216" spans="1:11" x14ac:dyDescent="0.35">
      <c r="A216" s="138">
        <v>2024</v>
      </c>
      <c r="B216" s="138" t="s">
        <v>369</v>
      </c>
      <c r="C216" s="144">
        <f>IF(OR(Fact_Analitica[[#This Row],[Año]]="",Fact_Analitica[[#This Row],[Mes]]=""),"",DATE(A216,MATCH(B216,{"enero","febrero","marzo","abril","mayo","junio","julio","agosto","septiembre","octubre","noviembre","diciembre"},0)+1,0))</f>
        <v>45473</v>
      </c>
      <c r="D216" s="138" t="s">
        <v>110</v>
      </c>
      <c r="E216" s="138" t="str">
        <f>+IFERROR(VLOOKUP(Fact_Analitica[[#This Row],[Concepto Anterior]],Conceptos_Analítica_contraloría[#All],5,0),"")</f>
        <v>Ajustes Inventarios Cíclico</v>
      </c>
      <c r="F216" s="138" t="str">
        <f ca="1">+IFERROR(VLOOKUP(Fact_Analitica[[#This Row],[Concepto Anterior]],Conceptos_Analítica_contraloría[#All],7,0),"")</f>
        <v/>
      </c>
      <c r="G216" s="138" t="s">
        <v>118</v>
      </c>
      <c r="H216" s="138" t="s">
        <v>126</v>
      </c>
      <c r="I216" s="138" t="str">
        <f>+IFERROR(VLOOKUP(D216,Conceptos_Analítica_contraloría[#All],2,0),"")</f>
        <v>Volumetria</v>
      </c>
      <c r="J216" s="138" t="str">
        <f>+IFERROR(VLOOKUP(D216,Conceptos_Analítica_contraloría[#All],3,0),"")</f>
        <v>Cantidad</v>
      </c>
    </row>
    <row r="217" spans="1:11" x14ac:dyDescent="0.35">
      <c r="A217" s="138">
        <v>2024</v>
      </c>
      <c r="B217" s="138" t="s">
        <v>369</v>
      </c>
      <c r="C217" s="144">
        <f>IF(OR(Fact_Analitica[[#This Row],[Año]]="",Fact_Analitica[[#This Row],[Mes]]=""),"",DATE(A217,MATCH(B217,{"enero","febrero","marzo","abril","mayo","junio","julio","agosto","septiembre","octubre","noviembre","diciembre"},0)+1,0))</f>
        <v>45473</v>
      </c>
      <c r="D217" s="138" t="s">
        <v>110</v>
      </c>
      <c r="E217" s="138" t="str">
        <f>+IFERROR(VLOOKUP(Fact_Analitica[[#This Row],[Concepto Anterior]],Conceptos_Analítica_contraloría[#All],5,0),"")</f>
        <v>Ajustes Inventarios Cíclico</v>
      </c>
      <c r="F217" s="138" t="str">
        <f ca="1">+IFERROR(VLOOKUP(Fact_Analitica[[#This Row],[Concepto Anterior]],Conceptos_Analítica_contraloría[#All],7,0),"")</f>
        <v/>
      </c>
      <c r="G217" s="138" t="s">
        <v>118</v>
      </c>
      <c r="H217" s="138" t="s">
        <v>126</v>
      </c>
      <c r="I217" s="138" t="str">
        <f>+IFERROR(VLOOKUP(D217,Conceptos_Analítica_contraloría[#All],2,0),"")</f>
        <v>Volumetria</v>
      </c>
      <c r="J217" s="138" t="str">
        <f>+IFERROR(VLOOKUP(D217,Conceptos_Analítica_contraloría[#All],3,0),"")</f>
        <v>Cantidad</v>
      </c>
      <c r="K217" s="138">
        <v>333</v>
      </c>
    </row>
    <row r="218" spans="1:11" x14ac:dyDescent="0.35">
      <c r="A218" s="138">
        <v>2024</v>
      </c>
      <c r="B218" s="138" t="s">
        <v>369</v>
      </c>
      <c r="C218" s="144">
        <f>IF(OR(Fact_Analitica[[#This Row],[Año]]="",Fact_Analitica[[#This Row],[Mes]]=""),"",DATE(A218,MATCH(B218,{"enero","febrero","marzo","abril","mayo","junio","julio","agosto","septiembre","octubre","noviembre","diciembre"},0)+1,0))</f>
        <v>45473</v>
      </c>
      <c r="D218" s="138" t="s">
        <v>110</v>
      </c>
      <c r="E218" s="138" t="str">
        <f>+IFERROR(VLOOKUP(Fact_Analitica[[#This Row],[Concepto Anterior]],Conceptos_Analítica_contraloría[#All],5,0),"")</f>
        <v>Ajustes Inventarios Cíclico</v>
      </c>
      <c r="F218" s="138" t="str">
        <f ca="1">+IFERROR(VLOOKUP(Fact_Analitica[[#This Row],[Concepto Anterior]],Conceptos_Analítica_contraloría[#All],7,0),"")</f>
        <v/>
      </c>
      <c r="G218" s="138" t="s">
        <v>118</v>
      </c>
      <c r="H218" s="138" t="s">
        <v>126</v>
      </c>
      <c r="I218" s="138" t="str">
        <f>+IFERROR(VLOOKUP(D218,Conceptos_Analítica_contraloría[#All],2,0),"")</f>
        <v>Volumetria</v>
      </c>
      <c r="J218" s="138" t="str">
        <f>+IFERROR(VLOOKUP(D218,Conceptos_Analítica_contraloría[#All],3,0),"")</f>
        <v>Cantidad</v>
      </c>
    </row>
    <row r="219" spans="1:11" x14ac:dyDescent="0.35">
      <c r="A219" s="138">
        <v>2024</v>
      </c>
      <c r="B219" s="138" t="s">
        <v>369</v>
      </c>
      <c r="C219" s="144">
        <f>IF(OR(Fact_Analitica[[#This Row],[Año]]="",Fact_Analitica[[#This Row],[Mes]]=""),"",DATE(A219,MATCH(B219,{"enero","febrero","marzo","abril","mayo","junio","julio","agosto","septiembre","octubre","noviembre","diciembre"},0)+1,0))</f>
        <v>45473</v>
      </c>
      <c r="D219" s="138" t="s">
        <v>110</v>
      </c>
      <c r="E219" s="138" t="str">
        <f>+IFERROR(VLOOKUP(Fact_Analitica[[#This Row],[Concepto Anterior]],Conceptos_Analítica_contraloría[#All],5,0),"")</f>
        <v>Ajustes Inventarios Cíclico</v>
      </c>
      <c r="F219" s="138" t="str">
        <f ca="1">+IFERROR(VLOOKUP(Fact_Analitica[[#This Row],[Concepto Anterior]],Conceptos_Analítica_contraloría[#All],7,0),"")</f>
        <v/>
      </c>
      <c r="G219" s="138" t="s">
        <v>118</v>
      </c>
      <c r="H219" s="138" t="s">
        <v>126</v>
      </c>
      <c r="I219" s="138" t="str">
        <f>+IFERROR(VLOOKUP(D219,Conceptos_Analítica_contraloría[#All],2,0),"")</f>
        <v>Volumetria</v>
      </c>
      <c r="J219" s="138" t="str">
        <f>+IFERROR(VLOOKUP(D219,Conceptos_Analítica_contraloría[#All],3,0),"")</f>
        <v>Cantidad</v>
      </c>
    </row>
    <row r="220" spans="1:11" x14ac:dyDescent="0.35">
      <c r="A220" s="138">
        <v>2050</v>
      </c>
      <c r="B220" s="138" t="s">
        <v>117</v>
      </c>
      <c r="C220" s="144">
        <f>IF(OR(Fact_Analitica[[#This Row],[Año]]="",Fact_Analitica[[#This Row],[Mes]]=""),"",DATE(A220,MATCH(B220,{"enero","febrero","marzo","abril","mayo","junio","julio","agosto","septiembre","octubre","noviembre","diciembre"},0)+1,0))</f>
        <v>54847</v>
      </c>
      <c r="D220" s="138" t="s">
        <v>161</v>
      </c>
      <c r="E220" s="138" t="str">
        <f>+IFERROR(VLOOKUP(Fact_Analitica[[#This Row],[Concepto Anterior]],Conceptos_Analítica_contraloría[#All],5,0),"")</f>
        <v>Puntos a conciliar</v>
      </c>
      <c r="F220" s="138" t="str">
        <f ca="1">+IFERROR(VLOOKUP(Fact_Analitica[[#This Row],[Concepto Anterior]],Conceptos_Analítica_contraloría[#All],7,0),"")</f>
        <v/>
      </c>
      <c r="G220" s="138" t="s">
        <v>230</v>
      </c>
      <c r="H220" s="138" t="s">
        <v>230</v>
      </c>
      <c r="I220" s="138" t="str">
        <f>+IFERROR(VLOOKUP(D220,Conceptos_Analítica_contraloría[#All],2,0),"")</f>
        <v>Volumetria</v>
      </c>
      <c r="J220" s="138" t="str">
        <f>+IFERROR(VLOOKUP(D220,Conceptos_Analítica_contraloría[#All],3,0),"")</f>
        <v>Cantidad</v>
      </c>
    </row>
    <row r="221" spans="1:11" x14ac:dyDescent="0.35">
      <c r="A221" s="138">
        <v>2050</v>
      </c>
      <c r="B221" s="138" t="s">
        <v>117</v>
      </c>
      <c r="C221" s="144">
        <f>IF(OR(Fact_Analitica[[#This Row],[Año]]="",Fact_Analitica[[#This Row],[Mes]]=""),"",DATE(A221,MATCH(B221,{"enero","febrero","marzo","abril","mayo","junio","julio","agosto","septiembre","octubre","noviembre","diciembre"},0)+1,0))</f>
        <v>54847</v>
      </c>
      <c r="D221" s="138" t="s">
        <v>161</v>
      </c>
      <c r="E221" s="138" t="str">
        <f>+IFERROR(VLOOKUP(Fact_Analitica[[#This Row],[Concepto Anterior]],Conceptos_Analítica_contraloría[#All],5,0),"")</f>
        <v>Puntos a conciliar</v>
      </c>
      <c r="F221" s="138" t="str">
        <f ca="1">+IFERROR(VLOOKUP(Fact_Analitica[[#This Row],[Concepto Anterior]],Conceptos_Analítica_contraloría[#All],7,0),"")</f>
        <v/>
      </c>
      <c r="G221" s="138" t="s">
        <v>230</v>
      </c>
      <c r="H221" s="138" t="s">
        <v>230</v>
      </c>
      <c r="I221" s="138" t="str">
        <f>+IFERROR(VLOOKUP(D221,Conceptos_Analítica_contraloría[#All],2,0),"")</f>
        <v>Volumetria</v>
      </c>
      <c r="J221" s="138" t="str">
        <f>+IFERROR(VLOOKUP(D221,Conceptos_Analítica_contraloría[#All],3,0),"")</f>
        <v>Cantidad</v>
      </c>
    </row>
    <row r="222" spans="1:11" x14ac:dyDescent="0.35">
      <c r="A222" s="138">
        <v>2050</v>
      </c>
      <c r="B222" s="138" t="s">
        <v>117</v>
      </c>
      <c r="C222" s="144">
        <f>IF(OR(Fact_Analitica[[#This Row],[Año]]="",Fact_Analitica[[#This Row],[Mes]]=""),"",DATE(A222,MATCH(B222,{"enero","febrero","marzo","abril","mayo","junio","julio","agosto","septiembre","octubre","noviembre","diciembre"},0)+1,0))</f>
        <v>54847</v>
      </c>
      <c r="D222" s="138" t="s">
        <v>161</v>
      </c>
      <c r="E222" s="138" t="str">
        <f>+IFERROR(VLOOKUP(Fact_Analitica[[#This Row],[Concepto Anterior]],Conceptos_Analítica_contraloría[#All],5,0),"")</f>
        <v>Puntos a conciliar</v>
      </c>
      <c r="F222" s="138" t="str">
        <f ca="1">+IFERROR(VLOOKUP(Fact_Analitica[[#This Row],[Concepto Anterior]],Conceptos_Analítica_contraloría[#All],7,0),"")</f>
        <v/>
      </c>
      <c r="G222" s="138" t="s">
        <v>230</v>
      </c>
      <c r="H222" s="138" t="s">
        <v>230</v>
      </c>
      <c r="I222" s="138" t="str">
        <f>+IFERROR(VLOOKUP(D222,Conceptos_Analítica_contraloría[#All],2,0),"")</f>
        <v>Volumetria</v>
      </c>
      <c r="J222" s="138" t="str">
        <f>+IFERROR(VLOOKUP(D222,Conceptos_Analítica_contraloría[#All],3,0),"")</f>
        <v>Cantidad</v>
      </c>
      <c r="K222" s="154"/>
    </row>
    <row r="223" spans="1:11" x14ac:dyDescent="0.35">
      <c r="A223" s="138">
        <v>2050</v>
      </c>
      <c r="B223" s="138" t="s">
        <v>117</v>
      </c>
      <c r="C223" s="144">
        <f>IF(OR(Fact_Analitica[[#This Row],[Año]]="",Fact_Analitica[[#This Row],[Mes]]=""),"",DATE(A223,MATCH(B223,{"enero","febrero","marzo","abril","mayo","junio","julio","agosto","septiembre","octubre","noviembre","diciembre"},0)+1,0))</f>
        <v>54847</v>
      </c>
      <c r="D223" s="138" t="s">
        <v>161</v>
      </c>
      <c r="E223" s="138" t="str">
        <f>+IFERROR(VLOOKUP(Fact_Analitica[[#This Row],[Concepto Anterior]],Conceptos_Analítica_contraloría[#All],5,0),"")</f>
        <v>Puntos a conciliar</v>
      </c>
      <c r="F223" s="138" t="str">
        <f ca="1">+IFERROR(VLOOKUP(Fact_Analitica[[#This Row],[Concepto Anterior]],Conceptos_Analítica_contraloría[#All],7,0),"")</f>
        <v/>
      </c>
      <c r="G223" s="138" t="s">
        <v>230</v>
      </c>
      <c r="H223" s="138" t="s">
        <v>230</v>
      </c>
      <c r="I223" s="138" t="str">
        <f>+IFERROR(VLOOKUP(D223,Conceptos_Analítica_contraloría[#All],2,0),"")</f>
        <v>Volumetria</v>
      </c>
      <c r="J223" s="138" t="str">
        <f>+IFERROR(VLOOKUP(D223,Conceptos_Analítica_contraloría[#All],3,0),"")</f>
        <v>Cantidad</v>
      </c>
      <c r="K223" s="154"/>
    </row>
    <row r="224" spans="1:11" x14ac:dyDescent="0.35">
      <c r="A224" s="138">
        <v>2050</v>
      </c>
      <c r="B224" s="138" t="s">
        <v>117</v>
      </c>
      <c r="C224" s="144">
        <f>IF(OR(Fact_Analitica[[#This Row],[Año]]="",Fact_Analitica[[#This Row],[Mes]]=""),"",DATE(A224,MATCH(B224,{"enero","febrero","marzo","abril","mayo","junio","julio","agosto","septiembre","octubre","noviembre","diciembre"},0)+1,0))</f>
        <v>54847</v>
      </c>
      <c r="D224" s="138" t="s">
        <v>161</v>
      </c>
      <c r="E224" s="138" t="str">
        <f>+IFERROR(VLOOKUP(Fact_Analitica[[#This Row],[Concepto Anterior]],Conceptos_Analítica_contraloría[#All],5,0),"")</f>
        <v>Puntos a conciliar</v>
      </c>
      <c r="F224" s="138" t="str">
        <f ca="1">+IFERROR(VLOOKUP(Fact_Analitica[[#This Row],[Concepto Anterior]],Conceptos_Analítica_contraloría[#All],7,0),"")</f>
        <v/>
      </c>
      <c r="G224" s="138" t="s">
        <v>230</v>
      </c>
      <c r="H224" s="138" t="s">
        <v>230</v>
      </c>
      <c r="I224" s="138" t="str">
        <f>+IFERROR(VLOOKUP(D224,Conceptos_Analítica_contraloría[#All],2,0),"")</f>
        <v>Volumetria</v>
      </c>
      <c r="J224" s="138" t="str">
        <f>+IFERROR(VLOOKUP(D224,Conceptos_Analítica_contraloría[#All],3,0),"")</f>
        <v>Cantidad</v>
      </c>
    </row>
    <row r="225" spans="1:11" x14ac:dyDescent="0.35">
      <c r="A225" s="138">
        <v>2050</v>
      </c>
      <c r="B225" s="138" t="s">
        <v>117</v>
      </c>
      <c r="C225" s="144">
        <f>IF(OR(Fact_Analitica[[#This Row],[Año]]="",Fact_Analitica[[#This Row],[Mes]]=""),"",DATE(A225,MATCH(B225,{"enero","febrero","marzo","abril","mayo","junio","julio","agosto","septiembre","octubre","noviembre","diciembre"},0)+1,0))</f>
        <v>54847</v>
      </c>
      <c r="D225" s="138" t="s">
        <v>161</v>
      </c>
      <c r="E225" s="138" t="str">
        <f>+IFERROR(VLOOKUP(Fact_Analitica[[#This Row],[Concepto Anterior]],Conceptos_Analítica_contraloría[#All],5,0),"")</f>
        <v>Puntos a conciliar</v>
      </c>
      <c r="F225" s="138" t="str">
        <f ca="1">+IFERROR(VLOOKUP(Fact_Analitica[[#This Row],[Concepto Anterior]],Conceptos_Analítica_contraloría[#All],7,0),"")</f>
        <v/>
      </c>
      <c r="G225" s="138" t="s">
        <v>230</v>
      </c>
      <c r="H225" s="138" t="s">
        <v>230</v>
      </c>
      <c r="I225" s="138" t="str">
        <f>+IFERROR(VLOOKUP(D225,Conceptos_Analítica_contraloría[#All],2,0),"")</f>
        <v>Volumetria</v>
      </c>
      <c r="J225" s="138" t="str">
        <f>+IFERROR(VLOOKUP(D225,Conceptos_Analítica_contraloría[#All],3,0),"")</f>
        <v>Cantidad</v>
      </c>
    </row>
    <row r="226" spans="1:11" x14ac:dyDescent="0.35">
      <c r="A226" s="138">
        <v>2050</v>
      </c>
      <c r="B226" s="138" t="s">
        <v>117</v>
      </c>
      <c r="C226" s="144">
        <f>IF(OR(Fact_Analitica[[#This Row],[Año]]="",Fact_Analitica[[#This Row],[Mes]]=""),"",DATE(A226,MATCH(B226,{"enero","febrero","marzo","abril","mayo","junio","julio","agosto","septiembre","octubre","noviembre","diciembre"},0)+1,0))</f>
        <v>54847</v>
      </c>
      <c r="D226" s="138" t="s">
        <v>161</v>
      </c>
      <c r="E226" s="138" t="str">
        <f>+IFERROR(VLOOKUP(Fact_Analitica[[#This Row],[Concepto Anterior]],Conceptos_Analítica_contraloría[#All],5,0),"")</f>
        <v>Puntos a conciliar</v>
      </c>
      <c r="F226" s="138" t="str">
        <f ca="1">+IFERROR(VLOOKUP(Fact_Analitica[[#This Row],[Concepto Anterior]],Conceptos_Analítica_contraloría[#All],7,0),"")</f>
        <v/>
      </c>
      <c r="G226" s="138" t="s">
        <v>230</v>
      </c>
      <c r="H226" s="138" t="s">
        <v>230</v>
      </c>
      <c r="I226" s="138" t="str">
        <f>+IFERROR(VLOOKUP(D226,Conceptos_Analítica_contraloría[#All],2,0),"")</f>
        <v>Volumetria</v>
      </c>
      <c r="J226" s="138" t="str">
        <f>+IFERROR(VLOOKUP(D226,Conceptos_Analítica_contraloría[#All],3,0),"")</f>
        <v>Cantidad</v>
      </c>
      <c r="K226" s="138">
        <v>10</v>
      </c>
    </row>
    <row r="227" spans="1:11" x14ac:dyDescent="0.35">
      <c r="A227" s="138">
        <v>2050</v>
      </c>
      <c r="B227" s="138" t="s">
        <v>117</v>
      </c>
      <c r="C227" s="144">
        <f>IF(OR(Fact_Analitica[[#This Row],[Año]]="",Fact_Analitica[[#This Row],[Mes]]=""),"",DATE(A227,MATCH(B227,{"enero","febrero","marzo","abril","mayo","junio","julio","agosto","septiembre","octubre","noviembre","diciembre"},0)+1,0))</f>
        <v>54847</v>
      </c>
      <c r="D227" s="138" t="s">
        <v>161</v>
      </c>
      <c r="E227" s="138" t="str">
        <f>+IFERROR(VLOOKUP(Fact_Analitica[[#This Row],[Concepto Anterior]],Conceptos_Analítica_contraloría[#All],5,0),"")</f>
        <v>Puntos a conciliar</v>
      </c>
      <c r="F227" s="138" t="str">
        <f ca="1">+IFERROR(VLOOKUP(Fact_Analitica[[#This Row],[Concepto Anterior]],Conceptos_Analítica_contraloría[#All],7,0),"")</f>
        <v/>
      </c>
      <c r="G227" s="138" t="s">
        <v>230</v>
      </c>
      <c r="H227" s="138" t="s">
        <v>230</v>
      </c>
      <c r="I227" s="138" t="str">
        <f>+IFERROR(VLOOKUP(D227,Conceptos_Analítica_contraloría[#All],2,0),"")</f>
        <v>Volumetria</v>
      </c>
      <c r="J227" s="138" t="str">
        <f>+IFERROR(VLOOKUP(D227,Conceptos_Analítica_contraloría[#All],3,0),"")</f>
        <v>Cantidad</v>
      </c>
      <c r="K227" s="138">
        <v>10</v>
      </c>
    </row>
    <row r="228" spans="1:11" x14ac:dyDescent="0.35">
      <c r="A228" s="138">
        <v>2050</v>
      </c>
      <c r="B228" s="138" t="s">
        <v>117</v>
      </c>
      <c r="C228" s="144">
        <f>IF(OR(Fact_Analitica[[#This Row],[Año]]="",Fact_Analitica[[#This Row],[Mes]]=""),"",DATE(A228,MATCH(B228,{"enero","febrero","marzo","abril","mayo","junio","julio","agosto","septiembre","octubre","noviembre","diciembre"},0)+1,0))</f>
        <v>54847</v>
      </c>
      <c r="D228" s="138" t="s">
        <v>161</v>
      </c>
      <c r="E228" s="138" t="str">
        <f>+IFERROR(VLOOKUP(Fact_Analitica[[#This Row],[Concepto Anterior]],Conceptos_Analítica_contraloría[#All],5,0),"")</f>
        <v>Puntos a conciliar</v>
      </c>
      <c r="F228" s="138" t="str">
        <f ca="1">+IFERROR(VLOOKUP(Fact_Analitica[[#This Row],[Concepto Anterior]],Conceptos_Analítica_contraloría[#All],7,0),"")</f>
        <v/>
      </c>
      <c r="G228" s="138" t="s">
        <v>230</v>
      </c>
      <c r="H228" s="138" t="s">
        <v>230</v>
      </c>
      <c r="I228" s="138" t="str">
        <f>+IFERROR(VLOOKUP(D228,Conceptos_Analítica_contraloría[#All],2,0),"")</f>
        <v>Volumetria</v>
      </c>
      <c r="J228" s="138" t="str">
        <f>+IFERROR(VLOOKUP(D228,Conceptos_Analítica_contraloría[#All],3,0),"")</f>
        <v>Cantidad</v>
      </c>
    </row>
    <row r="229" spans="1:11" x14ac:dyDescent="0.35">
      <c r="A229" s="138">
        <v>2050</v>
      </c>
      <c r="B229" s="138" t="s">
        <v>117</v>
      </c>
      <c r="C229" s="144">
        <f>IF(OR(Fact_Analitica[[#This Row],[Año]]="",Fact_Analitica[[#This Row],[Mes]]=""),"",DATE(A229,MATCH(B229,{"enero","febrero","marzo","abril","mayo","junio","julio","agosto","septiembre","octubre","noviembre","diciembre"},0)+1,0))</f>
        <v>54847</v>
      </c>
      <c r="D229" s="138" t="s">
        <v>161</v>
      </c>
      <c r="E229" s="138" t="str">
        <f>+IFERROR(VLOOKUP(Fact_Analitica[[#This Row],[Concepto Anterior]],Conceptos_Analítica_contraloría[#All],5,0),"")</f>
        <v>Puntos a conciliar</v>
      </c>
      <c r="F229" s="138" t="str">
        <f ca="1">+IFERROR(VLOOKUP(Fact_Analitica[[#This Row],[Concepto Anterior]],Conceptos_Analítica_contraloría[#All],7,0),"")</f>
        <v/>
      </c>
      <c r="G229" s="138" t="s">
        <v>230</v>
      </c>
      <c r="H229" s="138" t="s">
        <v>230</v>
      </c>
      <c r="I229" s="138" t="str">
        <f>+IFERROR(VLOOKUP(D229,Conceptos_Analítica_contraloría[#All],2,0),"")</f>
        <v>Volumetria</v>
      </c>
      <c r="J229" s="138" t="str">
        <f>+IFERROR(VLOOKUP(D229,Conceptos_Analítica_contraloría[#All],3,0),"")</f>
        <v>Cantidad</v>
      </c>
    </row>
    <row r="230" spans="1:11" x14ac:dyDescent="0.35">
      <c r="A230" s="138">
        <v>2050</v>
      </c>
      <c r="B230" s="138" t="s">
        <v>117</v>
      </c>
      <c r="C230" s="144">
        <f>IF(OR(Fact_Analitica[[#This Row],[Año]]="",Fact_Analitica[[#This Row],[Mes]]=""),"",DATE(A230,MATCH(B230,{"enero","febrero","marzo","abril","mayo","junio","julio","agosto","septiembre","octubre","noviembre","diciembre"},0)+1,0))</f>
        <v>54847</v>
      </c>
      <c r="D230" s="138" t="s">
        <v>161</v>
      </c>
      <c r="E230" s="138" t="str">
        <f>+IFERROR(VLOOKUP(Fact_Analitica[[#This Row],[Concepto Anterior]],Conceptos_Analítica_contraloría[#All],5,0),"")</f>
        <v>Puntos a conciliar</v>
      </c>
      <c r="F230" s="138" t="str">
        <f ca="1">+IFERROR(VLOOKUP(Fact_Analitica[[#This Row],[Concepto Anterior]],Conceptos_Analítica_contraloría[#All],7,0),"")</f>
        <v/>
      </c>
      <c r="G230" s="138" t="s">
        <v>230</v>
      </c>
      <c r="H230" s="138" t="s">
        <v>230</v>
      </c>
      <c r="I230" s="138" t="str">
        <f>+IFERROR(VLOOKUP(D230,Conceptos_Analítica_contraloría[#All],2,0),"")</f>
        <v>Volumetria</v>
      </c>
      <c r="J230" s="138" t="str">
        <f>+IFERROR(VLOOKUP(D230,Conceptos_Analítica_contraloría[#All],3,0),"")</f>
        <v>Cantidad</v>
      </c>
      <c r="K230" s="138">
        <v>-10</v>
      </c>
    </row>
    <row r="231" spans="1:11" x14ac:dyDescent="0.35">
      <c r="A231" s="138">
        <v>2024</v>
      </c>
      <c r="B231" s="138" t="s">
        <v>369</v>
      </c>
      <c r="C231" s="144">
        <f>IF(OR(Fact_Analitica[[#This Row],[Año]]="",Fact_Analitica[[#This Row],[Mes]]=""),"",DATE(A231,MATCH(B231,{"enero","febrero","marzo","abril","mayo","junio","julio","agosto","septiembre","octubre","noviembre","diciembre"},0)+1,0))</f>
        <v>45473</v>
      </c>
      <c r="D231" s="138" t="s">
        <v>110</v>
      </c>
      <c r="E231" s="138" t="str">
        <f>+IFERROR(VLOOKUP(Fact_Analitica[[#This Row],[Concepto Anterior]],Conceptos_Analítica_contraloría[#All],5,0),"")</f>
        <v>Ajustes Inventarios Cíclico</v>
      </c>
      <c r="F231" s="138" t="str">
        <f ca="1">+IFERROR(VLOOKUP(Fact_Analitica[[#This Row],[Concepto Anterior]],Conceptos_Analítica_contraloría[#All],7,0),"")</f>
        <v/>
      </c>
      <c r="G231" s="138" t="s">
        <v>118</v>
      </c>
      <c r="H231" s="138" t="s">
        <v>126</v>
      </c>
      <c r="I231" s="138" t="str">
        <f>+IFERROR(VLOOKUP(D231,Conceptos_Analítica_contraloría[#All],2,0),"")</f>
        <v>Volumetria</v>
      </c>
      <c r="J231" s="138" t="str">
        <f>+IFERROR(VLOOKUP(D231,Conceptos_Analítica_contraloría[#All],3,0),"")</f>
        <v>Cantidad</v>
      </c>
    </row>
    <row r="232" spans="1:11" x14ac:dyDescent="0.35">
      <c r="A232" s="138">
        <v>2026</v>
      </c>
      <c r="B232" s="138" t="s">
        <v>375</v>
      </c>
      <c r="C232" s="144">
        <f>IF(OR(Fact_Analitica[[#This Row],[Año]]="",Fact_Analitica[[#This Row],[Mes]]=""),"",DATE(A232,MATCH(B232,{"enero","febrero","marzo","abril","mayo","junio","julio","agosto","septiembre","octubre","noviembre","diciembre"},0)+1,0))</f>
        <v>46081</v>
      </c>
      <c r="D232" s="138" t="s">
        <v>35</v>
      </c>
      <c r="E232" s="138" t="str">
        <f>+IFERROR(VLOOKUP(Fact_Analitica[[#This Row],[Concepto Anterior]],Conceptos_Analítica_contraloría[#All],5,0),"")</f>
        <v>Ajustes sobrevaloración acumulada de inventarios "Unified"</v>
      </c>
      <c r="F232" s="138" t="str">
        <f ca="1">+IFERROR(VLOOKUP(Fact_Analitica[[#This Row],[Concepto Anterior]],Conceptos_Analítica_contraloría[#All],7,0),"")</f>
        <v/>
      </c>
      <c r="G232" s="138" t="s">
        <v>125</v>
      </c>
      <c r="H232" s="138" t="s">
        <v>239</v>
      </c>
      <c r="I232" s="138" t="str">
        <f>+IFERROR(VLOOKUP(D232,Conceptos_Analítica_contraloría[#All],2,0),"")</f>
        <v>Eficiencia</v>
      </c>
      <c r="J232" s="138" t="str">
        <f>+IFERROR(VLOOKUP(D232,Conceptos_Analítica_contraloría[#All],3,0),"")</f>
        <v>Pesos</v>
      </c>
      <c r="K232" s="138">
        <v>-150000</v>
      </c>
    </row>
    <row r="233" spans="1:11" x14ac:dyDescent="0.35">
      <c r="A233" s="138">
        <v>2026</v>
      </c>
      <c r="B233" s="138" t="s">
        <v>375</v>
      </c>
      <c r="C233" s="144">
        <f>IF(OR(Fact_Analitica[[#This Row],[Año]]="",Fact_Analitica[[#This Row],[Mes]]=""),"",DATE(A233,MATCH(B233,{"enero","febrero","marzo","abril","mayo","junio","julio","agosto","septiembre","octubre","noviembre","diciembre"},0)+1,0))</f>
        <v>46081</v>
      </c>
      <c r="D233" s="138" t="s">
        <v>35</v>
      </c>
      <c r="E233" s="138" t="str">
        <f>+IFERROR(VLOOKUP(Fact_Analitica[[#This Row],[Concepto Anterior]],Conceptos_Analítica_contraloría[#All],5,0),"")</f>
        <v>Ajustes sobrevaloración acumulada de inventarios "Unified"</v>
      </c>
      <c r="F233" s="138" t="str">
        <f ca="1">+IFERROR(VLOOKUP(Fact_Analitica[[#This Row],[Concepto Anterior]],Conceptos_Analítica_contraloría[#All],7,0),"")</f>
        <v/>
      </c>
      <c r="G233" s="138" t="s">
        <v>118</v>
      </c>
      <c r="H233" s="138" t="s">
        <v>119</v>
      </c>
      <c r="I233" s="138" t="str">
        <f>+IFERROR(VLOOKUP(D233,Conceptos_Analítica_contraloría[#All],2,0),"")</f>
        <v>Eficiencia</v>
      </c>
      <c r="J233" s="138" t="str">
        <f>+IFERROR(VLOOKUP(D233,Conceptos_Analítica_contraloría[#All],3,0),"")</f>
        <v>Pesos</v>
      </c>
      <c r="K233" s="138">
        <v>-150000</v>
      </c>
    </row>
    <row r="234" spans="1:11" x14ac:dyDescent="0.35">
      <c r="A234" s="138">
        <v>2026</v>
      </c>
      <c r="B234" s="138" t="s">
        <v>375</v>
      </c>
      <c r="C234" s="144">
        <f>IF(OR(Fact_Analitica[[#This Row],[Año]]="",Fact_Analitica[[#This Row],[Mes]]=""),"",DATE(A234,MATCH(B234,{"enero","febrero","marzo","abril","mayo","junio","julio","agosto","septiembre","octubre","noviembre","diciembre"},0)+1,0))</f>
        <v>46081</v>
      </c>
      <c r="D234" s="138" t="s">
        <v>35</v>
      </c>
      <c r="E234" s="138" t="str">
        <f>+IFERROR(VLOOKUP(Fact_Analitica[[#This Row],[Concepto Anterior]],Conceptos_Analítica_contraloría[#All],5,0),"")</f>
        <v>Ajustes sobrevaloración acumulada de inventarios "Unified"</v>
      </c>
      <c r="F234" s="138" t="str">
        <f ca="1">+IFERROR(VLOOKUP(Fact_Analitica[[#This Row],[Concepto Anterior]],Conceptos_Analítica_contraloría[#All],7,0),"")</f>
        <v/>
      </c>
      <c r="G234" s="138" t="s">
        <v>131</v>
      </c>
      <c r="H234" s="138" t="s">
        <v>119</v>
      </c>
      <c r="I234" s="138" t="str">
        <f>+IFERROR(VLOOKUP(D234,Conceptos_Analítica_contraloría[#All],2,0),"")</f>
        <v>Eficiencia</v>
      </c>
      <c r="J234" s="138" t="str">
        <f>+IFERROR(VLOOKUP(D234,Conceptos_Analítica_contraloría[#All],3,0),"")</f>
        <v>Pesos</v>
      </c>
      <c r="K234" s="138">
        <v>-777</v>
      </c>
    </row>
    <row r="235" spans="1:11" x14ac:dyDescent="0.35">
      <c r="A235" s="138">
        <v>2025</v>
      </c>
      <c r="B235" s="138" t="s">
        <v>375</v>
      </c>
      <c r="C235" s="144">
        <f>IF(OR(Fact_Analitica[[#This Row],[Año]]="",Fact_Analitica[[#This Row],[Mes]]=""),"",DATE(A235,MATCH(B235,{"enero","febrero","marzo","abril","mayo","junio","julio","agosto","septiembre","octubre","noviembre","diciembre"},0)+1,0))</f>
        <v>45716</v>
      </c>
      <c r="D235" s="138" t="s">
        <v>133</v>
      </c>
      <c r="E235" s="138" t="str">
        <f>+IFERROR(VLOOKUP(Fact_Analitica[[#This Row],[Concepto Anterior]],Conceptos_Analítica_contraloría[#All],5,0),"")</f>
        <v>Cantidad de registros (consecutivos) a conciliar (Facturas 94%, otros movimientos 6%)</v>
      </c>
      <c r="F235" s="138" t="str">
        <f ca="1">+IFERROR(VLOOKUP(Fact_Analitica[[#This Row],[Concepto Anterior]],Conceptos_Analítica_contraloría[#All],7,0),"")</f>
        <v/>
      </c>
      <c r="G235" s="138" t="s">
        <v>131</v>
      </c>
      <c r="H235" s="138" t="s">
        <v>132</v>
      </c>
      <c r="I235" s="138" t="str">
        <f>+IFERROR(VLOOKUP(D235,Conceptos_Analítica_contraloría[#All],2,0),"")</f>
        <v>Volumetria</v>
      </c>
      <c r="J235" s="138" t="str">
        <f>+IFERROR(VLOOKUP(D235,Conceptos_Analítica_contraloría[#All],3,0),"")</f>
        <v>Cantidad</v>
      </c>
      <c r="K235" s="138">
        <v>-120000</v>
      </c>
    </row>
    <row r="236" spans="1:11" x14ac:dyDescent="0.35">
      <c r="A236" s="138">
        <v>2025</v>
      </c>
      <c r="B236" s="138" t="s">
        <v>375</v>
      </c>
      <c r="C236" s="144">
        <f>IF(OR(Fact_Analitica[[#This Row],[Año]]="",Fact_Analitica[[#This Row],[Mes]]=""),"",DATE(A236,MATCH(B236,{"enero","febrero","marzo","abril","mayo","junio","julio","agosto","septiembre","octubre","noviembre","diciembre"},0)+1,0))</f>
        <v>45716</v>
      </c>
      <c r="D236" s="138" t="s">
        <v>37</v>
      </c>
      <c r="E236" s="138" t="str">
        <f>+IFERROR(VLOOKUP(Fact_Analitica[[#This Row],[Concepto Anterior]],Conceptos_Analítica_contraloría[#All],5,0),"")</f>
        <v>Automatizaciones descarga y reconversión archivos stock España Mango</v>
      </c>
      <c r="F236" s="138" t="str">
        <f ca="1">+IFERROR(VLOOKUP(Fact_Analitica[[#This Row],[Concepto Anterior]],Conceptos_Analítica_contraloría[#All],7,0),"")</f>
        <v/>
      </c>
      <c r="G236" s="138" t="s">
        <v>118</v>
      </c>
      <c r="H236" s="138" t="s">
        <v>359</v>
      </c>
      <c r="I236" s="138" t="str">
        <f>+IFERROR(VLOOKUP(D236,Conceptos_Analítica_contraloría[#All],2,0),"")</f>
        <v>Volumetria</v>
      </c>
      <c r="J236" s="138" t="str">
        <f>+IFERROR(VLOOKUP(D236,Conceptos_Analítica_contraloría[#All],3,0),"")</f>
        <v>Cantidad</v>
      </c>
      <c r="K236" s="138">
        <v>-987654321</v>
      </c>
    </row>
    <row r="237" spans="1:11" x14ac:dyDescent="0.35">
      <c r="A237" s="138">
        <v>2024</v>
      </c>
      <c r="B237" s="138" t="s">
        <v>375</v>
      </c>
      <c r="C237" s="144">
        <f>IF(OR(Fact_Analitica[[#This Row],[Año]]="",Fact_Analitica[[#This Row],[Mes]]=""),"",DATE(A237,MATCH(B237,{"enero","febrero","marzo","abril","mayo","junio","julio","agosto","septiembre","octubre","noviembre","diciembre"},0)+1,0))</f>
        <v>45351</v>
      </c>
      <c r="D237" s="138" t="s">
        <v>133</v>
      </c>
      <c r="E237" s="138" t="str">
        <f>+IFERROR(VLOOKUP(Fact_Analitica[[#This Row],[Concepto Anterior]],Conceptos_Analítica_contraloría[#All],5,0),"")</f>
        <v>Cantidad de registros (consecutivos) a conciliar (Facturas 94%, otros movimientos 6%)</v>
      </c>
      <c r="F237" s="138" t="str">
        <f ca="1">+IFERROR(VLOOKUP(Fact_Analitica[[#This Row],[Concepto Anterior]],Conceptos_Analítica_contraloría[#All],7,0),"")</f>
        <v/>
      </c>
      <c r="G237" s="138" t="s">
        <v>125</v>
      </c>
      <c r="H237" s="138" t="s">
        <v>126</v>
      </c>
      <c r="I237" s="138" t="str">
        <f>+IFERROR(VLOOKUP(D237,Conceptos_Analítica_contraloría[#All],2,0),"")</f>
        <v>Volumetria</v>
      </c>
      <c r="J237" s="138" t="str">
        <f>+IFERROR(VLOOKUP(D237,Conceptos_Analítica_contraloría[#All],3,0),"")</f>
        <v>Cantidad</v>
      </c>
      <c r="K237" s="138">
        <v>0</v>
      </c>
    </row>
    <row r="238" spans="1:11" x14ac:dyDescent="0.35">
      <c r="C238" s="144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s="138" t="str">
        <f>+IFERROR(VLOOKUP(Fact_Analitica[[#This Row],[Concepto Anterior]],Conceptos_Analítica_contraloría[#All],5,0),"")</f>
        <v/>
      </c>
      <c r="F238" s="138" t="str">
        <f>+IFERROR(VLOOKUP(Fact_Analitica[[#This Row],[Concepto Anterior]],Conceptos_Analítica_contraloría[#All],7,0),"")</f>
        <v/>
      </c>
      <c r="I238" s="138" t="str">
        <f>+IFERROR(VLOOKUP(D238,Conceptos_Analítica_contraloría[#All],2,0),"")</f>
        <v/>
      </c>
      <c r="J238" s="138" t="str">
        <f>+IFERROR(VLOOKUP(D238,Conceptos_Analítica_contraloría[#All],3,0),"")</f>
        <v/>
      </c>
    </row>
    <row r="239" spans="1:11" x14ac:dyDescent="0.35">
      <c r="C239" s="144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s="138" t="str">
        <f>+IFERROR(VLOOKUP(Fact_Analitica[[#This Row],[Concepto Anterior]],Conceptos_Analítica_contraloría[#All],5,0),"")</f>
        <v/>
      </c>
      <c r="F239" s="138" t="str">
        <f>+IFERROR(VLOOKUP(Fact_Analitica[[#This Row],[Concepto Anterior]],Conceptos_Analítica_contraloría[#All],7,0),"")</f>
        <v/>
      </c>
      <c r="I239" s="138" t="str">
        <f>+IFERROR(VLOOKUP(D239,Conceptos_Analítica_contraloría[#All],2,0),"")</f>
        <v/>
      </c>
      <c r="J239" s="138" t="str">
        <f>+IFERROR(VLOOKUP(D239,Conceptos_Analítica_contraloría[#All],3,0),"")</f>
        <v/>
      </c>
    </row>
    <row r="240" spans="1:11" x14ac:dyDescent="0.35">
      <c r="C240" s="144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s="138" t="str">
        <f>+IFERROR(VLOOKUP(Fact_Analitica[[#This Row],[Concepto Anterior]],Conceptos_Analítica_contraloría[#All],5,0),"")</f>
        <v/>
      </c>
      <c r="F240" s="138" t="str">
        <f>+IFERROR(VLOOKUP(Fact_Analitica[[#This Row],[Concepto Anterior]],Conceptos_Analítica_contraloría[#All],7,0),"")</f>
        <v/>
      </c>
      <c r="I240" s="138" t="str">
        <f>+IFERROR(VLOOKUP(D240,Conceptos_Analítica_contraloría[#All],2,0),"")</f>
        <v/>
      </c>
      <c r="J240" s="138" t="str">
        <f>+IFERROR(VLOOKUP(D240,Conceptos_Analítica_contraloría[#All],3,0),"")</f>
        <v/>
      </c>
    </row>
    <row r="241" spans="3:10" x14ac:dyDescent="0.35">
      <c r="C241" s="144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s="138" t="str">
        <f>+IFERROR(VLOOKUP(Fact_Analitica[[#This Row],[Concepto Anterior]],Conceptos_Analítica_contraloría[#All],5,0),"")</f>
        <v/>
      </c>
      <c r="F241" s="138" t="str">
        <f>+IFERROR(VLOOKUP(Fact_Analitica[[#This Row],[Concepto Anterior]],Conceptos_Analítica_contraloría[#All],7,0),"")</f>
        <v/>
      </c>
      <c r="I241" s="138" t="str">
        <f>+IFERROR(VLOOKUP(D241,Conceptos_Analítica_contraloría[#All],2,0),"")</f>
        <v/>
      </c>
      <c r="J241" s="138" t="str">
        <f>+IFERROR(VLOOKUP(D241,Conceptos_Analítica_contraloría[#All],3,0),"")</f>
        <v/>
      </c>
    </row>
    <row r="242" spans="3:10" x14ac:dyDescent="0.35">
      <c r="C242" s="144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s="138" t="str">
        <f>+IFERROR(VLOOKUP(Fact_Analitica[[#This Row],[Concepto Anterior]],Conceptos_Analítica_contraloría[#All],5,0),"")</f>
        <v/>
      </c>
      <c r="F242" s="138" t="str">
        <f>+IFERROR(VLOOKUP(Fact_Analitica[[#This Row],[Concepto Anterior]],Conceptos_Analítica_contraloría[#All],7,0),"")</f>
        <v/>
      </c>
      <c r="I242" s="138" t="str">
        <f>+IFERROR(VLOOKUP(D242,Conceptos_Analítica_contraloría[#All],2,0),"")</f>
        <v/>
      </c>
      <c r="J242" s="138" t="str">
        <f>+IFERROR(VLOOKUP(D242,Conceptos_Analítica_contraloría[#All],3,0),"")</f>
        <v/>
      </c>
    </row>
    <row r="243" spans="3:10" x14ac:dyDescent="0.35">
      <c r="C243" s="144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s="138" t="str">
        <f>+IFERROR(VLOOKUP(Fact_Analitica[[#This Row],[Concepto Anterior]],Conceptos_Analítica_contraloría[#All],5,0),"")</f>
        <v/>
      </c>
      <c r="F243" s="138" t="str">
        <f>+IFERROR(VLOOKUP(Fact_Analitica[[#This Row],[Concepto Anterior]],Conceptos_Analítica_contraloría[#All],7,0),"")</f>
        <v/>
      </c>
      <c r="I243" s="138" t="str">
        <f>+IFERROR(VLOOKUP(D243,Conceptos_Analítica_contraloría[#All],2,0),"")</f>
        <v/>
      </c>
      <c r="J243" s="138" t="str">
        <f>+IFERROR(VLOOKUP(D243,Conceptos_Analítica_contraloría[#All],3,0),"")</f>
        <v/>
      </c>
    </row>
    <row r="244" spans="3:10" x14ac:dyDescent="0.35">
      <c r="C244" s="144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s="138" t="str">
        <f>+IFERROR(VLOOKUP(Fact_Analitica[[#This Row],[Concepto Anterior]],Conceptos_Analítica_contraloría[#All],5,0),"")</f>
        <v/>
      </c>
      <c r="F244" s="138" t="str">
        <f>+IFERROR(VLOOKUP(Fact_Analitica[[#This Row],[Concepto Anterior]],Conceptos_Analítica_contraloría[#All],7,0),"")</f>
        <v/>
      </c>
      <c r="I244" s="138" t="str">
        <f>+IFERROR(VLOOKUP(D244,Conceptos_Analítica_contraloría[#All],2,0),"")</f>
        <v/>
      </c>
      <c r="J244" s="138" t="str">
        <f>+IFERROR(VLOOKUP(D244,Conceptos_Analítica_contraloría[#All],3,0),"")</f>
        <v/>
      </c>
    </row>
    <row r="245" spans="3:10" x14ac:dyDescent="0.35">
      <c r="C245" s="144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s="138" t="str">
        <f>+IFERROR(VLOOKUP(Fact_Analitica[[#This Row],[Concepto Anterior]],Conceptos_Analítica_contraloría[#All],5,0),"")</f>
        <v/>
      </c>
      <c r="F245" s="138" t="str">
        <f>+IFERROR(VLOOKUP(Fact_Analitica[[#This Row],[Concepto Anterior]],Conceptos_Analítica_contraloría[#All],7,0),"")</f>
        <v/>
      </c>
      <c r="I245" s="138" t="str">
        <f>+IFERROR(VLOOKUP(D245,Conceptos_Analítica_contraloría[#All],2,0),"")</f>
        <v/>
      </c>
      <c r="J245" s="138" t="str">
        <f>+IFERROR(VLOOKUP(D245,Conceptos_Analítica_contraloría[#All],3,0),"")</f>
        <v/>
      </c>
    </row>
    <row r="246" spans="3:10" x14ac:dyDescent="0.35">
      <c r="C246" s="144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s="138" t="str">
        <f>+IFERROR(VLOOKUP(Fact_Analitica[[#This Row],[Concepto Anterior]],Conceptos_Analítica_contraloría[#All],5,0),"")</f>
        <v/>
      </c>
      <c r="F246" s="138" t="str">
        <f>+IFERROR(VLOOKUP(Fact_Analitica[[#This Row],[Concepto Anterior]],Conceptos_Analítica_contraloría[#All],7,0),"")</f>
        <v/>
      </c>
      <c r="I246" s="138" t="str">
        <f>+IFERROR(VLOOKUP(D246,Conceptos_Analítica_contraloría[#All],2,0),"")</f>
        <v/>
      </c>
      <c r="J246" s="138" t="str">
        <f>+IFERROR(VLOOKUP(D246,Conceptos_Analítica_contraloría[#All],3,0),"")</f>
        <v/>
      </c>
    </row>
    <row r="247" spans="3:10" x14ac:dyDescent="0.35">
      <c r="C247" s="144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s="138" t="str">
        <f>+IFERROR(VLOOKUP(Fact_Analitica[[#This Row],[Concepto Anterior]],Conceptos_Analítica_contraloría[#All],5,0),"")</f>
        <v/>
      </c>
      <c r="F247" s="138" t="str">
        <f>+IFERROR(VLOOKUP(Fact_Analitica[[#This Row],[Concepto Anterior]],Conceptos_Analítica_contraloría[#All],7,0),"")</f>
        <v/>
      </c>
      <c r="I247" s="138" t="str">
        <f>+IFERROR(VLOOKUP(D247,Conceptos_Analítica_contraloría[#All],2,0),"")</f>
        <v/>
      </c>
      <c r="J247" s="138" t="str">
        <f>+IFERROR(VLOOKUP(D247,Conceptos_Analítica_contraloría[#All],3,0),"")</f>
        <v/>
      </c>
    </row>
    <row r="248" spans="3:10" x14ac:dyDescent="0.35">
      <c r="C248" s="144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s="138" t="str">
        <f>+IFERROR(VLOOKUP(Fact_Analitica[[#This Row],[Concepto Anterior]],Conceptos_Analítica_contraloría[#All],5,0),"")</f>
        <v/>
      </c>
      <c r="F248" s="138" t="str">
        <f>+IFERROR(VLOOKUP(Fact_Analitica[[#This Row],[Concepto Anterior]],Conceptos_Analítica_contraloría[#All],7,0),"")</f>
        <v/>
      </c>
      <c r="I248" s="138" t="str">
        <f>+IFERROR(VLOOKUP(D248,Conceptos_Analítica_contraloría[#All],2,0),"")</f>
        <v/>
      </c>
      <c r="J248" s="138" t="str">
        <f>+IFERROR(VLOOKUP(D248,Conceptos_Analítica_contraloría[#All],3,0),"")</f>
        <v/>
      </c>
    </row>
    <row r="249" spans="3:10" x14ac:dyDescent="0.35">
      <c r="C249" s="144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s="138" t="str">
        <f>+IFERROR(VLOOKUP(Fact_Analitica[[#This Row],[Concepto Anterior]],Conceptos_Analítica_contraloría[#All],5,0),"")</f>
        <v/>
      </c>
      <c r="F249" s="138" t="str">
        <f>+IFERROR(VLOOKUP(Fact_Analitica[[#This Row],[Concepto Anterior]],Conceptos_Analítica_contraloría[#All],7,0),"")</f>
        <v/>
      </c>
      <c r="I249" s="138" t="str">
        <f>+IFERROR(VLOOKUP(D249,Conceptos_Analítica_contraloría[#All],2,0),"")</f>
        <v/>
      </c>
      <c r="J249" s="138" t="str">
        <f>+IFERROR(VLOOKUP(D249,Conceptos_Analítica_contraloría[#All],3,0),"")</f>
        <v/>
      </c>
    </row>
    <row r="250" spans="3:10" x14ac:dyDescent="0.35">
      <c r="C250" s="144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s="138" t="str">
        <f>+IFERROR(VLOOKUP(Fact_Analitica[[#This Row],[Concepto Anterior]],Conceptos_Analítica_contraloría[#All],5,0),"")</f>
        <v/>
      </c>
      <c r="F250" s="138" t="str">
        <f>+IFERROR(VLOOKUP(Fact_Analitica[[#This Row],[Concepto Anterior]],Conceptos_Analítica_contraloría[#All],7,0),"")</f>
        <v/>
      </c>
      <c r="I250" s="138" t="str">
        <f>+IFERROR(VLOOKUP(D250,Conceptos_Analítica_contraloría[#All],2,0),"")</f>
        <v/>
      </c>
      <c r="J250" s="138" t="str">
        <f>+IFERROR(VLOOKUP(D250,Conceptos_Analítica_contraloría[#All],3,0),"")</f>
        <v/>
      </c>
    </row>
    <row r="251" spans="3:10" x14ac:dyDescent="0.35">
      <c r="C251" s="144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s="138" t="str">
        <f>+IFERROR(VLOOKUP(Fact_Analitica[[#This Row],[Concepto Anterior]],Conceptos_Analítica_contraloría[#All],5,0),"")</f>
        <v/>
      </c>
      <c r="F251" s="138" t="str">
        <f>+IFERROR(VLOOKUP(Fact_Analitica[[#This Row],[Concepto Anterior]],Conceptos_Analítica_contraloría[#All],7,0),"")</f>
        <v/>
      </c>
      <c r="I251" s="138" t="str">
        <f>+IFERROR(VLOOKUP(D251,Conceptos_Analítica_contraloría[#All],2,0),"")</f>
        <v/>
      </c>
      <c r="J251" s="138" t="str">
        <f>+IFERROR(VLOOKUP(D251,Conceptos_Analítica_contraloría[#All],3,0),"")</f>
        <v/>
      </c>
    </row>
    <row r="252" spans="3:10" x14ac:dyDescent="0.35">
      <c r="C252" s="144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s="138" t="str">
        <f>+IFERROR(VLOOKUP(Fact_Analitica[[#This Row],[Concepto Anterior]],Conceptos_Analítica_contraloría[#All],5,0),"")</f>
        <v/>
      </c>
      <c r="F252" s="138" t="str">
        <f>+IFERROR(VLOOKUP(Fact_Analitica[[#This Row],[Concepto Anterior]],Conceptos_Analítica_contraloría[#All],7,0),"")</f>
        <v/>
      </c>
      <c r="I252" s="138" t="str">
        <f>+IFERROR(VLOOKUP(D252,Conceptos_Analítica_contraloría[#All],2,0),"")</f>
        <v/>
      </c>
      <c r="J252" s="138" t="str">
        <f>+IFERROR(VLOOKUP(D252,Conceptos_Analítica_contraloría[#All],3,0),"")</f>
        <v/>
      </c>
    </row>
    <row r="253" spans="3:10" x14ac:dyDescent="0.35">
      <c r="C253" s="144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s="138" t="str">
        <f>+IFERROR(VLOOKUP(Fact_Analitica[[#This Row],[Concepto Anterior]],Conceptos_Analítica_contraloría[#All],5,0),"")</f>
        <v/>
      </c>
      <c r="F253" s="138" t="str">
        <f>+IFERROR(VLOOKUP(Fact_Analitica[[#This Row],[Concepto Anterior]],Conceptos_Analítica_contraloría[#All],7,0),"")</f>
        <v/>
      </c>
      <c r="I253" s="138" t="str">
        <f>+IFERROR(VLOOKUP(D253,Conceptos_Analítica_contraloría[#All],2,0),"")</f>
        <v/>
      </c>
      <c r="J253" s="138" t="str">
        <f>+IFERROR(VLOOKUP(D253,Conceptos_Analítica_contraloría[#All],3,0),"")</f>
        <v/>
      </c>
    </row>
    <row r="254" spans="3:10" x14ac:dyDescent="0.35">
      <c r="C254" s="144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s="138" t="str">
        <f>+IFERROR(VLOOKUP(Fact_Analitica[[#This Row],[Concepto Anterior]],Conceptos_Analítica_contraloría[#All],5,0),"")</f>
        <v/>
      </c>
      <c r="F254" s="138" t="str">
        <f>+IFERROR(VLOOKUP(Fact_Analitica[[#This Row],[Concepto Anterior]],Conceptos_Analítica_contraloría[#All],7,0),"")</f>
        <v/>
      </c>
      <c r="I254" s="138" t="str">
        <f>+IFERROR(VLOOKUP(D254,Conceptos_Analítica_contraloría[#All],2,0),"")</f>
        <v/>
      </c>
      <c r="J254" s="138" t="str">
        <f>+IFERROR(VLOOKUP(D254,Conceptos_Analítica_contraloría[#All],3,0),"")</f>
        <v/>
      </c>
    </row>
    <row r="255" spans="3:10" x14ac:dyDescent="0.35">
      <c r="C255" s="144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s="138" t="str">
        <f>+IFERROR(VLOOKUP(Fact_Analitica[[#This Row],[Concepto Anterior]],Conceptos_Analítica_contraloría[#All],5,0),"")</f>
        <v/>
      </c>
      <c r="F255" s="138" t="str">
        <f>+IFERROR(VLOOKUP(Fact_Analitica[[#This Row],[Concepto Anterior]],Conceptos_Analítica_contraloría[#All],7,0),"")</f>
        <v/>
      </c>
      <c r="I255" s="138" t="str">
        <f>+IFERROR(VLOOKUP(D255,Conceptos_Analítica_contraloría[#All],2,0),"")</f>
        <v/>
      </c>
      <c r="J255" s="138" t="str">
        <f>+IFERROR(VLOOKUP(D255,Conceptos_Analítica_contraloría[#All],3,0),"")</f>
        <v/>
      </c>
    </row>
    <row r="256" spans="3:10" x14ac:dyDescent="0.35">
      <c r="C256" s="144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s="138" t="str">
        <f>+IFERROR(VLOOKUP(Fact_Analitica[[#This Row],[Concepto Anterior]],Conceptos_Analítica_contraloría[#All],5,0),"")</f>
        <v/>
      </c>
      <c r="F256" s="138" t="str">
        <f>+IFERROR(VLOOKUP(Fact_Analitica[[#This Row],[Concepto Anterior]],Conceptos_Analítica_contraloría[#All],7,0),"")</f>
        <v/>
      </c>
      <c r="I256" s="138" t="str">
        <f>+IFERROR(VLOOKUP(D256,Conceptos_Analítica_contraloría[#All],2,0),"")</f>
        <v/>
      </c>
      <c r="J256" s="138" t="str">
        <f>+IFERROR(VLOOKUP(D256,Conceptos_Analítica_contraloría[#All],3,0),"")</f>
        <v/>
      </c>
    </row>
    <row r="257" spans="3:10" x14ac:dyDescent="0.35">
      <c r="C257" s="144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s="138" t="str">
        <f>+IFERROR(VLOOKUP(Fact_Analitica[[#This Row],[Concepto Anterior]],Conceptos_Analítica_contraloría[#All],5,0),"")</f>
        <v/>
      </c>
      <c r="F257" s="138" t="str">
        <f>+IFERROR(VLOOKUP(Fact_Analitica[[#This Row],[Concepto Anterior]],Conceptos_Analítica_contraloría[#All],7,0),"")</f>
        <v/>
      </c>
      <c r="I257" s="138" t="str">
        <f>+IFERROR(VLOOKUP(D257,Conceptos_Analítica_contraloría[#All],2,0),"")</f>
        <v/>
      </c>
      <c r="J257" s="138" t="str">
        <f>+IFERROR(VLOOKUP(D257,Conceptos_Analítica_contraloría[#All],3,0),"")</f>
        <v/>
      </c>
    </row>
    <row r="258" spans="3:10" x14ac:dyDescent="0.35">
      <c r="C258" s="144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s="138" t="str">
        <f>+IFERROR(VLOOKUP(Fact_Analitica[[#This Row],[Concepto Anterior]],Conceptos_Analítica_contraloría[#All],5,0),"")</f>
        <v/>
      </c>
      <c r="F258" s="138" t="str">
        <f>+IFERROR(VLOOKUP(Fact_Analitica[[#This Row],[Concepto Anterior]],Conceptos_Analítica_contraloría[#All],7,0),"")</f>
        <v/>
      </c>
      <c r="I258" s="138" t="str">
        <f>+IFERROR(VLOOKUP(D258,Conceptos_Analítica_contraloría[#All],2,0),"")</f>
        <v/>
      </c>
      <c r="J258" s="138" t="str">
        <f>+IFERROR(VLOOKUP(D258,Conceptos_Analítica_contraloría[#All],3,0),"")</f>
        <v/>
      </c>
    </row>
    <row r="259" spans="3:10" x14ac:dyDescent="0.35">
      <c r="C259" s="144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s="138" t="str">
        <f>+IFERROR(VLOOKUP(Fact_Analitica[[#This Row],[Concepto Anterior]],Conceptos_Analítica_contraloría[#All],5,0),"")</f>
        <v/>
      </c>
      <c r="F259" s="138" t="str">
        <f>+IFERROR(VLOOKUP(Fact_Analitica[[#This Row],[Concepto Anterior]],Conceptos_Analítica_contraloría[#All],7,0),"")</f>
        <v/>
      </c>
      <c r="I259" s="138" t="str">
        <f>+IFERROR(VLOOKUP(D259,Conceptos_Analítica_contraloría[#All],2,0),"")</f>
        <v/>
      </c>
      <c r="J259" s="138" t="str">
        <f>+IFERROR(VLOOKUP(D259,Conceptos_Analítica_contraloría[#All],3,0),"")</f>
        <v/>
      </c>
    </row>
    <row r="260" spans="3:10" x14ac:dyDescent="0.35">
      <c r="C260" s="144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s="138" t="str">
        <f>+IFERROR(VLOOKUP(Fact_Analitica[[#This Row],[Concepto Anterior]],Conceptos_Analítica_contraloría[#All],5,0),"")</f>
        <v/>
      </c>
      <c r="F260" s="138" t="str">
        <f>+IFERROR(VLOOKUP(Fact_Analitica[[#This Row],[Concepto Anterior]],Conceptos_Analítica_contraloría[#All],7,0),"")</f>
        <v/>
      </c>
      <c r="I260" s="138" t="str">
        <f>+IFERROR(VLOOKUP(D260,Conceptos_Analítica_contraloría[#All],2,0),"")</f>
        <v/>
      </c>
      <c r="J260" s="138" t="str">
        <f>+IFERROR(VLOOKUP(D260,Conceptos_Analítica_contraloría[#All],3,0),"")</f>
        <v/>
      </c>
    </row>
    <row r="261" spans="3:10" x14ac:dyDescent="0.35">
      <c r="C261" s="144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s="138" t="str">
        <f>+IFERROR(VLOOKUP(Fact_Analitica[[#This Row],[Concepto Anterior]],Conceptos_Analítica_contraloría[#All],5,0),"")</f>
        <v/>
      </c>
      <c r="F261" s="138" t="str">
        <f>+IFERROR(VLOOKUP(Fact_Analitica[[#This Row],[Concepto Anterior]],Conceptos_Analítica_contraloría[#All],7,0),"")</f>
        <v/>
      </c>
      <c r="I261" s="138" t="str">
        <f>+IFERROR(VLOOKUP(D261,Conceptos_Analítica_contraloría[#All],2,0),"")</f>
        <v/>
      </c>
      <c r="J261" s="138" t="str">
        <f>+IFERROR(VLOOKUP(D261,Conceptos_Analítica_contraloría[#All],3,0),"")</f>
        <v/>
      </c>
    </row>
    <row r="262" spans="3:10" x14ac:dyDescent="0.35">
      <c r="C262" s="144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s="138" t="str">
        <f>+IFERROR(VLOOKUP(Fact_Analitica[[#This Row],[Concepto Anterior]],Conceptos_Analítica_contraloría[#All],5,0),"")</f>
        <v/>
      </c>
      <c r="F262" s="138" t="str">
        <f>+IFERROR(VLOOKUP(Fact_Analitica[[#This Row],[Concepto Anterior]],Conceptos_Analítica_contraloría[#All],7,0),"")</f>
        <v/>
      </c>
      <c r="I262" s="138" t="str">
        <f>+IFERROR(VLOOKUP(D262,Conceptos_Analítica_contraloría[#All],2,0),"")</f>
        <v/>
      </c>
      <c r="J262" s="138" t="str">
        <f>+IFERROR(VLOOKUP(D262,Conceptos_Analítica_contraloría[#All],3,0),"")</f>
        <v/>
      </c>
    </row>
    <row r="263" spans="3:10" x14ac:dyDescent="0.35">
      <c r="C263" s="144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s="138" t="str">
        <f>+IFERROR(VLOOKUP(Fact_Analitica[[#This Row],[Concepto Anterior]],Conceptos_Analítica_contraloría[#All],5,0),"")</f>
        <v/>
      </c>
      <c r="F263" s="138" t="str">
        <f>+IFERROR(VLOOKUP(Fact_Analitica[[#This Row],[Concepto Anterior]],Conceptos_Analítica_contraloría[#All],7,0),"")</f>
        <v/>
      </c>
      <c r="I263" s="138" t="str">
        <f>+IFERROR(VLOOKUP(D263,Conceptos_Analítica_contraloría[#All],2,0),"")</f>
        <v/>
      </c>
      <c r="J263" s="138" t="str">
        <f>+IFERROR(VLOOKUP(D263,Conceptos_Analítica_contraloría[#All],3,0),"")</f>
        <v/>
      </c>
    </row>
    <row r="264" spans="3:10" x14ac:dyDescent="0.35">
      <c r="C264" s="144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s="138" t="str">
        <f>+IFERROR(VLOOKUP(Fact_Analitica[[#This Row],[Concepto Anterior]],Conceptos_Analítica_contraloría[#All],5,0),"")</f>
        <v/>
      </c>
      <c r="F264" s="138" t="str">
        <f>+IFERROR(VLOOKUP(Fact_Analitica[[#This Row],[Concepto Anterior]],Conceptos_Analítica_contraloría[#All],7,0),"")</f>
        <v/>
      </c>
      <c r="I264" s="138" t="str">
        <f>+IFERROR(VLOOKUP(D264,Conceptos_Analítica_contraloría[#All],2,0),"")</f>
        <v/>
      </c>
      <c r="J264" s="138" t="str">
        <f>+IFERROR(VLOOKUP(D264,Conceptos_Analítica_contraloría[#All],3,0),"")</f>
        <v/>
      </c>
    </row>
    <row r="265" spans="3:10" x14ac:dyDescent="0.35">
      <c r="C265" s="144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s="138" t="str">
        <f>+IFERROR(VLOOKUP(Fact_Analitica[[#This Row],[Concepto Anterior]],Conceptos_Analítica_contraloría[#All],5,0),"")</f>
        <v/>
      </c>
      <c r="F265" s="138" t="str">
        <f>+IFERROR(VLOOKUP(Fact_Analitica[[#This Row],[Concepto Anterior]],Conceptos_Analítica_contraloría[#All],7,0),"")</f>
        <v/>
      </c>
      <c r="I265" s="138" t="str">
        <f>+IFERROR(VLOOKUP(D265,Conceptos_Analítica_contraloría[#All],2,0),"")</f>
        <v/>
      </c>
      <c r="J265" s="138" t="str">
        <f>+IFERROR(VLOOKUP(D265,Conceptos_Analítica_contraloría[#All],3,0),"")</f>
        <v/>
      </c>
    </row>
    <row r="266" spans="3:10" x14ac:dyDescent="0.35">
      <c r="C266" s="144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s="138" t="str">
        <f>+IFERROR(VLOOKUP(Fact_Analitica[[#This Row],[Concepto Anterior]],Conceptos_Analítica_contraloría[#All],5,0),"")</f>
        <v/>
      </c>
      <c r="F266" s="138" t="str">
        <f>+IFERROR(VLOOKUP(Fact_Analitica[[#This Row],[Concepto Anterior]],Conceptos_Analítica_contraloría[#All],7,0),"")</f>
        <v/>
      </c>
      <c r="I266" s="138" t="str">
        <f>+IFERROR(VLOOKUP(D266,Conceptos_Analítica_contraloría[#All],2,0),"")</f>
        <v/>
      </c>
      <c r="J266" s="138" t="str">
        <f>+IFERROR(VLOOKUP(D266,Conceptos_Analítica_contraloría[#All],3,0),"")</f>
        <v/>
      </c>
    </row>
    <row r="267" spans="3:10" x14ac:dyDescent="0.35">
      <c r="C267" s="144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s="138" t="str">
        <f>+IFERROR(VLOOKUP(Fact_Analitica[[#This Row],[Concepto Anterior]],Conceptos_Analítica_contraloría[#All],5,0),"")</f>
        <v/>
      </c>
      <c r="F267" s="138" t="str">
        <f>+IFERROR(VLOOKUP(Fact_Analitica[[#This Row],[Concepto Anterior]],Conceptos_Analítica_contraloría[#All],7,0),"")</f>
        <v/>
      </c>
      <c r="I267" s="138" t="str">
        <f>+IFERROR(VLOOKUP(D267,Conceptos_Analítica_contraloría[#All],2,0),"")</f>
        <v/>
      </c>
      <c r="J267" s="138" t="str">
        <f>+IFERROR(VLOOKUP(D267,Conceptos_Analítica_contraloría[#All],3,0),"")</f>
        <v/>
      </c>
    </row>
    <row r="268" spans="3:10" x14ac:dyDescent="0.35">
      <c r="C268" s="144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s="138" t="str">
        <f>+IFERROR(VLOOKUP(Fact_Analitica[[#This Row],[Concepto Anterior]],Conceptos_Analítica_contraloría[#All],5,0),"")</f>
        <v/>
      </c>
      <c r="F268" s="138" t="str">
        <f>+IFERROR(VLOOKUP(Fact_Analitica[[#This Row],[Concepto Anterior]],Conceptos_Analítica_contraloría[#All],7,0),"")</f>
        <v/>
      </c>
      <c r="I268" s="138" t="str">
        <f>+IFERROR(VLOOKUP(D268,Conceptos_Analítica_contraloría[#All],2,0),"")</f>
        <v/>
      </c>
      <c r="J268" s="138" t="str">
        <f>+IFERROR(VLOOKUP(D268,Conceptos_Analítica_contraloría[#All],3,0),"")</f>
        <v/>
      </c>
    </row>
    <row r="269" spans="3:10" x14ac:dyDescent="0.35">
      <c r="C269" s="144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s="138" t="str">
        <f>+IFERROR(VLOOKUP(Fact_Analitica[[#This Row],[Concepto Anterior]],Conceptos_Analítica_contraloría[#All],5,0),"")</f>
        <v/>
      </c>
      <c r="F269" s="138" t="str">
        <f>+IFERROR(VLOOKUP(Fact_Analitica[[#This Row],[Concepto Anterior]],Conceptos_Analítica_contraloría[#All],7,0),"")</f>
        <v/>
      </c>
      <c r="I269" s="138" t="str">
        <f>+IFERROR(VLOOKUP(D269,Conceptos_Analítica_contraloría[#All],2,0),"")</f>
        <v/>
      </c>
      <c r="J269" s="138" t="str">
        <f>+IFERROR(VLOOKUP(D269,Conceptos_Analítica_contraloría[#All],3,0),"")</f>
        <v/>
      </c>
    </row>
    <row r="270" spans="3:10" x14ac:dyDescent="0.35">
      <c r="C270" s="144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s="138" t="str">
        <f>+IFERROR(VLOOKUP(Fact_Analitica[[#This Row],[Concepto Anterior]],Conceptos_Analítica_contraloría[#All],5,0),"")</f>
        <v/>
      </c>
      <c r="F270" s="138" t="str">
        <f>+IFERROR(VLOOKUP(Fact_Analitica[[#This Row],[Concepto Anterior]],Conceptos_Analítica_contraloría[#All],7,0),"")</f>
        <v/>
      </c>
      <c r="I270" s="138" t="str">
        <f>+IFERROR(VLOOKUP(D270,Conceptos_Analítica_contraloría[#All],2,0),"")</f>
        <v/>
      </c>
      <c r="J270" s="138" t="str">
        <f>+IFERROR(VLOOKUP(D270,Conceptos_Analítica_contraloría[#All],3,0),"")</f>
        <v/>
      </c>
    </row>
    <row r="271" spans="3:10" x14ac:dyDescent="0.35">
      <c r="C271" s="144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s="138" t="str">
        <f>+IFERROR(VLOOKUP(Fact_Analitica[[#This Row],[Concepto Anterior]],Conceptos_Analítica_contraloría[#All],5,0),"")</f>
        <v/>
      </c>
      <c r="F271" s="138" t="str">
        <f>+IFERROR(VLOOKUP(Fact_Analitica[[#This Row],[Concepto Anterior]],Conceptos_Analítica_contraloría[#All],7,0),"")</f>
        <v/>
      </c>
      <c r="I271" s="138" t="str">
        <f>+IFERROR(VLOOKUP(D271,Conceptos_Analítica_contraloría[#All],2,0),"")</f>
        <v/>
      </c>
      <c r="J271" s="138" t="str">
        <f>+IFERROR(VLOOKUP(D271,Conceptos_Analítica_contraloría[#All],3,0),"")</f>
        <v/>
      </c>
    </row>
    <row r="272" spans="3:10" x14ac:dyDescent="0.35">
      <c r="C272" s="144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s="138" t="str">
        <f>+IFERROR(VLOOKUP(Fact_Analitica[[#This Row],[Concepto Anterior]],Conceptos_Analítica_contraloría[#All],5,0),"")</f>
        <v/>
      </c>
      <c r="F272" s="138" t="str">
        <f>+IFERROR(VLOOKUP(Fact_Analitica[[#This Row],[Concepto Anterior]],Conceptos_Analítica_contraloría[#All],7,0),"")</f>
        <v/>
      </c>
      <c r="I272" s="138" t="str">
        <f>+IFERROR(VLOOKUP(D272,Conceptos_Analítica_contraloría[#All],2,0),"")</f>
        <v/>
      </c>
      <c r="J272" s="138" t="str">
        <f>+IFERROR(VLOOKUP(D272,Conceptos_Analítica_contraloría[#All],3,0),"")</f>
        <v/>
      </c>
    </row>
    <row r="273" spans="3:10" x14ac:dyDescent="0.35">
      <c r="C273" s="144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s="138" t="str">
        <f>+IFERROR(VLOOKUP(Fact_Analitica[[#This Row],[Concepto Anterior]],Conceptos_Analítica_contraloría[#All],5,0),"")</f>
        <v/>
      </c>
      <c r="F273" s="138" t="str">
        <f>+IFERROR(VLOOKUP(Fact_Analitica[[#This Row],[Concepto Anterior]],Conceptos_Analítica_contraloría[#All],7,0),"")</f>
        <v/>
      </c>
      <c r="I273" s="138" t="str">
        <f>+IFERROR(VLOOKUP(D273,Conceptos_Analítica_contraloría[#All],2,0),"")</f>
        <v/>
      </c>
      <c r="J273" s="138" t="str">
        <f>+IFERROR(VLOOKUP(D273,Conceptos_Analítica_contraloría[#All],3,0),"")</f>
        <v/>
      </c>
    </row>
    <row r="274" spans="3:10" x14ac:dyDescent="0.35">
      <c r="C274" s="144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s="138" t="str">
        <f>+IFERROR(VLOOKUP(Fact_Analitica[[#This Row],[Concepto Anterior]],Conceptos_Analítica_contraloría[#All],5,0),"")</f>
        <v/>
      </c>
      <c r="F274" s="138" t="str">
        <f>+IFERROR(VLOOKUP(Fact_Analitica[[#This Row],[Concepto Anterior]],Conceptos_Analítica_contraloría[#All],7,0),"")</f>
        <v/>
      </c>
      <c r="I274" s="138" t="str">
        <f>+IFERROR(VLOOKUP(D274,Conceptos_Analítica_contraloría[#All],2,0),"")</f>
        <v/>
      </c>
      <c r="J274" s="138" t="str">
        <f>+IFERROR(VLOOKUP(D274,Conceptos_Analítica_contraloría[#All],3,0),"")</f>
        <v/>
      </c>
    </row>
    <row r="275" spans="3:10" x14ac:dyDescent="0.35">
      <c r="C275" s="144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s="138" t="str">
        <f>+IFERROR(VLOOKUP(Fact_Analitica[[#This Row],[Concepto Anterior]],Conceptos_Analítica_contraloría[#All],5,0),"")</f>
        <v/>
      </c>
      <c r="F275" s="138" t="str">
        <f>+IFERROR(VLOOKUP(Fact_Analitica[[#This Row],[Concepto Anterior]],Conceptos_Analítica_contraloría[#All],7,0),"")</f>
        <v/>
      </c>
      <c r="I275" s="138" t="str">
        <f>+IFERROR(VLOOKUP(D275,Conceptos_Analítica_contraloría[#All],2,0),"")</f>
        <v/>
      </c>
      <c r="J275" s="138" t="str">
        <f>+IFERROR(VLOOKUP(D275,Conceptos_Analítica_contraloría[#All],3,0),"")</f>
        <v/>
      </c>
    </row>
    <row r="276" spans="3:10" x14ac:dyDescent="0.35">
      <c r="C276" s="144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s="138" t="str">
        <f>+IFERROR(VLOOKUP(Fact_Analitica[[#This Row],[Concepto Anterior]],Conceptos_Analítica_contraloría[#All],5,0),"")</f>
        <v/>
      </c>
      <c r="F276" s="138" t="str">
        <f>+IFERROR(VLOOKUP(Fact_Analitica[[#This Row],[Concepto Anterior]],Conceptos_Analítica_contraloría[#All],7,0),"")</f>
        <v/>
      </c>
      <c r="I276" s="138" t="str">
        <f>+IFERROR(VLOOKUP(D276,Conceptos_Analítica_contraloría[#All],2,0),"")</f>
        <v/>
      </c>
      <c r="J276" s="138" t="str">
        <f>+IFERROR(VLOOKUP(D276,Conceptos_Analítica_contraloría[#All],3,0),"")</f>
        <v/>
      </c>
    </row>
    <row r="277" spans="3:10" x14ac:dyDescent="0.35">
      <c r="C277" s="144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s="138" t="str">
        <f>+IFERROR(VLOOKUP(Fact_Analitica[[#This Row],[Concepto Anterior]],Conceptos_Analítica_contraloría[#All],5,0),"")</f>
        <v/>
      </c>
      <c r="F277" s="138" t="str">
        <f>+IFERROR(VLOOKUP(Fact_Analitica[[#This Row],[Concepto Anterior]],Conceptos_Analítica_contraloría[#All],7,0),"")</f>
        <v/>
      </c>
      <c r="I277" s="138" t="str">
        <f>+IFERROR(VLOOKUP(D277,Conceptos_Analítica_contraloría[#All],2,0),"")</f>
        <v/>
      </c>
      <c r="J277" s="138" t="str">
        <f>+IFERROR(VLOOKUP(D277,Conceptos_Analítica_contraloría[#All],3,0),"")</f>
        <v/>
      </c>
    </row>
    <row r="278" spans="3:10" x14ac:dyDescent="0.35">
      <c r="C278" s="144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s="138" t="str">
        <f>+IFERROR(VLOOKUP(Fact_Analitica[[#This Row],[Concepto Anterior]],Conceptos_Analítica_contraloría[#All],5,0),"")</f>
        <v/>
      </c>
      <c r="F278" s="138" t="str">
        <f>+IFERROR(VLOOKUP(Fact_Analitica[[#This Row],[Concepto Anterior]],Conceptos_Analítica_contraloría[#All],7,0),"")</f>
        <v/>
      </c>
      <c r="I278" s="138" t="str">
        <f>+IFERROR(VLOOKUP(D278,Conceptos_Analítica_contraloría[#All],2,0),"")</f>
        <v/>
      </c>
      <c r="J278" s="138" t="str">
        <f>+IFERROR(VLOOKUP(D278,Conceptos_Analítica_contraloría[#All],3,0),"")</f>
        <v/>
      </c>
    </row>
    <row r="279" spans="3:10" x14ac:dyDescent="0.35">
      <c r="C279" s="144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s="138" t="str">
        <f>+IFERROR(VLOOKUP(Fact_Analitica[[#This Row],[Concepto Anterior]],Conceptos_Analítica_contraloría[#All],5,0),"")</f>
        <v/>
      </c>
      <c r="F279" s="138" t="str">
        <f>+IFERROR(VLOOKUP(Fact_Analitica[[#This Row],[Concepto Anterior]],Conceptos_Analítica_contraloría[#All],7,0),"")</f>
        <v/>
      </c>
      <c r="I279" s="138" t="str">
        <f>+IFERROR(VLOOKUP(D279,Conceptos_Analítica_contraloría[#All],2,0),"")</f>
        <v/>
      </c>
      <c r="J279" s="138" t="str">
        <f>+IFERROR(VLOOKUP(D279,Conceptos_Analítica_contraloría[#All],3,0),"")</f>
        <v/>
      </c>
    </row>
    <row r="280" spans="3:10" x14ac:dyDescent="0.35">
      <c r="C280" s="144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s="138" t="str">
        <f>+IFERROR(VLOOKUP(Fact_Analitica[[#This Row],[Concepto Anterior]],Conceptos_Analítica_contraloría[#All],5,0),"")</f>
        <v/>
      </c>
      <c r="F280" s="138" t="str">
        <f>+IFERROR(VLOOKUP(Fact_Analitica[[#This Row],[Concepto Anterior]],Conceptos_Analítica_contraloría[#All],7,0),"")</f>
        <v/>
      </c>
      <c r="I280" s="138" t="str">
        <f>+IFERROR(VLOOKUP(D280,Conceptos_Analítica_contraloría[#All],2,0),"")</f>
        <v/>
      </c>
      <c r="J280" s="138" t="str">
        <f>+IFERROR(VLOOKUP(D280,Conceptos_Analítica_contraloría[#All],3,0),"")</f>
        <v/>
      </c>
    </row>
    <row r="281" spans="3:10" x14ac:dyDescent="0.35">
      <c r="C281" s="144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s="138" t="str">
        <f>+IFERROR(VLOOKUP(Fact_Analitica[[#This Row],[Concepto Anterior]],Conceptos_Analítica_contraloría[#All],5,0),"")</f>
        <v/>
      </c>
      <c r="F281" s="138" t="str">
        <f>+IFERROR(VLOOKUP(Fact_Analitica[[#This Row],[Concepto Anterior]],Conceptos_Analítica_contraloría[#All],7,0),"")</f>
        <v/>
      </c>
      <c r="I281" s="138" t="str">
        <f>+IFERROR(VLOOKUP(D281,Conceptos_Analítica_contraloría[#All],2,0),"")</f>
        <v/>
      </c>
      <c r="J281" s="138" t="str">
        <f>+IFERROR(VLOOKUP(D281,Conceptos_Analítica_contraloría[#All],3,0),"")</f>
        <v/>
      </c>
    </row>
    <row r="282" spans="3:10" x14ac:dyDescent="0.35">
      <c r="C282" s="144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s="138" t="str">
        <f>+IFERROR(VLOOKUP(Fact_Analitica[[#This Row],[Concepto Anterior]],Conceptos_Analítica_contraloría[#All],5,0),"")</f>
        <v/>
      </c>
      <c r="F282" s="138" t="str">
        <f>+IFERROR(VLOOKUP(Fact_Analitica[[#This Row],[Concepto Anterior]],Conceptos_Analítica_contraloría[#All],7,0),"")</f>
        <v/>
      </c>
      <c r="I282" s="138" t="str">
        <f>+IFERROR(VLOOKUP(D282,Conceptos_Analítica_contraloría[#All],2,0),"")</f>
        <v/>
      </c>
      <c r="J282" s="138" t="str">
        <f>+IFERROR(VLOOKUP(D282,Conceptos_Analítica_contraloría[#All],3,0),"")</f>
        <v/>
      </c>
    </row>
    <row r="283" spans="3:10" x14ac:dyDescent="0.35">
      <c r="C283" s="144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s="138" t="str">
        <f>+IFERROR(VLOOKUP(Fact_Analitica[[#This Row],[Concepto Anterior]],Conceptos_Analítica_contraloría[#All],5,0),"")</f>
        <v/>
      </c>
      <c r="F283" s="138" t="str">
        <f>+IFERROR(VLOOKUP(Fact_Analitica[[#This Row],[Concepto Anterior]],Conceptos_Analítica_contraloría[#All],7,0),"")</f>
        <v/>
      </c>
      <c r="I283" s="138" t="str">
        <f>+IFERROR(VLOOKUP(D283,Conceptos_Analítica_contraloría[#All],2,0),"")</f>
        <v/>
      </c>
      <c r="J283" s="138" t="str">
        <f>+IFERROR(VLOOKUP(D283,Conceptos_Analítica_contraloría[#All],3,0),"")</f>
        <v/>
      </c>
    </row>
    <row r="284" spans="3:10" x14ac:dyDescent="0.35">
      <c r="C284" s="144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s="138" t="str">
        <f>+IFERROR(VLOOKUP(Fact_Analitica[[#This Row],[Concepto Anterior]],Conceptos_Analítica_contraloría[#All],5,0),"")</f>
        <v/>
      </c>
      <c r="F284" s="138" t="str">
        <f>+IFERROR(VLOOKUP(Fact_Analitica[[#This Row],[Concepto Anterior]],Conceptos_Analítica_contraloría[#All],7,0),"")</f>
        <v/>
      </c>
      <c r="I284" s="138" t="str">
        <f>+IFERROR(VLOOKUP(D284,Conceptos_Analítica_contraloría[#All],2,0),"")</f>
        <v/>
      </c>
      <c r="J284" s="138" t="str">
        <f>+IFERROR(VLOOKUP(D284,Conceptos_Analítica_contraloría[#All],3,0),"")</f>
        <v/>
      </c>
    </row>
    <row r="285" spans="3:10" x14ac:dyDescent="0.35">
      <c r="C285" s="144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s="138" t="str">
        <f>+IFERROR(VLOOKUP(Fact_Analitica[[#This Row],[Concepto Anterior]],Conceptos_Analítica_contraloría[#All],5,0),"")</f>
        <v/>
      </c>
      <c r="F285" s="138" t="str">
        <f>+IFERROR(VLOOKUP(Fact_Analitica[[#This Row],[Concepto Anterior]],Conceptos_Analítica_contraloría[#All],7,0),"")</f>
        <v/>
      </c>
      <c r="I285" s="138" t="str">
        <f>+IFERROR(VLOOKUP(D285,Conceptos_Analítica_contraloría[#All],2,0),"")</f>
        <v/>
      </c>
      <c r="J285" s="138" t="str">
        <f>+IFERROR(VLOOKUP(D285,Conceptos_Analítica_contraloría[#All],3,0),"")</f>
        <v/>
      </c>
    </row>
    <row r="286" spans="3:10" x14ac:dyDescent="0.35">
      <c r="C286" s="144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s="138" t="str">
        <f>+IFERROR(VLOOKUP(Fact_Analitica[[#This Row],[Concepto Anterior]],Conceptos_Analítica_contraloría[#All],5,0),"")</f>
        <v/>
      </c>
      <c r="F286" s="138" t="str">
        <f>+IFERROR(VLOOKUP(Fact_Analitica[[#This Row],[Concepto Anterior]],Conceptos_Analítica_contraloría[#All],7,0),"")</f>
        <v/>
      </c>
      <c r="I286" s="138" t="str">
        <f>+IFERROR(VLOOKUP(D286,Conceptos_Analítica_contraloría[#All],2,0),"")</f>
        <v/>
      </c>
      <c r="J286" s="138" t="str">
        <f>+IFERROR(VLOOKUP(D286,Conceptos_Analítica_contraloría[#All],3,0),"")</f>
        <v/>
      </c>
    </row>
    <row r="287" spans="3:10" x14ac:dyDescent="0.35">
      <c r="C287" s="144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s="138" t="str">
        <f>+IFERROR(VLOOKUP(Fact_Analitica[[#This Row],[Concepto Anterior]],Conceptos_Analítica_contraloría[#All],5,0),"")</f>
        <v/>
      </c>
      <c r="F287" s="138" t="str">
        <f>+IFERROR(VLOOKUP(Fact_Analitica[[#This Row],[Concepto Anterior]],Conceptos_Analítica_contraloría[#All],7,0),"")</f>
        <v/>
      </c>
      <c r="I287" s="138" t="str">
        <f>+IFERROR(VLOOKUP(D287,Conceptos_Analítica_contraloría[#All],2,0),"")</f>
        <v/>
      </c>
      <c r="J287" s="138" t="str">
        <f>+IFERROR(VLOOKUP(D287,Conceptos_Analítica_contraloría[#All],3,0),"")</f>
        <v/>
      </c>
    </row>
    <row r="288" spans="3:10" x14ac:dyDescent="0.35">
      <c r="C288" s="144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s="138" t="str">
        <f>+IFERROR(VLOOKUP(Fact_Analitica[[#This Row],[Concepto Anterior]],Conceptos_Analítica_contraloría[#All],5,0),"")</f>
        <v/>
      </c>
      <c r="F288" s="138" t="str">
        <f>+IFERROR(VLOOKUP(Fact_Analitica[[#This Row],[Concepto Anterior]],Conceptos_Analítica_contraloría[#All],7,0),"")</f>
        <v/>
      </c>
      <c r="I288" s="138" t="str">
        <f>+IFERROR(VLOOKUP(D288,Conceptos_Analítica_contraloría[#All],2,0),"")</f>
        <v/>
      </c>
      <c r="J288" s="138" t="str">
        <f>+IFERROR(VLOOKUP(D288,Conceptos_Analítica_contraloría[#All],3,0),"")</f>
        <v/>
      </c>
    </row>
    <row r="289" spans="3:10" x14ac:dyDescent="0.35">
      <c r="C289" s="144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s="138" t="str">
        <f>+IFERROR(VLOOKUP(Fact_Analitica[[#This Row],[Concepto Anterior]],Conceptos_Analítica_contraloría[#All],5,0),"")</f>
        <v/>
      </c>
      <c r="F289" s="138" t="str">
        <f>+IFERROR(VLOOKUP(Fact_Analitica[[#This Row],[Concepto Anterior]],Conceptos_Analítica_contraloría[#All],7,0),"")</f>
        <v/>
      </c>
      <c r="I289" s="138" t="str">
        <f>+IFERROR(VLOOKUP(D289,Conceptos_Analítica_contraloría[#All],2,0),"")</f>
        <v/>
      </c>
      <c r="J289" s="138" t="str">
        <f>+IFERROR(VLOOKUP(D289,Conceptos_Analítica_contraloría[#All],3,0),"")</f>
        <v/>
      </c>
    </row>
    <row r="290" spans="3:10" x14ac:dyDescent="0.35">
      <c r="C290" s="144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s="138" t="str">
        <f>+IFERROR(VLOOKUP(Fact_Analitica[[#This Row],[Concepto Anterior]],Conceptos_Analítica_contraloría[#All],5,0),"")</f>
        <v/>
      </c>
      <c r="F290" s="138" t="str">
        <f>+IFERROR(VLOOKUP(Fact_Analitica[[#This Row],[Concepto Anterior]],Conceptos_Analítica_contraloría[#All],7,0),"")</f>
        <v/>
      </c>
      <c r="I290" s="138" t="str">
        <f>+IFERROR(VLOOKUP(D290,Conceptos_Analítica_contraloría[#All],2,0),"")</f>
        <v/>
      </c>
      <c r="J290" s="138" t="str">
        <f>+IFERROR(VLOOKUP(D290,Conceptos_Analítica_contraloría[#All],3,0),"")</f>
        <v/>
      </c>
    </row>
    <row r="291" spans="3:10" x14ac:dyDescent="0.35">
      <c r="C291" s="144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s="138" t="str">
        <f>+IFERROR(VLOOKUP(Fact_Analitica[[#This Row],[Concepto Anterior]],Conceptos_Analítica_contraloría[#All],5,0),"")</f>
        <v/>
      </c>
      <c r="F291" s="138" t="str">
        <f>+IFERROR(VLOOKUP(Fact_Analitica[[#This Row],[Concepto Anterior]],Conceptos_Analítica_contraloría[#All],7,0),"")</f>
        <v/>
      </c>
      <c r="I291" s="138" t="str">
        <f>+IFERROR(VLOOKUP(D291,Conceptos_Analítica_contraloría[#All],2,0),"")</f>
        <v/>
      </c>
      <c r="J291" s="138" t="str">
        <f>+IFERROR(VLOOKUP(D291,Conceptos_Analítica_contraloría[#All],3,0),"")</f>
        <v/>
      </c>
    </row>
    <row r="292" spans="3:10" x14ac:dyDescent="0.35">
      <c r="C292" s="144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s="138" t="str">
        <f>+IFERROR(VLOOKUP(Fact_Analitica[[#This Row],[Concepto Anterior]],Conceptos_Analítica_contraloría[#All],5,0),"")</f>
        <v/>
      </c>
      <c r="F292" s="138" t="str">
        <f>+IFERROR(VLOOKUP(Fact_Analitica[[#This Row],[Concepto Anterior]],Conceptos_Analítica_contraloría[#All],7,0),"")</f>
        <v/>
      </c>
      <c r="I292" s="138" t="str">
        <f>+IFERROR(VLOOKUP(D292,Conceptos_Analítica_contraloría[#All],2,0),"")</f>
        <v/>
      </c>
      <c r="J292" s="138" t="str">
        <f>+IFERROR(VLOOKUP(D292,Conceptos_Analítica_contraloría[#All],3,0),"")</f>
        <v/>
      </c>
    </row>
    <row r="293" spans="3:10" x14ac:dyDescent="0.35">
      <c r="C293" s="144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s="138" t="str">
        <f>+IFERROR(VLOOKUP(Fact_Analitica[[#This Row],[Concepto Anterior]],Conceptos_Analítica_contraloría[#All],5,0),"")</f>
        <v/>
      </c>
      <c r="F293" s="138" t="str">
        <f>+IFERROR(VLOOKUP(Fact_Analitica[[#This Row],[Concepto Anterior]],Conceptos_Analítica_contraloría[#All],7,0),"")</f>
        <v/>
      </c>
      <c r="I293" s="138" t="str">
        <f>+IFERROR(VLOOKUP(D293,Conceptos_Analítica_contraloría[#All],2,0),"")</f>
        <v/>
      </c>
      <c r="J293" s="138" t="str">
        <f>+IFERROR(VLOOKUP(D293,Conceptos_Analítica_contraloría[#All],3,0),"")</f>
        <v/>
      </c>
    </row>
    <row r="294" spans="3:10" x14ac:dyDescent="0.35">
      <c r="C294" s="144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s="138" t="str">
        <f>+IFERROR(VLOOKUP(Fact_Analitica[[#This Row],[Concepto Anterior]],Conceptos_Analítica_contraloría[#All],5,0),"")</f>
        <v/>
      </c>
      <c r="F294" s="138" t="str">
        <f>+IFERROR(VLOOKUP(Fact_Analitica[[#This Row],[Concepto Anterior]],Conceptos_Analítica_contraloría[#All],7,0),"")</f>
        <v/>
      </c>
      <c r="I294" s="138" t="str">
        <f>+IFERROR(VLOOKUP(D294,Conceptos_Analítica_contraloría[#All],2,0),"")</f>
        <v/>
      </c>
      <c r="J294" s="138" t="str">
        <f>+IFERROR(VLOOKUP(D294,Conceptos_Analítica_contraloría[#All],3,0),"")</f>
        <v/>
      </c>
    </row>
    <row r="295" spans="3:10" x14ac:dyDescent="0.35">
      <c r="C295" s="144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s="138" t="str">
        <f>+IFERROR(VLOOKUP(Fact_Analitica[[#This Row],[Concepto Anterior]],Conceptos_Analítica_contraloría[#All],5,0),"")</f>
        <v/>
      </c>
      <c r="F295" s="138" t="str">
        <f>+IFERROR(VLOOKUP(Fact_Analitica[[#This Row],[Concepto Anterior]],Conceptos_Analítica_contraloría[#All],7,0),"")</f>
        <v/>
      </c>
      <c r="I295" s="138" t="str">
        <f>+IFERROR(VLOOKUP(D295,Conceptos_Analítica_contraloría[#All],2,0),"")</f>
        <v/>
      </c>
      <c r="J295" s="138" t="str">
        <f>+IFERROR(VLOOKUP(D295,Conceptos_Analítica_contraloría[#All],3,0),"")</f>
        <v/>
      </c>
    </row>
    <row r="296" spans="3:10" x14ac:dyDescent="0.35">
      <c r="C296" s="144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s="138" t="str">
        <f>+IFERROR(VLOOKUP(Fact_Analitica[[#This Row],[Concepto Anterior]],Conceptos_Analítica_contraloría[#All],5,0),"")</f>
        <v/>
      </c>
      <c r="F296" s="138" t="str">
        <f>+IFERROR(VLOOKUP(Fact_Analitica[[#This Row],[Concepto Anterior]],Conceptos_Analítica_contraloría[#All],7,0),"")</f>
        <v/>
      </c>
      <c r="I296" s="138" t="str">
        <f>+IFERROR(VLOOKUP(D296,Conceptos_Analítica_contraloría[#All],2,0),"")</f>
        <v/>
      </c>
      <c r="J296" s="138" t="str">
        <f>+IFERROR(VLOOKUP(D296,Conceptos_Analítica_contraloría[#All],3,0),"")</f>
        <v/>
      </c>
    </row>
    <row r="297" spans="3:10" x14ac:dyDescent="0.35">
      <c r="C297" s="144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s="138" t="str">
        <f>+IFERROR(VLOOKUP(Fact_Analitica[[#This Row],[Concepto Anterior]],Conceptos_Analítica_contraloría[#All],5,0),"")</f>
        <v/>
      </c>
      <c r="F297" s="138" t="str">
        <f>+IFERROR(VLOOKUP(Fact_Analitica[[#This Row],[Concepto Anterior]],Conceptos_Analítica_contraloría[#All],7,0),"")</f>
        <v/>
      </c>
      <c r="I297" s="138" t="str">
        <f>+IFERROR(VLOOKUP(D297,Conceptos_Analítica_contraloría[#All],2,0),"")</f>
        <v/>
      </c>
      <c r="J297" s="138" t="str">
        <f>+IFERROR(VLOOKUP(D297,Conceptos_Analítica_contraloría[#All],3,0),"")</f>
        <v/>
      </c>
    </row>
    <row r="298" spans="3:10" x14ac:dyDescent="0.35">
      <c r="C298" s="144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s="138" t="str">
        <f>+IFERROR(VLOOKUP(Fact_Analitica[[#This Row],[Concepto Anterior]],Conceptos_Analítica_contraloría[#All],5,0),"")</f>
        <v/>
      </c>
      <c r="F298" s="138" t="str">
        <f>+IFERROR(VLOOKUP(Fact_Analitica[[#This Row],[Concepto Anterior]],Conceptos_Analítica_contraloría[#All],7,0),"")</f>
        <v/>
      </c>
      <c r="I298" s="138" t="str">
        <f>+IFERROR(VLOOKUP(D298,Conceptos_Analítica_contraloría[#All],2,0),"")</f>
        <v/>
      </c>
      <c r="J298" s="138" t="str">
        <f>+IFERROR(VLOOKUP(D298,Conceptos_Analítica_contraloría[#All],3,0),"")</f>
        <v/>
      </c>
    </row>
    <row r="299" spans="3:10" x14ac:dyDescent="0.35">
      <c r="C299" s="144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s="138" t="str">
        <f>+IFERROR(VLOOKUP(Fact_Analitica[[#This Row],[Concepto Anterior]],Conceptos_Analítica_contraloría[#All],5,0),"")</f>
        <v/>
      </c>
      <c r="F299" s="138" t="str">
        <f>+IFERROR(VLOOKUP(Fact_Analitica[[#This Row],[Concepto Anterior]],Conceptos_Analítica_contraloría[#All],7,0),"")</f>
        <v/>
      </c>
      <c r="I299" s="138" t="str">
        <f>+IFERROR(VLOOKUP(D299,Conceptos_Analítica_contraloría[#All],2,0),"")</f>
        <v/>
      </c>
      <c r="J299" s="138" t="str">
        <f>+IFERROR(VLOOKUP(D299,Conceptos_Analítica_contraloría[#All],3,0),"")</f>
        <v/>
      </c>
    </row>
    <row r="300" spans="3:10" x14ac:dyDescent="0.35">
      <c r="C300" s="144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s="138" t="str">
        <f>+IFERROR(VLOOKUP(Fact_Analitica[[#This Row],[Concepto Anterior]],Conceptos_Analítica_contraloría[#All],5,0),"")</f>
        <v/>
      </c>
      <c r="F300" s="138" t="str">
        <f>+IFERROR(VLOOKUP(Fact_Analitica[[#This Row],[Concepto Anterior]],Conceptos_Analítica_contraloría[#All],7,0),"")</f>
        <v/>
      </c>
      <c r="I300" s="138" t="str">
        <f>+IFERROR(VLOOKUP(D300,Conceptos_Analítica_contraloría[#All],2,0),"")</f>
        <v/>
      </c>
      <c r="J300" s="138" t="str">
        <f>+IFERROR(VLOOKUP(D300,Conceptos_Analítica_contraloría[#All],3,0),"")</f>
        <v/>
      </c>
    </row>
    <row r="301" spans="3:10" x14ac:dyDescent="0.35">
      <c r="C301" s="144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s="138" t="str">
        <f>+IFERROR(VLOOKUP(Fact_Analitica[[#This Row],[Concepto Anterior]],Conceptos_Analítica_contraloría[#All],5,0),"")</f>
        <v/>
      </c>
      <c r="F301" s="138" t="str">
        <f>+IFERROR(VLOOKUP(Fact_Analitica[[#This Row],[Concepto Anterior]],Conceptos_Analítica_contraloría[#All],7,0),"")</f>
        <v/>
      </c>
      <c r="I301" s="138" t="str">
        <f>+IFERROR(VLOOKUP(D301,Conceptos_Analítica_contraloría[#All],2,0),"")</f>
        <v/>
      </c>
      <c r="J301" s="138" t="str">
        <f>+IFERROR(VLOOKUP(D301,Conceptos_Analítica_contraloría[#All],3,0),"")</f>
        <v/>
      </c>
    </row>
    <row r="302" spans="3:10" x14ac:dyDescent="0.35">
      <c r="C302" s="144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s="138" t="str">
        <f>+IFERROR(VLOOKUP(Fact_Analitica[[#This Row],[Concepto Anterior]],Conceptos_Analítica_contraloría[#All],5,0),"")</f>
        <v/>
      </c>
      <c r="F302" s="138" t="str">
        <f>+IFERROR(VLOOKUP(Fact_Analitica[[#This Row],[Concepto Anterior]],Conceptos_Analítica_contraloría[#All],7,0),"")</f>
        <v/>
      </c>
      <c r="I302" s="138" t="str">
        <f>+IFERROR(VLOOKUP(D302,Conceptos_Analítica_contraloría[#All],2,0),"")</f>
        <v/>
      </c>
      <c r="J302" s="138" t="str">
        <f>+IFERROR(VLOOKUP(D302,Conceptos_Analítica_contraloría[#All],3,0),"")</f>
        <v/>
      </c>
    </row>
    <row r="303" spans="3:10" x14ac:dyDescent="0.35">
      <c r="C303" s="144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s="138" t="str">
        <f>+IFERROR(VLOOKUP(Fact_Analitica[[#This Row],[Concepto Anterior]],Conceptos_Analítica_contraloría[#All],5,0),"")</f>
        <v/>
      </c>
      <c r="F303" s="138" t="str">
        <f>+IFERROR(VLOOKUP(Fact_Analitica[[#This Row],[Concepto Anterior]],Conceptos_Analítica_contraloría[#All],7,0),"")</f>
        <v/>
      </c>
      <c r="I303" s="138" t="str">
        <f>+IFERROR(VLOOKUP(D303,Conceptos_Analítica_contraloría[#All],2,0),"")</f>
        <v/>
      </c>
      <c r="J303" s="138" t="str">
        <f>+IFERROR(VLOOKUP(D303,Conceptos_Analítica_contraloría[#All],3,0),"")</f>
        <v/>
      </c>
    </row>
    <row r="304" spans="3:10" x14ac:dyDescent="0.35">
      <c r="C304" s="144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s="138" t="str">
        <f>+IFERROR(VLOOKUP(Fact_Analitica[[#This Row],[Concepto Anterior]],Conceptos_Analítica_contraloría[#All],5,0),"")</f>
        <v/>
      </c>
      <c r="F304" s="138" t="str">
        <f>+IFERROR(VLOOKUP(Fact_Analitica[[#This Row],[Concepto Anterior]],Conceptos_Analítica_contraloría[#All],7,0),"")</f>
        <v/>
      </c>
      <c r="I304" s="138" t="str">
        <f>+IFERROR(VLOOKUP(D304,Conceptos_Analítica_contraloría[#All],2,0),"")</f>
        <v/>
      </c>
      <c r="J304" s="138" t="str">
        <f>+IFERROR(VLOOKUP(D304,Conceptos_Analítica_contraloría[#All],3,0),"")</f>
        <v/>
      </c>
    </row>
    <row r="305" spans="3:10" x14ac:dyDescent="0.35">
      <c r="C305" s="144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s="138" t="str">
        <f>+IFERROR(VLOOKUP(Fact_Analitica[[#This Row],[Concepto Anterior]],Conceptos_Analítica_contraloría[#All],5,0),"")</f>
        <v/>
      </c>
      <c r="F305" s="138" t="str">
        <f>+IFERROR(VLOOKUP(Fact_Analitica[[#This Row],[Concepto Anterior]],Conceptos_Analítica_contraloría[#All],7,0),"")</f>
        <v/>
      </c>
      <c r="I305" s="138" t="str">
        <f>+IFERROR(VLOOKUP(D305,Conceptos_Analítica_contraloría[#All],2,0),"")</f>
        <v/>
      </c>
      <c r="J305" s="138" t="str">
        <f>+IFERROR(VLOOKUP(D305,Conceptos_Analítica_contraloría[#All],3,0),"")</f>
        <v/>
      </c>
    </row>
    <row r="306" spans="3:10" x14ac:dyDescent="0.35">
      <c r="C306" s="144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s="138" t="str">
        <f>+IFERROR(VLOOKUP(Fact_Analitica[[#This Row],[Concepto Anterior]],Conceptos_Analítica_contraloría[#All],5,0),"")</f>
        <v/>
      </c>
      <c r="F306" s="138" t="str">
        <f>+IFERROR(VLOOKUP(Fact_Analitica[[#This Row],[Concepto Anterior]],Conceptos_Analítica_contraloría[#All],7,0),"")</f>
        <v/>
      </c>
      <c r="I306" s="138" t="str">
        <f>+IFERROR(VLOOKUP(D306,Conceptos_Analítica_contraloría[#All],2,0),"")</f>
        <v/>
      </c>
      <c r="J306" s="138" t="str">
        <f>+IFERROR(VLOOKUP(D306,Conceptos_Analítica_contraloría[#All],3,0),"")</f>
        <v/>
      </c>
    </row>
    <row r="307" spans="3:10" x14ac:dyDescent="0.35">
      <c r="C307" s="144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s="138" t="str">
        <f>+IFERROR(VLOOKUP(Fact_Analitica[[#This Row],[Concepto Anterior]],Conceptos_Analítica_contraloría[#All],5,0),"")</f>
        <v/>
      </c>
      <c r="F307" s="138" t="str">
        <f>+IFERROR(VLOOKUP(Fact_Analitica[[#This Row],[Concepto Anterior]],Conceptos_Analítica_contraloría[#All],7,0),"")</f>
        <v/>
      </c>
      <c r="I307" s="138" t="str">
        <f>+IFERROR(VLOOKUP(D307,Conceptos_Analítica_contraloría[#All],2,0),"")</f>
        <v/>
      </c>
      <c r="J307" s="138" t="str">
        <f>+IFERROR(VLOOKUP(D307,Conceptos_Analítica_contraloría[#All],3,0),"")</f>
        <v/>
      </c>
    </row>
    <row r="308" spans="3:10" x14ac:dyDescent="0.35">
      <c r="C308" s="144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s="138" t="str">
        <f>+IFERROR(VLOOKUP(Fact_Analitica[[#This Row],[Concepto Anterior]],Conceptos_Analítica_contraloría[#All],5,0),"")</f>
        <v/>
      </c>
      <c r="F308" s="138" t="str">
        <f>+IFERROR(VLOOKUP(Fact_Analitica[[#This Row],[Concepto Anterior]],Conceptos_Analítica_contraloría[#All],7,0),"")</f>
        <v/>
      </c>
      <c r="I308" s="138" t="str">
        <f>+IFERROR(VLOOKUP(D308,Conceptos_Analítica_contraloría[#All],2,0),"")</f>
        <v/>
      </c>
      <c r="J308" s="138" t="str">
        <f>+IFERROR(VLOOKUP(D308,Conceptos_Analítica_contraloría[#All],3,0),"")</f>
        <v/>
      </c>
    </row>
    <row r="309" spans="3:10" x14ac:dyDescent="0.35">
      <c r="C309" s="144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s="138" t="str">
        <f>+IFERROR(VLOOKUP(Fact_Analitica[[#This Row],[Concepto Anterior]],Conceptos_Analítica_contraloría[#All],5,0),"")</f>
        <v/>
      </c>
      <c r="F309" s="138" t="str">
        <f>+IFERROR(VLOOKUP(Fact_Analitica[[#This Row],[Concepto Anterior]],Conceptos_Analítica_contraloría[#All],7,0),"")</f>
        <v/>
      </c>
      <c r="I309" s="138" t="str">
        <f>+IFERROR(VLOOKUP(D309,Conceptos_Analítica_contraloría[#All],2,0),"")</f>
        <v/>
      </c>
      <c r="J309" s="138" t="str">
        <f>+IFERROR(VLOOKUP(D309,Conceptos_Analítica_contraloría[#All],3,0),"")</f>
        <v/>
      </c>
    </row>
    <row r="310" spans="3:10" x14ac:dyDescent="0.35">
      <c r="C310" s="144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s="138" t="str">
        <f>+IFERROR(VLOOKUP(Fact_Analitica[[#This Row],[Concepto Anterior]],Conceptos_Analítica_contraloría[#All],5,0),"")</f>
        <v/>
      </c>
      <c r="F310" s="138" t="str">
        <f>+IFERROR(VLOOKUP(Fact_Analitica[[#This Row],[Concepto Anterior]],Conceptos_Analítica_contraloría[#All],7,0),"")</f>
        <v/>
      </c>
      <c r="I310" s="138" t="str">
        <f>+IFERROR(VLOOKUP(D310,Conceptos_Analítica_contraloría[#All],2,0),"")</f>
        <v/>
      </c>
      <c r="J310" s="138" t="str">
        <f>+IFERROR(VLOOKUP(D310,Conceptos_Analítica_contraloría[#All],3,0),"")</f>
        <v/>
      </c>
    </row>
    <row r="311" spans="3:10" x14ac:dyDescent="0.35">
      <c r="C311" s="144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s="138" t="str">
        <f>+IFERROR(VLOOKUP(Fact_Analitica[[#This Row],[Concepto Anterior]],Conceptos_Analítica_contraloría[#All],5,0),"")</f>
        <v/>
      </c>
      <c r="F311" s="138" t="str">
        <f>+IFERROR(VLOOKUP(Fact_Analitica[[#This Row],[Concepto Anterior]],Conceptos_Analítica_contraloría[#All],7,0),"")</f>
        <v/>
      </c>
      <c r="I311" s="138" t="str">
        <f>+IFERROR(VLOOKUP(D311,Conceptos_Analítica_contraloría[#All],2,0),"")</f>
        <v/>
      </c>
      <c r="J311" s="138" t="str">
        <f>+IFERROR(VLOOKUP(D311,Conceptos_Analítica_contraloría[#All],3,0),"")</f>
        <v/>
      </c>
    </row>
    <row r="312" spans="3:10" x14ac:dyDescent="0.35">
      <c r="C312" s="144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s="138" t="str">
        <f>+IFERROR(VLOOKUP(Fact_Analitica[[#This Row],[Concepto Anterior]],Conceptos_Analítica_contraloría[#All],5,0),"")</f>
        <v/>
      </c>
      <c r="F312" s="138" t="str">
        <f>+IFERROR(VLOOKUP(Fact_Analitica[[#This Row],[Concepto Anterior]],Conceptos_Analítica_contraloría[#All],7,0),"")</f>
        <v/>
      </c>
      <c r="I312" s="138" t="str">
        <f>+IFERROR(VLOOKUP(D312,Conceptos_Analítica_contraloría[#All],2,0),"")</f>
        <v/>
      </c>
      <c r="J312" s="138" t="str">
        <f>+IFERROR(VLOOKUP(D312,Conceptos_Analítica_contraloría[#All],3,0),"")</f>
        <v/>
      </c>
    </row>
    <row r="313" spans="3:10" x14ac:dyDescent="0.35">
      <c r="C313" s="144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s="138" t="str">
        <f>+IFERROR(VLOOKUP(Fact_Analitica[[#This Row],[Concepto Anterior]],Conceptos_Analítica_contraloría[#All],5,0),"")</f>
        <v/>
      </c>
      <c r="F313" s="138" t="str">
        <f>+IFERROR(VLOOKUP(Fact_Analitica[[#This Row],[Concepto Anterior]],Conceptos_Analítica_contraloría[#All],7,0),"")</f>
        <v/>
      </c>
      <c r="I313" s="138" t="str">
        <f>+IFERROR(VLOOKUP(D313,Conceptos_Analítica_contraloría[#All],2,0),"")</f>
        <v/>
      </c>
      <c r="J313" s="138" t="str">
        <f>+IFERROR(VLOOKUP(D313,Conceptos_Analítica_contraloría[#All],3,0),"")</f>
        <v/>
      </c>
    </row>
    <row r="314" spans="3:10" x14ac:dyDescent="0.35">
      <c r="C314" s="144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s="138" t="str">
        <f>+IFERROR(VLOOKUP(Fact_Analitica[[#This Row],[Concepto Anterior]],Conceptos_Analítica_contraloría[#All],5,0),"")</f>
        <v/>
      </c>
      <c r="F314" s="138" t="str">
        <f>+IFERROR(VLOOKUP(Fact_Analitica[[#This Row],[Concepto Anterior]],Conceptos_Analítica_contraloría[#All],7,0),"")</f>
        <v/>
      </c>
      <c r="I314" s="138" t="str">
        <f>+IFERROR(VLOOKUP(D314,Conceptos_Analítica_contraloría[#All],2,0),"")</f>
        <v/>
      </c>
      <c r="J314" s="138" t="str">
        <f>+IFERROR(VLOOKUP(D314,Conceptos_Analítica_contraloría[#All],3,0),"")</f>
        <v/>
      </c>
    </row>
    <row r="315" spans="3:10" x14ac:dyDescent="0.35">
      <c r="C315" s="144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s="138" t="str">
        <f>+IFERROR(VLOOKUP(Fact_Analitica[[#This Row],[Concepto Anterior]],Conceptos_Analítica_contraloría[#All],5,0),"")</f>
        <v/>
      </c>
      <c r="F315" s="138" t="str">
        <f>+IFERROR(VLOOKUP(Fact_Analitica[[#This Row],[Concepto Anterior]],Conceptos_Analítica_contraloría[#All],7,0),"")</f>
        <v/>
      </c>
      <c r="I315" s="138" t="str">
        <f>+IFERROR(VLOOKUP(D315,Conceptos_Analítica_contraloría[#All],2,0),"")</f>
        <v/>
      </c>
      <c r="J315" s="138" t="str">
        <f>+IFERROR(VLOOKUP(D315,Conceptos_Analítica_contraloría[#All],3,0),"")</f>
        <v/>
      </c>
    </row>
    <row r="316" spans="3:10" x14ac:dyDescent="0.35">
      <c r="C316" s="144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s="138" t="str">
        <f>+IFERROR(VLOOKUP(Fact_Analitica[[#This Row],[Concepto Anterior]],Conceptos_Analítica_contraloría[#All],5,0),"")</f>
        <v/>
      </c>
      <c r="F316" s="138" t="str">
        <f>+IFERROR(VLOOKUP(Fact_Analitica[[#This Row],[Concepto Anterior]],Conceptos_Analítica_contraloría[#All],7,0),"")</f>
        <v/>
      </c>
      <c r="I316" s="138" t="str">
        <f>+IFERROR(VLOOKUP(D316,Conceptos_Analítica_contraloría[#All],2,0),"")</f>
        <v/>
      </c>
      <c r="J316" s="138" t="str">
        <f>+IFERROR(VLOOKUP(D316,Conceptos_Analítica_contraloría[#All],3,0),"")</f>
        <v/>
      </c>
    </row>
    <row r="317" spans="3:10" x14ac:dyDescent="0.35">
      <c r="C317" s="144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s="138" t="str">
        <f>+IFERROR(VLOOKUP(Fact_Analitica[[#This Row],[Concepto Anterior]],Conceptos_Analítica_contraloría[#All],5,0),"")</f>
        <v/>
      </c>
      <c r="F317" s="138" t="str">
        <f>+IFERROR(VLOOKUP(Fact_Analitica[[#This Row],[Concepto Anterior]],Conceptos_Analítica_contraloría[#All],7,0),"")</f>
        <v/>
      </c>
      <c r="I317" s="138" t="str">
        <f>+IFERROR(VLOOKUP(D317,Conceptos_Analítica_contraloría[#All],2,0),"")</f>
        <v/>
      </c>
      <c r="J317" s="138" t="str">
        <f>+IFERROR(VLOOKUP(D317,Conceptos_Analítica_contraloría[#All],3,0),"")</f>
        <v/>
      </c>
    </row>
    <row r="318" spans="3:10" x14ac:dyDescent="0.35">
      <c r="C318" s="144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s="138" t="str">
        <f>+IFERROR(VLOOKUP(Fact_Analitica[[#This Row],[Concepto Anterior]],Conceptos_Analítica_contraloría[#All],5,0),"")</f>
        <v/>
      </c>
      <c r="F318" s="138" t="str">
        <f>+IFERROR(VLOOKUP(Fact_Analitica[[#This Row],[Concepto Anterior]],Conceptos_Analítica_contraloría[#All],7,0),"")</f>
        <v/>
      </c>
      <c r="I318" s="138" t="str">
        <f>+IFERROR(VLOOKUP(D318,Conceptos_Analítica_contraloría[#All],2,0),"")</f>
        <v/>
      </c>
      <c r="J318" s="138" t="str">
        <f>+IFERROR(VLOOKUP(D318,Conceptos_Analítica_contraloría[#All],3,0),"")</f>
        <v/>
      </c>
    </row>
    <row r="319" spans="3:10" x14ac:dyDescent="0.35">
      <c r="C319" s="144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s="138" t="str">
        <f>+IFERROR(VLOOKUP(Fact_Analitica[[#This Row],[Concepto Anterior]],Conceptos_Analítica_contraloría[#All],5,0),"")</f>
        <v/>
      </c>
      <c r="F319" s="138" t="str">
        <f>+IFERROR(VLOOKUP(Fact_Analitica[[#This Row],[Concepto Anterior]],Conceptos_Analítica_contraloría[#All],7,0),"")</f>
        <v/>
      </c>
      <c r="I319" s="138" t="str">
        <f>+IFERROR(VLOOKUP(D319,Conceptos_Analítica_contraloría[#All],2,0),"")</f>
        <v/>
      </c>
      <c r="J319" s="138" t="str">
        <f>+IFERROR(VLOOKUP(D319,Conceptos_Analítica_contraloría[#All],3,0),"")</f>
        <v/>
      </c>
    </row>
    <row r="320" spans="3:10" x14ac:dyDescent="0.35">
      <c r="C320" s="144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s="138" t="str">
        <f>+IFERROR(VLOOKUP(Fact_Analitica[[#This Row],[Concepto Anterior]],Conceptos_Analítica_contraloría[#All],5,0),"")</f>
        <v/>
      </c>
      <c r="F320" s="138" t="str">
        <f>+IFERROR(VLOOKUP(Fact_Analitica[[#This Row],[Concepto Anterior]],Conceptos_Analítica_contraloría[#All],7,0),"")</f>
        <v/>
      </c>
      <c r="I320" s="138" t="str">
        <f>+IFERROR(VLOOKUP(D320,Conceptos_Analítica_contraloría[#All],2,0),"")</f>
        <v/>
      </c>
      <c r="J320" s="138" t="str">
        <f>+IFERROR(VLOOKUP(D320,Conceptos_Analítica_contraloría[#All],3,0),"")</f>
        <v/>
      </c>
    </row>
    <row r="321" spans="3:10" x14ac:dyDescent="0.35">
      <c r="C321" s="144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s="138" t="str">
        <f>+IFERROR(VLOOKUP(Fact_Analitica[[#This Row],[Concepto Anterior]],Conceptos_Analítica_contraloría[#All],5,0),"")</f>
        <v/>
      </c>
      <c r="F321" s="138" t="str">
        <f>+IFERROR(VLOOKUP(Fact_Analitica[[#This Row],[Concepto Anterior]],Conceptos_Analítica_contraloría[#All],7,0),"")</f>
        <v/>
      </c>
      <c r="I321" s="138" t="str">
        <f>+IFERROR(VLOOKUP(D321,Conceptos_Analítica_contraloría[#All],2,0),"")</f>
        <v/>
      </c>
      <c r="J321" s="138" t="str">
        <f>+IFERROR(VLOOKUP(D321,Conceptos_Analítica_contraloría[#All],3,0),"")</f>
        <v/>
      </c>
    </row>
    <row r="322" spans="3:10" x14ac:dyDescent="0.35">
      <c r="C322" s="144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s="138" t="str">
        <f>+IFERROR(VLOOKUP(Fact_Analitica[[#This Row],[Concepto Anterior]],Conceptos_Analítica_contraloría[#All],5,0),"")</f>
        <v/>
      </c>
      <c r="F322" s="138" t="str">
        <f>+IFERROR(VLOOKUP(Fact_Analitica[[#This Row],[Concepto Anterior]],Conceptos_Analítica_contraloría[#All],7,0),"")</f>
        <v/>
      </c>
      <c r="I322" s="138" t="str">
        <f>+IFERROR(VLOOKUP(D322,Conceptos_Analítica_contraloría[#All],2,0),"")</f>
        <v/>
      </c>
      <c r="J322" s="138" t="str">
        <f>+IFERROR(VLOOKUP(D322,Conceptos_Analítica_contraloría[#All],3,0),"")</f>
        <v/>
      </c>
    </row>
    <row r="323" spans="3:10" x14ac:dyDescent="0.35">
      <c r="C323" s="144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s="138" t="str">
        <f>+IFERROR(VLOOKUP(Fact_Analitica[[#This Row],[Concepto Anterior]],Conceptos_Analítica_contraloría[#All],5,0),"")</f>
        <v/>
      </c>
      <c r="F323" s="138" t="str">
        <f>+IFERROR(VLOOKUP(Fact_Analitica[[#This Row],[Concepto Anterior]],Conceptos_Analítica_contraloría[#All],7,0),"")</f>
        <v/>
      </c>
      <c r="I323" s="138" t="str">
        <f>+IFERROR(VLOOKUP(D323,Conceptos_Analítica_contraloría[#All],2,0),"")</f>
        <v/>
      </c>
      <c r="J323" s="138" t="str">
        <f>+IFERROR(VLOOKUP(D323,Conceptos_Analítica_contraloría[#All],3,0),"")</f>
        <v/>
      </c>
    </row>
    <row r="324" spans="3:10" x14ac:dyDescent="0.35">
      <c r="C324" s="144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s="138" t="str">
        <f>+IFERROR(VLOOKUP(Fact_Analitica[[#This Row],[Concepto Anterior]],Conceptos_Analítica_contraloría[#All],5,0),"")</f>
        <v/>
      </c>
      <c r="F324" s="138" t="str">
        <f>+IFERROR(VLOOKUP(Fact_Analitica[[#This Row],[Concepto Anterior]],Conceptos_Analítica_contraloría[#All],7,0),"")</f>
        <v/>
      </c>
      <c r="I324" s="138" t="str">
        <f>+IFERROR(VLOOKUP(D324,Conceptos_Analítica_contraloría[#All],2,0),"")</f>
        <v/>
      </c>
      <c r="J324" s="138" t="str">
        <f>+IFERROR(VLOOKUP(D324,Conceptos_Analítica_contraloría[#All],3,0),"")</f>
        <v/>
      </c>
    </row>
    <row r="325" spans="3:10" x14ac:dyDescent="0.35">
      <c r="C325" s="144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s="138" t="str">
        <f>+IFERROR(VLOOKUP(Fact_Analitica[[#This Row],[Concepto Anterior]],Conceptos_Analítica_contraloría[#All],5,0),"")</f>
        <v/>
      </c>
      <c r="F325" s="138" t="str">
        <f>+IFERROR(VLOOKUP(Fact_Analitica[[#This Row],[Concepto Anterior]],Conceptos_Analítica_contraloría[#All],7,0),"")</f>
        <v/>
      </c>
      <c r="I325" s="138" t="str">
        <f>+IFERROR(VLOOKUP(D325,Conceptos_Analítica_contraloría[#All],2,0),"")</f>
        <v/>
      </c>
      <c r="J325" s="138" t="str">
        <f>+IFERROR(VLOOKUP(D325,Conceptos_Analítica_contraloría[#All],3,0),"")</f>
        <v/>
      </c>
    </row>
    <row r="326" spans="3:10" x14ac:dyDescent="0.35">
      <c r="C326" s="144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s="138" t="str">
        <f>+IFERROR(VLOOKUP(Fact_Analitica[[#This Row],[Concepto Anterior]],Conceptos_Analítica_contraloría[#All],5,0),"")</f>
        <v/>
      </c>
      <c r="F326" s="138" t="str">
        <f>+IFERROR(VLOOKUP(Fact_Analitica[[#This Row],[Concepto Anterior]],Conceptos_Analítica_contraloría[#All],7,0),"")</f>
        <v/>
      </c>
      <c r="I326" s="138" t="str">
        <f>+IFERROR(VLOOKUP(D326,Conceptos_Analítica_contraloría[#All],2,0),"")</f>
        <v/>
      </c>
      <c r="J326" s="138" t="str">
        <f>+IFERROR(VLOOKUP(D326,Conceptos_Analítica_contraloría[#All],3,0),"")</f>
        <v/>
      </c>
    </row>
    <row r="327" spans="3:10" x14ac:dyDescent="0.35">
      <c r="C327" s="144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s="138" t="str">
        <f>+IFERROR(VLOOKUP(Fact_Analitica[[#This Row],[Concepto Anterior]],Conceptos_Analítica_contraloría[#All],5,0),"")</f>
        <v/>
      </c>
      <c r="F327" s="138" t="str">
        <f>+IFERROR(VLOOKUP(Fact_Analitica[[#This Row],[Concepto Anterior]],Conceptos_Analítica_contraloría[#All],7,0),"")</f>
        <v/>
      </c>
      <c r="I327" s="138" t="str">
        <f>+IFERROR(VLOOKUP(D327,Conceptos_Analítica_contraloría[#All],2,0),"")</f>
        <v/>
      </c>
      <c r="J327" s="138" t="str">
        <f>+IFERROR(VLOOKUP(D327,Conceptos_Analítica_contraloría[#All],3,0),"")</f>
        <v/>
      </c>
    </row>
    <row r="328" spans="3:10" x14ac:dyDescent="0.35">
      <c r="C328" s="144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s="138" t="str">
        <f>+IFERROR(VLOOKUP(Fact_Analitica[[#This Row],[Concepto Anterior]],Conceptos_Analítica_contraloría[#All],5,0),"")</f>
        <v/>
      </c>
      <c r="F328" s="138" t="str">
        <f>+IFERROR(VLOOKUP(Fact_Analitica[[#This Row],[Concepto Anterior]],Conceptos_Analítica_contraloría[#All],7,0),"")</f>
        <v/>
      </c>
      <c r="I328" s="138" t="str">
        <f>+IFERROR(VLOOKUP(D328,Conceptos_Analítica_contraloría[#All],2,0),"")</f>
        <v/>
      </c>
      <c r="J328" s="138" t="str">
        <f>+IFERROR(VLOOKUP(D328,Conceptos_Analítica_contraloría[#All],3,0),"")</f>
        <v/>
      </c>
    </row>
    <row r="329" spans="3:10" x14ac:dyDescent="0.35">
      <c r="C329" s="144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s="138" t="str">
        <f>+IFERROR(VLOOKUP(Fact_Analitica[[#This Row],[Concepto Anterior]],Conceptos_Analítica_contraloría[#All],5,0),"")</f>
        <v/>
      </c>
      <c r="F329" s="138" t="str">
        <f>+IFERROR(VLOOKUP(Fact_Analitica[[#This Row],[Concepto Anterior]],Conceptos_Analítica_contraloría[#All],7,0),"")</f>
        <v/>
      </c>
      <c r="I329" s="138" t="str">
        <f>+IFERROR(VLOOKUP(D329,Conceptos_Analítica_contraloría[#All],2,0),"")</f>
        <v/>
      </c>
      <c r="J329" s="138" t="str">
        <f>+IFERROR(VLOOKUP(D329,Conceptos_Analítica_contraloría[#All],3,0),"")</f>
        <v/>
      </c>
    </row>
    <row r="330" spans="3:10" x14ac:dyDescent="0.35">
      <c r="C330" s="144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s="138" t="str">
        <f>+IFERROR(VLOOKUP(Fact_Analitica[[#This Row],[Concepto Anterior]],Conceptos_Analítica_contraloría[#All],5,0),"")</f>
        <v/>
      </c>
      <c r="F330" s="138" t="str">
        <f>+IFERROR(VLOOKUP(Fact_Analitica[[#This Row],[Concepto Anterior]],Conceptos_Analítica_contraloría[#All],7,0),"")</f>
        <v/>
      </c>
      <c r="I330" s="138" t="str">
        <f>+IFERROR(VLOOKUP(D330,Conceptos_Analítica_contraloría[#All],2,0),"")</f>
        <v/>
      </c>
      <c r="J330" s="138" t="str">
        <f>+IFERROR(VLOOKUP(D330,Conceptos_Analítica_contraloría[#All],3,0),"")</f>
        <v/>
      </c>
    </row>
    <row r="331" spans="3:10" x14ac:dyDescent="0.35">
      <c r="C331" s="144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s="138" t="str">
        <f>+IFERROR(VLOOKUP(Fact_Analitica[[#This Row],[Concepto Anterior]],Conceptos_Analítica_contraloría[#All],5,0),"")</f>
        <v/>
      </c>
      <c r="F331" s="138" t="str">
        <f>+IFERROR(VLOOKUP(Fact_Analitica[[#This Row],[Concepto Anterior]],Conceptos_Analítica_contraloría[#All],7,0),"")</f>
        <v/>
      </c>
      <c r="I331" s="138" t="str">
        <f>+IFERROR(VLOOKUP(D331,Conceptos_Analítica_contraloría[#All],2,0),"")</f>
        <v/>
      </c>
      <c r="J331" s="138" t="str">
        <f>+IFERROR(VLOOKUP(D331,Conceptos_Analítica_contraloría[#All],3,0),"")</f>
        <v/>
      </c>
    </row>
    <row r="332" spans="3:10" x14ac:dyDescent="0.35">
      <c r="C332" s="144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s="138" t="str">
        <f>+IFERROR(VLOOKUP(Fact_Analitica[[#This Row],[Concepto Anterior]],Conceptos_Analítica_contraloría[#All],5,0),"")</f>
        <v/>
      </c>
      <c r="F332" s="138" t="str">
        <f>+IFERROR(VLOOKUP(Fact_Analitica[[#This Row],[Concepto Anterior]],Conceptos_Analítica_contraloría[#All],7,0),"")</f>
        <v/>
      </c>
      <c r="I332" s="138" t="str">
        <f>+IFERROR(VLOOKUP(D332,Conceptos_Analítica_contraloría[#All],2,0),"")</f>
        <v/>
      </c>
      <c r="J332" s="138" t="str">
        <f>+IFERROR(VLOOKUP(D332,Conceptos_Analítica_contraloría[#All],3,0),"")</f>
        <v/>
      </c>
    </row>
    <row r="333" spans="3:10" x14ac:dyDescent="0.35">
      <c r="C333" s="144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s="138" t="str">
        <f>+IFERROR(VLOOKUP(Fact_Analitica[[#This Row],[Concepto Anterior]],Conceptos_Analítica_contraloría[#All],5,0),"")</f>
        <v/>
      </c>
      <c r="F333" s="138" t="str">
        <f>+IFERROR(VLOOKUP(Fact_Analitica[[#This Row],[Concepto Anterior]],Conceptos_Analítica_contraloría[#All],7,0),"")</f>
        <v/>
      </c>
      <c r="I333" s="138" t="str">
        <f>+IFERROR(VLOOKUP(D333,Conceptos_Analítica_contraloría[#All],2,0),"")</f>
        <v/>
      </c>
      <c r="J333" s="138" t="str">
        <f>+IFERROR(VLOOKUP(D333,Conceptos_Analítica_contraloría[#All],3,0),"")</f>
        <v/>
      </c>
    </row>
    <row r="334" spans="3:10" x14ac:dyDescent="0.35">
      <c r="C334" s="144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s="138" t="str">
        <f>+IFERROR(VLOOKUP(Fact_Analitica[[#This Row],[Concepto Anterior]],Conceptos_Analítica_contraloría[#All],5,0),"")</f>
        <v/>
      </c>
      <c r="F334" s="138" t="str">
        <f>+IFERROR(VLOOKUP(Fact_Analitica[[#This Row],[Concepto Anterior]],Conceptos_Analítica_contraloría[#All],7,0),"")</f>
        <v/>
      </c>
      <c r="I334" s="138" t="str">
        <f>+IFERROR(VLOOKUP(D334,Conceptos_Analítica_contraloría[#All],2,0),"")</f>
        <v/>
      </c>
      <c r="J334" s="138" t="str">
        <f>+IFERROR(VLOOKUP(D334,Conceptos_Analítica_contraloría[#All],3,0),"")</f>
        <v/>
      </c>
    </row>
    <row r="335" spans="3:10" x14ac:dyDescent="0.35">
      <c r="C335" s="144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s="138" t="str">
        <f>+IFERROR(VLOOKUP(Fact_Analitica[[#This Row],[Concepto Anterior]],Conceptos_Analítica_contraloría[#All],5,0),"")</f>
        <v/>
      </c>
      <c r="F335" s="138" t="str">
        <f>+IFERROR(VLOOKUP(Fact_Analitica[[#This Row],[Concepto Anterior]],Conceptos_Analítica_contraloría[#All],7,0),"")</f>
        <v/>
      </c>
      <c r="I335" s="138" t="str">
        <f>+IFERROR(VLOOKUP(D335,Conceptos_Analítica_contraloría[#All],2,0),"")</f>
        <v/>
      </c>
      <c r="J335" s="138" t="str">
        <f>+IFERROR(VLOOKUP(D335,Conceptos_Analítica_contraloría[#All],3,0),"")</f>
        <v/>
      </c>
    </row>
    <row r="336" spans="3:10" x14ac:dyDescent="0.35">
      <c r="C336" s="144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s="138" t="str">
        <f>+IFERROR(VLOOKUP(Fact_Analitica[[#This Row],[Concepto Anterior]],Conceptos_Analítica_contraloría[#All],5,0),"")</f>
        <v/>
      </c>
      <c r="F336" s="138" t="str">
        <f>+IFERROR(VLOOKUP(Fact_Analitica[[#This Row],[Concepto Anterior]],Conceptos_Analítica_contraloría[#All],7,0),"")</f>
        <v/>
      </c>
      <c r="I336" s="138" t="str">
        <f>+IFERROR(VLOOKUP(D336,Conceptos_Analítica_contraloría[#All],2,0),"")</f>
        <v/>
      </c>
      <c r="J336" s="138" t="str">
        <f>+IFERROR(VLOOKUP(D336,Conceptos_Analítica_contraloría[#All],3,0),"")</f>
        <v/>
      </c>
    </row>
    <row r="337" spans="3:10" x14ac:dyDescent="0.35">
      <c r="C337" s="144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s="138" t="str">
        <f>+IFERROR(VLOOKUP(Fact_Analitica[[#This Row],[Concepto Anterior]],Conceptos_Analítica_contraloría[#All],5,0),"")</f>
        <v/>
      </c>
      <c r="F337" s="138" t="str">
        <f>+IFERROR(VLOOKUP(Fact_Analitica[[#This Row],[Concepto Anterior]],Conceptos_Analítica_contraloría[#All],7,0),"")</f>
        <v/>
      </c>
      <c r="I337" s="138" t="str">
        <f>+IFERROR(VLOOKUP(D337,Conceptos_Analítica_contraloría[#All],2,0),"")</f>
        <v/>
      </c>
      <c r="J337" s="138" t="str">
        <f>+IFERROR(VLOOKUP(D337,Conceptos_Analítica_contraloría[#All],3,0),"")</f>
        <v/>
      </c>
    </row>
    <row r="338" spans="3:10" x14ac:dyDescent="0.35">
      <c r="C338" s="144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s="138" t="str">
        <f>+IFERROR(VLOOKUP(Fact_Analitica[[#This Row],[Concepto Anterior]],Conceptos_Analítica_contraloría[#All],5,0),"")</f>
        <v/>
      </c>
      <c r="F338" s="138" t="str">
        <f>+IFERROR(VLOOKUP(Fact_Analitica[[#This Row],[Concepto Anterior]],Conceptos_Analítica_contraloría[#All],7,0),"")</f>
        <v/>
      </c>
      <c r="I338" s="138" t="str">
        <f>+IFERROR(VLOOKUP(D338,Conceptos_Analítica_contraloría[#All],2,0),"")</f>
        <v/>
      </c>
      <c r="J338" s="138" t="str">
        <f>+IFERROR(VLOOKUP(D338,Conceptos_Analítica_contraloría[#All],3,0),"")</f>
        <v/>
      </c>
    </row>
    <row r="339" spans="3:10" x14ac:dyDescent="0.35">
      <c r="C339" s="144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s="138" t="str">
        <f>+IFERROR(VLOOKUP(Fact_Analitica[[#This Row],[Concepto Anterior]],Conceptos_Analítica_contraloría[#All],5,0),"")</f>
        <v/>
      </c>
      <c r="F339" s="138" t="str">
        <f>+IFERROR(VLOOKUP(Fact_Analitica[[#This Row],[Concepto Anterior]],Conceptos_Analítica_contraloría[#All],7,0),"")</f>
        <v/>
      </c>
      <c r="I339" s="138" t="str">
        <f>+IFERROR(VLOOKUP(D339,Conceptos_Analítica_contraloría[#All],2,0),"")</f>
        <v/>
      </c>
      <c r="J339" s="138" t="str">
        <f>+IFERROR(VLOOKUP(D339,Conceptos_Analítica_contraloría[#All],3,0),"")</f>
        <v/>
      </c>
    </row>
    <row r="340" spans="3:10" x14ac:dyDescent="0.35">
      <c r="C340" s="144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s="138" t="str">
        <f>+IFERROR(VLOOKUP(Fact_Analitica[[#This Row],[Concepto Anterior]],Conceptos_Analítica_contraloría[#All],5,0),"")</f>
        <v/>
      </c>
      <c r="F340" s="138" t="str">
        <f>+IFERROR(VLOOKUP(Fact_Analitica[[#This Row],[Concepto Anterior]],Conceptos_Analítica_contraloría[#All],7,0),"")</f>
        <v/>
      </c>
      <c r="I340" s="138" t="str">
        <f>+IFERROR(VLOOKUP(D340,Conceptos_Analítica_contraloría[#All],2,0),"")</f>
        <v/>
      </c>
      <c r="J340" s="138" t="str">
        <f>+IFERROR(VLOOKUP(D340,Conceptos_Analítica_contraloría[#All],3,0),"")</f>
        <v/>
      </c>
    </row>
    <row r="341" spans="3:10" x14ac:dyDescent="0.35">
      <c r="C341" s="144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s="138" t="str">
        <f>+IFERROR(VLOOKUP(Fact_Analitica[[#This Row],[Concepto Anterior]],Conceptos_Analítica_contraloría[#All],5,0),"")</f>
        <v/>
      </c>
      <c r="F341" s="138" t="str">
        <f>+IFERROR(VLOOKUP(Fact_Analitica[[#This Row],[Concepto Anterior]],Conceptos_Analítica_contraloría[#All],7,0),"")</f>
        <v/>
      </c>
      <c r="I341" s="138" t="str">
        <f>+IFERROR(VLOOKUP(D341,Conceptos_Analítica_contraloría[#All],2,0),"")</f>
        <v/>
      </c>
      <c r="J341" s="138" t="str">
        <f>+IFERROR(VLOOKUP(D341,Conceptos_Analítica_contraloría[#All],3,0),"")</f>
        <v/>
      </c>
    </row>
    <row r="342" spans="3:10" x14ac:dyDescent="0.35">
      <c r="C342" s="144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s="138" t="str">
        <f>+IFERROR(VLOOKUP(Fact_Analitica[[#This Row],[Concepto Anterior]],Conceptos_Analítica_contraloría[#All],5,0),"")</f>
        <v/>
      </c>
      <c r="F342" s="138" t="str">
        <f>+IFERROR(VLOOKUP(Fact_Analitica[[#This Row],[Concepto Anterior]],Conceptos_Analítica_contraloría[#All],7,0),"")</f>
        <v/>
      </c>
      <c r="I342" s="138" t="str">
        <f>+IFERROR(VLOOKUP(D342,Conceptos_Analítica_contraloría[#All],2,0),"")</f>
        <v/>
      </c>
      <c r="J342" s="138" t="str">
        <f>+IFERROR(VLOOKUP(D342,Conceptos_Analítica_contraloría[#All],3,0),"")</f>
        <v/>
      </c>
    </row>
    <row r="343" spans="3:10" x14ac:dyDescent="0.35">
      <c r="C343" s="144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s="138" t="str">
        <f>+IFERROR(VLOOKUP(Fact_Analitica[[#This Row],[Concepto Anterior]],Conceptos_Analítica_contraloría[#All],5,0),"")</f>
        <v/>
      </c>
      <c r="F343" s="138" t="str">
        <f>+IFERROR(VLOOKUP(Fact_Analitica[[#This Row],[Concepto Anterior]],Conceptos_Analítica_contraloría[#All],7,0),"")</f>
        <v/>
      </c>
      <c r="I343" s="138" t="str">
        <f>+IFERROR(VLOOKUP(D343,Conceptos_Analítica_contraloría[#All],2,0),"")</f>
        <v/>
      </c>
      <c r="J343" s="138" t="str">
        <f>+IFERROR(VLOOKUP(D343,Conceptos_Analítica_contraloría[#All],3,0),"")</f>
        <v/>
      </c>
    </row>
    <row r="344" spans="3:10" x14ac:dyDescent="0.35">
      <c r="C344" s="144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s="138" t="str">
        <f>+IFERROR(VLOOKUP(Fact_Analitica[[#This Row],[Concepto Anterior]],Conceptos_Analítica_contraloría[#All],5,0),"")</f>
        <v/>
      </c>
      <c r="F344" s="138" t="str">
        <f>+IFERROR(VLOOKUP(Fact_Analitica[[#This Row],[Concepto Anterior]],Conceptos_Analítica_contraloría[#All],7,0),"")</f>
        <v/>
      </c>
      <c r="I344" s="138" t="str">
        <f>+IFERROR(VLOOKUP(D344,Conceptos_Analítica_contraloría[#All],2,0),"")</f>
        <v/>
      </c>
      <c r="J344" s="138" t="str">
        <f>+IFERROR(VLOOKUP(D344,Conceptos_Analítica_contraloría[#All],3,0),"")</f>
        <v/>
      </c>
    </row>
    <row r="345" spans="3:10" x14ac:dyDescent="0.35">
      <c r="C345" s="144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s="138" t="str">
        <f>+IFERROR(VLOOKUP(Fact_Analitica[[#This Row],[Concepto Anterior]],Conceptos_Analítica_contraloría[#All],5,0),"")</f>
        <v/>
      </c>
      <c r="F345" s="138" t="str">
        <f>+IFERROR(VLOOKUP(Fact_Analitica[[#This Row],[Concepto Anterior]],Conceptos_Analítica_contraloría[#All],7,0),"")</f>
        <v/>
      </c>
      <c r="I345" s="138" t="str">
        <f>+IFERROR(VLOOKUP(D345,Conceptos_Analítica_contraloría[#All],2,0),"")</f>
        <v/>
      </c>
      <c r="J345" s="138" t="str">
        <f>+IFERROR(VLOOKUP(D345,Conceptos_Analítica_contraloría[#All],3,0),"")</f>
        <v/>
      </c>
    </row>
    <row r="346" spans="3:10" x14ac:dyDescent="0.35">
      <c r="C346" s="144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s="138" t="str">
        <f>+IFERROR(VLOOKUP(Fact_Analitica[[#This Row],[Concepto Anterior]],Conceptos_Analítica_contraloría[#All],5,0),"")</f>
        <v/>
      </c>
      <c r="F346" s="138" t="str">
        <f>+IFERROR(VLOOKUP(Fact_Analitica[[#This Row],[Concepto Anterior]],Conceptos_Analítica_contraloría[#All],7,0),"")</f>
        <v/>
      </c>
      <c r="I346" s="138" t="str">
        <f>+IFERROR(VLOOKUP(D346,Conceptos_Analítica_contraloría[#All],2,0),"")</f>
        <v/>
      </c>
      <c r="J346" s="138" t="str">
        <f>+IFERROR(VLOOKUP(D346,Conceptos_Analítica_contraloría[#All],3,0),"")</f>
        <v/>
      </c>
    </row>
    <row r="347" spans="3:10" x14ac:dyDescent="0.35">
      <c r="C347" s="144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s="138" t="str">
        <f>+IFERROR(VLOOKUP(Fact_Analitica[[#This Row],[Concepto Anterior]],Conceptos_Analítica_contraloría[#All],5,0),"")</f>
        <v/>
      </c>
      <c r="F347" s="138" t="str">
        <f>+IFERROR(VLOOKUP(Fact_Analitica[[#This Row],[Concepto Anterior]],Conceptos_Analítica_contraloría[#All],7,0),"")</f>
        <v/>
      </c>
      <c r="I347" s="138" t="str">
        <f>+IFERROR(VLOOKUP(D347,Conceptos_Analítica_contraloría[#All],2,0),"")</f>
        <v/>
      </c>
      <c r="J347" s="138" t="str">
        <f>+IFERROR(VLOOKUP(D347,Conceptos_Analítica_contraloría[#All],3,0),"")</f>
        <v/>
      </c>
    </row>
    <row r="348" spans="3:10" x14ac:dyDescent="0.35">
      <c r="C348" s="144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s="138" t="str">
        <f>+IFERROR(VLOOKUP(Fact_Analitica[[#This Row],[Concepto Anterior]],Conceptos_Analítica_contraloría[#All],5,0),"")</f>
        <v/>
      </c>
      <c r="F348" s="138" t="str">
        <f>+IFERROR(VLOOKUP(Fact_Analitica[[#This Row],[Concepto Anterior]],Conceptos_Analítica_contraloría[#All],7,0),"")</f>
        <v/>
      </c>
      <c r="I348" s="138" t="str">
        <f>+IFERROR(VLOOKUP(D348,Conceptos_Analítica_contraloría[#All],2,0),"")</f>
        <v/>
      </c>
      <c r="J348" s="138" t="str">
        <f>+IFERROR(VLOOKUP(D348,Conceptos_Analítica_contraloría[#All],3,0),"")</f>
        <v/>
      </c>
    </row>
    <row r="349" spans="3:10" x14ac:dyDescent="0.35">
      <c r="C349" s="144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s="138" t="str">
        <f>+IFERROR(VLOOKUP(Fact_Analitica[[#This Row],[Concepto Anterior]],Conceptos_Analítica_contraloría[#All],5,0),"")</f>
        <v/>
      </c>
      <c r="F349" s="138" t="str">
        <f>+IFERROR(VLOOKUP(Fact_Analitica[[#This Row],[Concepto Anterior]],Conceptos_Analítica_contraloría[#All],7,0),"")</f>
        <v/>
      </c>
      <c r="I349" s="138" t="str">
        <f>+IFERROR(VLOOKUP(D349,Conceptos_Analítica_contraloría[#All],2,0),"")</f>
        <v/>
      </c>
      <c r="J349" s="138" t="str">
        <f>+IFERROR(VLOOKUP(D349,Conceptos_Analítica_contraloría[#All],3,0),"")</f>
        <v/>
      </c>
    </row>
    <row r="350" spans="3:10" x14ac:dyDescent="0.35">
      <c r="C350" s="144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s="138" t="str">
        <f>+IFERROR(VLOOKUP(Fact_Analitica[[#This Row],[Concepto Anterior]],Conceptos_Analítica_contraloría[#All],5,0),"")</f>
        <v/>
      </c>
      <c r="F350" s="138" t="str">
        <f>+IFERROR(VLOOKUP(Fact_Analitica[[#This Row],[Concepto Anterior]],Conceptos_Analítica_contraloría[#All],7,0),"")</f>
        <v/>
      </c>
      <c r="I350" s="138" t="str">
        <f>+IFERROR(VLOOKUP(D350,Conceptos_Analítica_contraloría[#All],2,0),"")</f>
        <v/>
      </c>
      <c r="J350" s="138" t="str">
        <f>+IFERROR(VLOOKUP(D350,Conceptos_Analítica_contraloría[#All],3,0),"")</f>
        <v/>
      </c>
    </row>
    <row r="351" spans="3:10" x14ac:dyDescent="0.35">
      <c r="C351" s="144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s="138" t="str">
        <f>+IFERROR(VLOOKUP(Fact_Analitica[[#This Row],[Concepto Anterior]],Conceptos_Analítica_contraloría[#All],5,0),"")</f>
        <v/>
      </c>
      <c r="F351" s="138" t="str">
        <f>+IFERROR(VLOOKUP(Fact_Analitica[[#This Row],[Concepto Anterior]],Conceptos_Analítica_contraloría[#All],7,0),"")</f>
        <v/>
      </c>
      <c r="I351" s="138" t="str">
        <f>+IFERROR(VLOOKUP(D351,Conceptos_Analítica_contraloría[#All],2,0),"")</f>
        <v/>
      </c>
      <c r="J351" s="138" t="str">
        <f>+IFERROR(VLOOKUP(D351,Conceptos_Analítica_contraloría[#All],3,0),"")</f>
        <v/>
      </c>
    </row>
    <row r="352" spans="3:10" x14ac:dyDescent="0.35">
      <c r="C352" s="144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s="138" t="str">
        <f>+IFERROR(VLOOKUP(Fact_Analitica[[#This Row],[Concepto Anterior]],Conceptos_Analítica_contraloría[#All],5,0),"")</f>
        <v/>
      </c>
      <c r="F352" s="138" t="str">
        <f>+IFERROR(VLOOKUP(Fact_Analitica[[#This Row],[Concepto Anterior]],Conceptos_Analítica_contraloría[#All],7,0),"")</f>
        <v/>
      </c>
      <c r="I352" s="138" t="str">
        <f>+IFERROR(VLOOKUP(D352,Conceptos_Analítica_contraloría[#All],2,0),"")</f>
        <v/>
      </c>
      <c r="J352" s="138" t="str">
        <f>+IFERROR(VLOOKUP(D352,Conceptos_Analítica_contraloría[#All],3,0),"")</f>
        <v/>
      </c>
    </row>
    <row r="353" spans="3:10" x14ac:dyDescent="0.35">
      <c r="C353" s="144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s="138" t="str">
        <f>+IFERROR(VLOOKUP(Fact_Analitica[[#This Row],[Concepto Anterior]],Conceptos_Analítica_contraloría[#All],5,0),"")</f>
        <v/>
      </c>
      <c r="F353" s="138" t="str">
        <f>+IFERROR(VLOOKUP(Fact_Analitica[[#This Row],[Concepto Anterior]],Conceptos_Analítica_contraloría[#All],7,0),"")</f>
        <v/>
      </c>
      <c r="I353" s="138" t="str">
        <f>+IFERROR(VLOOKUP(D353,Conceptos_Analítica_contraloría[#All],2,0),"")</f>
        <v/>
      </c>
      <c r="J353" s="138" t="str">
        <f>+IFERROR(VLOOKUP(D353,Conceptos_Analítica_contraloría[#All],3,0),"")</f>
        <v/>
      </c>
    </row>
    <row r="354" spans="3:10" x14ac:dyDescent="0.35">
      <c r="C354" s="144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s="138" t="str">
        <f>+IFERROR(VLOOKUP(Fact_Analitica[[#This Row],[Concepto Anterior]],Conceptos_Analítica_contraloría[#All],5,0),"")</f>
        <v/>
      </c>
      <c r="F354" s="138" t="str">
        <f>+IFERROR(VLOOKUP(Fact_Analitica[[#This Row],[Concepto Anterior]],Conceptos_Analítica_contraloría[#All],7,0),"")</f>
        <v/>
      </c>
      <c r="I354" s="138" t="str">
        <f>+IFERROR(VLOOKUP(D354,Conceptos_Analítica_contraloría[#All],2,0),"")</f>
        <v/>
      </c>
      <c r="J354" s="138" t="str">
        <f>+IFERROR(VLOOKUP(D354,Conceptos_Analítica_contraloría[#All],3,0),"")</f>
        <v/>
      </c>
    </row>
    <row r="355" spans="3:10" x14ac:dyDescent="0.35">
      <c r="C355" s="144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s="138" t="str">
        <f>+IFERROR(VLOOKUP(Fact_Analitica[[#This Row],[Concepto Anterior]],Conceptos_Analítica_contraloría[#All],5,0),"")</f>
        <v/>
      </c>
      <c r="F355" s="138" t="str">
        <f>+IFERROR(VLOOKUP(Fact_Analitica[[#This Row],[Concepto Anterior]],Conceptos_Analítica_contraloría[#All],7,0),"")</f>
        <v/>
      </c>
      <c r="I355" s="138" t="str">
        <f>+IFERROR(VLOOKUP(D355,Conceptos_Analítica_contraloría[#All],2,0),"")</f>
        <v/>
      </c>
      <c r="J355" s="138" t="str">
        <f>+IFERROR(VLOOKUP(D355,Conceptos_Analítica_contraloría[#All],3,0),"")</f>
        <v/>
      </c>
    </row>
    <row r="356" spans="3:10" x14ac:dyDescent="0.35">
      <c r="C356" s="144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s="138" t="str">
        <f>+IFERROR(VLOOKUP(Fact_Analitica[[#This Row],[Concepto Anterior]],Conceptos_Analítica_contraloría[#All],5,0),"")</f>
        <v/>
      </c>
      <c r="F356" s="138" t="str">
        <f>+IFERROR(VLOOKUP(Fact_Analitica[[#This Row],[Concepto Anterior]],Conceptos_Analítica_contraloría[#All],7,0),"")</f>
        <v/>
      </c>
      <c r="I356" s="138" t="str">
        <f>+IFERROR(VLOOKUP(D356,Conceptos_Analítica_contraloría[#All],2,0),"")</f>
        <v/>
      </c>
      <c r="J356" s="138" t="str">
        <f>+IFERROR(VLOOKUP(D356,Conceptos_Analítica_contraloría[#All],3,0),"")</f>
        <v/>
      </c>
    </row>
    <row r="357" spans="3:10" x14ac:dyDescent="0.35">
      <c r="C357" s="144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s="138" t="str">
        <f>+IFERROR(VLOOKUP(Fact_Analitica[[#This Row],[Concepto Anterior]],Conceptos_Analítica_contraloría[#All],5,0),"")</f>
        <v/>
      </c>
      <c r="F357" s="138" t="str">
        <f>+IFERROR(VLOOKUP(Fact_Analitica[[#This Row],[Concepto Anterior]],Conceptos_Analítica_contraloría[#All],7,0),"")</f>
        <v/>
      </c>
      <c r="I357" s="138" t="str">
        <f>+IFERROR(VLOOKUP(D357,Conceptos_Analítica_contraloría[#All],2,0),"")</f>
        <v/>
      </c>
      <c r="J357" s="138" t="str">
        <f>+IFERROR(VLOOKUP(D357,Conceptos_Analítica_contraloría[#All],3,0),"")</f>
        <v/>
      </c>
    </row>
    <row r="358" spans="3:10" x14ac:dyDescent="0.35">
      <c r="C358" s="144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s="138" t="str">
        <f>+IFERROR(VLOOKUP(Fact_Analitica[[#This Row],[Concepto Anterior]],Conceptos_Analítica_contraloría[#All],5,0),"")</f>
        <v/>
      </c>
      <c r="F358" s="138" t="str">
        <f>+IFERROR(VLOOKUP(Fact_Analitica[[#This Row],[Concepto Anterior]],Conceptos_Analítica_contraloría[#All],7,0),"")</f>
        <v/>
      </c>
      <c r="I358" s="138" t="str">
        <f>+IFERROR(VLOOKUP(D358,Conceptos_Analítica_contraloría[#All],2,0),"")</f>
        <v/>
      </c>
      <c r="J358" s="138" t="str">
        <f>+IFERROR(VLOOKUP(D358,Conceptos_Analítica_contraloría[#All],3,0),"")</f>
        <v/>
      </c>
    </row>
    <row r="359" spans="3:10" x14ac:dyDescent="0.35">
      <c r="C359" s="144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s="138" t="str">
        <f>+IFERROR(VLOOKUP(Fact_Analitica[[#This Row],[Concepto Anterior]],Conceptos_Analítica_contraloría[#All],5,0),"")</f>
        <v/>
      </c>
      <c r="F359" s="138" t="str">
        <f>+IFERROR(VLOOKUP(Fact_Analitica[[#This Row],[Concepto Anterior]],Conceptos_Analítica_contraloría[#All],7,0),"")</f>
        <v/>
      </c>
      <c r="I359" s="138" t="str">
        <f>+IFERROR(VLOOKUP(D359,Conceptos_Analítica_contraloría[#All],2,0),"")</f>
        <v/>
      </c>
      <c r="J359" s="138" t="str">
        <f>+IFERROR(VLOOKUP(D359,Conceptos_Analítica_contraloría[#All],3,0),"")</f>
        <v/>
      </c>
    </row>
    <row r="360" spans="3:10" x14ac:dyDescent="0.35">
      <c r="C360" s="144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s="138" t="str">
        <f>+IFERROR(VLOOKUP(Fact_Analitica[[#This Row],[Concepto Anterior]],Conceptos_Analítica_contraloría[#All],5,0),"")</f>
        <v/>
      </c>
      <c r="F360" s="138" t="str">
        <f>+IFERROR(VLOOKUP(Fact_Analitica[[#This Row],[Concepto Anterior]],Conceptos_Analítica_contraloría[#All],7,0),"")</f>
        <v/>
      </c>
      <c r="I360" s="138" t="str">
        <f>+IFERROR(VLOOKUP(D360,Conceptos_Analítica_contraloría[#All],2,0),"")</f>
        <v/>
      </c>
      <c r="J360" s="138" t="str">
        <f>+IFERROR(VLOOKUP(D360,Conceptos_Analítica_contraloría[#All],3,0),"")</f>
        <v/>
      </c>
    </row>
    <row r="361" spans="3:10" x14ac:dyDescent="0.35">
      <c r="C361" s="144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s="138" t="str">
        <f>+IFERROR(VLOOKUP(Fact_Analitica[[#This Row],[Concepto Anterior]],Conceptos_Analítica_contraloría[#All],5,0),"")</f>
        <v/>
      </c>
      <c r="F361" s="138" t="str">
        <f>+IFERROR(VLOOKUP(Fact_Analitica[[#This Row],[Concepto Anterior]],Conceptos_Analítica_contraloría[#All],7,0),"")</f>
        <v/>
      </c>
      <c r="I361" s="138" t="str">
        <f>+IFERROR(VLOOKUP(D361,Conceptos_Analítica_contraloría[#All],2,0),"")</f>
        <v/>
      </c>
      <c r="J361" s="138" t="str">
        <f>+IFERROR(VLOOKUP(D361,Conceptos_Analítica_contraloría[#All],3,0),"")</f>
        <v/>
      </c>
    </row>
    <row r="362" spans="3:10" x14ac:dyDescent="0.35">
      <c r="C362" s="144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s="138" t="str">
        <f>+IFERROR(VLOOKUP(Fact_Analitica[[#This Row],[Concepto Anterior]],Conceptos_Analítica_contraloría[#All],5,0),"")</f>
        <v/>
      </c>
      <c r="F362" s="138" t="str">
        <f>+IFERROR(VLOOKUP(Fact_Analitica[[#This Row],[Concepto Anterior]],Conceptos_Analítica_contraloría[#All],7,0),"")</f>
        <v/>
      </c>
      <c r="I362" s="138" t="str">
        <f>+IFERROR(VLOOKUP(D362,Conceptos_Analítica_contraloría[#All],2,0),"")</f>
        <v/>
      </c>
      <c r="J362" s="138" t="str">
        <f>+IFERROR(VLOOKUP(D362,Conceptos_Analítica_contraloría[#All],3,0),"")</f>
        <v/>
      </c>
    </row>
    <row r="363" spans="3:10" x14ac:dyDescent="0.35">
      <c r="C363" s="144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s="138" t="str">
        <f>+IFERROR(VLOOKUP(Fact_Analitica[[#This Row],[Concepto Anterior]],Conceptos_Analítica_contraloría[#All],5,0),"")</f>
        <v/>
      </c>
      <c r="F363" s="138" t="str">
        <f>+IFERROR(VLOOKUP(Fact_Analitica[[#This Row],[Concepto Anterior]],Conceptos_Analítica_contraloría[#All],7,0),"")</f>
        <v/>
      </c>
      <c r="I363" s="138" t="str">
        <f>+IFERROR(VLOOKUP(D363,Conceptos_Analítica_contraloría[#All],2,0),"")</f>
        <v/>
      </c>
      <c r="J363" s="138" t="str">
        <f>+IFERROR(VLOOKUP(D363,Conceptos_Analítica_contraloría[#All],3,0),"")</f>
        <v/>
      </c>
    </row>
    <row r="364" spans="3:10" x14ac:dyDescent="0.35">
      <c r="C364" s="144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s="138" t="str">
        <f>+IFERROR(VLOOKUP(Fact_Analitica[[#This Row],[Concepto Anterior]],Conceptos_Analítica_contraloría[#All],5,0),"")</f>
        <v/>
      </c>
      <c r="F364" s="138" t="str">
        <f>+IFERROR(VLOOKUP(Fact_Analitica[[#This Row],[Concepto Anterior]],Conceptos_Analítica_contraloría[#All],7,0),"")</f>
        <v/>
      </c>
      <c r="I364" s="138" t="str">
        <f>+IFERROR(VLOOKUP(D364,Conceptos_Analítica_contraloría[#All],2,0),"")</f>
        <v/>
      </c>
      <c r="J364" s="138" t="str">
        <f>+IFERROR(VLOOKUP(D364,Conceptos_Analítica_contraloría[#All],3,0),"")</f>
        <v/>
      </c>
    </row>
    <row r="365" spans="3:10" x14ac:dyDescent="0.35">
      <c r="C365" s="144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s="138" t="str">
        <f>+IFERROR(VLOOKUP(Fact_Analitica[[#This Row],[Concepto Anterior]],Conceptos_Analítica_contraloría[#All],5,0),"")</f>
        <v/>
      </c>
      <c r="F365" s="138" t="str">
        <f>+IFERROR(VLOOKUP(Fact_Analitica[[#This Row],[Concepto Anterior]],Conceptos_Analítica_contraloría[#All],7,0),"")</f>
        <v/>
      </c>
      <c r="I365" s="138" t="str">
        <f>+IFERROR(VLOOKUP(D365,Conceptos_Analítica_contraloría[#All],2,0),"")</f>
        <v/>
      </c>
      <c r="J365" s="138" t="str">
        <f>+IFERROR(VLOOKUP(D365,Conceptos_Analítica_contraloría[#All],3,0),"")</f>
        <v/>
      </c>
    </row>
    <row r="366" spans="3:10" x14ac:dyDescent="0.35">
      <c r="C366" s="144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s="138" t="str">
        <f>+IFERROR(VLOOKUP(Fact_Analitica[[#This Row],[Concepto Anterior]],Conceptos_Analítica_contraloría[#All],5,0),"")</f>
        <v/>
      </c>
      <c r="F366" s="138" t="str">
        <f>+IFERROR(VLOOKUP(Fact_Analitica[[#This Row],[Concepto Anterior]],Conceptos_Analítica_contraloría[#All],7,0),"")</f>
        <v/>
      </c>
      <c r="I366" s="138" t="str">
        <f>+IFERROR(VLOOKUP(D366,Conceptos_Analítica_contraloría[#All],2,0),"")</f>
        <v/>
      </c>
      <c r="J366" s="138" t="str">
        <f>+IFERROR(VLOOKUP(D366,Conceptos_Analítica_contraloría[#All],3,0),"")</f>
        <v/>
      </c>
    </row>
    <row r="367" spans="3:10" x14ac:dyDescent="0.35">
      <c r="C367" s="144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s="138" t="str">
        <f>+IFERROR(VLOOKUP(Fact_Analitica[[#This Row],[Concepto Anterior]],Conceptos_Analítica_contraloría[#All],5,0),"")</f>
        <v/>
      </c>
      <c r="F367" s="138" t="str">
        <f>+IFERROR(VLOOKUP(Fact_Analitica[[#This Row],[Concepto Anterior]],Conceptos_Analítica_contraloría[#All],7,0),"")</f>
        <v/>
      </c>
      <c r="I367" s="138" t="str">
        <f>+IFERROR(VLOOKUP(D367,Conceptos_Analítica_contraloría[#All],2,0),"")</f>
        <v/>
      </c>
      <c r="J367" s="138" t="str">
        <f>+IFERROR(VLOOKUP(D367,Conceptos_Analítica_contraloría[#All],3,0),"")</f>
        <v/>
      </c>
    </row>
    <row r="368" spans="3:10" x14ac:dyDescent="0.35">
      <c r="C368" s="144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s="138" t="str">
        <f>+IFERROR(VLOOKUP(Fact_Analitica[[#This Row],[Concepto Anterior]],Conceptos_Analítica_contraloría[#All],5,0),"")</f>
        <v/>
      </c>
      <c r="F368" s="138" t="str">
        <f>+IFERROR(VLOOKUP(Fact_Analitica[[#This Row],[Concepto Anterior]],Conceptos_Analítica_contraloría[#All],7,0),"")</f>
        <v/>
      </c>
      <c r="I368" s="138" t="str">
        <f>+IFERROR(VLOOKUP(D368,Conceptos_Analítica_contraloría[#All],2,0),"")</f>
        <v/>
      </c>
      <c r="J368" s="138" t="str">
        <f>+IFERROR(VLOOKUP(D368,Conceptos_Analítica_contraloría[#All],3,0),"")</f>
        <v/>
      </c>
    </row>
    <row r="369" spans="3:10" x14ac:dyDescent="0.35">
      <c r="C369" s="144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s="138" t="str">
        <f>+IFERROR(VLOOKUP(Fact_Analitica[[#This Row],[Concepto Anterior]],Conceptos_Analítica_contraloría[#All],5,0),"")</f>
        <v/>
      </c>
      <c r="F369" s="138" t="str">
        <f>+IFERROR(VLOOKUP(Fact_Analitica[[#This Row],[Concepto Anterior]],Conceptos_Analítica_contraloría[#All],7,0),"")</f>
        <v/>
      </c>
      <c r="I369" s="138" t="str">
        <f>+IFERROR(VLOOKUP(D369,Conceptos_Analítica_contraloría[#All],2,0),"")</f>
        <v/>
      </c>
      <c r="J369" s="138" t="str">
        <f>+IFERROR(VLOOKUP(D369,Conceptos_Analítica_contraloría[#All],3,0),"")</f>
        <v/>
      </c>
    </row>
    <row r="370" spans="3:10" x14ac:dyDescent="0.35">
      <c r="C370" s="144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s="138" t="str">
        <f>+IFERROR(VLOOKUP(Fact_Analitica[[#This Row],[Concepto Anterior]],Conceptos_Analítica_contraloría[#All],5,0),"")</f>
        <v/>
      </c>
      <c r="F370" s="138" t="str">
        <f>+IFERROR(VLOOKUP(Fact_Analitica[[#This Row],[Concepto Anterior]],Conceptos_Analítica_contraloría[#All],7,0),"")</f>
        <v/>
      </c>
      <c r="I370" s="138" t="str">
        <f>+IFERROR(VLOOKUP(D370,Conceptos_Analítica_contraloría[#All],2,0),"")</f>
        <v/>
      </c>
      <c r="J370" s="138" t="str">
        <f>+IFERROR(VLOOKUP(D370,Conceptos_Analítica_contraloría[#All],3,0),"")</f>
        <v/>
      </c>
    </row>
    <row r="371" spans="3:10" x14ac:dyDescent="0.35">
      <c r="C371" s="144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s="138" t="str">
        <f>+IFERROR(VLOOKUP(Fact_Analitica[[#This Row],[Concepto Anterior]],Conceptos_Analítica_contraloría[#All],5,0),"")</f>
        <v/>
      </c>
      <c r="F371" s="138" t="str">
        <f>+IFERROR(VLOOKUP(Fact_Analitica[[#This Row],[Concepto Anterior]],Conceptos_Analítica_contraloría[#All],7,0),"")</f>
        <v/>
      </c>
      <c r="I371" s="138" t="str">
        <f>+IFERROR(VLOOKUP(D371,Conceptos_Analítica_contraloría[#All],2,0),"")</f>
        <v/>
      </c>
      <c r="J371" s="138" t="str">
        <f>+IFERROR(VLOOKUP(D371,Conceptos_Analítica_contraloría[#All],3,0),"")</f>
        <v/>
      </c>
    </row>
    <row r="372" spans="3:10" x14ac:dyDescent="0.35">
      <c r="C372" s="144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s="138" t="str">
        <f>+IFERROR(VLOOKUP(Fact_Analitica[[#This Row],[Concepto Anterior]],Conceptos_Analítica_contraloría[#All],5,0),"")</f>
        <v/>
      </c>
      <c r="F372" s="138" t="str">
        <f>+IFERROR(VLOOKUP(Fact_Analitica[[#This Row],[Concepto Anterior]],Conceptos_Analítica_contraloría[#All],7,0),"")</f>
        <v/>
      </c>
      <c r="I372" s="138" t="str">
        <f>+IFERROR(VLOOKUP(D372,Conceptos_Analítica_contraloría[#All],2,0),"")</f>
        <v/>
      </c>
      <c r="J372" s="138" t="str">
        <f>+IFERROR(VLOOKUP(D372,Conceptos_Analítica_contraloría[#All],3,0),"")</f>
        <v/>
      </c>
    </row>
    <row r="373" spans="3:10" x14ac:dyDescent="0.35">
      <c r="C373" s="144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s="138" t="str">
        <f>+IFERROR(VLOOKUP(Fact_Analitica[[#This Row],[Concepto Anterior]],Conceptos_Analítica_contraloría[#All],5,0),"")</f>
        <v/>
      </c>
      <c r="F373" s="138" t="str">
        <f>+IFERROR(VLOOKUP(Fact_Analitica[[#This Row],[Concepto Anterior]],Conceptos_Analítica_contraloría[#All],7,0),"")</f>
        <v/>
      </c>
      <c r="I373" s="138" t="str">
        <f>+IFERROR(VLOOKUP(D373,Conceptos_Analítica_contraloría[#All],2,0),"")</f>
        <v/>
      </c>
      <c r="J373" s="138" t="str">
        <f>+IFERROR(VLOOKUP(D373,Conceptos_Analítica_contraloría[#All],3,0),"")</f>
        <v/>
      </c>
    </row>
    <row r="374" spans="3:10" x14ac:dyDescent="0.35">
      <c r="C374" s="144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s="138" t="str">
        <f>+IFERROR(VLOOKUP(Fact_Analitica[[#This Row],[Concepto Anterior]],Conceptos_Analítica_contraloría[#All],5,0),"")</f>
        <v/>
      </c>
      <c r="F374" s="138" t="str">
        <f>+IFERROR(VLOOKUP(Fact_Analitica[[#This Row],[Concepto Anterior]],Conceptos_Analítica_contraloría[#All],7,0),"")</f>
        <v/>
      </c>
      <c r="I374" s="138" t="str">
        <f>+IFERROR(VLOOKUP(D374,Conceptos_Analítica_contraloría[#All],2,0),"")</f>
        <v/>
      </c>
      <c r="J374" s="138" t="str">
        <f>+IFERROR(VLOOKUP(D374,Conceptos_Analítica_contraloría[#All],3,0),"")</f>
        <v/>
      </c>
    </row>
    <row r="375" spans="3:10" x14ac:dyDescent="0.35">
      <c r="C375" s="144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s="138" t="str">
        <f>+IFERROR(VLOOKUP(Fact_Analitica[[#This Row],[Concepto Anterior]],Conceptos_Analítica_contraloría[#All],5,0),"")</f>
        <v/>
      </c>
      <c r="F375" s="138" t="str">
        <f>+IFERROR(VLOOKUP(Fact_Analitica[[#This Row],[Concepto Anterior]],Conceptos_Analítica_contraloría[#All],7,0),"")</f>
        <v/>
      </c>
      <c r="I375" s="138" t="str">
        <f>+IFERROR(VLOOKUP(D375,Conceptos_Analítica_contraloría[#All],2,0),"")</f>
        <v/>
      </c>
      <c r="J375" s="138" t="str">
        <f>+IFERROR(VLOOKUP(D375,Conceptos_Analítica_contraloría[#All],3,0),"")</f>
        <v/>
      </c>
    </row>
    <row r="376" spans="3:10" x14ac:dyDescent="0.35">
      <c r="C376" s="144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s="138" t="str">
        <f>+IFERROR(VLOOKUP(Fact_Analitica[[#This Row],[Concepto Anterior]],Conceptos_Analítica_contraloría[#All],5,0),"")</f>
        <v/>
      </c>
      <c r="F376" s="138" t="str">
        <f>+IFERROR(VLOOKUP(Fact_Analitica[[#This Row],[Concepto Anterior]],Conceptos_Analítica_contraloría[#All],7,0),"")</f>
        <v/>
      </c>
      <c r="I376" s="138" t="str">
        <f>+IFERROR(VLOOKUP(D376,Conceptos_Analítica_contraloría[#All],2,0),"")</f>
        <v/>
      </c>
      <c r="J376" s="138" t="str">
        <f>+IFERROR(VLOOKUP(D376,Conceptos_Analítica_contraloría[#All],3,0),"")</f>
        <v/>
      </c>
    </row>
    <row r="377" spans="3:10" x14ac:dyDescent="0.35">
      <c r="C377" s="144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s="138" t="str">
        <f>+IFERROR(VLOOKUP(Fact_Analitica[[#This Row],[Concepto Anterior]],Conceptos_Analítica_contraloría[#All],5,0),"")</f>
        <v/>
      </c>
      <c r="F377" s="138" t="str">
        <f>+IFERROR(VLOOKUP(Fact_Analitica[[#This Row],[Concepto Anterior]],Conceptos_Analítica_contraloría[#All],7,0),"")</f>
        <v/>
      </c>
      <c r="I377" s="138" t="str">
        <f>+IFERROR(VLOOKUP(D377,Conceptos_Analítica_contraloría[#All],2,0),"")</f>
        <v/>
      </c>
      <c r="J377" s="138" t="str">
        <f>+IFERROR(VLOOKUP(D377,Conceptos_Analítica_contraloría[#All],3,0),"")</f>
        <v/>
      </c>
    </row>
    <row r="378" spans="3:10" x14ac:dyDescent="0.35">
      <c r="C378" s="144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s="138" t="str">
        <f>+IFERROR(VLOOKUP(Fact_Analitica[[#This Row],[Concepto Anterior]],Conceptos_Analítica_contraloría[#All],5,0),"")</f>
        <v/>
      </c>
      <c r="F378" s="138" t="str">
        <f>+IFERROR(VLOOKUP(Fact_Analitica[[#This Row],[Concepto Anterior]],Conceptos_Analítica_contraloría[#All],7,0),"")</f>
        <v/>
      </c>
      <c r="I378" s="138" t="str">
        <f>+IFERROR(VLOOKUP(D378,Conceptos_Analítica_contraloría[#All],2,0),"")</f>
        <v/>
      </c>
      <c r="J378" s="138" t="str">
        <f>+IFERROR(VLOOKUP(D378,Conceptos_Analítica_contraloría[#All],3,0),"")</f>
        <v/>
      </c>
    </row>
    <row r="379" spans="3:10" x14ac:dyDescent="0.35">
      <c r="C379" s="144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s="138" t="str">
        <f>+IFERROR(VLOOKUP(Fact_Analitica[[#This Row],[Concepto Anterior]],Conceptos_Analítica_contraloría[#All],5,0),"")</f>
        <v/>
      </c>
      <c r="F379" s="138" t="str">
        <f>+IFERROR(VLOOKUP(Fact_Analitica[[#This Row],[Concepto Anterior]],Conceptos_Analítica_contraloría[#All],7,0),"")</f>
        <v/>
      </c>
      <c r="I379" s="138" t="str">
        <f>+IFERROR(VLOOKUP(D379,Conceptos_Analítica_contraloría[#All],2,0),"")</f>
        <v/>
      </c>
      <c r="J379" s="138" t="str">
        <f>+IFERROR(VLOOKUP(D379,Conceptos_Analítica_contraloría[#All],3,0),"")</f>
        <v/>
      </c>
    </row>
    <row r="380" spans="3:10" x14ac:dyDescent="0.35">
      <c r="C380" s="144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s="138" t="str">
        <f>+IFERROR(VLOOKUP(Fact_Analitica[[#This Row],[Concepto Anterior]],Conceptos_Analítica_contraloría[#All],5,0),"")</f>
        <v/>
      </c>
      <c r="F380" s="138" t="str">
        <f>+IFERROR(VLOOKUP(Fact_Analitica[[#This Row],[Concepto Anterior]],Conceptos_Analítica_contraloría[#All],7,0),"")</f>
        <v/>
      </c>
      <c r="I380" s="138" t="str">
        <f>+IFERROR(VLOOKUP(D380,Conceptos_Analítica_contraloría[#All],2,0),"")</f>
        <v/>
      </c>
      <c r="J380" s="138" t="str">
        <f>+IFERROR(VLOOKUP(D380,Conceptos_Analítica_contraloría[#All],3,0),"")</f>
        <v/>
      </c>
    </row>
    <row r="381" spans="3:10" x14ac:dyDescent="0.35">
      <c r="C381" s="144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s="138" t="str">
        <f>+IFERROR(VLOOKUP(Fact_Analitica[[#This Row],[Concepto Anterior]],Conceptos_Analítica_contraloría[#All],5,0),"")</f>
        <v/>
      </c>
      <c r="F381" s="138" t="str">
        <f>+IFERROR(VLOOKUP(Fact_Analitica[[#This Row],[Concepto Anterior]],Conceptos_Analítica_contraloría[#All],7,0),"")</f>
        <v/>
      </c>
      <c r="I381" s="138" t="str">
        <f>+IFERROR(VLOOKUP(D381,Conceptos_Analítica_contraloría[#All],2,0),"")</f>
        <v/>
      </c>
      <c r="J381" s="138" t="str">
        <f>+IFERROR(VLOOKUP(D381,Conceptos_Analítica_contraloría[#All],3,0),"")</f>
        <v/>
      </c>
    </row>
    <row r="382" spans="3:10" x14ac:dyDescent="0.35">
      <c r="C382" s="144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s="138" t="str">
        <f>+IFERROR(VLOOKUP(Fact_Analitica[[#This Row],[Concepto Anterior]],Conceptos_Analítica_contraloría[#All],5,0),"")</f>
        <v/>
      </c>
      <c r="F382" s="138" t="str">
        <f>+IFERROR(VLOOKUP(Fact_Analitica[[#This Row],[Concepto Anterior]],Conceptos_Analítica_contraloría[#All],7,0),"")</f>
        <v/>
      </c>
      <c r="I382" s="138" t="str">
        <f>+IFERROR(VLOOKUP(D382,Conceptos_Analítica_contraloría[#All],2,0),"")</f>
        <v/>
      </c>
      <c r="J382" s="138" t="str">
        <f>+IFERROR(VLOOKUP(D382,Conceptos_Analítica_contraloría[#All],3,0),"")</f>
        <v/>
      </c>
    </row>
    <row r="383" spans="3:10" x14ac:dyDescent="0.35">
      <c r="C383" s="144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s="138" t="str">
        <f>+IFERROR(VLOOKUP(Fact_Analitica[[#This Row],[Concepto Anterior]],Conceptos_Analítica_contraloría[#All],5,0),"")</f>
        <v/>
      </c>
      <c r="F383" s="138" t="str">
        <f>+IFERROR(VLOOKUP(Fact_Analitica[[#This Row],[Concepto Anterior]],Conceptos_Analítica_contraloría[#All],7,0),"")</f>
        <v/>
      </c>
      <c r="I383" s="138" t="str">
        <f>+IFERROR(VLOOKUP(D383,Conceptos_Analítica_contraloría[#All],2,0),"")</f>
        <v/>
      </c>
      <c r="J383" s="138" t="str">
        <f>+IFERROR(VLOOKUP(D383,Conceptos_Analítica_contraloría[#All],3,0),"")</f>
        <v/>
      </c>
    </row>
    <row r="384" spans="3:10" x14ac:dyDescent="0.35">
      <c r="C384" s="144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s="138" t="str">
        <f>+IFERROR(VLOOKUP(Fact_Analitica[[#This Row],[Concepto Anterior]],Conceptos_Analítica_contraloría[#All],5,0),"")</f>
        <v/>
      </c>
      <c r="F384" s="138" t="str">
        <f>+IFERROR(VLOOKUP(Fact_Analitica[[#This Row],[Concepto Anterior]],Conceptos_Analítica_contraloría[#All],7,0),"")</f>
        <v/>
      </c>
      <c r="I384" s="138" t="str">
        <f>+IFERROR(VLOOKUP(D384,Conceptos_Analítica_contraloría[#All],2,0),"")</f>
        <v/>
      </c>
      <c r="J384" s="138" t="str">
        <f>+IFERROR(VLOOKUP(D384,Conceptos_Analítica_contraloría[#All],3,0),"")</f>
        <v/>
      </c>
    </row>
    <row r="385" spans="3:10" x14ac:dyDescent="0.35">
      <c r="C385" s="144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s="138" t="str">
        <f>+IFERROR(VLOOKUP(Fact_Analitica[[#This Row],[Concepto Anterior]],Conceptos_Analítica_contraloría[#All],5,0),"")</f>
        <v/>
      </c>
      <c r="F385" s="138" t="str">
        <f>+IFERROR(VLOOKUP(Fact_Analitica[[#This Row],[Concepto Anterior]],Conceptos_Analítica_contraloría[#All],7,0),"")</f>
        <v/>
      </c>
      <c r="I385" s="138" t="str">
        <f>+IFERROR(VLOOKUP(D385,Conceptos_Analítica_contraloría[#All],2,0),"")</f>
        <v/>
      </c>
      <c r="J385" s="138" t="str">
        <f>+IFERROR(VLOOKUP(D385,Conceptos_Analítica_contraloría[#All],3,0),"")</f>
        <v/>
      </c>
    </row>
    <row r="386" spans="3:10" x14ac:dyDescent="0.35">
      <c r="C386" s="144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s="138" t="str">
        <f>+IFERROR(VLOOKUP(Fact_Analitica[[#This Row],[Concepto Anterior]],Conceptos_Analítica_contraloría[#All],5,0),"")</f>
        <v/>
      </c>
      <c r="F386" s="138" t="str">
        <f>+IFERROR(VLOOKUP(Fact_Analitica[[#This Row],[Concepto Anterior]],Conceptos_Analítica_contraloría[#All],7,0),"")</f>
        <v/>
      </c>
      <c r="I386" s="138" t="str">
        <f>+IFERROR(VLOOKUP(D386,Conceptos_Analítica_contraloría[#All],2,0),"")</f>
        <v/>
      </c>
      <c r="J386" s="138" t="str">
        <f>+IFERROR(VLOOKUP(D386,Conceptos_Analítica_contraloría[#All],3,0),"")</f>
        <v/>
      </c>
    </row>
    <row r="387" spans="3:10" x14ac:dyDescent="0.35">
      <c r="C387" s="144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s="138" t="str">
        <f>+IFERROR(VLOOKUP(Fact_Analitica[[#This Row],[Concepto Anterior]],Conceptos_Analítica_contraloría[#All],5,0),"")</f>
        <v/>
      </c>
      <c r="F387" s="138" t="str">
        <f>+IFERROR(VLOOKUP(Fact_Analitica[[#This Row],[Concepto Anterior]],Conceptos_Analítica_contraloría[#All],7,0),"")</f>
        <v/>
      </c>
      <c r="I387" s="138" t="str">
        <f>+IFERROR(VLOOKUP(D387,Conceptos_Analítica_contraloría[#All],2,0),"")</f>
        <v/>
      </c>
      <c r="J387" s="138" t="str">
        <f>+IFERROR(VLOOKUP(D387,Conceptos_Analítica_contraloría[#All],3,0),"")</f>
        <v/>
      </c>
    </row>
    <row r="388" spans="3:10" x14ac:dyDescent="0.35">
      <c r="C388" s="144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s="138" t="str">
        <f>+IFERROR(VLOOKUP(Fact_Analitica[[#This Row],[Concepto Anterior]],Conceptos_Analítica_contraloría[#All],5,0),"")</f>
        <v/>
      </c>
      <c r="F388" s="138" t="str">
        <f>+IFERROR(VLOOKUP(Fact_Analitica[[#This Row],[Concepto Anterior]],Conceptos_Analítica_contraloría[#All],7,0),"")</f>
        <v/>
      </c>
      <c r="I388" s="138" t="str">
        <f>+IFERROR(VLOOKUP(D388,Conceptos_Analítica_contraloría[#All],2,0),"")</f>
        <v/>
      </c>
      <c r="J388" s="138" t="str">
        <f>+IFERROR(VLOOKUP(D388,Conceptos_Analítica_contraloría[#All],3,0),"")</f>
        <v/>
      </c>
    </row>
    <row r="389" spans="3:10" x14ac:dyDescent="0.35">
      <c r="C389" s="144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s="138" t="str">
        <f>+IFERROR(VLOOKUP(Fact_Analitica[[#This Row],[Concepto Anterior]],Conceptos_Analítica_contraloría[#All],5,0),"")</f>
        <v/>
      </c>
      <c r="F389" s="138" t="str">
        <f>+IFERROR(VLOOKUP(Fact_Analitica[[#This Row],[Concepto Anterior]],Conceptos_Analítica_contraloría[#All],7,0),"")</f>
        <v/>
      </c>
      <c r="I389" s="138" t="str">
        <f>+IFERROR(VLOOKUP(D389,Conceptos_Analítica_contraloría[#All],2,0),"")</f>
        <v/>
      </c>
      <c r="J389" s="138" t="str">
        <f>+IFERROR(VLOOKUP(D389,Conceptos_Analítica_contraloría[#All],3,0),"")</f>
        <v/>
      </c>
    </row>
    <row r="390" spans="3:10" x14ac:dyDescent="0.35">
      <c r="C390" s="144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s="138" t="str">
        <f>+IFERROR(VLOOKUP(Fact_Analitica[[#This Row],[Concepto Anterior]],Conceptos_Analítica_contraloría[#All],5,0),"")</f>
        <v/>
      </c>
      <c r="F390" s="138" t="str">
        <f>+IFERROR(VLOOKUP(Fact_Analitica[[#This Row],[Concepto Anterior]],Conceptos_Analítica_contraloría[#All],7,0),"")</f>
        <v/>
      </c>
      <c r="I390" s="138" t="str">
        <f>+IFERROR(VLOOKUP(D390,Conceptos_Analítica_contraloría[#All],2,0),"")</f>
        <v/>
      </c>
      <c r="J390" s="138" t="str">
        <f>+IFERROR(VLOOKUP(D390,Conceptos_Analítica_contraloría[#All],3,0),"")</f>
        <v/>
      </c>
    </row>
    <row r="391" spans="3:10" x14ac:dyDescent="0.35">
      <c r="C391" s="144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s="138" t="str">
        <f>+IFERROR(VLOOKUP(Fact_Analitica[[#This Row],[Concepto Anterior]],Conceptos_Analítica_contraloría[#All],5,0),"")</f>
        <v/>
      </c>
      <c r="F391" s="138" t="str">
        <f>+IFERROR(VLOOKUP(Fact_Analitica[[#This Row],[Concepto Anterior]],Conceptos_Analítica_contraloría[#All],7,0),"")</f>
        <v/>
      </c>
      <c r="I391" s="138" t="str">
        <f>+IFERROR(VLOOKUP(D391,Conceptos_Analítica_contraloría[#All],2,0),"")</f>
        <v/>
      </c>
      <c r="J391" s="138" t="str">
        <f>+IFERROR(VLOOKUP(D391,Conceptos_Analítica_contraloría[#All],3,0),"")</f>
        <v/>
      </c>
    </row>
    <row r="392" spans="3:10" x14ac:dyDescent="0.35">
      <c r="C392" s="144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s="138" t="str">
        <f>+IFERROR(VLOOKUP(Fact_Analitica[[#This Row],[Concepto Anterior]],Conceptos_Analítica_contraloría[#All],5,0),"")</f>
        <v/>
      </c>
      <c r="F392" s="138" t="str">
        <f>+IFERROR(VLOOKUP(Fact_Analitica[[#This Row],[Concepto Anterior]],Conceptos_Analítica_contraloría[#All],7,0),"")</f>
        <v/>
      </c>
      <c r="I392" s="138" t="str">
        <f>+IFERROR(VLOOKUP(D392,Conceptos_Analítica_contraloría[#All],2,0),"")</f>
        <v/>
      </c>
      <c r="J392" s="138" t="str">
        <f>+IFERROR(VLOOKUP(D392,Conceptos_Analítica_contraloría[#All],3,0),"")</f>
        <v/>
      </c>
    </row>
    <row r="393" spans="3:10" x14ac:dyDescent="0.35">
      <c r="C393" s="144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s="138" t="str">
        <f>+IFERROR(VLOOKUP(Fact_Analitica[[#This Row],[Concepto Anterior]],Conceptos_Analítica_contraloría[#All],5,0),"")</f>
        <v/>
      </c>
      <c r="F393" s="138" t="str">
        <f>+IFERROR(VLOOKUP(Fact_Analitica[[#This Row],[Concepto Anterior]],Conceptos_Analítica_contraloría[#All],7,0),"")</f>
        <v/>
      </c>
      <c r="I393" s="138" t="str">
        <f>+IFERROR(VLOOKUP(D393,Conceptos_Analítica_contraloría[#All],2,0),"")</f>
        <v/>
      </c>
      <c r="J393" s="138" t="str">
        <f>+IFERROR(VLOOKUP(D393,Conceptos_Analítica_contraloría[#All],3,0),"")</f>
        <v/>
      </c>
    </row>
    <row r="394" spans="3:10" x14ac:dyDescent="0.35">
      <c r="C394" s="144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s="138" t="str">
        <f>+IFERROR(VLOOKUP(Fact_Analitica[[#This Row],[Concepto Anterior]],Conceptos_Analítica_contraloría[#All],5,0),"")</f>
        <v/>
      </c>
      <c r="F394" s="138" t="str">
        <f>+IFERROR(VLOOKUP(Fact_Analitica[[#This Row],[Concepto Anterior]],Conceptos_Analítica_contraloría[#All],7,0),"")</f>
        <v/>
      </c>
      <c r="I394" s="138" t="str">
        <f>+IFERROR(VLOOKUP(D394,Conceptos_Analítica_contraloría[#All],2,0),"")</f>
        <v/>
      </c>
      <c r="J394" s="138" t="str">
        <f>+IFERROR(VLOOKUP(D394,Conceptos_Analítica_contraloría[#All],3,0),"")</f>
        <v/>
      </c>
    </row>
    <row r="395" spans="3:10" x14ac:dyDescent="0.35">
      <c r="C395" s="144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s="138" t="str">
        <f>+IFERROR(VLOOKUP(Fact_Analitica[[#This Row],[Concepto Anterior]],Conceptos_Analítica_contraloría[#All],5,0),"")</f>
        <v/>
      </c>
      <c r="F395" s="138" t="str">
        <f>+IFERROR(VLOOKUP(Fact_Analitica[[#This Row],[Concepto Anterior]],Conceptos_Analítica_contraloría[#All],7,0),"")</f>
        <v/>
      </c>
      <c r="I395" s="138" t="str">
        <f>+IFERROR(VLOOKUP(D395,Conceptos_Analítica_contraloría[#All],2,0),"")</f>
        <v/>
      </c>
      <c r="J395" s="138" t="str">
        <f>+IFERROR(VLOOKUP(D395,Conceptos_Analítica_contraloría[#All],3,0),"")</f>
        <v/>
      </c>
    </row>
    <row r="396" spans="3:10" x14ac:dyDescent="0.35">
      <c r="C396" s="144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s="138" t="str">
        <f>+IFERROR(VLOOKUP(Fact_Analitica[[#This Row],[Concepto Anterior]],Conceptos_Analítica_contraloría[#All],5,0),"")</f>
        <v/>
      </c>
      <c r="F396" s="138" t="str">
        <f>+IFERROR(VLOOKUP(Fact_Analitica[[#This Row],[Concepto Anterior]],Conceptos_Analítica_contraloría[#All],7,0),"")</f>
        <v/>
      </c>
      <c r="I396" s="138" t="str">
        <f>+IFERROR(VLOOKUP(D396,Conceptos_Analítica_contraloría[#All],2,0),"")</f>
        <v/>
      </c>
      <c r="J396" s="138" t="str">
        <f>+IFERROR(VLOOKUP(D396,Conceptos_Analítica_contraloría[#All],3,0),"")</f>
        <v/>
      </c>
    </row>
    <row r="397" spans="3:10" x14ac:dyDescent="0.35">
      <c r="C397" s="144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s="138" t="str">
        <f>+IFERROR(VLOOKUP(Fact_Analitica[[#This Row],[Concepto Anterior]],Conceptos_Analítica_contraloría[#All],5,0),"")</f>
        <v/>
      </c>
      <c r="F397" s="138" t="str">
        <f>+IFERROR(VLOOKUP(Fact_Analitica[[#This Row],[Concepto Anterior]],Conceptos_Analítica_contraloría[#All],7,0),"")</f>
        <v/>
      </c>
      <c r="I397" s="138" t="str">
        <f>+IFERROR(VLOOKUP(D397,Conceptos_Analítica_contraloría[#All],2,0),"")</f>
        <v/>
      </c>
      <c r="J397" s="138" t="str">
        <f>+IFERROR(VLOOKUP(D397,Conceptos_Analítica_contraloría[#All],3,0),"")</f>
        <v/>
      </c>
    </row>
    <row r="398" spans="3:10" x14ac:dyDescent="0.35">
      <c r="C398" s="144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s="138" t="str">
        <f>+IFERROR(VLOOKUP(Fact_Analitica[[#This Row],[Concepto Anterior]],Conceptos_Analítica_contraloría[#All],5,0),"")</f>
        <v/>
      </c>
      <c r="F398" s="138" t="str">
        <f>+IFERROR(VLOOKUP(Fact_Analitica[[#This Row],[Concepto Anterior]],Conceptos_Analítica_contraloría[#All],7,0),"")</f>
        <v/>
      </c>
      <c r="I398" s="138" t="str">
        <f>+IFERROR(VLOOKUP(D398,Conceptos_Analítica_contraloría[#All],2,0),"")</f>
        <v/>
      </c>
      <c r="J398" s="138" t="str">
        <f>+IFERROR(VLOOKUP(D398,Conceptos_Analítica_contraloría[#All],3,0),"")</f>
        <v/>
      </c>
    </row>
    <row r="399" spans="3:10" x14ac:dyDescent="0.35">
      <c r="C399" s="144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s="138" t="str">
        <f>+IFERROR(VLOOKUP(Fact_Analitica[[#This Row],[Concepto Anterior]],Conceptos_Analítica_contraloría[#All],5,0),"")</f>
        <v/>
      </c>
      <c r="F399" s="138" t="str">
        <f>+IFERROR(VLOOKUP(Fact_Analitica[[#This Row],[Concepto Anterior]],Conceptos_Analítica_contraloría[#All],7,0),"")</f>
        <v/>
      </c>
      <c r="I399" s="138" t="str">
        <f>+IFERROR(VLOOKUP(D399,Conceptos_Analítica_contraloría[#All],2,0),"")</f>
        <v/>
      </c>
      <c r="J399" s="138" t="str">
        <f>+IFERROR(VLOOKUP(D399,Conceptos_Analítica_contraloría[#All],3,0),"")</f>
        <v/>
      </c>
    </row>
    <row r="400" spans="3:10" x14ac:dyDescent="0.35">
      <c r="C400" s="144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s="138" t="str">
        <f>+IFERROR(VLOOKUP(Fact_Analitica[[#This Row],[Concepto Anterior]],Conceptos_Analítica_contraloría[#All],5,0),"")</f>
        <v/>
      </c>
      <c r="F400" s="138" t="str">
        <f>+IFERROR(VLOOKUP(Fact_Analitica[[#This Row],[Concepto Anterior]],Conceptos_Analítica_contraloría[#All],7,0),"")</f>
        <v/>
      </c>
      <c r="I400" s="138" t="str">
        <f>+IFERROR(VLOOKUP(D400,Conceptos_Analítica_contraloría[#All],2,0),"")</f>
        <v/>
      </c>
      <c r="J400" s="138" t="str">
        <f>+IFERROR(VLOOKUP(D400,Conceptos_Analítica_contraloría[#All],3,0),"")</f>
        <v/>
      </c>
    </row>
    <row r="401" spans="3:10" x14ac:dyDescent="0.35">
      <c r="C401" s="144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s="138" t="str">
        <f>+IFERROR(VLOOKUP(Fact_Analitica[[#This Row],[Concepto Anterior]],Conceptos_Analítica_contraloría[#All],5,0),"")</f>
        <v/>
      </c>
      <c r="F401" s="138" t="str">
        <f>+IFERROR(VLOOKUP(Fact_Analitica[[#This Row],[Concepto Anterior]],Conceptos_Analítica_contraloría[#All],7,0),"")</f>
        <v/>
      </c>
      <c r="I401" s="138" t="str">
        <f>+IFERROR(VLOOKUP(D401,Conceptos_Analítica_contraloría[#All],2,0),"")</f>
        <v/>
      </c>
      <c r="J401" s="138" t="str">
        <f>+IFERROR(VLOOKUP(D401,Conceptos_Analítica_contraloría[#All],3,0),"")</f>
        <v/>
      </c>
    </row>
    <row r="402" spans="3:10" x14ac:dyDescent="0.35">
      <c r="C402" s="144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s="138" t="str">
        <f>+IFERROR(VLOOKUP(Fact_Analitica[[#This Row],[Concepto Anterior]],Conceptos_Analítica_contraloría[#All],5,0),"")</f>
        <v/>
      </c>
      <c r="F402" s="138" t="str">
        <f>+IFERROR(VLOOKUP(Fact_Analitica[[#This Row],[Concepto Anterior]],Conceptos_Analítica_contraloría[#All],7,0),"")</f>
        <v/>
      </c>
      <c r="I402" s="138" t="str">
        <f>+IFERROR(VLOOKUP(D402,Conceptos_Analítica_contraloría[#All],2,0),"")</f>
        <v/>
      </c>
      <c r="J402" s="138" t="str">
        <f>+IFERROR(VLOOKUP(D402,Conceptos_Analítica_contraloría[#All],3,0),"")</f>
        <v/>
      </c>
    </row>
    <row r="403" spans="3:10" x14ac:dyDescent="0.35">
      <c r="C403" s="144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s="138" t="str">
        <f>+IFERROR(VLOOKUP(Fact_Analitica[[#This Row],[Concepto Anterior]],Conceptos_Analítica_contraloría[#All],5,0),"")</f>
        <v/>
      </c>
      <c r="F403" s="138" t="str">
        <f>+IFERROR(VLOOKUP(Fact_Analitica[[#This Row],[Concepto Anterior]],Conceptos_Analítica_contraloría[#All],7,0),"")</f>
        <v/>
      </c>
      <c r="I403" s="138" t="str">
        <f>+IFERROR(VLOOKUP(D403,Conceptos_Analítica_contraloría[#All],2,0),"")</f>
        <v/>
      </c>
      <c r="J403" s="138" t="str">
        <f>+IFERROR(VLOOKUP(D403,Conceptos_Analítica_contraloría[#All],3,0),"")</f>
        <v/>
      </c>
    </row>
    <row r="404" spans="3:10" x14ac:dyDescent="0.35">
      <c r="C404" s="144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s="138" t="str">
        <f>+IFERROR(VLOOKUP(Fact_Analitica[[#This Row],[Concepto Anterior]],Conceptos_Analítica_contraloría[#All],5,0),"")</f>
        <v/>
      </c>
      <c r="F404" s="138" t="str">
        <f>+IFERROR(VLOOKUP(Fact_Analitica[[#This Row],[Concepto Anterior]],Conceptos_Analítica_contraloría[#All],7,0),"")</f>
        <v/>
      </c>
      <c r="I404" s="138" t="str">
        <f>+IFERROR(VLOOKUP(D404,Conceptos_Analítica_contraloría[#All],2,0),"")</f>
        <v/>
      </c>
      <c r="J404" s="138" t="str">
        <f>+IFERROR(VLOOKUP(D404,Conceptos_Analítica_contraloría[#All],3,0),"")</f>
        <v/>
      </c>
    </row>
    <row r="405" spans="3:10" x14ac:dyDescent="0.35">
      <c r="C405" s="144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s="138" t="str">
        <f>+IFERROR(VLOOKUP(Fact_Analitica[[#This Row],[Concepto Anterior]],Conceptos_Analítica_contraloría[#All],5,0),"")</f>
        <v/>
      </c>
      <c r="F405" s="138" t="str">
        <f>+IFERROR(VLOOKUP(Fact_Analitica[[#This Row],[Concepto Anterior]],Conceptos_Analítica_contraloría[#All],7,0),"")</f>
        <v/>
      </c>
      <c r="I405" s="138" t="str">
        <f>+IFERROR(VLOOKUP(D405,Conceptos_Analítica_contraloría[#All],2,0),"")</f>
        <v/>
      </c>
      <c r="J405" s="138" t="str">
        <f>+IFERROR(VLOOKUP(D405,Conceptos_Analítica_contraloría[#All],3,0),"")</f>
        <v/>
      </c>
    </row>
    <row r="406" spans="3:10" x14ac:dyDescent="0.35">
      <c r="C406" s="144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s="138" t="str">
        <f>+IFERROR(VLOOKUP(Fact_Analitica[[#This Row],[Concepto Anterior]],Conceptos_Analítica_contraloría[#All],5,0),"")</f>
        <v/>
      </c>
      <c r="F406" s="138" t="str">
        <f>+IFERROR(VLOOKUP(Fact_Analitica[[#This Row],[Concepto Anterior]],Conceptos_Analítica_contraloría[#All],7,0),"")</f>
        <v/>
      </c>
      <c r="I406" s="138" t="str">
        <f>+IFERROR(VLOOKUP(D406,Conceptos_Analítica_contraloría[#All],2,0),"")</f>
        <v/>
      </c>
      <c r="J406" s="138" t="str">
        <f>+IFERROR(VLOOKUP(D406,Conceptos_Analítica_contraloría[#All],3,0),"")</f>
        <v/>
      </c>
    </row>
    <row r="407" spans="3:10" x14ac:dyDescent="0.35">
      <c r="C407" s="144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s="138" t="str">
        <f>+IFERROR(VLOOKUP(Fact_Analitica[[#This Row],[Concepto Anterior]],Conceptos_Analítica_contraloría[#All],5,0),"")</f>
        <v/>
      </c>
      <c r="F407" s="138" t="str">
        <f>+IFERROR(VLOOKUP(Fact_Analitica[[#This Row],[Concepto Anterior]],Conceptos_Analítica_contraloría[#All],7,0),"")</f>
        <v/>
      </c>
      <c r="I407" s="138" t="str">
        <f>+IFERROR(VLOOKUP(D407,Conceptos_Analítica_contraloría[#All],2,0),"")</f>
        <v/>
      </c>
      <c r="J407" s="138" t="str">
        <f>+IFERROR(VLOOKUP(D407,Conceptos_Analítica_contraloría[#All],3,0),"")</f>
        <v/>
      </c>
    </row>
    <row r="408" spans="3:10" x14ac:dyDescent="0.35">
      <c r="C408" s="144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s="138" t="str">
        <f>+IFERROR(VLOOKUP(Fact_Analitica[[#This Row],[Concepto Anterior]],Conceptos_Analítica_contraloría[#All],5,0),"")</f>
        <v/>
      </c>
      <c r="F408" s="138" t="str">
        <f>+IFERROR(VLOOKUP(Fact_Analitica[[#This Row],[Concepto Anterior]],Conceptos_Analítica_contraloría[#All],7,0),"")</f>
        <v/>
      </c>
      <c r="I408" s="138" t="str">
        <f>+IFERROR(VLOOKUP(D408,Conceptos_Analítica_contraloría[#All],2,0),"")</f>
        <v/>
      </c>
      <c r="J408" s="138" t="str">
        <f>+IFERROR(VLOOKUP(D408,Conceptos_Analítica_contraloría[#All],3,0),"")</f>
        <v/>
      </c>
    </row>
    <row r="409" spans="3:10" x14ac:dyDescent="0.35">
      <c r="C409" s="144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s="138" t="str">
        <f>+IFERROR(VLOOKUP(Fact_Analitica[[#This Row],[Concepto Anterior]],Conceptos_Analítica_contraloría[#All],5,0),"")</f>
        <v/>
      </c>
      <c r="F409" s="138" t="str">
        <f>+IFERROR(VLOOKUP(Fact_Analitica[[#This Row],[Concepto Anterior]],Conceptos_Analítica_contraloría[#All],7,0),"")</f>
        <v/>
      </c>
      <c r="I409" s="138" t="str">
        <f>+IFERROR(VLOOKUP(D409,Conceptos_Analítica_contraloría[#All],2,0),"")</f>
        <v/>
      </c>
      <c r="J409" s="138" t="str">
        <f>+IFERROR(VLOOKUP(D409,Conceptos_Analítica_contraloría[#All],3,0),"")</f>
        <v/>
      </c>
    </row>
    <row r="410" spans="3:10" x14ac:dyDescent="0.35">
      <c r="C410" s="144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s="138" t="str">
        <f>+IFERROR(VLOOKUP(Fact_Analitica[[#This Row],[Concepto Anterior]],Conceptos_Analítica_contraloría[#All],5,0),"")</f>
        <v/>
      </c>
      <c r="F410" s="138" t="str">
        <f>+IFERROR(VLOOKUP(Fact_Analitica[[#This Row],[Concepto Anterior]],Conceptos_Analítica_contraloría[#All],7,0),"")</f>
        <v/>
      </c>
      <c r="I410" s="138" t="str">
        <f>+IFERROR(VLOOKUP(D410,Conceptos_Analítica_contraloría[#All],2,0),"")</f>
        <v/>
      </c>
      <c r="J410" s="138" t="str">
        <f>+IFERROR(VLOOKUP(D410,Conceptos_Analítica_contraloría[#All],3,0),"")</f>
        <v/>
      </c>
    </row>
    <row r="411" spans="3:10" x14ac:dyDescent="0.35">
      <c r="C411" s="144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s="138" t="str">
        <f>+IFERROR(VLOOKUP(Fact_Analitica[[#This Row],[Concepto Anterior]],Conceptos_Analítica_contraloría[#All],5,0),"")</f>
        <v/>
      </c>
      <c r="F411" s="138" t="str">
        <f>+IFERROR(VLOOKUP(Fact_Analitica[[#This Row],[Concepto Anterior]],Conceptos_Analítica_contraloría[#All],7,0),"")</f>
        <v/>
      </c>
      <c r="I411" s="138" t="str">
        <f>+IFERROR(VLOOKUP(D411,Conceptos_Analítica_contraloría[#All],2,0),"")</f>
        <v/>
      </c>
      <c r="J411" s="138" t="str">
        <f>+IFERROR(VLOOKUP(D411,Conceptos_Analítica_contraloría[#All],3,0),"")</f>
        <v/>
      </c>
    </row>
    <row r="412" spans="3:10" x14ac:dyDescent="0.35">
      <c r="C412" s="144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s="138" t="str">
        <f>+IFERROR(VLOOKUP(Fact_Analitica[[#This Row],[Concepto Anterior]],Conceptos_Analítica_contraloría[#All],5,0),"")</f>
        <v/>
      </c>
      <c r="F412" s="138" t="str">
        <f>+IFERROR(VLOOKUP(Fact_Analitica[[#This Row],[Concepto Anterior]],Conceptos_Analítica_contraloría[#All],7,0),"")</f>
        <v/>
      </c>
      <c r="I412" s="138" t="str">
        <f>+IFERROR(VLOOKUP(D412,Conceptos_Analítica_contraloría[#All],2,0),"")</f>
        <v/>
      </c>
      <c r="J412" s="138" t="str">
        <f>+IFERROR(VLOOKUP(D412,Conceptos_Analítica_contraloría[#All],3,0),"")</f>
        <v/>
      </c>
    </row>
    <row r="413" spans="3:10" x14ac:dyDescent="0.35">
      <c r="C413" s="144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s="138" t="str">
        <f>+IFERROR(VLOOKUP(Fact_Analitica[[#This Row],[Concepto Anterior]],Conceptos_Analítica_contraloría[#All],5,0),"")</f>
        <v/>
      </c>
      <c r="F413" s="138" t="str">
        <f>+IFERROR(VLOOKUP(Fact_Analitica[[#This Row],[Concepto Anterior]],Conceptos_Analítica_contraloría[#All],7,0),"")</f>
        <v/>
      </c>
      <c r="I413" s="138" t="str">
        <f>+IFERROR(VLOOKUP(D413,Conceptos_Analítica_contraloría[#All],2,0),"")</f>
        <v/>
      </c>
      <c r="J413" s="138" t="str">
        <f>+IFERROR(VLOOKUP(D413,Conceptos_Analítica_contraloría[#All],3,0),"")</f>
        <v/>
      </c>
    </row>
    <row r="414" spans="3:10" x14ac:dyDescent="0.35">
      <c r="C414" s="144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s="138" t="str">
        <f>+IFERROR(VLOOKUP(Fact_Analitica[[#This Row],[Concepto Anterior]],Conceptos_Analítica_contraloría[#All],5,0),"")</f>
        <v/>
      </c>
      <c r="F414" s="138" t="str">
        <f>+IFERROR(VLOOKUP(Fact_Analitica[[#This Row],[Concepto Anterior]],Conceptos_Analítica_contraloría[#All],7,0),"")</f>
        <v/>
      </c>
      <c r="I414" s="138" t="str">
        <f>+IFERROR(VLOOKUP(D414,Conceptos_Analítica_contraloría[#All],2,0),"")</f>
        <v/>
      </c>
      <c r="J414" s="138" t="str">
        <f>+IFERROR(VLOOKUP(D414,Conceptos_Analítica_contraloría[#All],3,0),"")</f>
        <v/>
      </c>
    </row>
    <row r="415" spans="3:10" x14ac:dyDescent="0.35">
      <c r="C415" s="144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s="138" t="str">
        <f>+IFERROR(VLOOKUP(Fact_Analitica[[#This Row],[Concepto Anterior]],Conceptos_Analítica_contraloría[#All],5,0),"")</f>
        <v/>
      </c>
      <c r="F415" s="138" t="str">
        <f>+IFERROR(VLOOKUP(Fact_Analitica[[#This Row],[Concepto Anterior]],Conceptos_Analítica_contraloría[#All],7,0),"")</f>
        <v/>
      </c>
      <c r="I415" s="138" t="str">
        <f>+IFERROR(VLOOKUP(D415,Conceptos_Analítica_contraloría[#All],2,0),"")</f>
        <v/>
      </c>
      <c r="J415" s="138" t="str">
        <f>+IFERROR(VLOOKUP(D415,Conceptos_Analítica_contraloría[#All],3,0),"")</f>
        <v/>
      </c>
    </row>
    <row r="416" spans="3:10" x14ac:dyDescent="0.35">
      <c r="C416" s="144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s="138" t="str">
        <f>+IFERROR(VLOOKUP(Fact_Analitica[[#This Row],[Concepto Anterior]],Conceptos_Analítica_contraloría[#All],5,0),"")</f>
        <v/>
      </c>
      <c r="F416" s="138" t="str">
        <f>+IFERROR(VLOOKUP(Fact_Analitica[[#This Row],[Concepto Anterior]],Conceptos_Analítica_contraloría[#All],7,0),"")</f>
        <v/>
      </c>
      <c r="I416" s="138" t="str">
        <f>+IFERROR(VLOOKUP(D416,Conceptos_Analítica_contraloría[#All],2,0),"")</f>
        <v/>
      </c>
      <c r="J416" s="138" t="str">
        <f>+IFERROR(VLOOKUP(D416,Conceptos_Analítica_contraloría[#All],3,0),"")</f>
        <v/>
      </c>
    </row>
    <row r="417" spans="3:10" x14ac:dyDescent="0.35">
      <c r="C417" s="144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s="138" t="str">
        <f>+IFERROR(VLOOKUP(Fact_Analitica[[#This Row],[Concepto Anterior]],Conceptos_Analítica_contraloría[#All],5,0),"")</f>
        <v/>
      </c>
      <c r="F417" s="138" t="str">
        <f>+IFERROR(VLOOKUP(Fact_Analitica[[#This Row],[Concepto Anterior]],Conceptos_Analítica_contraloría[#All],7,0),"")</f>
        <v/>
      </c>
      <c r="I417" s="138" t="str">
        <f>+IFERROR(VLOOKUP(D417,Conceptos_Analítica_contraloría[#All],2,0),"")</f>
        <v/>
      </c>
      <c r="J417" s="138" t="str">
        <f>+IFERROR(VLOOKUP(D417,Conceptos_Analítica_contraloría[#All],3,0),"")</f>
        <v/>
      </c>
    </row>
    <row r="418" spans="3:10" x14ac:dyDescent="0.35">
      <c r="C418" s="144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s="138" t="str">
        <f>+IFERROR(VLOOKUP(Fact_Analitica[[#This Row],[Concepto Anterior]],Conceptos_Analítica_contraloría[#All],5,0),"")</f>
        <v/>
      </c>
      <c r="F418" s="138" t="str">
        <f>+IFERROR(VLOOKUP(Fact_Analitica[[#This Row],[Concepto Anterior]],Conceptos_Analítica_contraloría[#All],7,0),"")</f>
        <v/>
      </c>
      <c r="I418" s="138" t="str">
        <f>+IFERROR(VLOOKUP(D418,Conceptos_Analítica_contraloría[#All],2,0),"")</f>
        <v/>
      </c>
      <c r="J418" s="138" t="str">
        <f>+IFERROR(VLOOKUP(D418,Conceptos_Analítica_contraloría[#All],3,0),"")</f>
        <v/>
      </c>
    </row>
    <row r="419" spans="3:10" x14ac:dyDescent="0.35">
      <c r="C419" s="144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s="138" t="str">
        <f>+IFERROR(VLOOKUP(Fact_Analitica[[#This Row],[Concepto Anterior]],Conceptos_Analítica_contraloría[#All],5,0),"")</f>
        <v/>
      </c>
      <c r="F419" s="138" t="str">
        <f>+IFERROR(VLOOKUP(Fact_Analitica[[#This Row],[Concepto Anterior]],Conceptos_Analítica_contraloría[#All],7,0),"")</f>
        <v/>
      </c>
      <c r="I419" s="138" t="str">
        <f>+IFERROR(VLOOKUP(D419,Conceptos_Analítica_contraloría[#All],2,0),"")</f>
        <v/>
      </c>
      <c r="J419" s="138" t="str">
        <f>+IFERROR(VLOOKUP(D419,Conceptos_Analítica_contraloría[#All],3,0),"")</f>
        <v/>
      </c>
    </row>
    <row r="420" spans="3:10" x14ac:dyDescent="0.35">
      <c r="C420" s="144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s="138" t="str">
        <f>+IFERROR(VLOOKUP(Fact_Analitica[[#This Row],[Concepto Anterior]],Conceptos_Analítica_contraloría[#All],5,0),"")</f>
        <v/>
      </c>
      <c r="F420" s="138" t="str">
        <f>+IFERROR(VLOOKUP(Fact_Analitica[[#This Row],[Concepto Anterior]],Conceptos_Analítica_contraloría[#All],7,0),"")</f>
        <v/>
      </c>
      <c r="I420" s="138" t="str">
        <f>+IFERROR(VLOOKUP(D420,Conceptos_Analítica_contraloría[#All],2,0),"")</f>
        <v/>
      </c>
      <c r="J420" s="138" t="str">
        <f>+IFERROR(VLOOKUP(D420,Conceptos_Analítica_contraloría[#All],3,0),"")</f>
        <v/>
      </c>
    </row>
    <row r="421" spans="3:10" x14ac:dyDescent="0.35">
      <c r="C421" s="144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s="138" t="str">
        <f>+IFERROR(VLOOKUP(Fact_Analitica[[#This Row],[Concepto Anterior]],Conceptos_Analítica_contraloría[#All],5,0),"")</f>
        <v/>
      </c>
      <c r="F421" s="138" t="str">
        <f>+IFERROR(VLOOKUP(Fact_Analitica[[#This Row],[Concepto Anterior]],Conceptos_Analítica_contraloría[#All],7,0),"")</f>
        <v/>
      </c>
      <c r="I421" s="138" t="str">
        <f>+IFERROR(VLOOKUP(D421,Conceptos_Analítica_contraloría[#All],2,0),"")</f>
        <v/>
      </c>
      <c r="J421" s="138" t="str">
        <f>+IFERROR(VLOOKUP(D421,Conceptos_Analítica_contraloría[#All],3,0),"")</f>
        <v/>
      </c>
    </row>
    <row r="422" spans="3:10" x14ac:dyDescent="0.35">
      <c r="C422" s="144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s="138" t="str">
        <f>+IFERROR(VLOOKUP(Fact_Analitica[[#This Row],[Concepto Anterior]],Conceptos_Analítica_contraloría[#All],5,0),"")</f>
        <v/>
      </c>
      <c r="F422" s="138" t="str">
        <f>+IFERROR(VLOOKUP(Fact_Analitica[[#This Row],[Concepto Anterior]],Conceptos_Analítica_contraloría[#All],7,0),"")</f>
        <v/>
      </c>
      <c r="I422" s="138" t="str">
        <f>+IFERROR(VLOOKUP(D422,Conceptos_Analítica_contraloría[#All],2,0),"")</f>
        <v/>
      </c>
      <c r="J422" s="138" t="str">
        <f>+IFERROR(VLOOKUP(D422,Conceptos_Analítica_contraloría[#All],3,0),"")</f>
        <v/>
      </c>
    </row>
    <row r="423" spans="3:10" x14ac:dyDescent="0.35">
      <c r="C423" s="144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s="138" t="str">
        <f>+IFERROR(VLOOKUP(Fact_Analitica[[#This Row],[Concepto Anterior]],Conceptos_Analítica_contraloría[#All],5,0),"")</f>
        <v/>
      </c>
      <c r="F423" s="138" t="str">
        <f>+IFERROR(VLOOKUP(Fact_Analitica[[#This Row],[Concepto Anterior]],Conceptos_Analítica_contraloría[#All],7,0),"")</f>
        <v/>
      </c>
      <c r="I423" s="138" t="str">
        <f>+IFERROR(VLOOKUP(D423,Conceptos_Analítica_contraloría[#All],2,0),"")</f>
        <v/>
      </c>
      <c r="J423" s="138" t="str">
        <f>+IFERROR(VLOOKUP(D423,Conceptos_Analítica_contraloría[#All],3,0),"")</f>
        <v/>
      </c>
    </row>
    <row r="424" spans="3:10" x14ac:dyDescent="0.35">
      <c r="C424" s="144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s="138" t="str">
        <f>+IFERROR(VLOOKUP(Fact_Analitica[[#This Row],[Concepto Anterior]],Conceptos_Analítica_contraloría[#All],5,0),"")</f>
        <v/>
      </c>
      <c r="F424" s="138" t="str">
        <f>+IFERROR(VLOOKUP(Fact_Analitica[[#This Row],[Concepto Anterior]],Conceptos_Analítica_contraloría[#All],7,0),"")</f>
        <v/>
      </c>
      <c r="I424" s="138" t="str">
        <f>+IFERROR(VLOOKUP(D424,Conceptos_Analítica_contraloría[#All],2,0),"")</f>
        <v/>
      </c>
      <c r="J424" s="138" t="str">
        <f>+IFERROR(VLOOKUP(D424,Conceptos_Analítica_contraloría[#All],3,0),"")</f>
        <v/>
      </c>
    </row>
    <row r="425" spans="3:10" x14ac:dyDescent="0.35">
      <c r="C425" s="144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s="138" t="str">
        <f>+IFERROR(VLOOKUP(Fact_Analitica[[#This Row],[Concepto Anterior]],Conceptos_Analítica_contraloría[#All],5,0),"")</f>
        <v/>
      </c>
      <c r="F425" s="138" t="str">
        <f>+IFERROR(VLOOKUP(Fact_Analitica[[#This Row],[Concepto Anterior]],Conceptos_Analítica_contraloría[#All],7,0),"")</f>
        <v/>
      </c>
      <c r="I425" s="138" t="str">
        <f>+IFERROR(VLOOKUP(D425,Conceptos_Analítica_contraloría[#All],2,0),"")</f>
        <v/>
      </c>
      <c r="J425" s="138" t="str">
        <f>+IFERROR(VLOOKUP(D425,Conceptos_Analítica_contraloría[#All],3,0),"")</f>
        <v/>
      </c>
    </row>
    <row r="426" spans="3:10" x14ac:dyDescent="0.35">
      <c r="C426" s="144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s="138" t="str">
        <f>+IFERROR(VLOOKUP(Fact_Analitica[[#This Row],[Concepto Anterior]],Conceptos_Analítica_contraloría[#All],5,0),"")</f>
        <v/>
      </c>
      <c r="F426" s="138" t="str">
        <f>+IFERROR(VLOOKUP(Fact_Analitica[[#This Row],[Concepto Anterior]],Conceptos_Analítica_contraloría[#All],7,0),"")</f>
        <v/>
      </c>
      <c r="I426" s="138" t="str">
        <f>+IFERROR(VLOOKUP(D426,Conceptos_Analítica_contraloría[#All],2,0),"")</f>
        <v/>
      </c>
      <c r="J426" s="138" t="str">
        <f>+IFERROR(VLOOKUP(D426,Conceptos_Analítica_contraloría[#All],3,0),"")</f>
        <v/>
      </c>
    </row>
    <row r="427" spans="3:10" x14ac:dyDescent="0.35">
      <c r="C427" s="144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s="138" t="str">
        <f>+IFERROR(VLOOKUP(Fact_Analitica[[#This Row],[Concepto Anterior]],Conceptos_Analítica_contraloría[#All],5,0),"")</f>
        <v/>
      </c>
      <c r="F427" s="138" t="str">
        <f>+IFERROR(VLOOKUP(Fact_Analitica[[#This Row],[Concepto Anterior]],Conceptos_Analítica_contraloría[#All],7,0),"")</f>
        <v/>
      </c>
      <c r="I427" s="138" t="str">
        <f>+IFERROR(VLOOKUP(D427,Conceptos_Analítica_contraloría[#All],2,0),"")</f>
        <v/>
      </c>
      <c r="J427" s="138" t="str">
        <f>+IFERROR(VLOOKUP(D427,Conceptos_Analítica_contraloría[#All],3,0),"")</f>
        <v/>
      </c>
    </row>
    <row r="428" spans="3:10" x14ac:dyDescent="0.35">
      <c r="C428" s="144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s="138" t="str">
        <f>+IFERROR(VLOOKUP(Fact_Analitica[[#This Row],[Concepto Anterior]],Conceptos_Analítica_contraloría[#All],5,0),"")</f>
        <v/>
      </c>
      <c r="F428" s="138" t="str">
        <f>+IFERROR(VLOOKUP(Fact_Analitica[[#This Row],[Concepto Anterior]],Conceptos_Analítica_contraloría[#All],7,0),"")</f>
        <v/>
      </c>
      <c r="I428" s="138" t="str">
        <f>+IFERROR(VLOOKUP(D428,Conceptos_Analítica_contraloría[#All],2,0),"")</f>
        <v/>
      </c>
      <c r="J428" s="138" t="str">
        <f>+IFERROR(VLOOKUP(D428,Conceptos_Analítica_contraloría[#All],3,0),"")</f>
        <v/>
      </c>
    </row>
    <row r="429" spans="3:10" x14ac:dyDescent="0.35">
      <c r="C429" s="144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s="138" t="str">
        <f>+IFERROR(VLOOKUP(Fact_Analitica[[#This Row],[Concepto Anterior]],Conceptos_Analítica_contraloría[#All],5,0),"")</f>
        <v/>
      </c>
      <c r="F429" s="138" t="str">
        <f>+IFERROR(VLOOKUP(Fact_Analitica[[#This Row],[Concepto Anterior]],Conceptos_Analítica_contraloría[#All],7,0),"")</f>
        <v/>
      </c>
      <c r="I429" s="138" t="str">
        <f>+IFERROR(VLOOKUP(D429,Conceptos_Analítica_contraloría[#All],2,0),"")</f>
        <v/>
      </c>
      <c r="J429" s="138" t="str">
        <f>+IFERROR(VLOOKUP(D429,Conceptos_Analítica_contraloría[#All],3,0),"")</f>
        <v/>
      </c>
    </row>
    <row r="430" spans="3:10" x14ac:dyDescent="0.35">
      <c r="C430" s="144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s="138" t="str">
        <f>+IFERROR(VLOOKUP(Fact_Analitica[[#This Row],[Concepto Anterior]],Conceptos_Analítica_contraloría[#All],5,0),"")</f>
        <v/>
      </c>
      <c r="F430" s="138" t="str">
        <f>+IFERROR(VLOOKUP(Fact_Analitica[[#This Row],[Concepto Anterior]],Conceptos_Analítica_contraloría[#All],7,0),"")</f>
        <v/>
      </c>
      <c r="I430" s="138" t="str">
        <f>+IFERROR(VLOOKUP(D430,Conceptos_Analítica_contraloría[#All],2,0),"")</f>
        <v/>
      </c>
      <c r="J430" s="138" t="str">
        <f>+IFERROR(VLOOKUP(D430,Conceptos_Analítica_contraloría[#All],3,0),"")</f>
        <v/>
      </c>
    </row>
    <row r="431" spans="3:10" x14ac:dyDescent="0.35">
      <c r="C431" s="144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s="138" t="str">
        <f>+IFERROR(VLOOKUP(Fact_Analitica[[#This Row],[Concepto Anterior]],Conceptos_Analítica_contraloría[#All],5,0),"")</f>
        <v/>
      </c>
      <c r="F431" s="138" t="str">
        <f>+IFERROR(VLOOKUP(Fact_Analitica[[#This Row],[Concepto Anterior]],Conceptos_Analítica_contraloría[#All],7,0),"")</f>
        <v/>
      </c>
      <c r="I431" s="138" t="str">
        <f>+IFERROR(VLOOKUP(D431,Conceptos_Analítica_contraloría[#All],2,0),"")</f>
        <v/>
      </c>
      <c r="J431" s="138" t="str">
        <f>+IFERROR(VLOOKUP(D431,Conceptos_Analítica_contraloría[#All],3,0),"")</f>
        <v/>
      </c>
    </row>
    <row r="432" spans="3:10" x14ac:dyDescent="0.35">
      <c r="C432" s="144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s="138" t="str">
        <f>+IFERROR(VLOOKUP(Fact_Analitica[[#This Row],[Concepto Anterior]],Conceptos_Analítica_contraloría[#All],5,0),"")</f>
        <v/>
      </c>
      <c r="F432" s="138" t="str">
        <f>+IFERROR(VLOOKUP(Fact_Analitica[[#This Row],[Concepto Anterior]],Conceptos_Analítica_contraloría[#All],7,0),"")</f>
        <v/>
      </c>
      <c r="I432" s="138" t="str">
        <f>+IFERROR(VLOOKUP(D432,Conceptos_Analítica_contraloría[#All],2,0),"")</f>
        <v/>
      </c>
      <c r="J432" s="138" t="str">
        <f>+IFERROR(VLOOKUP(D432,Conceptos_Analítica_contraloría[#All],3,0),"")</f>
        <v/>
      </c>
    </row>
    <row r="433" spans="3:10" x14ac:dyDescent="0.35">
      <c r="C433" s="144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s="138" t="str">
        <f>+IFERROR(VLOOKUP(Fact_Analitica[[#This Row],[Concepto Anterior]],Conceptos_Analítica_contraloría[#All],5,0),"")</f>
        <v/>
      </c>
      <c r="F433" s="138" t="str">
        <f>+IFERROR(VLOOKUP(Fact_Analitica[[#This Row],[Concepto Anterior]],Conceptos_Analítica_contraloría[#All],7,0),"")</f>
        <v/>
      </c>
      <c r="I433" s="138" t="str">
        <f>+IFERROR(VLOOKUP(D433,Conceptos_Analítica_contraloría[#All],2,0),"")</f>
        <v/>
      </c>
      <c r="J433" s="138" t="str">
        <f>+IFERROR(VLOOKUP(D433,Conceptos_Analítica_contraloría[#All],3,0),"")</f>
        <v/>
      </c>
    </row>
    <row r="434" spans="3:10" x14ac:dyDescent="0.35">
      <c r="C434" s="144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s="138" t="str">
        <f>+IFERROR(VLOOKUP(Fact_Analitica[[#This Row],[Concepto Anterior]],Conceptos_Analítica_contraloría[#All],5,0),"")</f>
        <v/>
      </c>
      <c r="F434" s="138" t="str">
        <f>+IFERROR(VLOOKUP(Fact_Analitica[[#This Row],[Concepto Anterior]],Conceptos_Analítica_contraloría[#All],7,0),"")</f>
        <v/>
      </c>
      <c r="I434" s="138" t="str">
        <f>+IFERROR(VLOOKUP(D434,Conceptos_Analítica_contraloría[#All],2,0),"")</f>
        <v/>
      </c>
      <c r="J434" s="138" t="str">
        <f>+IFERROR(VLOOKUP(D434,Conceptos_Analítica_contraloría[#All],3,0),"")</f>
        <v/>
      </c>
    </row>
    <row r="435" spans="3:10" x14ac:dyDescent="0.35">
      <c r="C435" s="144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s="138" t="str">
        <f>+IFERROR(VLOOKUP(Fact_Analitica[[#This Row],[Concepto Anterior]],Conceptos_Analítica_contraloría[#All],5,0),"")</f>
        <v/>
      </c>
      <c r="F435" s="138" t="str">
        <f>+IFERROR(VLOOKUP(Fact_Analitica[[#This Row],[Concepto Anterior]],Conceptos_Analítica_contraloría[#All],7,0),"")</f>
        <v/>
      </c>
      <c r="I435" s="138" t="str">
        <f>+IFERROR(VLOOKUP(D435,Conceptos_Analítica_contraloría[#All],2,0),"")</f>
        <v/>
      </c>
      <c r="J435" s="138" t="str">
        <f>+IFERROR(VLOOKUP(D435,Conceptos_Analítica_contraloría[#All],3,0),"")</f>
        <v/>
      </c>
    </row>
    <row r="436" spans="3:10" x14ac:dyDescent="0.35">
      <c r="C436" s="144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s="138" t="str">
        <f>+IFERROR(VLOOKUP(Fact_Analitica[[#This Row],[Concepto Anterior]],Conceptos_Analítica_contraloría[#All],5,0),"")</f>
        <v/>
      </c>
      <c r="F436" s="138" t="str">
        <f>+IFERROR(VLOOKUP(Fact_Analitica[[#This Row],[Concepto Anterior]],Conceptos_Analítica_contraloría[#All],7,0),"")</f>
        <v/>
      </c>
      <c r="I436" s="138" t="str">
        <f>+IFERROR(VLOOKUP(D436,Conceptos_Analítica_contraloría[#All],2,0),"")</f>
        <v/>
      </c>
      <c r="J436" s="138" t="str">
        <f>+IFERROR(VLOOKUP(D436,Conceptos_Analítica_contraloría[#All],3,0),"")</f>
        <v/>
      </c>
    </row>
    <row r="437" spans="3:10" x14ac:dyDescent="0.35">
      <c r="C437" s="144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s="138" t="str">
        <f>+IFERROR(VLOOKUP(Fact_Analitica[[#This Row],[Concepto Anterior]],Conceptos_Analítica_contraloría[#All],5,0),"")</f>
        <v/>
      </c>
      <c r="F437" s="138" t="str">
        <f>+IFERROR(VLOOKUP(Fact_Analitica[[#This Row],[Concepto Anterior]],Conceptos_Analítica_contraloría[#All],7,0),"")</f>
        <v/>
      </c>
      <c r="I437" s="138" t="str">
        <f>+IFERROR(VLOOKUP(D437,Conceptos_Analítica_contraloría[#All],2,0),"")</f>
        <v/>
      </c>
      <c r="J437" s="138" t="str">
        <f>+IFERROR(VLOOKUP(D437,Conceptos_Analítica_contraloría[#All],3,0),"")</f>
        <v/>
      </c>
    </row>
    <row r="438" spans="3:10" x14ac:dyDescent="0.35">
      <c r="C438" s="144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s="138" t="str">
        <f>+IFERROR(VLOOKUP(Fact_Analitica[[#This Row],[Concepto Anterior]],Conceptos_Analítica_contraloría[#All],5,0),"")</f>
        <v/>
      </c>
      <c r="F438" s="138" t="str">
        <f>+IFERROR(VLOOKUP(Fact_Analitica[[#This Row],[Concepto Anterior]],Conceptos_Analítica_contraloría[#All],7,0),"")</f>
        <v/>
      </c>
      <c r="I438" s="138" t="str">
        <f>+IFERROR(VLOOKUP(D438,Conceptos_Analítica_contraloría[#All],2,0),"")</f>
        <v/>
      </c>
      <c r="J438" s="138" t="str">
        <f>+IFERROR(VLOOKUP(D438,Conceptos_Analítica_contraloría[#All],3,0),"")</f>
        <v/>
      </c>
    </row>
    <row r="439" spans="3:10" x14ac:dyDescent="0.35">
      <c r="C439" s="144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s="138" t="str">
        <f>+IFERROR(VLOOKUP(Fact_Analitica[[#This Row],[Concepto Anterior]],Conceptos_Analítica_contraloría[#All],5,0),"")</f>
        <v/>
      </c>
      <c r="F439" s="138" t="str">
        <f>+IFERROR(VLOOKUP(Fact_Analitica[[#This Row],[Concepto Anterior]],Conceptos_Analítica_contraloría[#All],7,0),"")</f>
        <v/>
      </c>
      <c r="I439" s="138" t="str">
        <f>+IFERROR(VLOOKUP(D439,Conceptos_Analítica_contraloría[#All],2,0),"")</f>
        <v/>
      </c>
      <c r="J439" s="138" t="str">
        <f>+IFERROR(VLOOKUP(D439,Conceptos_Analítica_contraloría[#All],3,0),"")</f>
        <v/>
      </c>
    </row>
    <row r="440" spans="3:10" x14ac:dyDescent="0.35">
      <c r="C440" s="144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s="138" t="str">
        <f>+IFERROR(VLOOKUP(Fact_Analitica[[#This Row],[Concepto Anterior]],Conceptos_Analítica_contraloría[#All],5,0),"")</f>
        <v/>
      </c>
      <c r="F440" s="138" t="str">
        <f>+IFERROR(VLOOKUP(Fact_Analitica[[#This Row],[Concepto Anterior]],Conceptos_Analítica_contraloría[#All],7,0),"")</f>
        <v/>
      </c>
      <c r="I440" s="138" t="str">
        <f>+IFERROR(VLOOKUP(D440,Conceptos_Analítica_contraloría[#All],2,0),"")</f>
        <v/>
      </c>
      <c r="J440" s="138" t="str">
        <f>+IFERROR(VLOOKUP(D440,Conceptos_Analítica_contraloría[#All],3,0),"")</f>
        <v/>
      </c>
    </row>
    <row r="441" spans="3:10" x14ac:dyDescent="0.35">
      <c r="C441" s="144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s="138" t="str">
        <f>+IFERROR(VLOOKUP(Fact_Analitica[[#This Row],[Concepto Anterior]],Conceptos_Analítica_contraloría[#All],5,0),"")</f>
        <v/>
      </c>
      <c r="F441" s="138" t="str">
        <f>+IFERROR(VLOOKUP(Fact_Analitica[[#This Row],[Concepto Anterior]],Conceptos_Analítica_contraloría[#All],7,0),"")</f>
        <v/>
      </c>
      <c r="I441" s="138" t="str">
        <f>+IFERROR(VLOOKUP(D441,Conceptos_Analítica_contraloría[#All],2,0),"")</f>
        <v/>
      </c>
      <c r="J441" s="138" t="str">
        <f>+IFERROR(VLOOKUP(D441,Conceptos_Analítica_contraloría[#All],3,0),"")</f>
        <v/>
      </c>
    </row>
    <row r="442" spans="3:10" x14ac:dyDescent="0.35">
      <c r="C442" s="144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s="138" t="str">
        <f>+IFERROR(VLOOKUP(Fact_Analitica[[#This Row],[Concepto Anterior]],Conceptos_Analítica_contraloría[#All],5,0),"")</f>
        <v/>
      </c>
      <c r="F442" s="138" t="str">
        <f>+IFERROR(VLOOKUP(Fact_Analitica[[#This Row],[Concepto Anterior]],Conceptos_Analítica_contraloría[#All],7,0),"")</f>
        <v/>
      </c>
      <c r="I442" s="138" t="str">
        <f>+IFERROR(VLOOKUP(D442,Conceptos_Analítica_contraloría[#All],2,0),"")</f>
        <v/>
      </c>
      <c r="J442" s="138" t="str">
        <f>+IFERROR(VLOOKUP(D442,Conceptos_Analítica_contraloría[#All],3,0),"")</f>
        <v/>
      </c>
    </row>
    <row r="443" spans="3:10" x14ac:dyDescent="0.35">
      <c r="C443" s="144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s="138" t="str">
        <f>+IFERROR(VLOOKUP(Fact_Analitica[[#This Row],[Concepto Anterior]],Conceptos_Analítica_contraloría[#All],5,0),"")</f>
        <v/>
      </c>
      <c r="F443" s="138" t="str">
        <f>+IFERROR(VLOOKUP(Fact_Analitica[[#This Row],[Concepto Anterior]],Conceptos_Analítica_contraloría[#All],7,0),"")</f>
        <v/>
      </c>
      <c r="I443" s="138" t="str">
        <f>+IFERROR(VLOOKUP(D443,Conceptos_Analítica_contraloría[#All],2,0),"")</f>
        <v/>
      </c>
      <c r="J443" s="138" t="str">
        <f>+IFERROR(VLOOKUP(D443,Conceptos_Analítica_contraloría[#All],3,0),"")</f>
        <v/>
      </c>
    </row>
    <row r="444" spans="3:10" x14ac:dyDescent="0.35">
      <c r="C444" s="144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s="138" t="str">
        <f>+IFERROR(VLOOKUP(Fact_Analitica[[#This Row],[Concepto Anterior]],Conceptos_Analítica_contraloría[#All],5,0),"")</f>
        <v/>
      </c>
      <c r="F444" s="138" t="str">
        <f>+IFERROR(VLOOKUP(Fact_Analitica[[#This Row],[Concepto Anterior]],Conceptos_Analítica_contraloría[#All],7,0),"")</f>
        <v/>
      </c>
      <c r="I444" s="138" t="str">
        <f>+IFERROR(VLOOKUP(D444,Conceptos_Analítica_contraloría[#All],2,0),"")</f>
        <v/>
      </c>
      <c r="J444" s="138" t="str">
        <f>+IFERROR(VLOOKUP(D444,Conceptos_Analítica_contraloría[#All],3,0),"")</f>
        <v/>
      </c>
    </row>
    <row r="445" spans="3:10" x14ac:dyDescent="0.35">
      <c r="C445" s="144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s="138" t="str">
        <f>+IFERROR(VLOOKUP(Fact_Analitica[[#This Row],[Concepto Anterior]],Conceptos_Analítica_contraloría[#All],5,0),"")</f>
        <v/>
      </c>
      <c r="F445" s="138" t="str">
        <f>+IFERROR(VLOOKUP(Fact_Analitica[[#This Row],[Concepto Anterior]],Conceptos_Analítica_contraloría[#All],7,0),"")</f>
        <v/>
      </c>
      <c r="I445" s="138" t="str">
        <f>+IFERROR(VLOOKUP(D445,Conceptos_Analítica_contraloría[#All],2,0),"")</f>
        <v/>
      </c>
      <c r="J445" s="138" t="str">
        <f>+IFERROR(VLOOKUP(D445,Conceptos_Analítica_contraloría[#All],3,0),"")</f>
        <v/>
      </c>
    </row>
    <row r="446" spans="3:10" x14ac:dyDescent="0.35">
      <c r="C446" s="144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s="138" t="str">
        <f>+IFERROR(VLOOKUP(Fact_Analitica[[#This Row],[Concepto Anterior]],Conceptos_Analítica_contraloría[#All],5,0),"")</f>
        <v/>
      </c>
      <c r="F446" s="138" t="str">
        <f>+IFERROR(VLOOKUP(Fact_Analitica[[#This Row],[Concepto Anterior]],Conceptos_Analítica_contraloría[#All],7,0),"")</f>
        <v/>
      </c>
      <c r="I446" s="138" t="str">
        <f>+IFERROR(VLOOKUP(D446,Conceptos_Analítica_contraloría[#All],2,0),"")</f>
        <v/>
      </c>
      <c r="J446" s="138" t="str">
        <f>+IFERROR(VLOOKUP(D446,Conceptos_Analítica_contraloría[#All],3,0),"")</f>
        <v/>
      </c>
    </row>
    <row r="447" spans="3:10" x14ac:dyDescent="0.35">
      <c r="C447" s="144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s="138" t="str">
        <f>+IFERROR(VLOOKUP(Fact_Analitica[[#This Row],[Concepto Anterior]],Conceptos_Analítica_contraloría[#All],5,0),"")</f>
        <v/>
      </c>
      <c r="F447" s="138" t="str">
        <f>+IFERROR(VLOOKUP(Fact_Analitica[[#This Row],[Concepto Anterior]],Conceptos_Analítica_contraloría[#All],7,0),"")</f>
        <v/>
      </c>
      <c r="I447" s="138" t="str">
        <f>+IFERROR(VLOOKUP(D447,Conceptos_Analítica_contraloría[#All],2,0),"")</f>
        <v/>
      </c>
      <c r="J447" s="138" t="str">
        <f>+IFERROR(VLOOKUP(D447,Conceptos_Analítica_contraloría[#All],3,0),"")</f>
        <v/>
      </c>
    </row>
    <row r="448" spans="3:10" x14ac:dyDescent="0.35">
      <c r="C448" s="144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s="138" t="str">
        <f>+IFERROR(VLOOKUP(Fact_Analitica[[#This Row],[Concepto Anterior]],Conceptos_Analítica_contraloría[#All],5,0),"")</f>
        <v/>
      </c>
      <c r="F448" s="138" t="str">
        <f>+IFERROR(VLOOKUP(Fact_Analitica[[#This Row],[Concepto Anterior]],Conceptos_Analítica_contraloría[#All],7,0),"")</f>
        <v/>
      </c>
      <c r="I448" s="138" t="str">
        <f>+IFERROR(VLOOKUP(D448,Conceptos_Analítica_contraloría[#All],2,0),"")</f>
        <v/>
      </c>
      <c r="J448" s="138" t="str">
        <f>+IFERROR(VLOOKUP(D448,Conceptos_Analítica_contraloría[#All],3,0),"")</f>
        <v/>
      </c>
    </row>
    <row r="449" spans="3:10" x14ac:dyDescent="0.35">
      <c r="C449" s="144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s="138" t="str">
        <f>+IFERROR(VLOOKUP(Fact_Analitica[[#This Row],[Concepto Anterior]],Conceptos_Analítica_contraloría[#All],5,0),"")</f>
        <v/>
      </c>
      <c r="F449" s="138" t="str">
        <f>+IFERROR(VLOOKUP(Fact_Analitica[[#This Row],[Concepto Anterior]],Conceptos_Analítica_contraloría[#All],7,0),"")</f>
        <v/>
      </c>
      <c r="I449" s="138" t="str">
        <f>+IFERROR(VLOOKUP(D449,Conceptos_Analítica_contraloría[#All],2,0),"")</f>
        <v/>
      </c>
      <c r="J449" s="138" t="str">
        <f>+IFERROR(VLOOKUP(D449,Conceptos_Analítica_contraloría[#All],3,0),"")</f>
        <v/>
      </c>
    </row>
    <row r="450" spans="3:10" x14ac:dyDescent="0.35">
      <c r="C450" s="144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s="138" t="str">
        <f>+IFERROR(VLOOKUP(Fact_Analitica[[#This Row],[Concepto Anterior]],Conceptos_Analítica_contraloría[#All],5,0),"")</f>
        <v/>
      </c>
      <c r="F450" s="138" t="str">
        <f>+IFERROR(VLOOKUP(Fact_Analitica[[#This Row],[Concepto Anterior]],Conceptos_Analítica_contraloría[#All],7,0),"")</f>
        <v/>
      </c>
      <c r="I450" s="138" t="str">
        <f>+IFERROR(VLOOKUP(D450,Conceptos_Analítica_contraloría[#All],2,0),"")</f>
        <v/>
      </c>
      <c r="J450" s="138" t="str">
        <f>+IFERROR(VLOOKUP(D450,Conceptos_Analítica_contraloría[#All],3,0),"")</f>
        <v/>
      </c>
    </row>
    <row r="451" spans="3:10" x14ac:dyDescent="0.35">
      <c r="C451" s="144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s="138" t="str">
        <f>+IFERROR(VLOOKUP(Fact_Analitica[[#This Row],[Concepto Anterior]],Conceptos_Analítica_contraloría[#All],5,0),"")</f>
        <v/>
      </c>
      <c r="F451" s="138" t="str">
        <f>+IFERROR(VLOOKUP(Fact_Analitica[[#This Row],[Concepto Anterior]],Conceptos_Analítica_contraloría[#All],7,0),"")</f>
        <v/>
      </c>
      <c r="I451" s="138" t="str">
        <f>+IFERROR(VLOOKUP(D451,Conceptos_Analítica_contraloría[#All],2,0),"")</f>
        <v/>
      </c>
      <c r="J451" s="138" t="str">
        <f>+IFERROR(VLOOKUP(D451,Conceptos_Analítica_contraloría[#All],3,0),"")</f>
        <v/>
      </c>
    </row>
    <row r="452" spans="3:10" x14ac:dyDescent="0.35">
      <c r="C452" s="144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s="138" t="str">
        <f>+IFERROR(VLOOKUP(Fact_Analitica[[#This Row],[Concepto Anterior]],Conceptos_Analítica_contraloría[#All],5,0),"")</f>
        <v/>
      </c>
      <c r="F452" s="138" t="str">
        <f>+IFERROR(VLOOKUP(Fact_Analitica[[#This Row],[Concepto Anterior]],Conceptos_Analítica_contraloría[#All],7,0),"")</f>
        <v/>
      </c>
      <c r="I452" s="138" t="str">
        <f>+IFERROR(VLOOKUP(D452,Conceptos_Analítica_contraloría[#All],2,0),"")</f>
        <v/>
      </c>
      <c r="J452" s="138" t="str">
        <f>+IFERROR(VLOOKUP(D452,Conceptos_Analítica_contraloría[#All],3,0),"")</f>
        <v/>
      </c>
    </row>
    <row r="453" spans="3:10" x14ac:dyDescent="0.35">
      <c r="C453" s="144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s="138" t="str">
        <f>+IFERROR(VLOOKUP(Fact_Analitica[[#This Row],[Concepto Anterior]],Conceptos_Analítica_contraloría[#All],5,0),"")</f>
        <v/>
      </c>
      <c r="F453" s="138" t="str">
        <f>+IFERROR(VLOOKUP(Fact_Analitica[[#This Row],[Concepto Anterior]],Conceptos_Analítica_contraloría[#All],7,0),"")</f>
        <v/>
      </c>
      <c r="I453" s="138" t="str">
        <f>+IFERROR(VLOOKUP(D453,Conceptos_Analítica_contraloría[#All],2,0),"")</f>
        <v/>
      </c>
      <c r="J453" s="138" t="str">
        <f>+IFERROR(VLOOKUP(D453,Conceptos_Analítica_contraloría[#All],3,0),"")</f>
        <v/>
      </c>
    </row>
    <row r="454" spans="3:10" x14ac:dyDescent="0.35">
      <c r="C454" s="144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s="138" t="str">
        <f>+IFERROR(VLOOKUP(Fact_Analitica[[#This Row],[Concepto Anterior]],Conceptos_Analítica_contraloría[#All],5,0),"")</f>
        <v/>
      </c>
      <c r="F454" s="138" t="str">
        <f>+IFERROR(VLOOKUP(Fact_Analitica[[#This Row],[Concepto Anterior]],Conceptos_Analítica_contraloría[#All],7,0),"")</f>
        <v/>
      </c>
      <c r="I454" s="138" t="str">
        <f>+IFERROR(VLOOKUP(D454,Conceptos_Analítica_contraloría[#All],2,0),"")</f>
        <v/>
      </c>
      <c r="J454" s="138" t="str">
        <f>+IFERROR(VLOOKUP(D454,Conceptos_Analítica_contraloría[#All],3,0),"")</f>
        <v/>
      </c>
    </row>
    <row r="455" spans="3:10" x14ac:dyDescent="0.35">
      <c r="C455" s="144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s="138" t="str">
        <f>+IFERROR(VLOOKUP(Fact_Analitica[[#This Row],[Concepto Anterior]],Conceptos_Analítica_contraloría[#All],5,0),"")</f>
        <v/>
      </c>
      <c r="F455" s="138" t="str">
        <f>+IFERROR(VLOOKUP(Fact_Analitica[[#This Row],[Concepto Anterior]],Conceptos_Analítica_contraloría[#All],7,0),"")</f>
        <v/>
      </c>
      <c r="I455" s="138" t="str">
        <f>+IFERROR(VLOOKUP(D455,Conceptos_Analítica_contraloría[#All],2,0),"")</f>
        <v/>
      </c>
      <c r="J455" s="138" t="str">
        <f>+IFERROR(VLOOKUP(D455,Conceptos_Analítica_contraloría[#All],3,0),"")</f>
        <v/>
      </c>
    </row>
    <row r="456" spans="3:10" x14ac:dyDescent="0.35">
      <c r="C456" s="144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s="138" t="str">
        <f>+IFERROR(VLOOKUP(Fact_Analitica[[#This Row],[Concepto Anterior]],Conceptos_Analítica_contraloría[#All],5,0),"")</f>
        <v/>
      </c>
      <c r="F456" s="138" t="str">
        <f>+IFERROR(VLOOKUP(Fact_Analitica[[#This Row],[Concepto Anterior]],Conceptos_Analítica_contraloría[#All],7,0),"")</f>
        <v/>
      </c>
      <c r="I456" s="138" t="str">
        <f>+IFERROR(VLOOKUP(D456,Conceptos_Analítica_contraloría[#All],2,0),"")</f>
        <v/>
      </c>
      <c r="J456" s="138" t="str">
        <f>+IFERROR(VLOOKUP(D456,Conceptos_Analítica_contraloría[#All],3,0),"")</f>
        <v/>
      </c>
    </row>
    <row r="457" spans="3:10" x14ac:dyDescent="0.35">
      <c r="C457" s="144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s="138" t="str">
        <f>+IFERROR(VLOOKUP(Fact_Analitica[[#This Row],[Concepto Anterior]],Conceptos_Analítica_contraloría[#All],5,0),"")</f>
        <v/>
      </c>
      <c r="F457" s="138" t="str">
        <f>+IFERROR(VLOOKUP(Fact_Analitica[[#This Row],[Concepto Anterior]],Conceptos_Analítica_contraloría[#All],7,0),"")</f>
        <v/>
      </c>
      <c r="I457" s="138" t="str">
        <f>+IFERROR(VLOOKUP(D457,Conceptos_Analítica_contraloría[#All],2,0),"")</f>
        <v/>
      </c>
      <c r="J457" s="138" t="str">
        <f>+IFERROR(VLOOKUP(D457,Conceptos_Analítica_contraloría[#All],3,0),"")</f>
        <v/>
      </c>
    </row>
    <row r="458" spans="3:10" x14ac:dyDescent="0.35">
      <c r="C458" s="144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s="138" t="str">
        <f>+IFERROR(VLOOKUP(Fact_Analitica[[#This Row],[Concepto Anterior]],Conceptos_Analítica_contraloría[#All],5,0),"")</f>
        <v/>
      </c>
      <c r="F458" s="138" t="str">
        <f>+IFERROR(VLOOKUP(Fact_Analitica[[#This Row],[Concepto Anterior]],Conceptos_Analítica_contraloría[#All],7,0),"")</f>
        <v/>
      </c>
      <c r="I458" s="138" t="str">
        <f>+IFERROR(VLOOKUP(D458,Conceptos_Analítica_contraloría[#All],2,0),"")</f>
        <v/>
      </c>
      <c r="J458" s="138" t="str">
        <f>+IFERROR(VLOOKUP(D458,Conceptos_Analítica_contraloría[#All],3,0),"")</f>
        <v/>
      </c>
    </row>
    <row r="459" spans="3:10" x14ac:dyDescent="0.35">
      <c r="C459" s="144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s="138" t="str">
        <f>+IFERROR(VLOOKUP(Fact_Analitica[[#This Row],[Concepto Anterior]],Conceptos_Analítica_contraloría[#All],5,0),"")</f>
        <v/>
      </c>
      <c r="F459" s="138" t="str">
        <f>+IFERROR(VLOOKUP(Fact_Analitica[[#This Row],[Concepto Anterior]],Conceptos_Analítica_contraloría[#All],7,0),"")</f>
        <v/>
      </c>
      <c r="I459" s="138" t="str">
        <f>+IFERROR(VLOOKUP(D459,Conceptos_Analítica_contraloría[#All],2,0),"")</f>
        <v/>
      </c>
      <c r="J459" s="138" t="str">
        <f>+IFERROR(VLOOKUP(D459,Conceptos_Analítica_contraloría[#All],3,0),"")</f>
        <v/>
      </c>
    </row>
    <row r="460" spans="3:10" x14ac:dyDescent="0.35">
      <c r="C460" s="144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s="138" t="str">
        <f>+IFERROR(VLOOKUP(Fact_Analitica[[#This Row],[Concepto Anterior]],Conceptos_Analítica_contraloría[#All],5,0),"")</f>
        <v/>
      </c>
      <c r="F460" s="138" t="str">
        <f>+IFERROR(VLOOKUP(Fact_Analitica[[#This Row],[Concepto Anterior]],Conceptos_Analítica_contraloría[#All],7,0),"")</f>
        <v/>
      </c>
      <c r="I460" s="138" t="str">
        <f>+IFERROR(VLOOKUP(D460,Conceptos_Analítica_contraloría[#All],2,0),"")</f>
        <v/>
      </c>
      <c r="J460" s="138" t="str">
        <f>+IFERROR(VLOOKUP(D460,Conceptos_Analítica_contraloría[#All],3,0),"")</f>
        <v/>
      </c>
    </row>
    <row r="461" spans="3:10" x14ac:dyDescent="0.35">
      <c r="C461" s="144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s="138" t="str">
        <f>+IFERROR(VLOOKUP(Fact_Analitica[[#This Row],[Concepto Anterior]],Conceptos_Analítica_contraloría[#All],5,0),"")</f>
        <v/>
      </c>
      <c r="F461" s="138" t="str">
        <f>+IFERROR(VLOOKUP(Fact_Analitica[[#This Row],[Concepto Anterior]],Conceptos_Analítica_contraloría[#All],7,0),"")</f>
        <v/>
      </c>
      <c r="I461" s="138" t="str">
        <f>+IFERROR(VLOOKUP(D461,Conceptos_Analítica_contraloría[#All],2,0),"")</f>
        <v/>
      </c>
      <c r="J461" s="138" t="str">
        <f>+IFERROR(VLOOKUP(D461,Conceptos_Analítica_contraloría[#All],3,0),"")</f>
        <v/>
      </c>
    </row>
    <row r="462" spans="3:10" x14ac:dyDescent="0.35">
      <c r="C462" s="144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s="138" t="str">
        <f>+IFERROR(VLOOKUP(Fact_Analitica[[#This Row],[Concepto Anterior]],Conceptos_Analítica_contraloría[#All],5,0),"")</f>
        <v/>
      </c>
      <c r="F462" s="138" t="str">
        <f>+IFERROR(VLOOKUP(Fact_Analitica[[#This Row],[Concepto Anterior]],Conceptos_Analítica_contraloría[#All],7,0),"")</f>
        <v/>
      </c>
      <c r="I462" s="138" t="str">
        <f>+IFERROR(VLOOKUP(D462,Conceptos_Analítica_contraloría[#All],2,0),"")</f>
        <v/>
      </c>
      <c r="J462" s="138" t="str">
        <f>+IFERROR(VLOOKUP(D462,Conceptos_Analítica_contraloría[#All],3,0),"")</f>
        <v/>
      </c>
    </row>
    <row r="463" spans="3:10" x14ac:dyDescent="0.35">
      <c r="C463" s="144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s="138" t="str">
        <f>+IFERROR(VLOOKUP(Fact_Analitica[[#This Row],[Concepto Anterior]],Conceptos_Analítica_contraloría[#All],5,0),"")</f>
        <v/>
      </c>
      <c r="F463" s="138" t="str">
        <f>+IFERROR(VLOOKUP(Fact_Analitica[[#This Row],[Concepto Anterior]],Conceptos_Analítica_contraloría[#All],7,0),"")</f>
        <v/>
      </c>
      <c r="I463" s="138" t="str">
        <f>+IFERROR(VLOOKUP(D463,Conceptos_Analítica_contraloría[#All],2,0),"")</f>
        <v/>
      </c>
      <c r="J463" s="138" t="str">
        <f>+IFERROR(VLOOKUP(D463,Conceptos_Analítica_contraloría[#All],3,0),"")</f>
        <v/>
      </c>
    </row>
    <row r="464" spans="3:10" x14ac:dyDescent="0.35">
      <c r="C464" s="144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s="138" t="str">
        <f>+IFERROR(VLOOKUP(Fact_Analitica[[#This Row],[Concepto Anterior]],Conceptos_Analítica_contraloría[#All],5,0),"")</f>
        <v/>
      </c>
      <c r="F464" s="138" t="str">
        <f>+IFERROR(VLOOKUP(Fact_Analitica[[#This Row],[Concepto Anterior]],Conceptos_Analítica_contraloría[#All],7,0),"")</f>
        <v/>
      </c>
      <c r="I464" s="138" t="str">
        <f>+IFERROR(VLOOKUP(D464,Conceptos_Analítica_contraloría[#All],2,0),"")</f>
        <v/>
      </c>
      <c r="J464" s="138" t="str">
        <f>+IFERROR(VLOOKUP(D464,Conceptos_Analítica_contraloría[#All],3,0),"")</f>
        <v/>
      </c>
    </row>
    <row r="465" spans="3:10" x14ac:dyDescent="0.35">
      <c r="C465" s="144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s="138" t="str">
        <f>+IFERROR(VLOOKUP(Fact_Analitica[[#This Row],[Concepto Anterior]],Conceptos_Analítica_contraloría[#All],5,0),"")</f>
        <v/>
      </c>
      <c r="F465" s="138" t="str">
        <f>+IFERROR(VLOOKUP(Fact_Analitica[[#This Row],[Concepto Anterior]],Conceptos_Analítica_contraloría[#All],7,0),"")</f>
        <v/>
      </c>
      <c r="I465" s="138" t="str">
        <f>+IFERROR(VLOOKUP(D465,Conceptos_Analítica_contraloría[#All],2,0),"")</f>
        <v/>
      </c>
      <c r="J465" s="138" t="str">
        <f>+IFERROR(VLOOKUP(D465,Conceptos_Analítica_contraloría[#All],3,0),"")</f>
        <v/>
      </c>
    </row>
    <row r="466" spans="3:10" x14ac:dyDescent="0.35">
      <c r="C466" s="144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s="138" t="str">
        <f>+IFERROR(VLOOKUP(Fact_Analitica[[#This Row],[Concepto Anterior]],Conceptos_Analítica_contraloría[#All],5,0),"")</f>
        <v/>
      </c>
      <c r="F466" s="138" t="str">
        <f>+IFERROR(VLOOKUP(Fact_Analitica[[#This Row],[Concepto Anterior]],Conceptos_Analítica_contraloría[#All],7,0),"")</f>
        <v/>
      </c>
      <c r="I466" s="138" t="str">
        <f>+IFERROR(VLOOKUP(D466,Conceptos_Analítica_contraloría[#All],2,0),"")</f>
        <v/>
      </c>
      <c r="J466" s="138" t="str">
        <f>+IFERROR(VLOOKUP(D466,Conceptos_Analítica_contraloría[#All],3,0),"")</f>
        <v/>
      </c>
    </row>
    <row r="467" spans="3:10" x14ac:dyDescent="0.35">
      <c r="C467" s="144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s="138" t="str">
        <f>+IFERROR(VLOOKUP(Fact_Analitica[[#This Row],[Concepto Anterior]],Conceptos_Analítica_contraloría[#All],5,0),"")</f>
        <v/>
      </c>
      <c r="F467" s="138" t="str">
        <f>+IFERROR(VLOOKUP(Fact_Analitica[[#This Row],[Concepto Anterior]],Conceptos_Analítica_contraloría[#All],7,0),"")</f>
        <v/>
      </c>
      <c r="I467" s="138" t="str">
        <f>+IFERROR(VLOOKUP(D467,Conceptos_Analítica_contraloría[#All],2,0),"")</f>
        <v/>
      </c>
      <c r="J467" s="138" t="str">
        <f>+IFERROR(VLOOKUP(D467,Conceptos_Analítica_contraloría[#All],3,0),"")</f>
        <v/>
      </c>
    </row>
    <row r="468" spans="3:10" x14ac:dyDescent="0.35">
      <c r="C468" s="144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s="138" t="str">
        <f>+IFERROR(VLOOKUP(Fact_Analitica[[#This Row],[Concepto Anterior]],Conceptos_Analítica_contraloría[#All],5,0),"")</f>
        <v/>
      </c>
      <c r="F468" s="138" t="str">
        <f>+IFERROR(VLOOKUP(Fact_Analitica[[#This Row],[Concepto Anterior]],Conceptos_Analítica_contraloría[#All],7,0),"")</f>
        <v/>
      </c>
      <c r="I468" s="138" t="str">
        <f>+IFERROR(VLOOKUP(D468,Conceptos_Analítica_contraloría[#All],2,0),"")</f>
        <v/>
      </c>
      <c r="J468" s="138" t="str">
        <f>+IFERROR(VLOOKUP(D468,Conceptos_Analítica_contraloría[#All],3,0),"")</f>
        <v/>
      </c>
    </row>
    <row r="469" spans="3:10" x14ac:dyDescent="0.35">
      <c r="C469" s="144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s="138" t="str">
        <f>+IFERROR(VLOOKUP(Fact_Analitica[[#This Row],[Concepto Anterior]],Conceptos_Analítica_contraloría[#All],5,0),"")</f>
        <v/>
      </c>
      <c r="F469" s="138" t="str">
        <f>+IFERROR(VLOOKUP(Fact_Analitica[[#This Row],[Concepto Anterior]],Conceptos_Analítica_contraloría[#All],7,0),"")</f>
        <v/>
      </c>
      <c r="I469" s="138" t="str">
        <f>+IFERROR(VLOOKUP(D469,Conceptos_Analítica_contraloría[#All],2,0),"")</f>
        <v/>
      </c>
      <c r="J469" s="138" t="str">
        <f>+IFERROR(VLOOKUP(D469,Conceptos_Analítica_contraloría[#All],3,0),"")</f>
        <v/>
      </c>
    </row>
    <row r="470" spans="3:10" x14ac:dyDescent="0.35">
      <c r="C470" s="144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s="138" t="str">
        <f>+IFERROR(VLOOKUP(Fact_Analitica[[#This Row],[Concepto Anterior]],Conceptos_Analítica_contraloría[#All],5,0),"")</f>
        <v/>
      </c>
      <c r="F470" s="138" t="str">
        <f>+IFERROR(VLOOKUP(Fact_Analitica[[#This Row],[Concepto Anterior]],Conceptos_Analítica_contraloría[#All],7,0),"")</f>
        <v/>
      </c>
      <c r="I470" s="138" t="str">
        <f>+IFERROR(VLOOKUP(D470,Conceptos_Analítica_contraloría[#All],2,0),"")</f>
        <v/>
      </c>
      <c r="J470" s="138" t="str">
        <f>+IFERROR(VLOOKUP(D470,Conceptos_Analítica_contraloría[#All],3,0),"")</f>
        <v/>
      </c>
    </row>
    <row r="471" spans="3:10" x14ac:dyDescent="0.35">
      <c r="C471" s="144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s="138" t="str">
        <f>+IFERROR(VLOOKUP(Fact_Analitica[[#This Row],[Concepto Anterior]],Conceptos_Analítica_contraloría[#All],5,0),"")</f>
        <v/>
      </c>
      <c r="F471" s="138" t="str">
        <f>+IFERROR(VLOOKUP(Fact_Analitica[[#This Row],[Concepto Anterior]],Conceptos_Analítica_contraloría[#All],7,0),"")</f>
        <v/>
      </c>
      <c r="I471" s="138" t="str">
        <f>+IFERROR(VLOOKUP(D471,Conceptos_Analítica_contraloría[#All],2,0),"")</f>
        <v/>
      </c>
      <c r="J471" s="138" t="str">
        <f>+IFERROR(VLOOKUP(D471,Conceptos_Analítica_contraloría[#All],3,0),"")</f>
        <v/>
      </c>
    </row>
    <row r="472" spans="3:10" x14ac:dyDescent="0.35">
      <c r="C472" s="144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s="138" t="str">
        <f>+IFERROR(VLOOKUP(Fact_Analitica[[#This Row],[Concepto Anterior]],Conceptos_Analítica_contraloría[#All],5,0),"")</f>
        <v/>
      </c>
      <c r="F472" s="138" t="str">
        <f>+IFERROR(VLOOKUP(Fact_Analitica[[#This Row],[Concepto Anterior]],Conceptos_Analítica_contraloría[#All],7,0),"")</f>
        <v/>
      </c>
      <c r="I472" s="138" t="str">
        <f>+IFERROR(VLOOKUP(D472,Conceptos_Analítica_contraloría[#All],2,0),"")</f>
        <v/>
      </c>
      <c r="J472" s="138" t="str">
        <f>+IFERROR(VLOOKUP(D472,Conceptos_Analítica_contraloría[#All],3,0),"")</f>
        <v/>
      </c>
    </row>
    <row r="473" spans="3:10" x14ac:dyDescent="0.35">
      <c r="C473" s="144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s="138" t="str">
        <f>+IFERROR(VLOOKUP(Fact_Analitica[[#This Row],[Concepto Anterior]],Conceptos_Analítica_contraloría[#All],5,0),"")</f>
        <v/>
      </c>
      <c r="F473" s="138" t="str">
        <f>+IFERROR(VLOOKUP(Fact_Analitica[[#This Row],[Concepto Anterior]],Conceptos_Analítica_contraloría[#All],7,0),"")</f>
        <v/>
      </c>
      <c r="I473" s="138" t="str">
        <f>+IFERROR(VLOOKUP(D473,Conceptos_Analítica_contraloría[#All],2,0),"")</f>
        <v/>
      </c>
      <c r="J473" s="138" t="str">
        <f>+IFERROR(VLOOKUP(D473,Conceptos_Analítica_contraloría[#All],3,0),"")</f>
        <v/>
      </c>
    </row>
    <row r="474" spans="3:10" x14ac:dyDescent="0.35">
      <c r="C474" s="144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s="138" t="str">
        <f>+IFERROR(VLOOKUP(Fact_Analitica[[#This Row],[Concepto Anterior]],Conceptos_Analítica_contraloría[#All],5,0),"")</f>
        <v/>
      </c>
      <c r="F474" s="138" t="str">
        <f>+IFERROR(VLOOKUP(Fact_Analitica[[#This Row],[Concepto Anterior]],Conceptos_Analítica_contraloría[#All],7,0),"")</f>
        <v/>
      </c>
      <c r="I474" s="138" t="str">
        <f>+IFERROR(VLOOKUP(D474,Conceptos_Analítica_contraloría[#All],2,0),"")</f>
        <v/>
      </c>
      <c r="J474" s="138" t="str">
        <f>+IFERROR(VLOOKUP(D474,Conceptos_Analítica_contraloría[#All],3,0),"")</f>
        <v/>
      </c>
    </row>
    <row r="475" spans="3:10" x14ac:dyDescent="0.35">
      <c r="C475" s="144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s="138" t="str">
        <f>+IFERROR(VLOOKUP(Fact_Analitica[[#This Row],[Concepto Anterior]],Conceptos_Analítica_contraloría[#All],5,0),"")</f>
        <v/>
      </c>
      <c r="F475" s="138" t="str">
        <f>+IFERROR(VLOOKUP(Fact_Analitica[[#This Row],[Concepto Anterior]],Conceptos_Analítica_contraloría[#All],7,0),"")</f>
        <v/>
      </c>
      <c r="I475" s="138" t="str">
        <f>+IFERROR(VLOOKUP(D475,Conceptos_Analítica_contraloría[#All],2,0),"")</f>
        <v/>
      </c>
      <c r="J475" s="138" t="str">
        <f>+IFERROR(VLOOKUP(D475,Conceptos_Analítica_contraloría[#All],3,0),"")</f>
        <v/>
      </c>
    </row>
    <row r="476" spans="3:10" x14ac:dyDescent="0.35">
      <c r="C476" s="144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s="138" t="str">
        <f>+IFERROR(VLOOKUP(Fact_Analitica[[#This Row],[Concepto Anterior]],Conceptos_Analítica_contraloría[#All],5,0),"")</f>
        <v/>
      </c>
      <c r="F476" s="138" t="str">
        <f>+IFERROR(VLOOKUP(Fact_Analitica[[#This Row],[Concepto Anterior]],Conceptos_Analítica_contraloría[#All],7,0),"")</f>
        <v/>
      </c>
      <c r="I476" s="138" t="str">
        <f>+IFERROR(VLOOKUP(D476,Conceptos_Analítica_contraloría[#All],2,0),"")</f>
        <v/>
      </c>
      <c r="J476" s="138" t="str">
        <f>+IFERROR(VLOOKUP(D476,Conceptos_Analítica_contraloría[#All],3,0),"")</f>
        <v/>
      </c>
    </row>
    <row r="477" spans="3:10" x14ac:dyDescent="0.35">
      <c r="C477" s="144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s="138" t="str">
        <f>+IFERROR(VLOOKUP(Fact_Analitica[[#This Row],[Concepto Anterior]],Conceptos_Analítica_contraloría[#All],5,0),"")</f>
        <v/>
      </c>
      <c r="F477" s="138" t="str">
        <f>+IFERROR(VLOOKUP(Fact_Analitica[[#This Row],[Concepto Anterior]],Conceptos_Analítica_contraloría[#All],7,0),"")</f>
        <v/>
      </c>
      <c r="I477" s="138" t="str">
        <f>+IFERROR(VLOOKUP(D477,Conceptos_Analítica_contraloría[#All],2,0),"")</f>
        <v/>
      </c>
      <c r="J477" s="138" t="str">
        <f>+IFERROR(VLOOKUP(D477,Conceptos_Analítica_contraloría[#All],3,0),"")</f>
        <v/>
      </c>
    </row>
    <row r="478" spans="3:10" x14ac:dyDescent="0.35">
      <c r="C478" s="144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s="138" t="str">
        <f>+IFERROR(VLOOKUP(Fact_Analitica[[#This Row],[Concepto Anterior]],Conceptos_Analítica_contraloría[#All],5,0),"")</f>
        <v/>
      </c>
      <c r="F478" s="138" t="str">
        <f>+IFERROR(VLOOKUP(Fact_Analitica[[#This Row],[Concepto Anterior]],Conceptos_Analítica_contraloría[#All],7,0),"")</f>
        <v/>
      </c>
      <c r="I478" s="138" t="str">
        <f>+IFERROR(VLOOKUP(D478,Conceptos_Analítica_contraloría[#All],2,0),"")</f>
        <v/>
      </c>
      <c r="J478" s="138" t="str">
        <f>+IFERROR(VLOOKUP(D478,Conceptos_Analítica_contraloría[#All],3,0),"")</f>
        <v/>
      </c>
    </row>
    <row r="479" spans="3:10" x14ac:dyDescent="0.35">
      <c r="C479" s="144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s="138" t="str">
        <f>+IFERROR(VLOOKUP(Fact_Analitica[[#This Row],[Concepto Anterior]],Conceptos_Analítica_contraloría[#All],5,0),"")</f>
        <v/>
      </c>
      <c r="F479" s="138" t="str">
        <f>+IFERROR(VLOOKUP(Fact_Analitica[[#This Row],[Concepto Anterior]],Conceptos_Analítica_contraloría[#All],7,0),"")</f>
        <v/>
      </c>
      <c r="I479" s="138" t="str">
        <f>+IFERROR(VLOOKUP(D479,Conceptos_Analítica_contraloría[#All],2,0),"")</f>
        <v/>
      </c>
      <c r="J479" s="138" t="str">
        <f>+IFERROR(VLOOKUP(D479,Conceptos_Analítica_contraloría[#All],3,0),"")</f>
        <v/>
      </c>
    </row>
    <row r="480" spans="3:10" x14ac:dyDescent="0.35">
      <c r="C480" s="144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s="138" t="str">
        <f>+IFERROR(VLOOKUP(Fact_Analitica[[#This Row],[Concepto Anterior]],Conceptos_Analítica_contraloría[#All],5,0),"")</f>
        <v/>
      </c>
      <c r="F480" s="138" t="str">
        <f>+IFERROR(VLOOKUP(Fact_Analitica[[#This Row],[Concepto Anterior]],Conceptos_Analítica_contraloría[#All],7,0),"")</f>
        <v/>
      </c>
      <c r="I480" s="138" t="str">
        <f>+IFERROR(VLOOKUP(D480,Conceptos_Analítica_contraloría[#All],2,0),"")</f>
        <v/>
      </c>
      <c r="J480" s="138" t="str">
        <f>+IFERROR(VLOOKUP(D480,Conceptos_Analítica_contraloría[#All],3,0),"")</f>
        <v/>
      </c>
    </row>
    <row r="481" spans="3:10" x14ac:dyDescent="0.35">
      <c r="C481" s="144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s="138" t="str">
        <f>+IFERROR(VLOOKUP(Fact_Analitica[[#This Row],[Concepto Anterior]],Conceptos_Analítica_contraloría[#All],5,0),"")</f>
        <v/>
      </c>
      <c r="F481" s="138" t="str">
        <f>+IFERROR(VLOOKUP(Fact_Analitica[[#This Row],[Concepto Anterior]],Conceptos_Analítica_contraloría[#All],7,0),"")</f>
        <v/>
      </c>
      <c r="I481" s="138" t="str">
        <f>+IFERROR(VLOOKUP(D481,Conceptos_Analítica_contraloría[#All],2,0),"")</f>
        <v/>
      </c>
      <c r="J481" s="138" t="str">
        <f>+IFERROR(VLOOKUP(D481,Conceptos_Analítica_contraloría[#All],3,0),"")</f>
        <v/>
      </c>
    </row>
    <row r="482" spans="3:10" x14ac:dyDescent="0.35">
      <c r="C482" s="144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s="138" t="str">
        <f>+IFERROR(VLOOKUP(Fact_Analitica[[#This Row],[Concepto Anterior]],Conceptos_Analítica_contraloría[#All],5,0),"")</f>
        <v/>
      </c>
      <c r="F482" s="138" t="str">
        <f>+IFERROR(VLOOKUP(Fact_Analitica[[#This Row],[Concepto Anterior]],Conceptos_Analítica_contraloría[#All],7,0),"")</f>
        <v/>
      </c>
      <c r="I482" s="138" t="str">
        <f>+IFERROR(VLOOKUP(D482,Conceptos_Analítica_contraloría[#All],2,0),"")</f>
        <v/>
      </c>
      <c r="J482" s="138" t="str">
        <f>+IFERROR(VLOOKUP(D482,Conceptos_Analítica_contraloría[#All],3,0),"")</f>
        <v/>
      </c>
    </row>
    <row r="483" spans="3:10" x14ac:dyDescent="0.35">
      <c r="C483" s="144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s="138" t="str">
        <f>+IFERROR(VLOOKUP(Fact_Analitica[[#This Row],[Concepto Anterior]],Conceptos_Analítica_contraloría[#All],5,0),"")</f>
        <v/>
      </c>
      <c r="F483" s="138" t="str">
        <f>+IFERROR(VLOOKUP(Fact_Analitica[[#This Row],[Concepto Anterior]],Conceptos_Analítica_contraloría[#All],7,0),"")</f>
        <v/>
      </c>
      <c r="I483" s="138" t="str">
        <f>+IFERROR(VLOOKUP(D483,Conceptos_Analítica_contraloría[#All],2,0),"")</f>
        <v/>
      </c>
      <c r="J483" s="138" t="str">
        <f>+IFERROR(VLOOKUP(D483,Conceptos_Analítica_contraloría[#All],3,0),"")</f>
        <v/>
      </c>
    </row>
    <row r="484" spans="3:10" x14ac:dyDescent="0.35">
      <c r="C484" s="144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s="138" t="str">
        <f>+IFERROR(VLOOKUP(Fact_Analitica[[#This Row],[Concepto Anterior]],Conceptos_Analítica_contraloría[#All],5,0),"")</f>
        <v/>
      </c>
      <c r="F484" s="138" t="str">
        <f>+IFERROR(VLOOKUP(Fact_Analitica[[#This Row],[Concepto Anterior]],Conceptos_Analítica_contraloría[#All],7,0),"")</f>
        <v/>
      </c>
      <c r="I484" s="138" t="str">
        <f>+IFERROR(VLOOKUP(D484,Conceptos_Analítica_contraloría[#All],2,0),"")</f>
        <v/>
      </c>
      <c r="J484" s="138" t="str">
        <f>+IFERROR(VLOOKUP(D484,Conceptos_Analítica_contraloría[#All],3,0),"")</f>
        <v/>
      </c>
    </row>
    <row r="485" spans="3:10" x14ac:dyDescent="0.35">
      <c r="C485" s="144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s="138" t="str">
        <f>+IFERROR(VLOOKUP(Fact_Analitica[[#This Row],[Concepto Anterior]],Conceptos_Analítica_contraloría[#All],5,0),"")</f>
        <v/>
      </c>
      <c r="F485" s="138" t="str">
        <f>+IFERROR(VLOOKUP(Fact_Analitica[[#This Row],[Concepto Anterior]],Conceptos_Analítica_contraloría[#All],7,0),"")</f>
        <v/>
      </c>
      <c r="I485" s="138" t="str">
        <f>+IFERROR(VLOOKUP(D485,Conceptos_Analítica_contraloría[#All],2,0),"")</f>
        <v/>
      </c>
      <c r="J485" s="138" t="str">
        <f>+IFERROR(VLOOKUP(D485,Conceptos_Analítica_contraloría[#All],3,0),"")</f>
        <v/>
      </c>
    </row>
    <row r="486" spans="3:10" x14ac:dyDescent="0.35">
      <c r="C486" s="144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s="138" t="str">
        <f>+IFERROR(VLOOKUP(Fact_Analitica[[#This Row],[Concepto Anterior]],Conceptos_Analítica_contraloría[#All],5,0),"")</f>
        <v/>
      </c>
      <c r="F486" s="138" t="str">
        <f>+IFERROR(VLOOKUP(Fact_Analitica[[#This Row],[Concepto Anterior]],Conceptos_Analítica_contraloría[#All],7,0),"")</f>
        <v/>
      </c>
      <c r="I486" s="138" t="str">
        <f>+IFERROR(VLOOKUP(D486,Conceptos_Analítica_contraloría[#All],2,0),"")</f>
        <v/>
      </c>
      <c r="J486" s="138" t="str">
        <f>+IFERROR(VLOOKUP(D486,Conceptos_Analítica_contraloría[#All],3,0),"")</f>
        <v/>
      </c>
    </row>
    <row r="487" spans="3:10" x14ac:dyDescent="0.35">
      <c r="C487" s="144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s="138" t="str">
        <f>+IFERROR(VLOOKUP(Fact_Analitica[[#This Row],[Concepto Anterior]],Conceptos_Analítica_contraloría[#All],5,0),"")</f>
        <v/>
      </c>
      <c r="F487" s="138" t="str">
        <f>+IFERROR(VLOOKUP(Fact_Analitica[[#This Row],[Concepto Anterior]],Conceptos_Analítica_contraloría[#All],7,0),"")</f>
        <v/>
      </c>
      <c r="I487" s="138" t="str">
        <f>+IFERROR(VLOOKUP(D487,Conceptos_Analítica_contraloría[#All],2,0),"")</f>
        <v/>
      </c>
      <c r="J487" s="138" t="str">
        <f>+IFERROR(VLOOKUP(D487,Conceptos_Analítica_contraloría[#All],3,0),"")</f>
        <v/>
      </c>
    </row>
    <row r="488" spans="3:10" x14ac:dyDescent="0.35">
      <c r="C488" s="144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s="138" t="str">
        <f>+IFERROR(VLOOKUP(Fact_Analitica[[#This Row],[Concepto Anterior]],Conceptos_Analítica_contraloría[#All],5,0),"")</f>
        <v/>
      </c>
      <c r="F488" s="138" t="str">
        <f>+IFERROR(VLOOKUP(Fact_Analitica[[#This Row],[Concepto Anterior]],Conceptos_Analítica_contraloría[#All],7,0),"")</f>
        <v/>
      </c>
      <c r="I488" s="138" t="str">
        <f>+IFERROR(VLOOKUP(D488,Conceptos_Analítica_contraloría[#All],2,0),"")</f>
        <v/>
      </c>
      <c r="J488" s="138" t="str">
        <f>+IFERROR(VLOOKUP(D488,Conceptos_Analítica_contraloría[#All],3,0),"")</f>
        <v/>
      </c>
    </row>
    <row r="489" spans="3:10" x14ac:dyDescent="0.35">
      <c r="C489" s="144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s="138" t="str">
        <f>+IFERROR(VLOOKUP(Fact_Analitica[[#This Row],[Concepto Anterior]],Conceptos_Analítica_contraloría[#All],5,0),"")</f>
        <v/>
      </c>
      <c r="F489" s="138" t="str">
        <f>+IFERROR(VLOOKUP(Fact_Analitica[[#This Row],[Concepto Anterior]],Conceptos_Analítica_contraloría[#All],7,0),"")</f>
        <v/>
      </c>
      <c r="I489" s="138" t="str">
        <f>+IFERROR(VLOOKUP(D489,Conceptos_Analítica_contraloría[#All],2,0),"")</f>
        <v/>
      </c>
      <c r="J489" s="138" t="str">
        <f>+IFERROR(VLOOKUP(D489,Conceptos_Analítica_contraloría[#All],3,0),"")</f>
        <v/>
      </c>
    </row>
    <row r="490" spans="3:10" x14ac:dyDescent="0.35">
      <c r="C490" s="144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s="138" t="str">
        <f>+IFERROR(VLOOKUP(Fact_Analitica[[#This Row],[Concepto Anterior]],Conceptos_Analítica_contraloría[#All],5,0),"")</f>
        <v/>
      </c>
      <c r="F490" s="138" t="str">
        <f>+IFERROR(VLOOKUP(Fact_Analitica[[#This Row],[Concepto Anterior]],Conceptos_Analítica_contraloría[#All],7,0),"")</f>
        <v/>
      </c>
      <c r="I490" s="138" t="str">
        <f>+IFERROR(VLOOKUP(D490,Conceptos_Analítica_contraloría[#All],2,0),"")</f>
        <v/>
      </c>
      <c r="J490" s="138" t="str">
        <f>+IFERROR(VLOOKUP(D490,Conceptos_Analítica_contraloría[#All],3,0),"")</f>
        <v/>
      </c>
    </row>
    <row r="491" spans="3:10" x14ac:dyDescent="0.35">
      <c r="C491" s="144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s="138" t="str">
        <f>+IFERROR(VLOOKUP(Fact_Analitica[[#This Row],[Concepto Anterior]],Conceptos_Analítica_contraloría[#All],5,0),"")</f>
        <v/>
      </c>
      <c r="F491" s="138" t="str">
        <f>+IFERROR(VLOOKUP(Fact_Analitica[[#This Row],[Concepto Anterior]],Conceptos_Analítica_contraloría[#All],7,0),"")</f>
        <v/>
      </c>
      <c r="I491" s="138" t="str">
        <f>+IFERROR(VLOOKUP(D491,Conceptos_Analítica_contraloría[#All],2,0),"")</f>
        <v/>
      </c>
      <c r="J491" s="138" t="str">
        <f>+IFERROR(VLOOKUP(D491,Conceptos_Analítica_contraloría[#All],3,0),"")</f>
        <v/>
      </c>
    </row>
    <row r="492" spans="3:10" x14ac:dyDescent="0.35">
      <c r="C492" s="144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s="138" t="str">
        <f>+IFERROR(VLOOKUP(Fact_Analitica[[#This Row],[Concepto Anterior]],Conceptos_Analítica_contraloría[#All],5,0),"")</f>
        <v/>
      </c>
      <c r="F492" s="138" t="str">
        <f>+IFERROR(VLOOKUP(Fact_Analitica[[#This Row],[Concepto Anterior]],Conceptos_Analítica_contraloría[#All],7,0),"")</f>
        <v/>
      </c>
      <c r="I492" s="138" t="str">
        <f>+IFERROR(VLOOKUP(D492,Conceptos_Analítica_contraloría[#All],2,0),"")</f>
        <v/>
      </c>
      <c r="J492" s="138" t="str">
        <f>+IFERROR(VLOOKUP(D492,Conceptos_Analítica_contraloría[#All],3,0),"")</f>
        <v/>
      </c>
    </row>
    <row r="493" spans="3:10" x14ac:dyDescent="0.35">
      <c r="C493" s="144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s="138" t="str">
        <f>+IFERROR(VLOOKUP(Fact_Analitica[[#This Row],[Concepto Anterior]],Conceptos_Analítica_contraloría[#All],5,0),"")</f>
        <v/>
      </c>
      <c r="F493" s="138" t="str">
        <f>+IFERROR(VLOOKUP(Fact_Analitica[[#This Row],[Concepto Anterior]],Conceptos_Analítica_contraloría[#All],7,0),"")</f>
        <v/>
      </c>
      <c r="I493" s="138" t="str">
        <f>+IFERROR(VLOOKUP(D493,Conceptos_Analítica_contraloría[#All],2,0),"")</f>
        <v/>
      </c>
      <c r="J493" s="138" t="str">
        <f>+IFERROR(VLOOKUP(D493,Conceptos_Analítica_contraloría[#All],3,0),"")</f>
        <v/>
      </c>
    </row>
    <row r="494" spans="3:10" x14ac:dyDescent="0.35">
      <c r="C494" s="144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s="138" t="str">
        <f>+IFERROR(VLOOKUP(Fact_Analitica[[#This Row],[Concepto Anterior]],Conceptos_Analítica_contraloría[#All],5,0),"")</f>
        <v/>
      </c>
      <c r="F494" s="138" t="str">
        <f>+IFERROR(VLOOKUP(Fact_Analitica[[#This Row],[Concepto Anterior]],Conceptos_Analítica_contraloría[#All],7,0),"")</f>
        <v/>
      </c>
      <c r="I494" s="138" t="str">
        <f>+IFERROR(VLOOKUP(D494,Conceptos_Analítica_contraloría[#All],2,0),"")</f>
        <v/>
      </c>
      <c r="J494" s="138" t="str">
        <f>+IFERROR(VLOOKUP(D494,Conceptos_Analítica_contraloría[#All],3,0),"")</f>
        <v/>
      </c>
    </row>
    <row r="495" spans="3:10" x14ac:dyDescent="0.35">
      <c r="C495" s="144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s="138" t="str">
        <f>+IFERROR(VLOOKUP(Fact_Analitica[[#This Row],[Concepto Anterior]],Conceptos_Analítica_contraloría[#All],5,0),"")</f>
        <v/>
      </c>
      <c r="F495" s="138" t="str">
        <f>+IFERROR(VLOOKUP(Fact_Analitica[[#This Row],[Concepto Anterior]],Conceptos_Analítica_contraloría[#All],7,0),"")</f>
        <v/>
      </c>
      <c r="I495" s="138" t="str">
        <f>+IFERROR(VLOOKUP(D495,Conceptos_Analítica_contraloría[#All],2,0),"")</f>
        <v/>
      </c>
      <c r="J495" s="138" t="str">
        <f>+IFERROR(VLOOKUP(D495,Conceptos_Analítica_contraloría[#All],3,0),"")</f>
        <v/>
      </c>
    </row>
    <row r="496" spans="3:10" x14ac:dyDescent="0.35">
      <c r="C496" s="144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s="138" t="str">
        <f>+IFERROR(VLOOKUP(Fact_Analitica[[#This Row],[Concepto Anterior]],Conceptos_Analítica_contraloría[#All],5,0),"")</f>
        <v/>
      </c>
      <c r="F496" s="138" t="str">
        <f>+IFERROR(VLOOKUP(Fact_Analitica[[#This Row],[Concepto Anterior]],Conceptos_Analítica_contraloría[#All],7,0),"")</f>
        <v/>
      </c>
      <c r="I496" s="138" t="str">
        <f>+IFERROR(VLOOKUP(D496,Conceptos_Analítica_contraloría[#All],2,0),"")</f>
        <v/>
      </c>
      <c r="J496" s="138" t="str">
        <f>+IFERROR(VLOOKUP(D496,Conceptos_Analítica_contraloría[#All],3,0),"")</f>
        <v/>
      </c>
    </row>
    <row r="497" spans="3:10" x14ac:dyDescent="0.35">
      <c r="C497" s="144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s="138" t="str">
        <f>+IFERROR(VLOOKUP(Fact_Analitica[[#This Row],[Concepto Anterior]],Conceptos_Analítica_contraloría[#All],5,0),"")</f>
        <v/>
      </c>
      <c r="F497" s="138" t="str">
        <f>+IFERROR(VLOOKUP(Fact_Analitica[[#This Row],[Concepto Anterior]],Conceptos_Analítica_contraloría[#All],7,0),"")</f>
        <v/>
      </c>
      <c r="I497" s="138" t="str">
        <f>+IFERROR(VLOOKUP(D497,Conceptos_Analítica_contraloría[#All],2,0),"")</f>
        <v/>
      </c>
      <c r="J497" s="138" t="str">
        <f>+IFERROR(VLOOKUP(D497,Conceptos_Analítica_contraloría[#All],3,0),"")</f>
        <v/>
      </c>
    </row>
    <row r="498" spans="3:10" x14ac:dyDescent="0.35">
      <c r="C498" s="144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s="138" t="str">
        <f>+IFERROR(VLOOKUP(Fact_Analitica[[#This Row],[Concepto Anterior]],Conceptos_Analítica_contraloría[#All],5,0),"")</f>
        <v/>
      </c>
      <c r="F498" s="138" t="str">
        <f>+IFERROR(VLOOKUP(Fact_Analitica[[#This Row],[Concepto Anterior]],Conceptos_Analítica_contraloría[#All],7,0),"")</f>
        <v/>
      </c>
      <c r="I498" s="138" t="str">
        <f>+IFERROR(VLOOKUP(D498,Conceptos_Analítica_contraloría[#All],2,0),"")</f>
        <v/>
      </c>
      <c r="J498" s="138" t="str">
        <f>+IFERROR(VLOOKUP(D498,Conceptos_Analítica_contraloría[#All],3,0),"")</f>
        <v/>
      </c>
    </row>
    <row r="499" spans="3:10" x14ac:dyDescent="0.35">
      <c r="C499" s="144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s="138" t="str">
        <f>+IFERROR(VLOOKUP(Fact_Analitica[[#This Row],[Concepto Anterior]],Conceptos_Analítica_contraloría[#All],5,0),"")</f>
        <v/>
      </c>
      <c r="F499" s="138" t="str">
        <f>+IFERROR(VLOOKUP(Fact_Analitica[[#This Row],[Concepto Anterior]],Conceptos_Analítica_contraloría[#All],7,0),"")</f>
        <v/>
      </c>
      <c r="I499" s="138" t="str">
        <f>+IFERROR(VLOOKUP(D499,Conceptos_Analítica_contraloría[#All],2,0),"")</f>
        <v/>
      </c>
      <c r="J499" s="138" t="str">
        <f>+IFERROR(VLOOKUP(D499,Conceptos_Analítica_contraloría[#All],3,0),"")</f>
        <v/>
      </c>
    </row>
    <row r="500" spans="3:10" x14ac:dyDescent="0.35">
      <c r="C500" s="144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s="138" t="str">
        <f>+IFERROR(VLOOKUP(Fact_Analitica[[#This Row],[Concepto Anterior]],Conceptos_Analítica_contraloría[#All],5,0),"")</f>
        <v/>
      </c>
      <c r="F500" s="138" t="str">
        <f>+IFERROR(VLOOKUP(Fact_Analitica[[#This Row],[Concepto Anterior]],Conceptos_Analítica_contraloría[#All],7,0),"")</f>
        <v/>
      </c>
      <c r="I500" s="138" t="str">
        <f>+IFERROR(VLOOKUP(D500,Conceptos_Analítica_contraloría[#All],2,0),"")</f>
        <v/>
      </c>
      <c r="J500" s="138" t="str">
        <f>+IFERROR(VLOOKUP(D500,Conceptos_Analítica_contraloría[#All],3,0),"")</f>
        <v/>
      </c>
    </row>
    <row r="501" spans="3:10" x14ac:dyDescent="0.35">
      <c r="C501" s="144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s="138" t="str">
        <f>+IFERROR(VLOOKUP(Fact_Analitica[[#This Row],[Concepto Anterior]],Conceptos_Analítica_contraloría[#All],5,0),"")</f>
        <v/>
      </c>
      <c r="F501" s="138" t="str">
        <f>+IFERROR(VLOOKUP(Fact_Analitica[[#This Row],[Concepto Anterior]],Conceptos_Analítica_contraloría[#All],7,0),"")</f>
        <v/>
      </c>
      <c r="I501" s="138" t="str">
        <f>+IFERROR(VLOOKUP(D501,Conceptos_Analítica_contraloría[#All],2,0),"")</f>
        <v/>
      </c>
      <c r="J501" s="138" t="str">
        <f>+IFERROR(VLOOKUP(D501,Conceptos_Analítica_contraloría[#All],3,0),"")</f>
        <v/>
      </c>
    </row>
    <row r="502" spans="3:10" x14ac:dyDescent="0.35">
      <c r="C502" s="144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s="138" t="str">
        <f>+IFERROR(VLOOKUP(Fact_Analitica[[#This Row],[Concepto Anterior]],Conceptos_Analítica_contraloría[#All],5,0),"")</f>
        <v/>
      </c>
      <c r="F502" s="138" t="str">
        <f>+IFERROR(VLOOKUP(Fact_Analitica[[#This Row],[Concepto Anterior]],Conceptos_Analítica_contraloría[#All],7,0),"")</f>
        <v/>
      </c>
      <c r="I502" s="138" t="str">
        <f>+IFERROR(VLOOKUP(D502,Conceptos_Analítica_contraloría[#All],2,0),"")</f>
        <v/>
      </c>
      <c r="J502" s="138" t="str">
        <f>+IFERROR(VLOOKUP(D502,Conceptos_Analítica_contraloría[#All],3,0),"")</f>
        <v/>
      </c>
    </row>
    <row r="503" spans="3:10" x14ac:dyDescent="0.35">
      <c r="C503" s="144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s="138" t="str">
        <f>+IFERROR(VLOOKUP(Fact_Analitica[[#This Row],[Concepto Anterior]],Conceptos_Analítica_contraloría[#All],5,0),"")</f>
        <v/>
      </c>
      <c r="F503" s="138" t="str">
        <f>+IFERROR(VLOOKUP(Fact_Analitica[[#This Row],[Concepto Anterior]],Conceptos_Analítica_contraloría[#All],7,0),"")</f>
        <v/>
      </c>
      <c r="I503" s="138" t="str">
        <f>+IFERROR(VLOOKUP(D503,Conceptos_Analítica_contraloría[#All],2,0),"")</f>
        <v/>
      </c>
      <c r="J503" s="138" t="str">
        <f>+IFERROR(VLOOKUP(D503,Conceptos_Analítica_contraloría[#All],3,0),"")</f>
        <v/>
      </c>
    </row>
    <row r="504" spans="3:10" x14ac:dyDescent="0.35">
      <c r="C504" s="144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s="138" t="str">
        <f>+IFERROR(VLOOKUP(Fact_Analitica[[#This Row],[Concepto Anterior]],Conceptos_Analítica_contraloría[#All],5,0),"")</f>
        <v/>
      </c>
      <c r="F504" s="138" t="str">
        <f>+IFERROR(VLOOKUP(Fact_Analitica[[#This Row],[Concepto Anterior]],Conceptos_Analítica_contraloría[#All],7,0),"")</f>
        <v/>
      </c>
      <c r="I504" s="138" t="str">
        <f>+IFERROR(VLOOKUP(D504,Conceptos_Analítica_contraloría[#All],2,0),"")</f>
        <v/>
      </c>
      <c r="J504" s="138" t="str">
        <f>+IFERROR(VLOOKUP(D504,Conceptos_Analítica_contraloría[#All],3,0),"")</f>
        <v/>
      </c>
    </row>
    <row r="505" spans="3:10" x14ac:dyDescent="0.35">
      <c r="C505" s="144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s="138" t="str">
        <f>+IFERROR(VLOOKUP(Fact_Analitica[[#This Row],[Concepto Anterior]],Conceptos_Analítica_contraloría[#All],5,0),"")</f>
        <v/>
      </c>
      <c r="F505" s="138" t="str">
        <f>+IFERROR(VLOOKUP(Fact_Analitica[[#This Row],[Concepto Anterior]],Conceptos_Analítica_contraloría[#All],7,0),"")</f>
        <v/>
      </c>
      <c r="I505" s="138" t="str">
        <f>+IFERROR(VLOOKUP(D505,Conceptos_Analítica_contraloría[#All],2,0),"")</f>
        <v/>
      </c>
      <c r="J505" s="138" t="str">
        <f>+IFERROR(VLOOKUP(D505,Conceptos_Analítica_contraloría[#All],3,0),"")</f>
        <v/>
      </c>
    </row>
    <row r="506" spans="3:10" x14ac:dyDescent="0.35">
      <c r="C506" s="144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s="138" t="str">
        <f>+IFERROR(VLOOKUP(Fact_Analitica[[#This Row],[Concepto Anterior]],Conceptos_Analítica_contraloría[#All],5,0),"")</f>
        <v/>
      </c>
      <c r="F506" s="138" t="str">
        <f>+IFERROR(VLOOKUP(Fact_Analitica[[#This Row],[Concepto Anterior]],Conceptos_Analítica_contraloría[#All],7,0),"")</f>
        <v/>
      </c>
      <c r="I506" s="138" t="str">
        <f>+IFERROR(VLOOKUP(D506,Conceptos_Analítica_contraloría[#All],2,0),"")</f>
        <v/>
      </c>
      <c r="J506" s="138" t="str">
        <f>+IFERROR(VLOOKUP(D506,Conceptos_Analítica_contraloría[#All],3,0),"")</f>
        <v/>
      </c>
    </row>
    <row r="507" spans="3:10" x14ac:dyDescent="0.35">
      <c r="C507" s="144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s="138" t="str">
        <f>+IFERROR(VLOOKUP(Fact_Analitica[[#This Row],[Concepto Anterior]],Conceptos_Analítica_contraloría[#All],5,0),"")</f>
        <v/>
      </c>
      <c r="F507" s="138" t="str">
        <f>+IFERROR(VLOOKUP(Fact_Analitica[[#This Row],[Concepto Anterior]],Conceptos_Analítica_contraloría[#All],7,0),"")</f>
        <v/>
      </c>
      <c r="I507" s="138" t="str">
        <f>+IFERROR(VLOOKUP(D507,Conceptos_Analítica_contraloría[#All],2,0),"")</f>
        <v/>
      </c>
      <c r="J507" s="138" t="str">
        <f>+IFERROR(VLOOKUP(D507,Conceptos_Analítica_contraloría[#All],3,0),"")</f>
        <v/>
      </c>
    </row>
    <row r="508" spans="3:10" x14ac:dyDescent="0.35">
      <c r="C508" s="144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s="138" t="str">
        <f>+IFERROR(VLOOKUP(Fact_Analitica[[#This Row],[Concepto Anterior]],Conceptos_Analítica_contraloría[#All],5,0),"")</f>
        <v/>
      </c>
      <c r="F508" s="138" t="str">
        <f>+IFERROR(VLOOKUP(Fact_Analitica[[#This Row],[Concepto Anterior]],Conceptos_Analítica_contraloría[#All],7,0),"")</f>
        <v/>
      </c>
      <c r="I508" s="138" t="str">
        <f>+IFERROR(VLOOKUP(D508,Conceptos_Analítica_contraloría[#All],2,0),"")</f>
        <v/>
      </c>
      <c r="J508" s="138" t="str">
        <f>+IFERROR(VLOOKUP(D508,Conceptos_Analítica_contraloría[#All],3,0),"")</f>
        <v/>
      </c>
    </row>
    <row r="509" spans="3:10" x14ac:dyDescent="0.35">
      <c r="C509" s="144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s="138" t="str">
        <f>+IFERROR(VLOOKUP(Fact_Analitica[[#This Row],[Concepto Anterior]],Conceptos_Analítica_contraloría[#All],5,0),"")</f>
        <v/>
      </c>
      <c r="F509" s="138" t="str">
        <f>+IFERROR(VLOOKUP(Fact_Analitica[[#This Row],[Concepto Anterior]],Conceptos_Analítica_contraloría[#All],7,0),"")</f>
        <v/>
      </c>
      <c r="I509" s="138" t="str">
        <f>+IFERROR(VLOOKUP(D509,Conceptos_Analítica_contraloría[#All],2,0),"")</f>
        <v/>
      </c>
      <c r="J509" s="138" t="str">
        <f>+IFERROR(VLOOKUP(D509,Conceptos_Analítica_contraloría[#All],3,0),"")</f>
        <v/>
      </c>
    </row>
    <row r="510" spans="3:10" x14ac:dyDescent="0.35">
      <c r="C510" s="144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s="138" t="str">
        <f>+IFERROR(VLOOKUP(Fact_Analitica[[#This Row],[Concepto Anterior]],Conceptos_Analítica_contraloría[#All],5,0),"")</f>
        <v/>
      </c>
      <c r="F510" s="138" t="str">
        <f>+IFERROR(VLOOKUP(Fact_Analitica[[#This Row],[Concepto Anterior]],Conceptos_Analítica_contraloría[#All],7,0),"")</f>
        <v/>
      </c>
      <c r="I510" s="138" t="str">
        <f>+IFERROR(VLOOKUP(D510,Conceptos_Analítica_contraloría[#All],2,0),"")</f>
        <v/>
      </c>
      <c r="J510" s="138" t="str">
        <f>+IFERROR(VLOOKUP(D510,Conceptos_Analítica_contraloría[#All],3,0),"")</f>
        <v/>
      </c>
    </row>
    <row r="511" spans="3:10" x14ac:dyDescent="0.35">
      <c r="C511" s="144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s="138" t="str">
        <f>+IFERROR(VLOOKUP(Fact_Analitica[[#This Row],[Concepto Anterior]],Conceptos_Analítica_contraloría[#All],5,0),"")</f>
        <v/>
      </c>
      <c r="F511" s="138" t="str">
        <f>+IFERROR(VLOOKUP(Fact_Analitica[[#This Row],[Concepto Anterior]],Conceptos_Analítica_contraloría[#All],7,0),"")</f>
        <v/>
      </c>
      <c r="I511" s="138" t="str">
        <f>+IFERROR(VLOOKUP(D511,Conceptos_Analítica_contraloría[#All],2,0),"")</f>
        <v/>
      </c>
      <c r="J511" s="138" t="str">
        <f>+IFERROR(VLOOKUP(D511,Conceptos_Analítica_contraloría[#All],3,0),"")</f>
        <v/>
      </c>
    </row>
    <row r="512" spans="3:10" x14ac:dyDescent="0.35">
      <c r="C512" s="144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s="138" t="str">
        <f>+IFERROR(VLOOKUP(Fact_Analitica[[#This Row],[Concepto Anterior]],Conceptos_Analítica_contraloría[#All],5,0),"")</f>
        <v/>
      </c>
      <c r="F512" s="138" t="str">
        <f>+IFERROR(VLOOKUP(Fact_Analitica[[#This Row],[Concepto Anterior]],Conceptos_Analítica_contraloría[#All],7,0),"")</f>
        <v/>
      </c>
      <c r="I512" s="138" t="str">
        <f>+IFERROR(VLOOKUP(D512,Conceptos_Analítica_contraloría[#All],2,0),"")</f>
        <v/>
      </c>
      <c r="J512" s="138" t="str">
        <f>+IFERROR(VLOOKUP(D512,Conceptos_Analítica_contraloría[#All],3,0),"")</f>
        <v/>
      </c>
    </row>
    <row r="513" spans="3:10" x14ac:dyDescent="0.35">
      <c r="C513" s="144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s="138" t="str">
        <f>+IFERROR(VLOOKUP(Fact_Analitica[[#This Row],[Concepto Anterior]],Conceptos_Analítica_contraloría[#All],5,0),"")</f>
        <v/>
      </c>
      <c r="F513" s="138" t="str">
        <f>+IFERROR(VLOOKUP(Fact_Analitica[[#This Row],[Concepto Anterior]],Conceptos_Analítica_contraloría[#All],7,0),"")</f>
        <v/>
      </c>
      <c r="I513" s="138" t="str">
        <f>+IFERROR(VLOOKUP(D513,Conceptos_Analítica_contraloría[#All],2,0),"")</f>
        <v/>
      </c>
      <c r="J513" s="138" t="str">
        <f>+IFERROR(VLOOKUP(D513,Conceptos_Analítica_contraloría[#All],3,0),"")</f>
        <v/>
      </c>
    </row>
    <row r="514" spans="3:10" x14ac:dyDescent="0.35">
      <c r="C514" s="144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s="138" t="str">
        <f>+IFERROR(VLOOKUP(Fact_Analitica[[#This Row],[Concepto Anterior]],Conceptos_Analítica_contraloría[#All],5,0),"")</f>
        <v/>
      </c>
      <c r="F514" s="138" t="str">
        <f>+IFERROR(VLOOKUP(Fact_Analitica[[#This Row],[Concepto Anterior]],Conceptos_Analítica_contraloría[#All],7,0),"")</f>
        <v/>
      </c>
      <c r="I514" s="138" t="str">
        <f>+IFERROR(VLOOKUP(D514,Conceptos_Analítica_contraloría[#All],2,0),"")</f>
        <v/>
      </c>
      <c r="J514" s="138" t="str">
        <f>+IFERROR(VLOOKUP(D514,Conceptos_Analítica_contraloría[#All],3,0),"")</f>
        <v/>
      </c>
    </row>
    <row r="515" spans="3:10" x14ac:dyDescent="0.35">
      <c r="C515" s="144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s="138" t="str">
        <f>+IFERROR(VLOOKUP(Fact_Analitica[[#This Row],[Concepto Anterior]],Conceptos_Analítica_contraloría[#All],5,0),"")</f>
        <v/>
      </c>
      <c r="F515" s="138" t="str">
        <f>+IFERROR(VLOOKUP(Fact_Analitica[[#This Row],[Concepto Anterior]],Conceptos_Analítica_contraloría[#All],7,0),"")</f>
        <v/>
      </c>
      <c r="I515" s="138" t="str">
        <f>+IFERROR(VLOOKUP(D515,Conceptos_Analítica_contraloría[#All],2,0),"")</f>
        <v/>
      </c>
      <c r="J515" s="138" t="str">
        <f>+IFERROR(VLOOKUP(D515,Conceptos_Analítica_contraloría[#All],3,0),"")</f>
        <v/>
      </c>
    </row>
    <row r="516" spans="3:10" x14ac:dyDescent="0.35">
      <c r="C516" s="144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s="138" t="str">
        <f>+IFERROR(VLOOKUP(Fact_Analitica[[#This Row],[Concepto Anterior]],Conceptos_Analítica_contraloría[#All],5,0),"")</f>
        <v/>
      </c>
      <c r="F516" s="138" t="str">
        <f>+IFERROR(VLOOKUP(Fact_Analitica[[#This Row],[Concepto Anterior]],Conceptos_Analítica_contraloría[#All],7,0),"")</f>
        <v/>
      </c>
      <c r="I516" s="138" t="str">
        <f>+IFERROR(VLOOKUP(D516,Conceptos_Analítica_contraloría[#All],2,0),"")</f>
        <v/>
      </c>
      <c r="J516" s="138" t="str">
        <f>+IFERROR(VLOOKUP(D516,Conceptos_Analítica_contraloría[#All],3,0),"")</f>
        <v/>
      </c>
    </row>
    <row r="517" spans="3:10" x14ac:dyDescent="0.35">
      <c r="C517" s="144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s="138" t="str">
        <f>+IFERROR(VLOOKUP(Fact_Analitica[[#This Row],[Concepto Anterior]],Conceptos_Analítica_contraloría[#All],5,0),"")</f>
        <v/>
      </c>
      <c r="F517" s="138" t="str">
        <f>+IFERROR(VLOOKUP(Fact_Analitica[[#This Row],[Concepto Anterior]],Conceptos_Analítica_contraloría[#All],7,0),"")</f>
        <v/>
      </c>
      <c r="I517" s="138" t="str">
        <f>+IFERROR(VLOOKUP(D517,Conceptos_Analítica_contraloría[#All],2,0),"")</f>
        <v/>
      </c>
      <c r="J517" s="138" t="str">
        <f>+IFERROR(VLOOKUP(D517,Conceptos_Analítica_contraloría[#All],3,0),"")</f>
        <v/>
      </c>
    </row>
    <row r="518" spans="3:10" x14ac:dyDescent="0.35">
      <c r="C518" s="144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s="138" t="str">
        <f>+IFERROR(VLOOKUP(Fact_Analitica[[#This Row],[Concepto Anterior]],Conceptos_Analítica_contraloría[#All],5,0),"")</f>
        <v/>
      </c>
      <c r="F518" s="138" t="str">
        <f>+IFERROR(VLOOKUP(Fact_Analitica[[#This Row],[Concepto Anterior]],Conceptos_Analítica_contraloría[#All],7,0),"")</f>
        <v/>
      </c>
      <c r="I518" s="138" t="str">
        <f>+IFERROR(VLOOKUP(D518,Conceptos_Analítica_contraloría[#All],2,0),"")</f>
        <v/>
      </c>
      <c r="J518" s="138" t="str">
        <f>+IFERROR(VLOOKUP(D518,Conceptos_Analítica_contraloría[#All],3,0),"")</f>
        <v/>
      </c>
    </row>
    <row r="519" spans="3:10" x14ac:dyDescent="0.35">
      <c r="C519" s="144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s="138" t="str">
        <f>+IFERROR(VLOOKUP(Fact_Analitica[[#This Row],[Concepto Anterior]],Conceptos_Analítica_contraloría[#All],5,0),"")</f>
        <v/>
      </c>
      <c r="F519" s="138" t="str">
        <f>+IFERROR(VLOOKUP(Fact_Analitica[[#This Row],[Concepto Anterior]],Conceptos_Analítica_contraloría[#All],7,0),"")</f>
        <v/>
      </c>
      <c r="I519" s="138" t="str">
        <f>+IFERROR(VLOOKUP(D519,Conceptos_Analítica_contraloría[#All],2,0),"")</f>
        <v/>
      </c>
      <c r="J519" s="138" t="str">
        <f>+IFERROR(VLOOKUP(D519,Conceptos_Analítica_contraloría[#All],3,0),"")</f>
        <v/>
      </c>
    </row>
    <row r="520" spans="3:10" x14ac:dyDescent="0.35">
      <c r="C520" s="144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s="138" t="str">
        <f>+IFERROR(VLOOKUP(Fact_Analitica[[#This Row],[Concepto Anterior]],Conceptos_Analítica_contraloría[#All],5,0),"")</f>
        <v/>
      </c>
      <c r="F520" s="138" t="str">
        <f>+IFERROR(VLOOKUP(Fact_Analitica[[#This Row],[Concepto Anterior]],Conceptos_Analítica_contraloría[#All],7,0),"")</f>
        <v/>
      </c>
      <c r="I520" s="138" t="str">
        <f>+IFERROR(VLOOKUP(D520,Conceptos_Analítica_contraloría[#All],2,0),"")</f>
        <v/>
      </c>
      <c r="J520" s="138" t="str">
        <f>+IFERROR(VLOOKUP(D520,Conceptos_Analítica_contraloría[#All],3,0),"")</f>
        <v/>
      </c>
    </row>
    <row r="521" spans="3:10" x14ac:dyDescent="0.35">
      <c r="C521" s="144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s="138" t="str">
        <f>+IFERROR(VLOOKUP(Fact_Analitica[[#This Row],[Concepto Anterior]],Conceptos_Analítica_contraloría[#All],5,0),"")</f>
        <v/>
      </c>
      <c r="F521" s="138" t="str">
        <f>+IFERROR(VLOOKUP(Fact_Analitica[[#This Row],[Concepto Anterior]],Conceptos_Analítica_contraloría[#All],7,0),"")</f>
        <v/>
      </c>
      <c r="I521" s="138" t="str">
        <f>+IFERROR(VLOOKUP(D521,Conceptos_Analítica_contraloría[#All],2,0),"")</f>
        <v/>
      </c>
      <c r="J521" s="138" t="str">
        <f>+IFERROR(VLOOKUP(D521,Conceptos_Analítica_contraloría[#All],3,0),"")</f>
        <v/>
      </c>
    </row>
    <row r="522" spans="3:10" x14ac:dyDescent="0.35">
      <c r="C522" s="144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s="138" t="str">
        <f>+IFERROR(VLOOKUP(Fact_Analitica[[#This Row],[Concepto Anterior]],Conceptos_Analítica_contraloría[#All],5,0),"")</f>
        <v/>
      </c>
      <c r="F522" s="138" t="str">
        <f>+IFERROR(VLOOKUP(Fact_Analitica[[#This Row],[Concepto Anterior]],Conceptos_Analítica_contraloría[#All],7,0),"")</f>
        <v/>
      </c>
      <c r="I522" s="138" t="str">
        <f>+IFERROR(VLOOKUP(D522,Conceptos_Analítica_contraloría[#All],2,0),"")</f>
        <v/>
      </c>
      <c r="J522" s="138" t="str">
        <f>+IFERROR(VLOOKUP(D522,Conceptos_Analítica_contraloría[#All],3,0),"")</f>
        <v/>
      </c>
    </row>
    <row r="523" spans="3:10" x14ac:dyDescent="0.35">
      <c r="C523" s="144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s="138" t="str">
        <f>+IFERROR(VLOOKUP(Fact_Analitica[[#This Row],[Concepto Anterior]],Conceptos_Analítica_contraloría[#All],5,0),"")</f>
        <v/>
      </c>
      <c r="F523" s="138" t="str">
        <f>+IFERROR(VLOOKUP(Fact_Analitica[[#This Row],[Concepto Anterior]],Conceptos_Analítica_contraloría[#All],7,0),"")</f>
        <v/>
      </c>
      <c r="I523" s="138" t="str">
        <f>+IFERROR(VLOOKUP(D523,Conceptos_Analítica_contraloría[#All],2,0),"")</f>
        <v/>
      </c>
      <c r="J523" s="138" t="str">
        <f>+IFERROR(VLOOKUP(D523,Conceptos_Analítica_contraloría[#All],3,0),"")</f>
        <v/>
      </c>
    </row>
    <row r="524" spans="3:10" x14ac:dyDescent="0.35">
      <c r="C524" s="144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s="138" t="str">
        <f>+IFERROR(VLOOKUP(Fact_Analitica[[#This Row],[Concepto Anterior]],Conceptos_Analítica_contraloría[#All],5,0),"")</f>
        <v/>
      </c>
      <c r="F524" s="138" t="str">
        <f>+IFERROR(VLOOKUP(Fact_Analitica[[#This Row],[Concepto Anterior]],Conceptos_Analítica_contraloría[#All],7,0),"")</f>
        <v/>
      </c>
      <c r="I524" s="138" t="str">
        <f>+IFERROR(VLOOKUP(D524,Conceptos_Analítica_contraloría[#All],2,0),"")</f>
        <v/>
      </c>
      <c r="J524" s="138" t="str">
        <f>+IFERROR(VLOOKUP(D524,Conceptos_Analítica_contraloría[#All],3,0),"")</f>
        <v/>
      </c>
    </row>
    <row r="525" spans="3:10" x14ac:dyDescent="0.35">
      <c r="C525" s="144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s="138" t="str">
        <f>+IFERROR(VLOOKUP(Fact_Analitica[[#This Row],[Concepto Anterior]],Conceptos_Analítica_contraloría[#All],5,0),"")</f>
        <v/>
      </c>
      <c r="F525" s="138" t="str">
        <f>+IFERROR(VLOOKUP(Fact_Analitica[[#This Row],[Concepto Anterior]],Conceptos_Analítica_contraloría[#All],7,0),"")</f>
        <v/>
      </c>
      <c r="I525" s="138" t="str">
        <f>+IFERROR(VLOOKUP(D525,Conceptos_Analítica_contraloría[#All],2,0),"")</f>
        <v/>
      </c>
      <c r="J525" s="138" t="str">
        <f>+IFERROR(VLOOKUP(D525,Conceptos_Analítica_contraloría[#All],3,0),"")</f>
        <v/>
      </c>
    </row>
    <row r="526" spans="3:10" x14ac:dyDescent="0.35">
      <c r="C526" s="144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s="138" t="str">
        <f>+IFERROR(VLOOKUP(Fact_Analitica[[#This Row],[Concepto Anterior]],Conceptos_Analítica_contraloría[#All],5,0),"")</f>
        <v/>
      </c>
      <c r="F526" s="138" t="str">
        <f>+IFERROR(VLOOKUP(Fact_Analitica[[#This Row],[Concepto Anterior]],Conceptos_Analítica_contraloría[#All],7,0),"")</f>
        <v/>
      </c>
      <c r="I526" s="138" t="str">
        <f>+IFERROR(VLOOKUP(D526,Conceptos_Analítica_contraloría[#All],2,0),"")</f>
        <v/>
      </c>
      <c r="J526" s="138" t="str">
        <f>+IFERROR(VLOOKUP(D526,Conceptos_Analítica_contraloría[#All],3,0),"")</f>
        <v/>
      </c>
    </row>
    <row r="527" spans="3:10" x14ac:dyDescent="0.35">
      <c r="C527" s="144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s="138" t="str">
        <f>+IFERROR(VLOOKUP(Fact_Analitica[[#This Row],[Concepto Anterior]],Conceptos_Analítica_contraloría[#All],5,0),"")</f>
        <v/>
      </c>
      <c r="F527" s="138" t="str">
        <f>+IFERROR(VLOOKUP(Fact_Analitica[[#This Row],[Concepto Anterior]],Conceptos_Analítica_contraloría[#All],7,0),"")</f>
        <v/>
      </c>
      <c r="I527" s="138" t="str">
        <f>+IFERROR(VLOOKUP(D527,Conceptos_Analítica_contraloría[#All],2,0),"")</f>
        <v/>
      </c>
      <c r="J527" s="138" t="str">
        <f>+IFERROR(VLOOKUP(D527,Conceptos_Analítica_contraloría[#All],3,0),"")</f>
        <v/>
      </c>
    </row>
    <row r="528" spans="3:10" x14ac:dyDescent="0.35">
      <c r="C528" s="144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s="138" t="str">
        <f>+IFERROR(VLOOKUP(Fact_Analitica[[#This Row],[Concepto Anterior]],Conceptos_Analítica_contraloría[#All],5,0),"")</f>
        <v/>
      </c>
      <c r="F528" s="138" t="str">
        <f>+IFERROR(VLOOKUP(Fact_Analitica[[#This Row],[Concepto Anterior]],Conceptos_Analítica_contraloría[#All],7,0),"")</f>
        <v/>
      </c>
      <c r="I528" s="138" t="str">
        <f>+IFERROR(VLOOKUP(D528,Conceptos_Analítica_contraloría[#All],2,0),"")</f>
        <v/>
      </c>
      <c r="J528" s="138" t="str">
        <f>+IFERROR(VLOOKUP(D528,Conceptos_Analítica_contraloría[#All],3,0),"")</f>
        <v/>
      </c>
    </row>
    <row r="529" spans="3:10" x14ac:dyDescent="0.35">
      <c r="C529" s="144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s="138" t="str">
        <f>+IFERROR(VLOOKUP(Fact_Analitica[[#This Row],[Concepto Anterior]],Conceptos_Analítica_contraloría[#All],5,0),"")</f>
        <v/>
      </c>
      <c r="F529" s="138" t="str">
        <f>+IFERROR(VLOOKUP(Fact_Analitica[[#This Row],[Concepto Anterior]],Conceptos_Analítica_contraloría[#All],7,0),"")</f>
        <v/>
      </c>
      <c r="I529" s="138" t="str">
        <f>+IFERROR(VLOOKUP(D529,Conceptos_Analítica_contraloría[#All],2,0),"")</f>
        <v/>
      </c>
      <c r="J529" s="138" t="str">
        <f>+IFERROR(VLOOKUP(D529,Conceptos_Analítica_contraloría[#All],3,0),"")</f>
        <v/>
      </c>
    </row>
    <row r="530" spans="3:10" x14ac:dyDescent="0.35">
      <c r="C530" s="144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s="138" t="str">
        <f>+IFERROR(VLOOKUP(Fact_Analitica[[#This Row],[Concepto Anterior]],Conceptos_Analítica_contraloría[#All],5,0),"")</f>
        <v/>
      </c>
      <c r="F530" s="138" t="str">
        <f>+IFERROR(VLOOKUP(Fact_Analitica[[#This Row],[Concepto Anterior]],Conceptos_Analítica_contraloría[#All],7,0),"")</f>
        <v/>
      </c>
      <c r="I530" s="138" t="str">
        <f>+IFERROR(VLOOKUP(D530,Conceptos_Analítica_contraloría[#All],2,0),"")</f>
        <v/>
      </c>
      <c r="J530" s="138" t="str">
        <f>+IFERROR(VLOOKUP(D530,Conceptos_Analítica_contraloría[#All],3,0),"")</f>
        <v/>
      </c>
    </row>
    <row r="531" spans="3:10" x14ac:dyDescent="0.35">
      <c r="C531" s="144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s="138" t="str">
        <f>+IFERROR(VLOOKUP(Fact_Analitica[[#This Row],[Concepto Anterior]],Conceptos_Analítica_contraloría[#All],5,0),"")</f>
        <v/>
      </c>
      <c r="F531" s="138" t="str">
        <f>+IFERROR(VLOOKUP(Fact_Analitica[[#This Row],[Concepto Anterior]],Conceptos_Analítica_contraloría[#All],7,0),"")</f>
        <v/>
      </c>
      <c r="I531" s="138" t="str">
        <f>+IFERROR(VLOOKUP(D531,Conceptos_Analítica_contraloría[#All],2,0),"")</f>
        <v/>
      </c>
      <c r="J531" s="138" t="str">
        <f>+IFERROR(VLOOKUP(D531,Conceptos_Analítica_contraloría[#All],3,0),"")</f>
        <v/>
      </c>
    </row>
    <row r="532" spans="3:10" x14ac:dyDescent="0.35">
      <c r="C532" s="144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s="138" t="str">
        <f>+IFERROR(VLOOKUP(Fact_Analitica[[#This Row],[Concepto Anterior]],Conceptos_Analítica_contraloría[#All],5,0),"")</f>
        <v/>
      </c>
      <c r="F532" s="138" t="str">
        <f>+IFERROR(VLOOKUP(Fact_Analitica[[#This Row],[Concepto Anterior]],Conceptos_Analítica_contraloría[#All],7,0),"")</f>
        <v/>
      </c>
      <c r="I532" s="138" t="str">
        <f>+IFERROR(VLOOKUP(D532,Conceptos_Analítica_contraloría[#All],2,0),"")</f>
        <v/>
      </c>
      <c r="J532" s="138" t="str">
        <f>+IFERROR(VLOOKUP(D532,Conceptos_Analítica_contraloría[#All],3,0),"")</f>
        <v/>
      </c>
    </row>
    <row r="533" spans="3:10" x14ac:dyDescent="0.35">
      <c r="C533" s="144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s="138" t="str">
        <f>+IFERROR(VLOOKUP(Fact_Analitica[[#This Row],[Concepto Anterior]],Conceptos_Analítica_contraloría[#All],5,0),"")</f>
        <v/>
      </c>
      <c r="F533" s="138" t="str">
        <f>+IFERROR(VLOOKUP(Fact_Analitica[[#This Row],[Concepto Anterior]],Conceptos_Analítica_contraloría[#All],7,0),"")</f>
        <v/>
      </c>
      <c r="I533" s="138" t="str">
        <f>+IFERROR(VLOOKUP(D533,Conceptos_Analítica_contraloría[#All],2,0),"")</f>
        <v/>
      </c>
      <c r="J533" s="138" t="str">
        <f>+IFERROR(VLOOKUP(D533,Conceptos_Analítica_contraloría[#All],3,0),"")</f>
        <v/>
      </c>
    </row>
    <row r="534" spans="3:10" x14ac:dyDescent="0.35">
      <c r="C534" s="144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s="138" t="str">
        <f>+IFERROR(VLOOKUP(Fact_Analitica[[#This Row],[Concepto Anterior]],Conceptos_Analítica_contraloría[#All],5,0),"")</f>
        <v/>
      </c>
      <c r="F534" s="138" t="str">
        <f>+IFERROR(VLOOKUP(Fact_Analitica[[#This Row],[Concepto Anterior]],Conceptos_Analítica_contraloría[#All],7,0),"")</f>
        <v/>
      </c>
      <c r="I534" s="138" t="str">
        <f>+IFERROR(VLOOKUP(D534,Conceptos_Analítica_contraloría[#All],2,0),"")</f>
        <v/>
      </c>
      <c r="J534" s="138" t="str">
        <f>+IFERROR(VLOOKUP(D534,Conceptos_Analítica_contraloría[#All],3,0),"")</f>
        <v/>
      </c>
    </row>
    <row r="535" spans="3:10" x14ac:dyDescent="0.35">
      <c r="C535" s="144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s="138" t="str">
        <f>+IFERROR(VLOOKUP(Fact_Analitica[[#This Row],[Concepto Anterior]],Conceptos_Analítica_contraloría[#All],5,0),"")</f>
        <v/>
      </c>
      <c r="F535" s="138" t="str">
        <f>+IFERROR(VLOOKUP(Fact_Analitica[[#This Row],[Concepto Anterior]],Conceptos_Analítica_contraloría[#All],7,0),"")</f>
        <v/>
      </c>
      <c r="I535" s="138" t="str">
        <f>+IFERROR(VLOOKUP(D535,Conceptos_Analítica_contraloría[#All],2,0),"")</f>
        <v/>
      </c>
      <c r="J535" s="138" t="str">
        <f>+IFERROR(VLOOKUP(D535,Conceptos_Analítica_contraloría[#All],3,0),"")</f>
        <v/>
      </c>
    </row>
    <row r="536" spans="3:10" x14ac:dyDescent="0.35">
      <c r="C536" s="144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s="138" t="str">
        <f>+IFERROR(VLOOKUP(Fact_Analitica[[#This Row],[Concepto Anterior]],Conceptos_Analítica_contraloría[#All],5,0),"")</f>
        <v/>
      </c>
      <c r="F536" s="138" t="str">
        <f>+IFERROR(VLOOKUP(Fact_Analitica[[#This Row],[Concepto Anterior]],Conceptos_Analítica_contraloría[#All],7,0),"")</f>
        <v/>
      </c>
      <c r="I536" s="138" t="str">
        <f>+IFERROR(VLOOKUP(D536,Conceptos_Analítica_contraloría[#All],2,0),"")</f>
        <v/>
      </c>
      <c r="J536" s="138" t="str">
        <f>+IFERROR(VLOOKUP(D536,Conceptos_Analítica_contraloría[#All],3,0),"")</f>
        <v/>
      </c>
    </row>
    <row r="537" spans="3:10" x14ac:dyDescent="0.35">
      <c r="C537" s="144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s="138" t="str">
        <f>+IFERROR(VLOOKUP(Fact_Analitica[[#This Row],[Concepto Anterior]],Conceptos_Analítica_contraloría[#All],5,0),"")</f>
        <v/>
      </c>
      <c r="F537" s="138" t="str">
        <f>+IFERROR(VLOOKUP(Fact_Analitica[[#This Row],[Concepto Anterior]],Conceptos_Analítica_contraloría[#All],7,0),"")</f>
        <v/>
      </c>
      <c r="I537" s="138" t="str">
        <f>+IFERROR(VLOOKUP(D537,Conceptos_Analítica_contraloría[#All],2,0),"")</f>
        <v/>
      </c>
      <c r="J537" s="138" t="str">
        <f>+IFERROR(VLOOKUP(D537,Conceptos_Analítica_contraloría[#All],3,0),"")</f>
        <v/>
      </c>
    </row>
    <row r="538" spans="3:10" x14ac:dyDescent="0.35">
      <c r="C538" s="144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s="138" t="str">
        <f>+IFERROR(VLOOKUP(Fact_Analitica[[#This Row],[Concepto Anterior]],Conceptos_Analítica_contraloría[#All],5,0),"")</f>
        <v/>
      </c>
      <c r="F538" s="138" t="str">
        <f>+IFERROR(VLOOKUP(Fact_Analitica[[#This Row],[Concepto Anterior]],Conceptos_Analítica_contraloría[#All],7,0),"")</f>
        <v/>
      </c>
      <c r="I538" s="138" t="str">
        <f>+IFERROR(VLOOKUP(D538,Conceptos_Analítica_contraloría[#All],2,0),"")</f>
        <v/>
      </c>
      <c r="J538" s="138" t="str">
        <f>+IFERROR(VLOOKUP(D538,Conceptos_Analítica_contraloría[#All],3,0),"")</f>
        <v/>
      </c>
    </row>
    <row r="539" spans="3:10" x14ac:dyDescent="0.35">
      <c r="C539" s="144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s="138" t="str">
        <f>+IFERROR(VLOOKUP(Fact_Analitica[[#This Row],[Concepto Anterior]],Conceptos_Analítica_contraloría[#All],5,0),"")</f>
        <v/>
      </c>
      <c r="F539" s="138" t="str">
        <f>+IFERROR(VLOOKUP(Fact_Analitica[[#This Row],[Concepto Anterior]],Conceptos_Analítica_contraloría[#All],7,0),"")</f>
        <v/>
      </c>
      <c r="I539" s="138" t="str">
        <f>+IFERROR(VLOOKUP(D539,Conceptos_Analítica_contraloría[#All],2,0),"")</f>
        <v/>
      </c>
      <c r="J539" s="138" t="str">
        <f>+IFERROR(VLOOKUP(D539,Conceptos_Analítica_contraloría[#All],3,0),"")</f>
        <v/>
      </c>
    </row>
    <row r="540" spans="3:10" x14ac:dyDescent="0.35">
      <c r="C540" s="144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s="138" t="str">
        <f>+IFERROR(VLOOKUP(Fact_Analitica[[#This Row],[Concepto Anterior]],Conceptos_Analítica_contraloría[#All],5,0),"")</f>
        <v/>
      </c>
      <c r="F540" s="138" t="str">
        <f>+IFERROR(VLOOKUP(Fact_Analitica[[#This Row],[Concepto Anterior]],Conceptos_Analítica_contraloría[#All],7,0),"")</f>
        <v/>
      </c>
      <c r="I540" s="138" t="str">
        <f>+IFERROR(VLOOKUP(D540,Conceptos_Analítica_contraloría[#All],2,0),"")</f>
        <v/>
      </c>
      <c r="J540" s="138" t="str">
        <f>+IFERROR(VLOOKUP(D540,Conceptos_Analítica_contraloría[#All],3,0),"")</f>
        <v/>
      </c>
    </row>
    <row r="541" spans="3:10" x14ac:dyDescent="0.35">
      <c r="C541" s="144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s="138" t="str">
        <f>+IFERROR(VLOOKUP(Fact_Analitica[[#This Row],[Concepto Anterior]],Conceptos_Analítica_contraloría[#All],5,0),"")</f>
        <v/>
      </c>
      <c r="F541" s="138" t="str">
        <f>+IFERROR(VLOOKUP(Fact_Analitica[[#This Row],[Concepto Anterior]],Conceptos_Analítica_contraloría[#All],7,0),"")</f>
        <v/>
      </c>
      <c r="I541" s="138" t="str">
        <f>+IFERROR(VLOOKUP(D541,Conceptos_Analítica_contraloría[#All],2,0),"")</f>
        <v/>
      </c>
      <c r="J541" s="138" t="str">
        <f>+IFERROR(VLOOKUP(D541,Conceptos_Analítica_contraloría[#All],3,0),"")</f>
        <v/>
      </c>
    </row>
    <row r="542" spans="3:10" x14ac:dyDescent="0.35">
      <c r="C542" s="144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s="138" t="str">
        <f>+IFERROR(VLOOKUP(Fact_Analitica[[#This Row],[Concepto Anterior]],Conceptos_Analítica_contraloría[#All],5,0),"")</f>
        <v/>
      </c>
      <c r="F542" s="138" t="str">
        <f>+IFERROR(VLOOKUP(Fact_Analitica[[#This Row],[Concepto Anterior]],Conceptos_Analítica_contraloría[#All],7,0),"")</f>
        <v/>
      </c>
      <c r="I542" s="138" t="str">
        <f>+IFERROR(VLOOKUP(D542,Conceptos_Analítica_contraloría[#All],2,0),"")</f>
        <v/>
      </c>
      <c r="J542" s="138" t="str">
        <f>+IFERROR(VLOOKUP(D542,Conceptos_Analítica_contraloría[#All],3,0),"")</f>
        <v/>
      </c>
    </row>
    <row r="543" spans="3:10" x14ac:dyDescent="0.35">
      <c r="C543" s="144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s="138" t="str">
        <f>+IFERROR(VLOOKUP(Fact_Analitica[[#This Row],[Concepto Anterior]],Conceptos_Analítica_contraloría[#All],5,0),"")</f>
        <v/>
      </c>
      <c r="F543" s="138" t="str">
        <f>+IFERROR(VLOOKUP(Fact_Analitica[[#This Row],[Concepto Anterior]],Conceptos_Analítica_contraloría[#All],7,0),"")</f>
        <v/>
      </c>
      <c r="I543" s="138" t="str">
        <f>+IFERROR(VLOOKUP(D543,Conceptos_Analítica_contraloría[#All],2,0),"")</f>
        <v/>
      </c>
      <c r="J543" s="138" t="str">
        <f>+IFERROR(VLOOKUP(D543,Conceptos_Analítica_contraloría[#All],3,0),"")</f>
        <v/>
      </c>
    </row>
    <row r="544" spans="3:10" x14ac:dyDescent="0.35">
      <c r="C544" s="144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s="138" t="str">
        <f>+IFERROR(VLOOKUP(Fact_Analitica[[#This Row],[Concepto Anterior]],Conceptos_Analítica_contraloría[#All],5,0),"")</f>
        <v/>
      </c>
      <c r="F544" s="138" t="str">
        <f>+IFERROR(VLOOKUP(Fact_Analitica[[#This Row],[Concepto Anterior]],Conceptos_Analítica_contraloría[#All],7,0),"")</f>
        <v/>
      </c>
      <c r="I544" s="138" t="str">
        <f>+IFERROR(VLOOKUP(D544,Conceptos_Analítica_contraloría[#All],2,0),"")</f>
        <v/>
      </c>
      <c r="J544" s="138" t="str">
        <f>+IFERROR(VLOOKUP(D544,Conceptos_Analítica_contraloría[#All],3,0),"")</f>
        <v/>
      </c>
    </row>
    <row r="545" spans="3:10" x14ac:dyDescent="0.35">
      <c r="C545" s="144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s="138" t="str">
        <f>+IFERROR(VLOOKUP(Fact_Analitica[[#This Row],[Concepto Anterior]],Conceptos_Analítica_contraloría[#All],5,0),"")</f>
        <v/>
      </c>
      <c r="F545" s="138" t="str">
        <f>+IFERROR(VLOOKUP(Fact_Analitica[[#This Row],[Concepto Anterior]],Conceptos_Analítica_contraloría[#All],7,0),"")</f>
        <v/>
      </c>
      <c r="I545" s="138" t="str">
        <f>+IFERROR(VLOOKUP(D545,Conceptos_Analítica_contraloría[#All],2,0),"")</f>
        <v/>
      </c>
      <c r="J545" s="138" t="str">
        <f>+IFERROR(VLOOKUP(D545,Conceptos_Analítica_contraloría[#All],3,0),"")</f>
        <v/>
      </c>
    </row>
    <row r="546" spans="3:10" x14ac:dyDescent="0.35">
      <c r="C546" s="144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s="138" t="str">
        <f>+IFERROR(VLOOKUP(Fact_Analitica[[#This Row],[Concepto Anterior]],Conceptos_Analítica_contraloría[#All],5,0),"")</f>
        <v/>
      </c>
      <c r="F546" s="138" t="str">
        <f>+IFERROR(VLOOKUP(Fact_Analitica[[#This Row],[Concepto Anterior]],Conceptos_Analítica_contraloría[#All],7,0),"")</f>
        <v/>
      </c>
      <c r="I546" s="138" t="str">
        <f>+IFERROR(VLOOKUP(D546,Conceptos_Analítica_contraloría[#All],2,0),"")</f>
        <v/>
      </c>
      <c r="J546" s="138" t="str">
        <f>+IFERROR(VLOOKUP(D546,Conceptos_Analítica_contraloría[#All],3,0),"")</f>
        <v/>
      </c>
    </row>
    <row r="547" spans="3:10" x14ac:dyDescent="0.35">
      <c r="C547" s="144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s="138" t="str">
        <f>+IFERROR(VLOOKUP(Fact_Analitica[[#This Row],[Concepto Anterior]],Conceptos_Analítica_contraloría[#All],5,0),"")</f>
        <v/>
      </c>
      <c r="F547" s="138" t="str">
        <f>+IFERROR(VLOOKUP(Fact_Analitica[[#This Row],[Concepto Anterior]],Conceptos_Analítica_contraloría[#All],7,0),"")</f>
        <v/>
      </c>
      <c r="I547" s="138" t="str">
        <f>+IFERROR(VLOOKUP(D547,Conceptos_Analítica_contraloría[#All],2,0),"")</f>
        <v/>
      </c>
      <c r="J547" s="138" t="str">
        <f>+IFERROR(VLOOKUP(D547,Conceptos_Analítica_contraloría[#All],3,0),"")</f>
        <v/>
      </c>
    </row>
    <row r="548" spans="3:10" x14ac:dyDescent="0.35">
      <c r="C548" s="144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s="138" t="str">
        <f>+IFERROR(VLOOKUP(Fact_Analitica[[#This Row],[Concepto Anterior]],Conceptos_Analítica_contraloría[#All],5,0),"")</f>
        <v/>
      </c>
      <c r="F548" s="138" t="str">
        <f>+IFERROR(VLOOKUP(Fact_Analitica[[#This Row],[Concepto Anterior]],Conceptos_Analítica_contraloría[#All],7,0),"")</f>
        <v/>
      </c>
      <c r="I548" s="138" t="str">
        <f>+IFERROR(VLOOKUP(D548,Conceptos_Analítica_contraloría[#All],2,0),"")</f>
        <v/>
      </c>
      <c r="J548" s="138" t="str">
        <f>+IFERROR(VLOOKUP(D548,Conceptos_Analítica_contraloría[#All],3,0),"")</f>
        <v/>
      </c>
    </row>
    <row r="549" spans="3:10" x14ac:dyDescent="0.35">
      <c r="C549" s="144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s="138" t="str">
        <f>+IFERROR(VLOOKUP(Fact_Analitica[[#This Row],[Concepto Anterior]],Conceptos_Analítica_contraloría[#All],5,0),"")</f>
        <v/>
      </c>
      <c r="F549" s="138" t="str">
        <f>+IFERROR(VLOOKUP(Fact_Analitica[[#This Row],[Concepto Anterior]],Conceptos_Analítica_contraloría[#All],7,0),"")</f>
        <v/>
      </c>
      <c r="I549" s="138" t="str">
        <f>+IFERROR(VLOOKUP(D549,Conceptos_Analítica_contraloría[#All],2,0),"")</f>
        <v/>
      </c>
      <c r="J549" s="138" t="str">
        <f>+IFERROR(VLOOKUP(D549,Conceptos_Analítica_contraloría[#All],3,0),"")</f>
        <v/>
      </c>
    </row>
    <row r="550" spans="3:10" x14ac:dyDescent="0.35">
      <c r="C550" s="144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s="138" t="str">
        <f>+IFERROR(VLOOKUP(Fact_Analitica[[#This Row],[Concepto Anterior]],Conceptos_Analítica_contraloría[#All],5,0),"")</f>
        <v/>
      </c>
      <c r="F550" s="138" t="str">
        <f>+IFERROR(VLOOKUP(Fact_Analitica[[#This Row],[Concepto Anterior]],Conceptos_Analítica_contraloría[#All],7,0),"")</f>
        <v/>
      </c>
      <c r="I550" s="138" t="str">
        <f>+IFERROR(VLOOKUP(D550,Conceptos_Analítica_contraloría[#All],2,0),"")</f>
        <v/>
      </c>
      <c r="J550" s="138" t="str">
        <f>+IFERROR(VLOOKUP(D550,Conceptos_Analítica_contraloría[#All],3,0),"")</f>
        <v/>
      </c>
    </row>
    <row r="551" spans="3:10" x14ac:dyDescent="0.35">
      <c r="C551" s="144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s="138" t="str">
        <f>+IFERROR(VLOOKUP(Fact_Analitica[[#This Row],[Concepto Anterior]],Conceptos_Analítica_contraloría[#All],5,0),"")</f>
        <v/>
      </c>
      <c r="F551" s="138" t="str">
        <f>+IFERROR(VLOOKUP(Fact_Analitica[[#This Row],[Concepto Anterior]],Conceptos_Analítica_contraloría[#All],7,0),"")</f>
        <v/>
      </c>
      <c r="I551" s="138" t="str">
        <f>+IFERROR(VLOOKUP(D551,Conceptos_Analítica_contraloría[#All],2,0),"")</f>
        <v/>
      </c>
      <c r="J551" s="138" t="str">
        <f>+IFERROR(VLOOKUP(D551,Conceptos_Analítica_contraloría[#All],3,0),"")</f>
        <v/>
      </c>
    </row>
    <row r="552" spans="3:10" x14ac:dyDescent="0.35">
      <c r="C552" s="144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s="138" t="str">
        <f>+IFERROR(VLOOKUP(Fact_Analitica[[#This Row],[Concepto Anterior]],Conceptos_Analítica_contraloría[#All],5,0),"")</f>
        <v/>
      </c>
      <c r="F552" s="138" t="str">
        <f>+IFERROR(VLOOKUP(Fact_Analitica[[#This Row],[Concepto Anterior]],Conceptos_Analítica_contraloría[#All],7,0),"")</f>
        <v/>
      </c>
      <c r="I552" s="138" t="str">
        <f>+IFERROR(VLOOKUP(D552,Conceptos_Analítica_contraloría[#All],2,0),"")</f>
        <v/>
      </c>
      <c r="J552" s="138" t="str">
        <f>+IFERROR(VLOOKUP(D552,Conceptos_Analítica_contraloría[#All],3,0),"")</f>
        <v/>
      </c>
    </row>
    <row r="553" spans="3:10" x14ac:dyDescent="0.35">
      <c r="C553" s="144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s="138" t="str">
        <f>+IFERROR(VLOOKUP(Fact_Analitica[[#This Row],[Concepto Anterior]],Conceptos_Analítica_contraloría[#All],5,0),"")</f>
        <v/>
      </c>
      <c r="F553" s="138" t="str">
        <f>+IFERROR(VLOOKUP(Fact_Analitica[[#This Row],[Concepto Anterior]],Conceptos_Analítica_contraloría[#All],7,0),"")</f>
        <v/>
      </c>
      <c r="I553" s="138" t="str">
        <f>+IFERROR(VLOOKUP(D553,Conceptos_Analítica_contraloría[#All],2,0),"")</f>
        <v/>
      </c>
      <c r="J553" s="138" t="str">
        <f>+IFERROR(VLOOKUP(D553,Conceptos_Analítica_contraloría[#All],3,0),"")</f>
        <v/>
      </c>
    </row>
    <row r="554" spans="3:10" x14ac:dyDescent="0.35">
      <c r="C554" s="144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s="138" t="str">
        <f>+IFERROR(VLOOKUP(Fact_Analitica[[#This Row],[Concepto Anterior]],Conceptos_Analítica_contraloría[#All],5,0),"")</f>
        <v/>
      </c>
      <c r="F554" s="138" t="str">
        <f>+IFERROR(VLOOKUP(Fact_Analitica[[#This Row],[Concepto Anterior]],Conceptos_Analítica_contraloría[#All],7,0),"")</f>
        <v/>
      </c>
      <c r="I554" s="138" t="str">
        <f>+IFERROR(VLOOKUP(D554,Conceptos_Analítica_contraloría[#All],2,0),"")</f>
        <v/>
      </c>
      <c r="J554" s="138" t="str">
        <f>+IFERROR(VLOOKUP(D554,Conceptos_Analítica_contraloría[#All],3,0),"")</f>
        <v/>
      </c>
    </row>
    <row r="555" spans="3:10" x14ac:dyDescent="0.35">
      <c r="C555" s="144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s="138" t="str">
        <f>+IFERROR(VLOOKUP(Fact_Analitica[[#This Row],[Concepto Anterior]],Conceptos_Analítica_contraloría[#All],5,0),"")</f>
        <v/>
      </c>
      <c r="F555" s="138" t="str">
        <f>+IFERROR(VLOOKUP(Fact_Analitica[[#This Row],[Concepto Anterior]],Conceptos_Analítica_contraloría[#All],7,0),"")</f>
        <v/>
      </c>
      <c r="I555" s="138" t="str">
        <f>+IFERROR(VLOOKUP(D555,Conceptos_Analítica_contraloría[#All],2,0),"")</f>
        <v/>
      </c>
      <c r="J555" s="138" t="str">
        <f>+IFERROR(VLOOKUP(D555,Conceptos_Analítica_contraloría[#All],3,0),"")</f>
        <v/>
      </c>
    </row>
    <row r="556" spans="3:10" x14ac:dyDescent="0.35">
      <c r="C556" s="144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s="138" t="str">
        <f>+IFERROR(VLOOKUP(Fact_Analitica[[#This Row],[Concepto Anterior]],Conceptos_Analítica_contraloría[#All],5,0),"")</f>
        <v/>
      </c>
      <c r="F556" s="138" t="str">
        <f>+IFERROR(VLOOKUP(Fact_Analitica[[#This Row],[Concepto Anterior]],Conceptos_Analítica_contraloría[#All],7,0),"")</f>
        <v/>
      </c>
      <c r="I556" s="138" t="str">
        <f>+IFERROR(VLOOKUP(D556,Conceptos_Analítica_contraloría[#All],2,0),"")</f>
        <v/>
      </c>
      <c r="J556" s="138" t="str">
        <f>+IFERROR(VLOOKUP(D556,Conceptos_Analítica_contraloría[#All],3,0),"")</f>
        <v/>
      </c>
    </row>
    <row r="557" spans="3:10" x14ac:dyDescent="0.35">
      <c r="C557" s="144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s="138" t="str">
        <f>+IFERROR(VLOOKUP(Fact_Analitica[[#This Row],[Concepto Anterior]],Conceptos_Analítica_contraloría[#All],5,0),"")</f>
        <v/>
      </c>
      <c r="F557" s="138" t="str">
        <f>+IFERROR(VLOOKUP(Fact_Analitica[[#This Row],[Concepto Anterior]],Conceptos_Analítica_contraloría[#All],7,0),"")</f>
        <v/>
      </c>
      <c r="I557" s="138" t="str">
        <f>+IFERROR(VLOOKUP(D557,Conceptos_Analítica_contraloría[#All],2,0),"")</f>
        <v/>
      </c>
      <c r="J557" s="138" t="str">
        <f>+IFERROR(VLOOKUP(D557,Conceptos_Analítica_contraloría[#All],3,0),"")</f>
        <v/>
      </c>
    </row>
    <row r="558" spans="3:10" x14ac:dyDescent="0.35">
      <c r="C558" s="144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s="138" t="str">
        <f>+IFERROR(VLOOKUP(Fact_Analitica[[#This Row],[Concepto Anterior]],Conceptos_Analítica_contraloría[#All],5,0),"")</f>
        <v/>
      </c>
      <c r="F558" s="138" t="str">
        <f>+IFERROR(VLOOKUP(Fact_Analitica[[#This Row],[Concepto Anterior]],Conceptos_Analítica_contraloría[#All],7,0),"")</f>
        <v/>
      </c>
      <c r="I558" s="138" t="str">
        <f>+IFERROR(VLOOKUP(D558,Conceptos_Analítica_contraloría[#All],2,0),"")</f>
        <v/>
      </c>
      <c r="J558" s="138" t="str">
        <f>+IFERROR(VLOOKUP(D558,Conceptos_Analítica_contraloría[#All],3,0),"")</f>
        <v/>
      </c>
    </row>
    <row r="559" spans="3:10" x14ac:dyDescent="0.35">
      <c r="C559" s="144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s="138" t="str">
        <f>+IFERROR(VLOOKUP(Fact_Analitica[[#This Row],[Concepto Anterior]],Conceptos_Analítica_contraloría[#All],5,0),"")</f>
        <v/>
      </c>
      <c r="F559" s="138" t="str">
        <f>+IFERROR(VLOOKUP(Fact_Analitica[[#This Row],[Concepto Anterior]],Conceptos_Analítica_contraloría[#All],7,0),"")</f>
        <v/>
      </c>
      <c r="I559" s="138" t="str">
        <f>+IFERROR(VLOOKUP(D559,Conceptos_Analítica_contraloría[#All],2,0),"")</f>
        <v/>
      </c>
      <c r="J559" s="138" t="str">
        <f>+IFERROR(VLOOKUP(D559,Conceptos_Analítica_contraloría[#All],3,0),"")</f>
        <v/>
      </c>
    </row>
    <row r="560" spans="3:10" x14ac:dyDescent="0.35">
      <c r="C560" s="144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s="138" t="str">
        <f>+IFERROR(VLOOKUP(Fact_Analitica[[#This Row],[Concepto Anterior]],Conceptos_Analítica_contraloría[#All],5,0),"")</f>
        <v/>
      </c>
      <c r="F560" s="138" t="str">
        <f>+IFERROR(VLOOKUP(Fact_Analitica[[#This Row],[Concepto Anterior]],Conceptos_Analítica_contraloría[#All],7,0),"")</f>
        <v/>
      </c>
      <c r="I560" s="138" t="str">
        <f>+IFERROR(VLOOKUP(D560,Conceptos_Analítica_contraloría[#All],2,0),"")</f>
        <v/>
      </c>
      <c r="J560" s="138" t="str">
        <f>+IFERROR(VLOOKUP(D560,Conceptos_Analítica_contraloría[#All],3,0),"")</f>
        <v/>
      </c>
    </row>
    <row r="561" spans="3:10" x14ac:dyDescent="0.35">
      <c r="C561" s="144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s="138" t="str">
        <f>+IFERROR(VLOOKUP(Fact_Analitica[[#This Row],[Concepto Anterior]],Conceptos_Analítica_contraloría[#All],5,0),"")</f>
        <v/>
      </c>
      <c r="F561" s="138" t="str">
        <f>+IFERROR(VLOOKUP(Fact_Analitica[[#This Row],[Concepto Anterior]],Conceptos_Analítica_contraloría[#All],7,0),"")</f>
        <v/>
      </c>
      <c r="I561" s="138" t="str">
        <f>+IFERROR(VLOOKUP(D561,Conceptos_Analítica_contraloría[#All],2,0),"")</f>
        <v/>
      </c>
      <c r="J561" s="138" t="str">
        <f>+IFERROR(VLOOKUP(D561,Conceptos_Analítica_contraloría[#All],3,0),"")</f>
        <v/>
      </c>
    </row>
    <row r="562" spans="3:10" x14ac:dyDescent="0.35">
      <c r="C562" s="144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s="138" t="str">
        <f>+IFERROR(VLOOKUP(Fact_Analitica[[#This Row],[Concepto Anterior]],Conceptos_Analítica_contraloría[#All],5,0),"")</f>
        <v/>
      </c>
      <c r="F562" s="138" t="str">
        <f>+IFERROR(VLOOKUP(Fact_Analitica[[#This Row],[Concepto Anterior]],Conceptos_Analítica_contraloría[#All],7,0),"")</f>
        <v/>
      </c>
      <c r="I562" s="138" t="str">
        <f>+IFERROR(VLOOKUP(D562,Conceptos_Analítica_contraloría[#All],2,0),"")</f>
        <v/>
      </c>
      <c r="J562" s="138" t="str">
        <f>+IFERROR(VLOOKUP(D562,Conceptos_Analítica_contraloría[#All],3,0),"")</f>
        <v/>
      </c>
    </row>
    <row r="563" spans="3:10" x14ac:dyDescent="0.35">
      <c r="C563" s="144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s="138" t="str">
        <f>+IFERROR(VLOOKUP(Fact_Analitica[[#This Row],[Concepto Anterior]],Conceptos_Analítica_contraloría[#All],5,0),"")</f>
        <v/>
      </c>
      <c r="F563" s="138" t="str">
        <f>+IFERROR(VLOOKUP(Fact_Analitica[[#This Row],[Concepto Anterior]],Conceptos_Analítica_contraloría[#All],7,0),"")</f>
        <v/>
      </c>
      <c r="I563" s="138" t="str">
        <f>+IFERROR(VLOOKUP(D563,Conceptos_Analítica_contraloría[#All],2,0),"")</f>
        <v/>
      </c>
      <c r="J563" s="138" t="str">
        <f>+IFERROR(VLOOKUP(D563,Conceptos_Analítica_contraloría[#All],3,0),"")</f>
        <v/>
      </c>
    </row>
    <row r="564" spans="3:10" x14ac:dyDescent="0.35">
      <c r="C564" s="144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s="138" t="str">
        <f>+IFERROR(VLOOKUP(Fact_Analitica[[#This Row],[Concepto Anterior]],Conceptos_Analítica_contraloría[#All],5,0),"")</f>
        <v/>
      </c>
      <c r="F564" s="138" t="str">
        <f>+IFERROR(VLOOKUP(Fact_Analitica[[#This Row],[Concepto Anterior]],Conceptos_Analítica_contraloría[#All],7,0),"")</f>
        <v/>
      </c>
      <c r="I564" s="138" t="str">
        <f>+IFERROR(VLOOKUP(D564,Conceptos_Analítica_contraloría[#All],2,0),"")</f>
        <v/>
      </c>
      <c r="J564" s="138" t="str">
        <f>+IFERROR(VLOOKUP(D564,Conceptos_Analítica_contraloría[#All],3,0),"")</f>
        <v/>
      </c>
    </row>
    <row r="565" spans="3:10" x14ac:dyDescent="0.35">
      <c r="C565" s="144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s="138" t="str">
        <f>+IFERROR(VLOOKUP(Fact_Analitica[[#This Row],[Concepto Anterior]],Conceptos_Analítica_contraloría[#All],5,0),"")</f>
        <v/>
      </c>
      <c r="F565" s="138" t="str">
        <f>+IFERROR(VLOOKUP(Fact_Analitica[[#This Row],[Concepto Anterior]],Conceptos_Analítica_contraloría[#All],7,0),"")</f>
        <v/>
      </c>
      <c r="I565" s="138" t="str">
        <f>+IFERROR(VLOOKUP(D565,Conceptos_Analítica_contraloría[#All],2,0),"")</f>
        <v/>
      </c>
      <c r="J565" s="138" t="str">
        <f>+IFERROR(VLOOKUP(D565,Conceptos_Analítica_contraloría[#All],3,0),"")</f>
        <v/>
      </c>
    </row>
    <row r="566" spans="3:10" x14ac:dyDescent="0.35">
      <c r="C566" s="144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s="138" t="str">
        <f>+IFERROR(VLOOKUP(Fact_Analitica[[#This Row],[Concepto Anterior]],Conceptos_Analítica_contraloría[#All],5,0),"")</f>
        <v/>
      </c>
      <c r="F566" s="138" t="str">
        <f>+IFERROR(VLOOKUP(Fact_Analitica[[#This Row],[Concepto Anterior]],Conceptos_Analítica_contraloría[#All],7,0),"")</f>
        <v/>
      </c>
      <c r="I566" s="138" t="str">
        <f>+IFERROR(VLOOKUP(D566,Conceptos_Analítica_contraloría[#All],2,0),"")</f>
        <v/>
      </c>
      <c r="J566" s="138" t="str">
        <f>+IFERROR(VLOOKUP(D566,Conceptos_Analítica_contraloría[#All],3,0),"")</f>
        <v/>
      </c>
    </row>
    <row r="567" spans="3:10" x14ac:dyDescent="0.35">
      <c r="C567" s="144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s="138" t="str">
        <f>+IFERROR(VLOOKUP(Fact_Analitica[[#This Row],[Concepto Anterior]],Conceptos_Analítica_contraloría[#All],5,0),"")</f>
        <v/>
      </c>
      <c r="F567" s="138" t="str">
        <f>+IFERROR(VLOOKUP(Fact_Analitica[[#This Row],[Concepto Anterior]],Conceptos_Analítica_contraloría[#All],7,0),"")</f>
        <v/>
      </c>
      <c r="I567" s="138" t="str">
        <f>+IFERROR(VLOOKUP(D567,Conceptos_Analítica_contraloría[#All],2,0),"")</f>
        <v/>
      </c>
      <c r="J567" s="138" t="str">
        <f>+IFERROR(VLOOKUP(D567,Conceptos_Analítica_contraloría[#All],3,0),"")</f>
        <v/>
      </c>
    </row>
    <row r="568" spans="3:10" x14ac:dyDescent="0.35">
      <c r="C568" s="144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s="138" t="str">
        <f>+IFERROR(VLOOKUP(Fact_Analitica[[#This Row],[Concepto Anterior]],Conceptos_Analítica_contraloría[#All],5,0),"")</f>
        <v/>
      </c>
      <c r="F568" s="138" t="str">
        <f>+IFERROR(VLOOKUP(Fact_Analitica[[#This Row],[Concepto Anterior]],Conceptos_Analítica_contraloría[#All],7,0),"")</f>
        <v/>
      </c>
      <c r="I568" s="138" t="str">
        <f>+IFERROR(VLOOKUP(D568,Conceptos_Analítica_contraloría[#All],2,0),"")</f>
        <v/>
      </c>
      <c r="J568" s="138" t="str">
        <f>+IFERROR(VLOOKUP(D568,Conceptos_Analítica_contraloría[#All],3,0),"")</f>
        <v/>
      </c>
    </row>
    <row r="569" spans="3:10" x14ac:dyDescent="0.35">
      <c r="C569" s="144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s="138" t="str">
        <f>+IFERROR(VLOOKUP(Fact_Analitica[[#This Row],[Concepto Anterior]],Conceptos_Analítica_contraloría[#All],5,0),"")</f>
        <v/>
      </c>
      <c r="F569" s="138" t="str">
        <f>+IFERROR(VLOOKUP(Fact_Analitica[[#This Row],[Concepto Anterior]],Conceptos_Analítica_contraloría[#All],7,0),"")</f>
        <v/>
      </c>
      <c r="I569" s="138" t="str">
        <f>+IFERROR(VLOOKUP(D569,Conceptos_Analítica_contraloría[#All],2,0),"")</f>
        <v/>
      </c>
      <c r="J569" s="138" t="str">
        <f>+IFERROR(VLOOKUP(D569,Conceptos_Analítica_contraloría[#All],3,0),"")</f>
        <v/>
      </c>
    </row>
    <row r="570" spans="3:10" x14ac:dyDescent="0.35">
      <c r="C570" s="144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s="138" t="str">
        <f>+IFERROR(VLOOKUP(Fact_Analitica[[#This Row],[Concepto Anterior]],Conceptos_Analítica_contraloría[#All],5,0),"")</f>
        <v/>
      </c>
      <c r="F570" s="138" t="str">
        <f>+IFERROR(VLOOKUP(Fact_Analitica[[#This Row],[Concepto Anterior]],Conceptos_Analítica_contraloría[#All],7,0),"")</f>
        <v/>
      </c>
      <c r="I570" s="138" t="str">
        <f>+IFERROR(VLOOKUP(D570,Conceptos_Analítica_contraloría[#All],2,0),"")</f>
        <v/>
      </c>
      <c r="J570" s="138" t="str">
        <f>+IFERROR(VLOOKUP(D570,Conceptos_Analítica_contraloría[#All],3,0),"")</f>
        <v/>
      </c>
    </row>
    <row r="571" spans="3:10" x14ac:dyDescent="0.35">
      <c r="C571" s="144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s="138" t="str">
        <f>+IFERROR(VLOOKUP(Fact_Analitica[[#This Row],[Concepto Anterior]],Conceptos_Analítica_contraloría[#All],5,0),"")</f>
        <v/>
      </c>
      <c r="F571" s="138" t="str">
        <f>+IFERROR(VLOOKUP(Fact_Analitica[[#This Row],[Concepto Anterior]],Conceptos_Analítica_contraloría[#All],7,0),"")</f>
        <v/>
      </c>
      <c r="I571" s="138" t="str">
        <f>+IFERROR(VLOOKUP(D571,Conceptos_Analítica_contraloría[#All],2,0),"")</f>
        <v/>
      </c>
      <c r="J571" s="138" t="str">
        <f>+IFERROR(VLOOKUP(D571,Conceptos_Analítica_contraloría[#All],3,0),"")</f>
        <v/>
      </c>
    </row>
    <row r="572" spans="3:10" x14ac:dyDescent="0.35">
      <c r="C572" s="144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s="138" t="str">
        <f>+IFERROR(VLOOKUP(Fact_Analitica[[#This Row],[Concepto Anterior]],Conceptos_Analítica_contraloría[#All],5,0),"")</f>
        <v/>
      </c>
      <c r="F572" s="138" t="str">
        <f>+IFERROR(VLOOKUP(Fact_Analitica[[#This Row],[Concepto Anterior]],Conceptos_Analítica_contraloría[#All],7,0),"")</f>
        <v/>
      </c>
      <c r="I572" s="138" t="str">
        <f>+IFERROR(VLOOKUP(D572,Conceptos_Analítica_contraloría[#All],2,0),"")</f>
        <v/>
      </c>
      <c r="J572" s="138" t="str">
        <f>+IFERROR(VLOOKUP(D572,Conceptos_Analítica_contraloría[#All],3,0),"")</f>
        <v/>
      </c>
    </row>
    <row r="573" spans="3:10" x14ac:dyDescent="0.35">
      <c r="C573" s="144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s="138" t="str">
        <f>+IFERROR(VLOOKUP(Fact_Analitica[[#This Row],[Concepto Anterior]],Conceptos_Analítica_contraloría[#All],5,0),"")</f>
        <v/>
      </c>
      <c r="F573" s="138" t="str">
        <f>+IFERROR(VLOOKUP(Fact_Analitica[[#This Row],[Concepto Anterior]],Conceptos_Analítica_contraloría[#All],7,0),"")</f>
        <v/>
      </c>
      <c r="I573" s="138" t="str">
        <f>+IFERROR(VLOOKUP(D573,Conceptos_Analítica_contraloría[#All],2,0),"")</f>
        <v/>
      </c>
      <c r="J573" s="138" t="str">
        <f>+IFERROR(VLOOKUP(D573,Conceptos_Analítica_contraloría[#All],3,0),"")</f>
        <v/>
      </c>
    </row>
    <row r="574" spans="3:10" x14ac:dyDescent="0.35">
      <c r="C574" s="144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s="138" t="str">
        <f>+IFERROR(VLOOKUP(Fact_Analitica[[#This Row],[Concepto Anterior]],Conceptos_Analítica_contraloría[#All],5,0),"")</f>
        <v/>
      </c>
      <c r="F574" s="138" t="str">
        <f>+IFERROR(VLOOKUP(Fact_Analitica[[#This Row],[Concepto Anterior]],Conceptos_Analítica_contraloría[#All],7,0),"")</f>
        <v/>
      </c>
      <c r="I574" s="138" t="str">
        <f>+IFERROR(VLOOKUP(D574,Conceptos_Analítica_contraloría[#All],2,0),"")</f>
        <v/>
      </c>
      <c r="J574" s="138" t="str">
        <f>+IFERROR(VLOOKUP(D574,Conceptos_Analítica_contraloría[#All],3,0),"")</f>
        <v/>
      </c>
    </row>
    <row r="575" spans="3:10" x14ac:dyDescent="0.35">
      <c r="C575" s="144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s="138" t="str">
        <f>+IFERROR(VLOOKUP(Fact_Analitica[[#This Row],[Concepto Anterior]],Conceptos_Analítica_contraloría[#All],5,0),"")</f>
        <v/>
      </c>
      <c r="F575" s="138" t="str">
        <f>+IFERROR(VLOOKUP(Fact_Analitica[[#This Row],[Concepto Anterior]],Conceptos_Analítica_contraloría[#All],7,0),"")</f>
        <v/>
      </c>
      <c r="I575" s="138" t="str">
        <f>+IFERROR(VLOOKUP(D575,Conceptos_Analítica_contraloría[#All],2,0),"")</f>
        <v/>
      </c>
      <c r="J575" s="138" t="str">
        <f>+IFERROR(VLOOKUP(D575,Conceptos_Analítica_contraloría[#All],3,0),"")</f>
        <v/>
      </c>
    </row>
    <row r="576" spans="3:10" x14ac:dyDescent="0.35">
      <c r="C576" s="144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s="138" t="str">
        <f>+IFERROR(VLOOKUP(Fact_Analitica[[#This Row],[Concepto Anterior]],Conceptos_Analítica_contraloría[#All],5,0),"")</f>
        <v/>
      </c>
      <c r="F576" s="138" t="str">
        <f>+IFERROR(VLOOKUP(Fact_Analitica[[#This Row],[Concepto Anterior]],Conceptos_Analítica_contraloría[#All],7,0),"")</f>
        <v/>
      </c>
      <c r="I576" s="138" t="str">
        <f>+IFERROR(VLOOKUP(D576,Conceptos_Analítica_contraloría[#All],2,0),"")</f>
        <v/>
      </c>
      <c r="J576" s="138" t="str">
        <f>+IFERROR(VLOOKUP(D576,Conceptos_Analítica_contraloría[#All],3,0),"")</f>
        <v/>
      </c>
    </row>
    <row r="577" spans="3:10" x14ac:dyDescent="0.35">
      <c r="C577" s="144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s="138" t="str">
        <f>+IFERROR(VLOOKUP(Fact_Analitica[[#This Row],[Concepto Anterior]],Conceptos_Analítica_contraloría[#All],5,0),"")</f>
        <v/>
      </c>
      <c r="F577" s="138" t="str">
        <f>+IFERROR(VLOOKUP(Fact_Analitica[[#This Row],[Concepto Anterior]],Conceptos_Analítica_contraloría[#All],7,0),"")</f>
        <v/>
      </c>
      <c r="I577" s="138" t="str">
        <f>+IFERROR(VLOOKUP(D577,Conceptos_Analítica_contraloría[#All],2,0),"")</f>
        <v/>
      </c>
      <c r="J577" s="138" t="str">
        <f>+IFERROR(VLOOKUP(D577,Conceptos_Analítica_contraloría[#All],3,0),"")</f>
        <v/>
      </c>
    </row>
    <row r="578" spans="3:10" x14ac:dyDescent="0.35">
      <c r="C578" s="144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s="138" t="str">
        <f>+IFERROR(VLOOKUP(Fact_Analitica[[#This Row],[Concepto Anterior]],Conceptos_Analítica_contraloría[#All],5,0),"")</f>
        <v/>
      </c>
      <c r="F578" s="138" t="str">
        <f>+IFERROR(VLOOKUP(Fact_Analitica[[#This Row],[Concepto Anterior]],Conceptos_Analítica_contraloría[#All],7,0),"")</f>
        <v/>
      </c>
      <c r="I578" s="138" t="str">
        <f>+IFERROR(VLOOKUP(D578,Conceptos_Analítica_contraloría[#All],2,0),"")</f>
        <v/>
      </c>
      <c r="J578" s="138" t="str">
        <f>+IFERROR(VLOOKUP(D578,Conceptos_Analítica_contraloría[#All],3,0),"")</f>
        <v/>
      </c>
    </row>
    <row r="579" spans="3:10" x14ac:dyDescent="0.35">
      <c r="C579" s="144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s="138" t="str">
        <f>+IFERROR(VLOOKUP(Fact_Analitica[[#This Row],[Concepto Anterior]],Conceptos_Analítica_contraloría[#All],5,0),"")</f>
        <v/>
      </c>
      <c r="F579" s="138" t="str">
        <f>+IFERROR(VLOOKUP(Fact_Analitica[[#This Row],[Concepto Anterior]],Conceptos_Analítica_contraloría[#All],7,0),"")</f>
        <v/>
      </c>
      <c r="I579" s="138" t="str">
        <f>+IFERROR(VLOOKUP(D579,Conceptos_Analítica_contraloría[#All],2,0),"")</f>
        <v/>
      </c>
      <c r="J579" s="138" t="str">
        <f>+IFERROR(VLOOKUP(D579,Conceptos_Analítica_contraloría[#All],3,0),"")</f>
        <v/>
      </c>
    </row>
    <row r="580" spans="3:10" x14ac:dyDescent="0.35">
      <c r="C580" s="144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s="138" t="str">
        <f>+IFERROR(VLOOKUP(Fact_Analitica[[#This Row],[Concepto Anterior]],Conceptos_Analítica_contraloría[#All],5,0),"")</f>
        <v/>
      </c>
      <c r="F580" s="138" t="str">
        <f>+IFERROR(VLOOKUP(Fact_Analitica[[#This Row],[Concepto Anterior]],Conceptos_Analítica_contraloría[#All],7,0),"")</f>
        <v/>
      </c>
      <c r="I580" s="138" t="str">
        <f>+IFERROR(VLOOKUP(D580,Conceptos_Analítica_contraloría[#All],2,0),"")</f>
        <v/>
      </c>
      <c r="J580" s="138" t="str">
        <f>+IFERROR(VLOOKUP(D580,Conceptos_Analítica_contraloría[#All],3,0),"")</f>
        <v/>
      </c>
    </row>
    <row r="581" spans="3:10" x14ac:dyDescent="0.35">
      <c r="C581" s="144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s="138" t="str">
        <f>+IFERROR(VLOOKUP(Fact_Analitica[[#This Row],[Concepto Anterior]],Conceptos_Analítica_contraloría[#All],5,0),"")</f>
        <v/>
      </c>
      <c r="F581" s="138" t="str">
        <f>+IFERROR(VLOOKUP(Fact_Analitica[[#This Row],[Concepto Anterior]],Conceptos_Analítica_contraloría[#All],7,0),"")</f>
        <v/>
      </c>
      <c r="I581" s="138" t="str">
        <f>+IFERROR(VLOOKUP(D581,Conceptos_Analítica_contraloría[#All],2,0),"")</f>
        <v/>
      </c>
      <c r="J581" s="138" t="str">
        <f>+IFERROR(VLOOKUP(D581,Conceptos_Analítica_contraloría[#All],3,0),"")</f>
        <v/>
      </c>
    </row>
    <row r="582" spans="3:10" x14ac:dyDescent="0.35">
      <c r="C582" s="144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s="138" t="str">
        <f>+IFERROR(VLOOKUP(Fact_Analitica[[#This Row],[Concepto Anterior]],Conceptos_Analítica_contraloría[#All],5,0),"")</f>
        <v/>
      </c>
      <c r="F582" s="138" t="str">
        <f>+IFERROR(VLOOKUP(Fact_Analitica[[#This Row],[Concepto Anterior]],Conceptos_Analítica_contraloría[#All],7,0),"")</f>
        <v/>
      </c>
      <c r="I582" s="138" t="str">
        <f>+IFERROR(VLOOKUP(D582,Conceptos_Analítica_contraloría[#All],2,0),"")</f>
        <v/>
      </c>
      <c r="J582" s="138" t="str">
        <f>+IFERROR(VLOOKUP(D582,Conceptos_Analítica_contraloría[#All],3,0),"")</f>
        <v/>
      </c>
    </row>
    <row r="583" spans="3:10" x14ac:dyDescent="0.35">
      <c r="C583" s="144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s="138" t="str">
        <f>+IFERROR(VLOOKUP(Fact_Analitica[[#This Row],[Concepto Anterior]],Conceptos_Analítica_contraloría[#All],5,0),"")</f>
        <v/>
      </c>
      <c r="F583" s="138" t="str">
        <f>+IFERROR(VLOOKUP(Fact_Analitica[[#This Row],[Concepto Anterior]],Conceptos_Analítica_contraloría[#All],7,0),"")</f>
        <v/>
      </c>
      <c r="I583" s="138" t="str">
        <f>+IFERROR(VLOOKUP(D583,Conceptos_Analítica_contraloría[#All],2,0),"")</f>
        <v/>
      </c>
      <c r="J583" s="138" t="str">
        <f>+IFERROR(VLOOKUP(D583,Conceptos_Analítica_contraloría[#All],3,0),"")</f>
        <v/>
      </c>
    </row>
    <row r="584" spans="3:10" x14ac:dyDescent="0.35">
      <c r="C584" s="144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s="138" t="str">
        <f>+IFERROR(VLOOKUP(Fact_Analitica[[#This Row],[Concepto Anterior]],Conceptos_Analítica_contraloría[#All],5,0),"")</f>
        <v/>
      </c>
      <c r="F584" s="138" t="str">
        <f>+IFERROR(VLOOKUP(Fact_Analitica[[#This Row],[Concepto Anterior]],Conceptos_Analítica_contraloría[#All],7,0),"")</f>
        <v/>
      </c>
      <c r="I584" s="138" t="str">
        <f>+IFERROR(VLOOKUP(D584,Conceptos_Analítica_contraloría[#All],2,0),"")</f>
        <v/>
      </c>
      <c r="J584" s="138" t="str">
        <f>+IFERROR(VLOOKUP(D584,Conceptos_Analítica_contraloría[#All],3,0),"")</f>
        <v/>
      </c>
    </row>
    <row r="585" spans="3:10" x14ac:dyDescent="0.35">
      <c r="C585" s="144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s="138" t="str">
        <f>+IFERROR(VLOOKUP(Fact_Analitica[[#This Row],[Concepto Anterior]],Conceptos_Analítica_contraloría[#All],5,0),"")</f>
        <v/>
      </c>
      <c r="F585" s="138" t="str">
        <f>+IFERROR(VLOOKUP(Fact_Analitica[[#This Row],[Concepto Anterior]],Conceptos_Analítica_contraloría[#All],7,0),"")</f>
        <v/>
      </c>
      <c r="I585" s="138" t="str">
        <f>+IFERROR(VLOOKUP(D585,Conceptos_Analítica_contraloría[#All],2,0),"")</f>
        <v/>
      </c>
      <c r="J585" s="138" t="str">
        <f>+IFERROR(VLOOKUP(D585,Conceptos_Analítica_contraloría[#All],3,0),"")</f>
        <v/>
      </c>
    </row>
    <row r="586" spans="3:10" x14ac:dyDescent="0.35">
      <c r="C586" s="144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s="138" t="str">
        <f>+IFERROR(VLOOKUP(Fact_Analitica[[#This Row],[Concepto Anterior]],Conceptos_Analítica_contraloría[#All],5,0),"")</f>
        <v/>
      </c>
      <c r="F586" s="138" t="str">
        <f>+IFERROR(VLOOKUP(Fact_Analitica[[#This Row],[Concepto Anterior]],Conceptos_Analítica_contraloría[#All],7,0),"")</f>
        <v/>
      </c>
      <c r="I586" s="138" t="str">
        <f>+IFERROR(VLOOKUP(D586,Conceptos_Analítica_contraloría[#All],2,0),"")</f>
        <v/>
      </c>
      <c r="J586" s="138" t="str">
        <f>+IFERROR(VLOOKUP(D586,Conceptos_Analítica_contraloría[#All],3,0),"")</f>
        <v/>
      </c>
    </row>
    <row r="587" spans="3:10" x14ac:dyDescent="0.35">
      <c r="C587" s="144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s="138" t="str">
        <f>+IFERROR(VLOOKUP(Fact_Analitica[[#This Row],[Concepto Anterior]],Conceptos_Analítica_contraloría[#All],5,0),"")</f>
        <v/>
      </c>
      <c r="F587" s="138" t="str">
        <f>+IFERROR(VLOOKUP(Fact_Analitica[[#This Row],[Concepto Anterior]],Conceptos_Analítica_contraloría[#All],7,0),"")</f>
        <v/>
      </c>
      <c r="I587" s="138" t="str">
        <f>+IFERROR(VLOOKUP(D587,Conceptos_Analítica_contraloría[#All],2,0),"")</f>
        <v/>
      </c>
      <c r="J587" s="138" t="str">
        <f>+IFERROR(VLOOKUP(D587,Conceptos_Analítica_contraloría[#All],3,0),"")</f>
        <v/>
      </c>
    </row>
    <row r="588" spans="3:10" x14ac:dyDescent="0.35">
      <c r="C588" s="144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s="138" t="str">
        <f>+IFERROR(VLOOKUP(Fact_Analitica[[#This Row],[Concepto Anterior]],Conceptos_Analítica_contraloría[#All],5,0),"")</f>
        <v/>
      </c>
      <c r="F588" s="138" t="str">
        <f>+IFERROR(VLOOKUP(Fact_Analitica[[#This Row],[Concepto Anterior]],Conceptos_Analítica_contraloría[#All],7,0),"")</f>
        <v/>
      </c>
      <c r="I588" s="138" t="str">
        <f>+IFERROR(VLOOKUP(D588,Conceptos_Analítica_contraloría[#All],2,0),"")</f>
        <v/>
      </c>
      <c r="J588" s="138" t="str">
        <f>+IFERROR(VLOOKUP(D588,Conceptos_Analítica_contraloría[#All],3,0),"")</f>
        <v/>
      </c>
    </row>
    <row r="589" spans="3:10" x14ac:dyDescent="0.35">
      <c r="C589" s="144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s="138" t="str">
        <f>+IFERROR(VLOOKUP(Fact_Analitica[[#This Row],[Concepto Anterior]],Conceptos_Analítica_contraloría[#All],5,0),"")</f>
        <v/>
      </c>
      <c r="F589" s="138" t="str">
        <f>+IFERROR(VLOOKUP(Fact_Analitica[[#This Row],[Concepto Anterior]],Conceptos_Analítica_contraloría[#All],7,0),"")</f>
        <v/>
      </c>
      <c r="I589" s="138" t="str">
        <f>+IFERROR(VLOOKUP(D589,Conceptos_Analítica_contraloría[#All],2,0),"")</f>
        <v/>
      </c>
      <c r="J589" s="138" t="str">
        <f>+IFERROR(VLOOKUP(D589,Conceptos_Analítica_contraloría[#All],3,0),"")</f>
        <v/>
      </c>
    </row>
    <row r="590" spans="3:10" x14ac:dyDescent="0.35">
      <c r="C590" s="144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s="138" t="str">
        <f>+IFERROR(VLOOKUP(Fact_Analitica[[#This Row],[Concepto Anterior]],Conceptos_Analítica_contraloría[#All],5,0),"")</f>
        <v/>
      </c>
      <c r="F590" s="138" t="str">
        <f>+IFERROR(VLOOKUP(Fact_Analitica[[#This Row],[Concepto Anterior]],Conceptos_Analítica_contraloría[#All],7,0),"")</f>
        <v/>
      </c>
      <c r="I590" s="138" t="str">
        <f>+IFERROR(VLOOKUP(D590,Conceptos_Analítica_contraloría[#All],2,0),"")</f>
        <v/>
      </c>
      <c r="J590" s="138" t="str">
        <f>+IFERROR(VLOOKUP(D590,Conceptos_Analítica_contraloría[#All],3,0),"")</f>
        <v/>
      </c>
    </row>
    <row r="591" spans="3:10" x14ac:dyDescent="0.35">
      <c r="C591" s="144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s="138" t="str">
        <f>+IFERROR(VLOOKUP(Fact_Analitica[[#This Row],[Concepto Anterior]],Conceptos_Analítica_contraloría[#All],5,0),"")</f>
        <v/>
      </c>
      <c r="F591" s="138" t="str">
        <f>+IFERROR(VLOOKUP(Fact_Analitica[[#This Row],[Concepto Anterior]],Conceptos_Analítica_contraloría[#All],7,0),"")</f>
        <v/>
      </c>
      <c r="I591" s="138" t="str">
        <f>+IFERROR(VLOOKUP(D591,Conceptos_Analítica_contraloría[#All],2,0),"")</f>
        <v/>
      </c>
      <c r="J591" s="138" t="str">
        <f>+IFERROR(VLOOKUP(D591,Conceptos_Analítica_contraloría[#All],3,0),"")</f>
        <v/>
      </c>
    </row>
    <row r="592" spans="3:10" x14ac:dyDescent="0.35">
      <c r="C592" s="144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s="138" t="str">
        <f>+IFERROR(VLOOKUP(Fact_Analitica[[#This Row],[Concepto Anterior]],Conceptos_Analítica_contraloría[#All],5,0),"")</f>
        <v/>
      </c>
      <c r="F592" s="138" t="str">
        <f>+IFERROR(VLOOKUP(Fact_Analitica[[#This Row],[Concepto Anterior]],Conceptos_Analítica_contraloría[#All],7,0),"")</f>
        <v/>
      </c>
      <c r="I592" s="138" t="str">
        <f>+IFERROR(VLOOKUP(D592,Conceptos_Analítica_contraloría[#All],2,0),"")</f>
        <v/>
      </c>
      <c r="J592" s="138" t="str">
        <f>+IFERROR(VLOOKUP(D592,Conceptos_Analítica_contraloría[#All],3,0),"")</f>
        <v/>
      </c>
    </row>
    <row r="593" spans="3:10" x14ac:dyDescent="0.35">
      <c r="C593" s="144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s="138" t="str">
        <f>+IFERROR(VLOOKUP(Fact_Analitica[[#This Row],[Concepto Anterior]],Conceptos_Analítica_contraloría[#All],5,0),"")</f>
        <v/>
      </c>
      <c r="F593" s="138" t="str">
        <f>+IFERROR(VLOOKUP(Fact_Analitica[[#This Row],[Concepto Anterior]],Conceptos_Analítica_contraloría[#All],7,0),"")</f>
        <v/>
      </c>
      <c r="I593" s="138" t="str">
        <f>+IFERROR(VLOOKUP(D593,Conceptos_Analítica_contraloría[#All],2,0),"")</f>
        <v/>
      </c>
      <c r="J593" s="138" t="str">
        <f>+IFERROR(VLOOKUP(D593,Conceptos_Analítica_contraloría[#All],3,0),"")</f>
        <v/>
      </c>
    </row>
    <row r="594" spans="3:10" x14ac:dyDescent="0.35">
      <c r="C594" s="144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s="138" t="str">
        <f>+IFERROR(VLOOKUP(Fact_Analitica[[#This Row],[Concepto Anterior]],Conceptos_Analítica_contraloría[#All],5,0),"")</f>
        <v/>
      </c>
      <c r="F594" s="138" t="str">
        <f>+IFERROR(VLOOKUP(Fact_Analitica[[#This Row],[Concepto Anterior]],Conceptos_Analítica_contraloría[#All],7,0),"")</f>
        <v/>
      </c>
      <c r="I594" s="138" t="str">
        <f>+IFERROR(VLOOKUP(D594,Conceptos_Analítica_contraloría[#All],2,0),"")</f>
        <v/>
      </c>
      <c r="J594" s="138" t="str">
        <f>+IFERROR(VLOOKUP(D594,Conceptos_Analítica_contraloría[#All],3,0),"")</f>
        <v/>
      </c>
    </row>
    <row r="595" spans="3:10" x14ac:dyDescent="0.35">
      <c r="C595" s="144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s="138" t="str">
        <f>+IFERROR(VLOOKUP(Fact_Analitica[[#This Row],[Concepto Anterior]],Conceptos_Analítica_contraloría[#All],5,0),"")</f>
        <v/>
      </c>
      <c r="F595" s="138" t="str">
        <f>+IFERROR(VLOOKUP(Fact_Analitica[[#This Row],[Concepto Anterior]],Conceptos_Analítica_contraloría[#All],7,0),"")</f>
        <v/>
      </c>
      <c r="I595" s="138" t="str">
        <f>+IFERROR(VLOOKUP(D595,Conceptos_Analítica_contraloría[#All],2,0),"")</f>
        <v/>
      </c>
      <c r="J595" s="138" t="str">
        <f>+IFERROR(VLOOKUP(D595,Conceptos_Analítica_contraloría[#All],3,0),"")</f>
        <v/>
      </c>
    </row>
    <row r="596" spans="3:10" x14ac:dyDescent="0.35">
      <c r="C596" s="144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s="138" t="str">
        <f>+IFERROR(VLOOKUP(Fact_Analitica[[#This Row],[Concepto Anterior]],Conceptos_Analítica_contraloría[#All],5,0),"")</f>
        <v/>
      </c>
      <c r="F596" s="138" t="str">
        <f>+IFERROR(VLOOKUP(Fact_Analitica[[#This Row],[Concepto Anterior]],Conceptos_Analítica_contraloría[#All],7,0),"")</f>
        <v/>
      </c>
      <c r="I596" s="138" t="str">
        <f>+IFERROR(VLOOKUP(D596,Conceptos_Analítica_contraloría[#All],2,0),"")</f>
        <v/>
      </c>
      <c r="J596" s="138" t="str">
        <f>+IFERROR(VLOOKUP(D596,Conceptos_Analítica_contraloría[#All],3,0),"")</f>
        <v/>
      </c>
    </row>
    <row r="597" spans="3:10" x14ac:dyDescent="0.35">
      <c r="C597" s="144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s="138" t="str">
        <f>+IFERROR(VLOOKUP(Fact_Analitica[[#This Row],[Concepto Anterior]],Conceptos_Analítica_contraloría[#All],5,0),"")</f>
        <v/>
      </c>
      <c r="F597" s="138" t="str">
        <f>+IFERROR(VLOOKUP(Fact_Analitica[[#This Row],[Concepto Anterior]],Conceptos_Analítica_contraloría[#All],7,0),"")</f>
        <v/>
      </c>
      <c r="I597" s="138" t="str">
        <f>+IFERROR(VLOOKUP(D597,Conceptos_Analítica_contraloría[#All],2,0),"")</f>
        <v/>
      </c>
      <c r="J597" s="138" t="str">
        <f>+IFERROR(VLOOKUP(D597,Conceptos_Analítica_contraloría[#All],3,0),"")</f>
        <v/>
      </c>
    </row>
    <row r="598" spans="3:10" x14ac:dyDescent="0.35">
      <c r="C598" s="144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s="138" t="str">
        <f>+IFERROR(VLOOKUP(Fact_Analitica[[#This Row],[Concepto Anterior]],Conceptos_Analítica_contraloría[#All],5,0),"")</f>
        <v/>
      </c>
      <c r="F598" s="138" t="str">
        <f>+IFERROR(VLOOKUP(Fact_Analitica[[#This Row],[Concepto Anterior]],Conceptos_Analítica_contraloría[#All],7,0),"")</f>
        <v/>
      </c>
      <c r="I598" s="138" t="str">
        <f>+IFERROR(VLOOKUP(D598,Conceptos_Analítica_contraloría[#All],2,0),"")</f>
        <v/>
      </c>
      <c r="J598" s="138" t="str">
        <f>+IFERROR(VLOOKUP(D598,Conceptos_Analítica_contraloría[#All],3,0),"")</f>
        <v/>
      </c>
    </row>
    <row r="599" spans="3:10" x14ac:dyDescent="0.35">
      <c r="C599" s="144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s="138" t="str">
        <f>+IFERROR(VLOOKUP(Fact_Analitica[[#This Row],[Concepto Anterior]],Conceptos_Analítica_contraloría[#All],5,0),"")</f>
        <v/>
      </c>
      <c r="F599" s="138" t="str">
        <f>+IFERROR(VLOOKUP(Fact_Analitica[[#This Row],[Concepto Anterior]],Conceptos_Analítica_contraloría[#All],7,0),"")</f>
        <v/>
      </c>
      <c r="I599" s="138" t="str">
        <f>+IFERROR(VLOOKUP(D599,Conceptos_Analítica_contraloría[#All],2,0),"")</f>
        <v/>
      </c>
      <c r="J599" s="138" t="str">
        <f>+IFERROR(VLOOKUP(D599,Conceptos_Analítica_contraloría[#All],3,0),"")</f>
        <v/>
      </c>
    </row>
    <row r="600" spans="3:10" x14ac:dyDescent="0.35">
      <c r="C600" s="144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s="138" t="str">
        <f>+IFERROR(VLOOKUP(Fact_Analitica[[#This Row],[Concepto Anterior]],Conceptos_Analítica_contraloría[#All],5,0),"")</f>
        <v/>
      </c>
      <c r="F600" s="138" t="str">
        <f>+IFERROR(VLOOKUP(Fact_Analitica[[#This Row],[Concepto Anterior]],Conceptos_Analítica_contraloría[#All],7,0),"")</f>
        <v/>
      </c>
      <c r="I600" s="138" t="str">
        <f>+IFERROR(VLOOKUP(D600,Conceptos_Analítica_contraloría[#All],2,0),"")</f>
        <v/>
      </c>
      <c r="J600" s="138" t="str">
        <f>+IFERROR(VLOOKUP(D600,Conceptos_Analítica_contraloría[#All],3,0),"")</f>
        <v/>
      </c>
    </row>
    <row r="601" spans="3:10" x14ac:dyDescent="0.35">
      <c r="C601" s="144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s="138" t="str">
        <f>+IFERROR(VLOOKUP(Fact_Analitica[[#This Row],[Concepto Anterior]],Conceptos_Analítica_contraloría[#All],5,0),"")</f>
        <v/>
      </c>
      <c r="F601" s="138" t="str">
        <f>+IFERROR(VLOOKUP(Fact_Analitica[[#This Row],[Concepto Anterior]],Conceptos_Analítica_contraloría[#All],7,0),"")</f>
        <v/>
      </c>
      <c r="I601" s="138" t="str">
        <f>+IFERROR(VLOOKUP(D601,Conceptos_Analítica_contraloría[#All],2,0),"")</f>
        <v/>
      </c>
      <c r="J601" s="138" t="str">
        <f>+IFERROR(VLOOKUP(D601,Conceptos_Analítica_contraloría[#All],3,0),"")</f>
        <v/>
      </c>
    </row>
    <row r="602" spans="3:10" x14ac:dyDescent="0.35">
      <c r="C602" s="144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s="138" t="str">
        <f>+IFERROR(VLOOKUP(Fact_Analitica[[#This Row],[Concepto Anterior]],Conceptos_Analítica_contraloría[#All],5,0),"")</f>
        <v/>
      </c>
      <c r="F602" s="138" t="str">
        <f>+IFERROR(VLOOKUP(Fact_Analitica[[#This Row],[Concepto Anterior]],Conceptos_Analítica_contraloría[#All],7,0),"")</f>
        <v/>
      </c>
      <c r="I602" s="138" t="str">
        <f>+IFERROR(VLOOKUP(D602,Conceptos_Analítica_contraloría[#All],2,0),"")</f>
        <v/>
      </c>
      <c r="J602" s="138" t="str">
        <f>+IFERROR(VLOOKUP(D602,Conceptos_Analítica_contraloría[#All],3,0),"")</f>
        <v/>
      </c>
    </row>
    <row r="603" spans="3:10" x14ac:dyDescent="0.35">
      <c r="C603" s="144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s="138" t="str">
        <f>+IFERROR(VLOOKUP(Fact_Analitica[[#This Row],[Concepto Anterior]],Conceptos_Analítica_contraloría[#All],5,0),"")</f>
        <v/>
      </c>
      <c r="F603" s="138" t="str">
        <f>+IFERROR(VLOOKUP(Fact_Analitica[[#This Row],[Concepto Anterior]],Conceptos_Analítica_contraloría[#All],7,0),"")</f>
        <v/>
      </c>
      <c r="I603" s="138" t="str">
        <f>+IFERROR(VLOOKUP(D603,Conceptos_Analítica_contraloría[#All],2,0),"")</f>
        <v/>
      </c>
      <c r="J603" s="138" t="str">
        <f>+IFERROR(VLOOKUP(D603,Conceptos_Analítica_contraloría[#All],3,0),"")</f>
        <v/>
      </c>
    </row>
    <row r="604" spans="3:10" x14ac:dyDescent="0.35">
      <c r="C604" s="144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s="138" t="str">
        <f>+IFERROR(VLOOKUP(Fact_Analitica[[#This Row],[Concepto Anterior]],Conceptos_Analítica_contraloría[#All],5,0),"")</f>
        <v/>
      </c>
      <c r="F604" s="138" t="str">
        <f>+IFERROR(VLOOKUP(Fact_Analitica[[#This Row],[Concepto Anterior]],Conceptos_Analítica_contraloría[#All],7,0),"")</f>
        <v/>
      </c>
      <c r="I604" s="138" t="str">
        <f>+IFERROR(VLOOKUP(D604,Conceptos_Analítica_contraloría[#All],2,0),"")</f>
        <v/>
      </c>
      <c r="J604" s="138" t="str">
        <f>+IFERROR(VLOOKUP(D604,Conceptos_Analítica_contraloría[#All],3,0),"")</f>
        <v/>
      </c>
    </row>
    <row r="605" spans="3:10" x14ac:dyDescent="0.35">
      <c r="C605" s="144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s="138" t="str">
        <f>+IFERROR(VLOOKUP(Fact_Analitica[[#This Row],[Concepto Anterior]],Conceptos_Analítica_contraloría[#All],5,0),"")</f>
        <v/>
      </c>
      <c r="F605" s="138" t="str">
        <f>+IFERROR(VLOOKUP(Fact_Analitica[[#This Row],[Concepto Anterior]],Conceptos_Analítica_contraloría[#All],7,0),"")</f>
        <v/>
      </c>
      <c r="I605" s="138" t="str">
        <f>+IFERROR(VLOOKUP(D605,Conceptos_Analítica_contraloría[#All],2,0),"")</f>
        <v/>
      </c>
      <c r="J605" s="138" t="str">
        <f>+IFERROR(VLOOKUP(D605,Conceptos_Analítica_contraloría[#All],3,0),"")</f>
        <v/>
      </c>
    </row>
    <row r="606" spans="3:10" x14ac:dyDescent="0.35">
      <c r="C606" s="144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s="138" t="str">
        <f>+IFERROR(VLOOKUP(Fact_Analitica[[#This Row],[Concepto Anterior]],Conceptos_Analítica_contraloría[#All],5,0),"")</f>
        <v/>
      </c>
      <c r="F606" s="138" t="str">
        <f>+IFERROR(VLOOKUP(Fact_Analitica[[#This Row],[Concepto Anterior]],Conceptos_Analítica_contraloría[#All],7,0),"")</f>
        <v/>
      </c>
      <c r="I606" s="138" t="str">
        <f>+IFERROR(VLOOKUP(D606,Conceptos_Analítica_contraloría[#All],2,0),"")</f>
        <v/>
      </c>
      <c r="J606" s="138" t="str">
        <f>+IFERROR(VLOOKUP(D606,Conceptos_Analítica_contraloría[#All],3,0),"")</f>
        <v/>
      </c>
    </row>
    <row r="607" spans="3:10" x14ac:dyDescent="0.35">
      <c r="C607" s="144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s="138" t="str">
        <f>+IFERROR(VLOOKUP(Fact_Analitica[[#This Row],[Concepto Anterior]],Conceptos_Analítica_contraloría[#All],5,0),"")</f>
        <v/>
      </c>
      <c r="F607" s="138" t="str">
        <f>+IFERROR(VLOOKUP(Fact_Analitica[[#This Row],[Concepto Anterior]],Conceptos_Analítica_contraloría[#All],7,0),"")</f>
        <v/>
      </c>
      <c r="I607" s="138" t="str">
        <f>+IFERROR(VLOOKUP(D607,Conceptos_Analítica_contraloría[#All],2,0),"")</f>
        <v/>
      </c>
      <c r="J607" s="138" t="str">
        <f>+IFERROR(VLOOKUP(D607,Conceptos_Analítica_contraloría[#All],3,0),"")</f>
        <v/>
      </c>
    </row>
    <row r="608" spans="3:10" x14ac:dyDescent="0.35">
      <c r="C608" s="144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s="138" t="str">
        <f>+IFERROR(VLOOKUP(Fact_Analitica[[#This Row],[Concepto Anterior]],Conceptos_Analítica_contraloría[#All],5,0),"")</f>
        <v/>
      </c>
      <c r="F608" s="138" t="str">
        <f>+IFERROR(VLOOKUP(Fact_Analitica[[#This Row],[Concepto Anterior]],Conceptos_Analítica_contraloría[#All],7,0),"")</f>
        <v/>
      </c>
      <c r="I608" s="138" t="str">
        <f>+IFERROR(VLOOKUP(D608,Conceptos_Analítica_contraloría[#All],2,0),"")</f>
        <v/>
      </c>
      <c r="J608" s="138" t="str">
        <f>+IFERROR(VLOOKUP(D608,Conceptos_Analítica_contraloría[#All],3,0),"")</f>
        <v/>
      </c>
    </row>
    <row r="609" spans="3:10" x14ac:dyDescent="0.35">
      <c r="C609" s="144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s="138" t="str">
        <f>+IFERROR(VLOOKUP(Fact_Analitica[[#This Row],[Concepto Anterior]],Conceptos_Analítica_contraloría[#All],5,0),"")</f>
        <v/>
      </c>
      <c r="F609" s="138" t="str">
        <f>+IFERROR(VLOOKUP(Fact_Analitica[[#This Row],[Concepto Anterior]],Conceptos_Analítica_contraloría[#All],7,0),"")</f>
        <v/>
      </c>
      <c r="I609" s="138" t="str">
        <f>+IFERROR(VLOOKUP(D609,Conceptos_Analítica_contraloría[#All],2,0),"")</f>
        <v/>
      </c>
      <c r="J609" s="138" t="str">
        <f>+IFERROR(VLOOKUP(D609,Conceptos_Analítica_contraloría[#All],3,0),"")</f>
        <v/>
      </c>
    </row>
    <row r="610" spans="3:10" x14ac:dyDescent="0.35">
      <c r="C610" s="144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s="138" t="str">
        <f>+IFERROR(VLOOKUP(Fact_Analitica[[#This Row],[Concepto Anterior]],Conceptos_Analítica_contraloría[#All],5,0),"")</f>
        <v/>
      </c>
      <c r="F610" s="138" t="str">
        <f>+IFERROR(VLOOKUP(Fact_Analitica[[#This Row],[Concepto Anterior]],Conceptos_Analítica_contraloría[#All],7,0),"")</f>
        <v/>
      </c>
      <c r="I610" s="138" t="str">
        <f>+IFERROR(VLOOKUP(D610,Conceptos_Analítica_contraloría[#All],2,0),"")</f>
        <v/>
      </c>
      <c r="J610" s="138" t="str">
        <f>+IFERROR(VLOOKUP(D610,Conceptos_Analítica_contraloría[#All],3,0),"")</f>
        <v/>
      </c>
    </row>
    <row r="611" spans="3:10" x14ac:dyDescent="0.35">
      <c r="C611" s="144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s="138" t="str">
        <f>+IFERROR(VLOOKUP(Fact_Analitica[[#This Row],[Concepto Anterior]],Conceptos_Analítica_contraloría[#All],5,0),"")</f>
        <v/>
      </c>
      <c r="F611" s="138" t="str">
        <f>+IFERROR(VLOOKUP(Fact_Analitica[[#This Row],[Concepto Anterior]],Conceptos_Analítica_contraloría[#All],7,0),"")</f>
        <v/>
      </c>
      <c r="I611" s="138" t="str">
        <f>+IFERROR(VLOOKUP(D611,Conceptos_Analítica_contraloría[#All],2,0),"")</f>
        <v/>
      </c>
      <c r="J611" s="138" t="str">
        <f>+IFERROR(VLOOKUP(D611,Conceptos_Analítica_contraloría[#All],3,0),"")</f>
        <v/>
      </c>
    </row>
    <row r="612" spans="3:10" x14ac:dyDescent="0.35">
      <c r="C612" s="144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s="138" t="str">
        <f>+IFERROR(VLOOKUP(Fact_Analitica[[#This Row],[Concepto Anterior]],Conceptos_Analítica_contraloría[#All],5,0),"")</f>
        <v/>
      </c>
      <c r="F612" s="138" t="str">
        <f>+IFERROR(VLOOKUP(Fact_Analitica[[#This Row],[Concepto Anterior]],Conceptos_Analítica_contraloría[#All],7,0),"")</f>
        <v/>
      </c>
      <c r="I612" s="138" t="str">
        <f>+IFERROR(VLOOKUP(D612,Conceptos_Analítica_contraloría[#All],2,0),"")</f>
        <v/>
      </c>
      <c r="J612" s="138" t="str">
        <f>+IFERROR(VLOOKUP(D612,Conceptos_Analítica_contraloría[#All],3,0),"")</f>
        <v/>
      </c>
    </row>
    <row r="613" spans="3:10" x14ac:dyDescent="0.35">
      <c r="C613" s="144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s="138" t="str">
        <f>+IFERROR(VLOOKUP(Fact_Analitica[[#This Row],[Concepto Anterior]],Conceptos_Analítica_contraloría[#All],5,0),"")</f>
        <v/>
      </c>
      <c r="F613" s="138" t="str">
        <f>+IFERROR(VLOOKUP(Fact_Analitica[[#This Row],[Concepto Anterior]],Conceptos_Analítica_contraloría[#All],7,0),"")</f>
        <v/>
      </c>
      <c r="I613" s="138" t="str">
        <f>+IFERROR(VLOOKUP(D613,Conceptos_Analítica_contraloría[#All],2,0),"")</f>
        <v/>
      </c>
      <c r="J613" s="138" t="str">
        <f>+IFERROR(VLOOKUP(D613,Conceptos_Analítica_contraloría[#All],3,0),"")</f>
        <v/>
      </c>
    </row>
    <row r="614" spans="3:10" x14ac:dyDescent="0.35">
      <c r="C614" s="144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s="138" t="str">
        <f>+IFERROR(VLOOKUP(Fact_Analitica[[#This Row],[Concepto Anterior]],Conceptos_Analítica_contraloría[#All],5,0),"")</f>
        <v/>
      </c>
      <c r="F614" s="138" t="str">
        <f>+IFERROR(VLOOKUP(Fact_Analitica[[#This Row],[Concepto Anterior]],Conceptos_Analítica_contraloría[#All],7,0),"")</f>
        <v/>
      </c>
      <c r="I614" s="138" t="str">
        <f>+IFERROR(VLOOKUP(D614,Conceptos_Analítica_contraloría[#All],2,0),"")</f>
        <v/>
      </c>
      <c r="J614" s="138" t="str">
        <f>+IFERROR(VLOOKUP(D614,Conceptos_Analítica_contraloría[#All],3,0),"")</f>
        <v/>
      </c>
    </row>
    <row r="615" spans="3:10" x14ac:dyDescent="0.35">
      <c r="C615" s="144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s="138" t="str">
        <f>+IFERROR(VLOOKUP(Fact_Analitica[[#This Row],[Concepto Anterior]],Conceptos_Analítica_contraloría[#All],5,0),"")</f>
        <v/>
      </c>
      <c r="F615" s="138" t="str">
        <f>+IFERROR(VLOOKUP(Fact_Analitica[[#This Row],[Concepto Anterior]],Conceptos_Analítica_contraloría[#All],7,0),"")</f>
        <v/>
      </c>
      <c r="I615" s="138" t="str">
        <f>+IFERROR(VLOOKUP(D615,Conceptos_Analítica_contraloría[#All],2,0),"")</f>
        <v/>
      </c>
      <c r="J615" s="138" t="str">
        <f>+IFERROR(VLOOKUP(D615,Conceptos_Analítica_contraloría[#All],3,0),"")</f>
        <v/>
      </c>
    </row>
    <row r="616" spans="3:10" x14ac:dyDescent="0.35">
      <c r="C616" s="144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s="138" t="str">
        <f>+IFERROR(VLOOKUP(Fact_Analitica[[#This Row],[Concepto Anterior]],Conceptos_Analítica_contraloría[#All],5,0),"")</f>
        <v/>
      </c>
      <c r="F616" s="138" t="str">
        <f>+IFERROR(VLOOKUP(Fact_Analitica[[#This Row],[Concepto Anterior]],Conceptos_Analítica_contraloría[#All],7,0),"")</f>
        <v/>
      </c>
      <c r="I616" s="138" t="str">
        <f>+IFERROR(VLOOKUP(D616,Conceptos_Analítica_contraloría[#All],2,0),"")</f>
        <v/>
      </c>
      <c r="J616" s="138" t="str">
        <f>+IFERROR(VLOOKUP(D616,Conceptos_Analítica_contraloría[#All],3,0),"")</f>
        <v/>
      </c>
    </row>
    <row r="617" spans="3:10" x14ac:dyDescent="0.35">
      <c r="C617" s="144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s="138" t="str">
        <f>+IFERROR(VLOOKUP(Fact_Analitica[[#This Row],[Concepto Anterior]],Conceptos_Analítica_contraloría[#All],5,0),"")</f>
        <v/>
      </c>
      <c r="F617" s="138" t="str">
        <f>+IFERROR(VLOOKUP(Fact_Analitica[[#This Row],[Concepto Anterior]],Conceptos_Analítica_contraloría[#All],7,0),"")</f>
        <v/>
      </c>
      <c r="I617" s="138" t="str">
        <f>+IFERROR(VLOOKUP(D617,Conceptos_Analítica_contraloría[#All],2,0),"")</f>
        <v/>
      </c>
      <c r="J617" s="138" t="str">
        <f>+IFERROR(VLOOKUP(D617,Conceptos_Analítica_contraloría[#All],3,0),"")</f>
        <v/>
      </c>
    </row>
    <row r="618" spans="3:10" x14ac:dyDescent="0.35">
      <c r="C618" s="144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s="138" t="str">
        <f>+IFERROR(VLOOKUP(Fact_Analitica[[#This Row],[Concepto Anterior]],Conceptos_Analítica_contraloría[#All],5,0),"")</f>
        <v/>
      </c>
      <c r="F618" s="138" t="str">
        <f>+IFERROR(VLOOKUP(Fact_Analitica[[#This Row],[Concepto Anterior]],Conceptos_Analítica_contraloría[#All],7,0),"")</f>
        <v/>
      </c>
      <c r="I618" s="138" t="str">
        <f>+IFERROR(VLOOKUP(D618,Conceptos_Analítica_contraloría[#All],2,0),"")</f>
        <v/>
      </c>
      <c r="J618" s="138" t="str">
        <f>+IFERROR(VLOOKUP(D618,Conceptos_Analítica_contraloría[#All],3,0),"")</f>
        <v/>
      </c>
    </row>
    <row r="619" spans="3:10" x14ac:dyDescent="0.35">
      <c r="C619" s="144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s="138" t="str">
        <f>+IFERROR(VLOOKUP(Fact_Analitica[[#This Row],[Concepto Anterior]],Conceptos_Analítica_contraloría[#All],5,0),"")</f>
        <v/>
      </c>
      <c r="F619" s="138" t="str">
        <f>+IFERROR(VLOOKUP(Fact_Analitica[[#This Row],[Concepto Anterior]],Conceptos_Analítica_contraloría[#All],7,0),"")</f>
        <v/>
      </c>
      <c r="I619" s="138" t="str">
        <f>+IFERROR(VLOOKUP(D619,Conceptos_Analítica_contraloría[#All],2,0),"")</f>
        <v/>
      </c>
      <c r="J619" s="138" t="str">
        <f>+IFERROR(VLOOKUP(D619,Conceptos_Analítica_contraloría[#All],3,0),"")</f>
        <v/>
      </c>
    </row>
    <row r="620" spans="3:10" x14ac:dyDescent="0.35">
      <c r="C620" s="144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s="138" t="str">
        <f>+IFERROR(VLOOKUP(Fact_Analitica[[#This Row],[Concepto Anterior]],Conceptos_Analítica_contraloría[#All],5,0),"")</f>
        <v/>
      </c>
      <c r="F620" s="138" t="str">
        <f>+IFERROR(VLOOKUP(Fact_Analitica[[#This Row],[Concepto Anterior]],Conceptos_Analítica_contraloría[#All],7,0),"")</f>
        <v/>
      </c>
      <c r="I620" s="138" t="str">
        <f>+IFERROR(VLOOKUP(D620,Conceptos_Analítica_contraloría[#All],2,0),"")</f>
        <v/>
      </c>
      <c r="J620" s="138" t="str">
        <f>+IFERROR(VLOOKUP(D620,Conceptos_Analítica_contraloría[#All],3,0),"")</f>
        <v/>
      </c>
    </row>
    <row r="621" spans="3:10" x14ac:dyDescent="0.35">
      <c r="C621" s="144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s="138" t="str">
        <f>+IFERROR(VLOOKUP(Fact_Analitica[[#This Row],[Concepto Anterior]],Conceptos_Analítica_contraloría[#All],5,0),"")</f>
        <v/>
      </c>
      <c r="F621" s="138" t="str">
        <f>+IFERROR(VLOOKUP(Fact_Analitica[[#This Row],[Concepto Anterior]],Conceptos_Analítica_contraloría[#All],7,0),"")</f>
        <v/>
      </c>
      <c r="I621" s="138" t="str">
        <f>+IFERROR(VLOOKUP(D621,Conceptos_Analítica_contraloría[#All],2,0),"")</f>
        <v/>
      </c>
      <c r="J621" s="138" t="str">
        <f>+IFERROR(VLOOKUP(D621,Conceptos_Analítica_contraloría[#All],3,0),"")</f>
        <v/>
      </c>
    </row>
    <row r="622" spans="3:10" x14ac:dyDescent="0.35">
      <c r="C622" s="144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s="138" t="str">
        <f>+IFERROR(VLOOKUP(Fact_Analitica[[#This Row],[Concepto Anterior]],Conceptos_Analítica_contraloría[#All],5,0),"")</f>
        <v/>
      </c>
      <c r="F622" s="138" t="str">
        <f>+IFERROR(VLOOKUP(Fact_Analitica[[#This Row],[Concepto Anterior]],Conceptos_Analítica_contraloría[#All],7,0),"")</f>
        <v/>
      </c>
      <c r="I622" s="138" t="str">
        <f>+IFERROR(VLOOKUP(D622,Conceptos_Analítica_contraloría[#All],2,0),"")</f>
        <v/>
      </c>
      <c r="J622" s="138" t="str">
        <f>+IFERROR(VLOOKUP(D622,Conceptos_Analítica_contraloría[#All],3,0),"")</f>
        <v/>
      </c>
    </row>
    <row r="623" spans="3:10" x14ac:dyDescent="0.35">
      <c r="C623" s="144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s="138" t="str">
        <f>+IFERROR(VLOOKUP(Fact_Analitica[[#This Row],[Concepto Anterior]],Conceptos_Analítica_contraloría[#All],5,0),"")</f>
        <v/>
      </c>
      <c r="F623" s="138" t="str">
        <f>+IFERROR(VLOOKUP(Fact_Analitica[[#This Row],[Concepto Anterior]],Conceptos_Analítica_contraloría[#All],7,0),"")</f>
        <v/>
      </c>
      <c r="I623" s="138" t="str">
        <f>+IFERROR(VLOOKUP(D623,Conceptos_Analítica_contraloría[#All],2,0),"")</f>
        <v/>
      </c>
      <c r="J623" s="138" t="str">
        <f>+IFERROR(VLOOKUP(D623,Conceptos_Analítica_contraloría[#All],3,0),"")</f>
        <v/>
      </c>
    </row>
    <row r="624" spans="3:10" x14ac:dyDescent="0.35">
      <c r="C624" s="144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s="138" t="str">
        <f>+IFERROR(VLOOKUP(Fact_Analitica[[#This Row],[Concepto Anterior]],Conceptos_Analítica_contraloría[#All],5,0),"")</f>
        <v/>
      </c>
      <c r="F624" s="138" t="str">
        <f>+IFERROR(VLOOKUP(Fact_Analitica[[#This Row],[Concepto Anterior]],Conceptos_Analítica_contraloría[#All],7,0),"")</f>
        <v/>
      </c>
      <c r="I624" s="138" t="str">
        <f>+IFERROR(VLOOKUP(D624,Conceptos_Analítica_contraloría[#All],2,0),"")</f>
        <v/>
      </c>
      <c r="J624" s="138" t="str">
        <f>+IFERROR(VLOOKUP(D624,Conceptos_Analítica_contraloría[#All],3,0),"")</f>
        <v/>
      </c>
    </row>
    <row r="625" spans="3:10" x14ac:dyDescent="0.35">
      <c r="C625" s="144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s="138" t="str">
        <f>+IFERROR(VLOOKUP(Fact_Analitica[[#This Row],[Concepto Anterior]],Conceptos_Analítica_contraloría[#All],5,0),"")</f>
        <v/>
      </c>
      <c r="F625" s="138" t="str">
        <f>+IFERROR(VLOOKUP(Fact_Analitica[[#This Row],[Concepto Anterior]],Conceptos_Analítica_contraloría[#All],7,0),"")</f>
        <v/>
      </c>
      <c r="I625" s="138" t="str">
        <f>+IFERROR(VLOOKUP(D625,Conceptos_Analítica_contraloría[#All],2,0),"")</f>
        <v/>
      </c>
      <c r="J625" s="138" t="str">
        <f>+IFERROR(VLOOKUP(D625,Conceptos_Analítica_contraloría[#All],3,0),"")</f>
        <v/>
      </c>
    </row>
    <row r="626" spans="3:10" x14ac:dyDescent="0.35">
      <c r="C626" s="144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s="138" t="str">
        <f>+IFERROR(VLOOKUP(Fact_Analitica[[#This Row],[Concepto Anterior]],Conceptos_Analítica_contraloría[#All],5,0),"")</f>
        <v/>
      </c>
      <c r="F626" s="138" t="str">
        <f>+IFERROR(VLOOKUP(Fact_Analitica[[#This Row],[Concepto Anterior]],Conceptos_Analítica_contraloría[#All],7,0),"")</f>
        <v/>
      </c>
      <c r="I626" s="138" t="str">
        <f>+IFERROR(VLOOKUP(D626,Conceptos_Analítica_contraloría[#All],2,0),"")</f>
        <v/>
      </c>
      <c r="J626" s="138" t="str">
        <f>+IFERROR(VLOOKUP(D626,Conceptos_Analítica_contraloría[#All],3,0),"")</f>
        <v/>
      </c>
    </row>
    <row r="627" spans="3:10" x14ac:dyDescent="0.35">
      <c r="C627" s="144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s="138" t="str">
        <f>+IFERROR(VLOOKUP(Fact_Analitica[[#This Row],[Concepto Anterior]],Conceptos_Analítica_contraloría[#All],5,0),"")</f>
        <v/>
      </c>
      <c r="F627" s="138" t="str">
        <f>+IFERROR(VLOOKUP(Fact_Analitica[[#This Row],[Concepto Anterior]],Conceptos_Analítica_contraloría[#All],7,0),"")</f>
        <v/>
      </c>
      <c r="I627" s="138" t="str">
        <f>+IFERROR(VLOOKUP(D627,Conceptos_Analítica_contraloría[#All],2,0),"")</f>
        <v/>
      </c>
      <c r="J627" s="138" t="str">
        <f>+IFERROR(VLOOKUP(D627,Conceptos_Analítica_contraloría[#All],3,0),"")</f>
        <v/>
      </c>
    </row>
    <row r="628" spans="3:10" x14ac:dyDescent="0.35">
      <c r="C628" s="144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s="138" t="str">
        <f>+IFERROR(VLOOKUP(Fact_Analitica[[#This Row],[Concepto Anterior]],Conceptos_Analítica_contraloría[#All],5,0),"")</f>
        <v/>
      </c>
      <c r="F628" s="138" t="str">
        <f>+IFERROR(VLOOKUP(Fact_Analitica[[#This Row],[Concepto Anterior]],Conceptos_Analítica_contraloría[#All],7,0),"")</f>
        <v/>
      </c>
      <c r="I628" s="138" t="str">
        <f>+IFERROR(VLOOKUP(D628,Conceptos_Analítica_contraloría[#All],2,0),"")</f>
        <v/>
      </c>
      <c r="J628" s="138" t="str">
        <f>+IFERROR(VLOOKUP(D628,Conceptos_Analítica_contraloría[#All],3,0),"")</f>
        <v/>
      </c>
    </row>
    <row r="629" spans="3:10" x14ac:dyDescent="0.35">
      <c r="C629" s="144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s="138" t="str">
        <f>+IFERROR(VLOOKUP(Fact_Analitica[[#This Row],[Concepto Anterior]],Conceptos_Analítica_contraloría[#All],5,0),"")</f>
        <v/>
      </c>
      <c r="F629" s="138" t="str">
        <f>+IFERROR(VLOOKUP(Fact_Analitica[[#This Row],[Concepto Anterior]],Conceptos_Analítica_contraloría[#All],7,0),"")</f>
        <v/>
      </c>
      <c r="I629" s="138" t="str">
        <f>+IFERROR(VLOOKUP(D629,Conceptos_Analítica_contraloría[#All],2,0),"")</f>
        <v/>
      </c>
      <c r="J629" s="138" t="str">
        <f>+IFERROR(VLOOKUP(D629,Conceptos_Analítica_contraloría[#All],3,0),"")</f>
        <v/>
      </c>
    </row>
    <row r="630" spans="3:10" x14ac:dyDescent="0.35">
      <c r="C630" s="144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s="138" t="str">
        <f>+IFERROR(VLOOKUP(Fact_Analitica[[#This Row],[Concepto Anterior]],Conceptos_Analítica_contraloría[#All],5,0),"")</f>
        <v/>
      </c>
      <c r="F630" s="138" t="str">
        <f>+IFERROR(VLOOKUP(Fact_Analitica[[#This Row],[Concepto Anterior]],Conceptos_Analítica_contraloría[#All],7,0),"")</f>
        <v/>
      </c>
      <c r="I630" s="138" t="str">
        <f>+IFERROR(VLOOKUP(D630,Conceptos_Analítica_contraloría[#All],2,0),"")</f>
        <v/>
      </c>
      <c r="J630" s="138" t="str">
        <f>+IFERROR(VLOOKUP(D630,Conceptos_Analítica_contraloría[#All],3,0),"")</f>
        <v/>
      </c>
    </row>
    <row r="631" spans="3:10" x14ac:dyDescent="0.35">
      <c r="C631" s="144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s="138" t="str">
        <f>+IFERROR(VLOOKUP(Fact_Analitica[[#This Row],[Concepto Anterior]],Conceptos_Analítica_contraloría[#All],5,0),"")</f>
        <v/>
      </c>
      <c r="F631" s="138" t="str">
        <f>+IFERROR(VLOOKUP(Fact_Analitica[[#This Row],[Concepto Anterior]],Conceptos_Analítica_contraloría[#All],7,0),"")</f>
        <v/>
      </c>
      <c r="I631" s="138" t="str">
        <f>+IFERROR(VLOOKUP(D631,Conceptos_Analítica_contraloría[#All],2,0),"")</f>
        <v/>
      </c>
      <c r="J631" s="138" t="str">
        <f>+IFERROR(VLOOKUP(D631,Conceptos_Analítica_contraloría[#All],3,0),"")</f>
        <v/>
      </c>
    </row>
    <row r="632" spans="3:10" x14ac:dyDescent="0.35">
      <c r="C632" s="144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s="138" t="str">
        <f>+IFERROR(VLOOKUP(Fact_Analitica[[#This Row],[Concepto Anterior]],Conceptos_Analítica_contraloría[#All],5,0),"")</f>
        <v/>
      </c>
      <c r="F632" s="138" t="str">
        <f>+IFERROR(VLOOKUP(Fact_Analitica[[#This Row],[Concepto Anterior]],Conceptos_Analítica_contraloría[#All],7,0),"")</f>
        <v/>
      </c>
      <c r="I632" s="138" t="str">
        <f>+IFERROR(VLOOKUP(D632,Conceptos_Analítica_contraloría[#All],2,0),"")</f>
        <v/>
      </c>
      <c r="J632" s="138" t="str">
        <f>+IFERROR(VLOOKUP(D632,Conceptos_Analítica_contraloría[#All],3,0),"")</f>
        <v/>
      </c>
    </row>
    <row r="633" spans="3:10" x14ac:dyDescent="0.35">
      <c r="C633" s="144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s="138" t="str">
        <f>+IFERROR(VLOOKUP(Fact_Analitica[[#This Row],[Concepto Anterior]],Conceptos_Analítica_contraloría[#All],5,0),"")</f>
        <v/>
      </c>
      <c r="F633" s="138" t="str">
        <f>+IFERROR(VLOOKUP(Fact_Analitica[[#This Row],[Concepto Anterior]],Conceptos_Analítica_contraloría[#All],7,0),"")</f>
        <v/>
      </c>
      <c r="I633" s="138" t="str">
        <f>+IFERROR(VLOOKUP(D633,Conceptos_Analítica_contraloría[#All],2,0),"")</f>
        <v/>
      </c>
      <c r="J633" s="138" t="str">
        <f>+IFERROR(VLOOKUP(D633,Conceptos_Analítica_contraloría[#All],3,0),"")</f>
        <v/>
      </c>
    </row>
    <row r="634" spans="3:10" x14ac:dyDescent="0.35">
      <c r="C634" s="144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s="138" t="str">
        <f>+IFERROR(VLOOKUP(Fact_Analitica[[#This Row],[Concepto Anterior]],Conceptos_Analítica_contraloría[#All],5,0),"")</f>
        <v/>
      </c>
      <c r="F634" s="138" t="str">
        <f>+IFERROR(VLOOKUP(Fact_Analitica[[#This Row],[Concepto Anterior]],Conceptos_Analítica_contraloría[#All],7,0),"")</f>
        <v/>
      </c>
      <c r="I634" s="138" t="str">
        <f>+IFERROR(VLOOKUP(D634,Conceptos_Analítica_contraloría[#All],2,0),"")</f>
        <v/>
      </c>
      <c r="J634" s="138" t="str">
        <f>+IFERROR(VLOOKUP(D634,Conceptos_Analítica_contraloría[#All],3,0),"")</f>
        <v/>
      </c>
    </row>
    <row r="635" spans="3:10" x14ac:dyDescent="0.35">
      <c r="C635" s="144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s="138" t="str">
        <f>+IFERROR(VLOOKUP(Fact_Analitica[[#This Row],[Concepto Anterior]],Conceptos_Analítica_contraloría[#All],5,0),"")</f>
        <v/>
      </c>
      <c r="F635" s="138" t="str">
        <f>+IFERROR(VLOOKUP(Fact_Analitica[[#This Row],[Concepto Anterior]],Conceptos_Analítica_contraloría[#All],7,0),"")</f>
        <v/>
      </c>
      <c r="I635" s="138" t="str">
        <f>+IFERROR(VLOOKUP(D635,Conceptos_Analítica_contraloría[#All],2,0),"")</f>
        <v/>
      </c>
      <c r="J635" s="138" t="str">
        <f>+IFERROR(VLOOKUP(D635,Conceptos_Analítica_contraloría[#All],3,0),"")</f>
        <v/>
      </c>
    </row>
    <row r="636" spans="3:10" x14ac:dyDescent="0.35">
      <c r="C636" s="144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s="138" t="str">
        <f>+IFERROR(VLOOKUP(Fact_Analitica[[#This Row],[Concepto Anterior]],Conceptos_Analítica_contraloría[#All],5,0),"")</f>
        <v/>
      </c>
      <c r="F636" s="138" t="str">
        <f>+IFERROR(VLOOKUP(Fact_Analitica[[#This Row],[Concepto Anterior]],Conceptos_Analítica_contraloría[#All],7,0),"")</f>
        <v/>
      </c>
      <c r="I636" s="138" t="str">
        <f>+IFERROR(VLOOKUP(D636,Conceptos_Analítica_contraloría[#All],2,0),"")</f>
        <v/>
      </c>
      <c r="J636" s="138" t="str">
        <f>+IFERROR(VLOOKUP(D636,Conceptos_Analítica_contraloría[#All],3,0),"")</f>
        <v/>
      </c>
    </row>
    <row r="637" spans="3:10" x14ac:dyDescent="0.35">
      <c r="C637" s="144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s="138" t="str">
        <f>+IFERROR(VLOOKUP(Fact_Analitica[[#This Row],[Concepto Anterior]],Conceptos_Analítica_contraloría[#All],5,0),"")</f>
        <v/>
      </c>
      <c r="F637" s="138" t="str">
        <f>+IFERROR(VLOOKUP(Fact_Analitica[[#This Row],[Concepto Anterior]],Conceptos_Analítica_contraloría[#All],7,0),"")</f>
        <v/>
      </c>
      <c r="I637" s="138" t="str">
        <f>+IFERROR(VLOOKUP(D637,Conceptos_Analítica_contraloría[#All],2,0),"")</f>
        <v/>
      </c>
      <c r="J637" s="138" t="str">
        <f>+IFERROR(VLOOKUP(D637,Conceptos_Analítica_contraloría[#All],3,0),"")</f>
        <v/>
      </c>
    </row>
    <row r="638" spans="3:10" x14ac:dyDescent="0.35">
      <c r="C638" s="144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s="138" t="str">
        <f>+IFERROR(VLOOKUP(Fact_Analitica[[#This Row],[Concepto Anterior]],Conceptos_Analítica_contraloría[#All],5,0),"")</f>
        <v/>
      </c>
      <c r="F638" s="138" t="str">
        <f>+IFERROR(VLOOKUP(Fact_Analitica[[#This Row],[Concepto Anterior]],Conceptos_Analítica_contraloría[#All],7,0),"")</f>
        <v/>
      </c>
      <c r="I638" s="138" t="str">
        <f>+IFERROR(VLOOKUP(D638,Conceptos_Analítica_contraloría[#All],2,0),"")</f>
        <v/>
      </c>
      <c r="J638" s="138" t="str">
        <f>+IFERROR(VLOOKUP(D638,Conceptos_Analítica_contraloría[#All],3,0),"")</f>
        <v/>
      </c>
    </row>
    <row r="639" spans="3:10" x14ac:dyDescent="0.35">
      <c r="C639" s="144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s="138" t="str">
        <f>+IFERROR(VLOOKUP(Fact_Analitica[[#This Row],[Concepto Anterior]],Conceptos_Analítica_contraloría[#All],5,0),"")</f>
        <v/>
      </c>
      <c r="F639" s="138" t="str">
        <f>+IFERROR(VLOOKUP(Fact_Analitica[[#This Row],[Concepto Anterior]],Conceptos_Analítica_contraloría[#All],7,0),"")</f>
        <v/>
      </c>
      <c r="I639" s="138" t="str">
        <f>+IFERROR(VLOOKUP(D639,Conceptos_Analítica_contraloría[#All],2,0),"")</f>
        <v/>
      </c>
      <c r="J639" s="138" t="str">
        <f>+IFERROR(VLOOKUP(D639,Conceptos_Analítica_contraloría[#All],3,0),"")</f>
        <v/>
      </c>
    </row>
    <row r="640" spans="3:10" x14ac:dyDescent="0.35">
      <c r="C640" s="144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s="138" t="str">
        <f>+IFERROR(VLOOKUP(Fact_Analitica[[#This Row],[Concepto Anterior]],Conceptos_Analítica_contraloría[#All],5,0),"")</f>
        <v/>
      </c>
      <c r="F640" s="138" t="str">
        <f>+IFERROR(VLOOKUP(Fact_Analitica[[#This Row],[Concepto Anterior]],Conceptos_Analítica_contraloría[#All],7,0),"")</f>
        <v/>
      </c>
      <c r="I640" s="138" t="str">
        <f>+IFERROR(VLOOKUP(D640,Conceptos_Analítica_contraloría[#All],2,0),"")</f>
        <v/>
      </c>
      <c r="J640" s="138" t="str">
        <f>+IFERROR(VLOOKUP(D640,Conceptos_Analítica_contraloría[#All],3,0),"")</f>
        <v/>
      </c>
    </row>
    <row r="641" spans="3:10" x14ac:dyDescent="0.35">
      <c r="C641" s="144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s="138" t="str">
        <f>+IFERROR(VLOOKUP(Fact_Analitica[[#This Row],[Concepto Anterior]],Conceptos_Analítica_contraloría[#All],5,0),"")</f>
        <v/>
      </c>
      <c r="F641" s="138" t="str">
        <f>+IFERROR(VLOOKUP(Fact_Analitica[[#This Row],[Concepto Anterior]],Conceptos_Analítica_contraloría[#All],7,0),"")</f>
        <v/>
      </c>
      <c r="I641" s="138" t="str">
        <f>+IFERROR(VLOOKUP(D641,Conceptos_Analítica_contraloría[#All],2,0),"")</f>
        <v/>
      </c>
      <c r="J641" s="138" t="str">
        <f>+IFERROR(VLOOKUP(D641,Conceptos_Analítica_contraloría[#All],3,0),"")</f>
        <v/>
      </c>
    </row>
    <row r="642" spans="3:10" x14ac:dyDescent="0.35">
      <c r="C642" s="144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s="138" t="str">
        <f>+IFERROR(VLOOKUP(Fact_Analitica[[#This Row],[Concepto Anterior]],Conceptos_Analítica_contraloría[#All],5,0),"")</f>
        <v/>
      </c>
      <c r="F642" s="138" t="str">
        <f>+IFERROR(VLOOKUP(Fact_Analitica[[#This Row],[Concepto Anterior]],Conceptos_Analítica_contraloría[#All],7,0),"")</f>
        <v/>
      </c>
      <c r="I642" s="138" t="str">
        <f>+IFERROR(VLOOKUP(D642,Conceptos_Analítica_contraloría[#All],2,0),"")</f>
        <v/>
      </c>
      <c r="J642" s="138" t="str">
        <f>+IFERROR(VLOOKUP(D642,Conceptos_Analítica_contraloría[#All],3,0),"")</f>
        <v/>
      </c>
    </row>
    <row r="643" spans="3:10" x14ac:dyDescent="0.35">
      <c r="C643" s="144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s="138" t="str">
        <f>+IFERROR(VLOOKUP(Fact_Analitica[[#This Row],[Concepto Anterior]],Conceptos_Analítica_contraloría[#All],5,0),"")</f>
        <v/>
      </c>
      <c r="F643" s="138" t="str">
        <f>+IFERROR(VLOOKUP(Fact_Analitica[[#This Row],[Concepto Anterior]],Conceptos_Analítica_contraloría[#All],7,0),"")</f>
        <v/>
      </c>
      <c r="I643" s="138" t="str">
        <f>+IFERROR(VLOOKUP(D643,Conceptos_Analítica_contraloría[#All],2,0),"")</f>
        <v/>
      </c>
      <c r="J643" s="138" t="str">
        <f>+IFERROR(VLOOKUP(D643,Conceptos_Analítica_contraloría[#All],3,0),"")</f>
        <v/>
      </c>
    </row>
    <row r="644" spans="3:10" x14ac:dyDescent="0.35">
      <c r="C644" s="144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s="138" t="str">
        <f>+IFERROR(VLOOKUP(Fact_Analitica[[#This Row],[Concepto Anterior]],Conceptos_Analítica_contraloría[#All],5,0),"")</f>
        <v/>
      </c>
      <c r="F644" s="138" t="str">
        <f>+IFERROR(VLOOKUP(Fact_Analitica[[#This Row],[Concepto Anterior]],Conceptos_Analítica_contraloría[#All],7,0),"")</f>
        <v/>
      </c>
      <c r="I644" s="138" t="str">
        <f>+IFERROR(VLOOKUP(D644,Conceptos_Analítica_contraloría[#All],2,0),"")</f>
        <v/>
      </c>
      <c r="J644" s="138" t="str">
        <f>+IFERROR(VLOOKUP(D644,Conceptos_Analítica_contraloría[#All],3,0),"")</f>
        <v/>
      </c>
    </row>
    <row r="645" spans="3:10" x14ac:dyDescent="0.35">
      <c r="C645" s="144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s="138" t="str">
        <f>+IFERROR(VLOOKUP(Fact_Analitica[[#This Row],[Concepto Anterior]],Conceptos_Analítica_contraloría[#All],5,0),"")</f>
        <v/>
      </c>
      <c r="F645" s="138" t="str">
        <f>+IFERROR(VLOOKUP(Fact_Analitica[[#This Row],[Concepto Anterior]],Conceptos_Analítica_contraloría[#All],7,0),"")</f>
        <v/>
      </c>
      <c r="I645" s="138" t="str">
        <f>+IFERROR(VLOOKUP(D645,Conceptos_Analítica_contraloría[#All],2,0),"")</f>
        <v/>
      </c>
      <c r="J645" s="138" t="str">
        <f>+IFERROR(VLOOKUP(D645,Conceptos_Analítica_contraloría[#All],3,0),"")</f>
        <v/>
      </c>
    </row>
    <row r="646" spans="3:10" x14ac:dyDescent="0.35">
      <c r="C646" s="144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s="138" t="str">
        <f>+IFERROR(VLOOKUP(Fact_Analitica[[#This Row],[Concepto Anterior]],Conceptos_Analítica_contraloría[#All],5,0),"")</f>
        <v/>
      </c>
      <c r="F646" s="138" t="str">
        <f>+IFERROR(VLOOKUP(Fact_Analitica[[#This Row],[Concepto Anterior]],Conceptos_Analítica_contraloría[#All],7,0),"")</f>
        <v/>
      </c>
      <c r="I646" s="138" t="str">
        <f>+IFERROR(VLOOKUP(D646,Conceptos_Analítica_contraloría[#All],2,0),"")</f>
        <v/>
      </c>
      <c r="J646" s="138" t="str">
        <f>+IFERROR(VLOOKUP(D646,Conceptos_Analítica_contraloría[#All],3,0),"")</f>
        <v/>
      </c>
    </row>
    <row r="647" spans="3:10" x14ac:dyDescent="0.35">
      <c r="C647" s="144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s="138" t="str">
        <f>+IFERROR(VLOOKUP(Fact_Analitica[[#This Row],[Concepto Anterior]],Conceptos_Analítica_contraloría[#All],5,0),"")</f>
        <v/>
      </c>
      <c r="F647" s="138" t="str">
        <f>+IFERROR(VLOOKUP(Fact_Analitica[[#This Row],[Concepto Anterior]],Conceptos_Analítica_contraloría[#All],7,0),"")</f>
        <v/>
      </c>
      <c r="I647" s="138" t="str">
        <f>+IFERROR(VLOOKUP(D647,Conceptos_Analítica_contraloría[#All],2,0),"")</f>
        <v/>
      </c>
      <c r="J647" s="138" t="str">
        <f>+IFERROR(VLOOKUP(D647,Conceptos_Analítica_contraloría[#All],3,0),"")</f>
        <v/>
      </c>
    </row>
    <row r="648" spans="3:10" x14ac:dyDescent="0.35">
      <c r="C648" s="144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s="138" t="str">
        <f>+IFERROR(VLOOKUP(Fact_Analitica[[#This Row],[Concepto Anterior]],Conceptos_Analítica_contraloría[#All],5,0),"")</f>
        <v/>
      </c>
      <c r="F648" s="138" t="str">
        <f>+IFERROR(VLOOKUP(Fact_Analitica[[#This Row],[Concepto Anterior]],Conceptos_Analítica_contraloría[#All],7,0),"")</f>
        <v/>
      </c>
      <c r="I648" s="138" t="str">
        <f>+IFERROR(VLOOKUP(D648,Conceptos_Analítica_contraloría[#All],2,0),"")</f>
        <v/>
      </c>
      <c r="J648" s="138" t="str">
        <f>+IFERROR(VLOOKUP(D648,Conceptos_Analítica_contraloría[#All],3,0),"")</f>
        <v/>
      </c>
    </row>
    <row r="649" spans="3:10" x14ac:dyDescent="0.35">
      <c r="C649" s="144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s="138" t="str">
        <f>+IFERROR(VLOOKUP(Fact_Analitica[[#This Row],[Concepto Anterior]],Conceptos_Analítica_contraloría[#All],5,0),"")</f>
        <v/>
      </c>
      <c r="F649" s="138" t="str">
        <f>+IFERROR(VLOOKUP(Fact_Analitica[[#This Row],[Concepto Anterior]],Conceptos_Analítica_contraloría[#All],7,0),"")</f>
        <v/>
      </c>
      <c r="I649" s="138" t="str">
        <f>+IFERROR(VLOOKUP(D649,Conceptos_Analítica_contraloría[#All],2,0),"")</f>
        <v/>
      </c>
      <c r="J649" s="138" t="str">
        <f>+IFERROR(VLOOKUP(D649,Conceptos_Analítica_contraloría[#All],3,0),"")</f>
        <v/>
      </c>
    </row>
    <row r="650" spans="3:10" x14ac:dyDescent="0.35">
      <c r="C650" s="144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s="138" t="str">
        <f>+IFERROR(VLOOKUP(Fact_Analitica[[#This Row],[Concepto Anterior]],Conceptos_Analítica_contraloría[#All],5,0),"")</f>
        <v/>
      </c>
      <c r="F650" s="138" t="str">
        <f>+IFERROR(VLOOKUP(Fact_Analitica[[#This Row],[Concepto Anterior]],Conceptos_Analítica_contraloría[#All],7,0),"")</f>
        <v/>
      </c>
      <c r="I650" s="138" t="str">
        <f>+IFERROR(VLOOKUP(D650,Conceptos_Analítica_contraloría[#All],2,0),"")</f>
        <v/>
      </c>
      <c r="J650" s="138" t="str">
        <f>+IFERROR(VLOOKUP(D650,Conceptos_Analítica_contraloría[#All],3,0),"")</f>
        <v/>
      </c>
    </row>
    <row r="651" spans="3:10" x14ac:dyDescent="0.35">
      <c r="C651" s="144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s="138" t="str">
        <f>+IFERROR(VLOOKUP(Fact_Analitica[[#This Row],[Concepto Anterior]],Conceptos_Analítica_contraloría[#All],5,0),"")</f>
        <v/>
      </c>
      <c r="F651" s="138" t="str">
        <f>+IFERROR(VLOOKUP(Fact_Analitica[[#This Row],[Concepto Anterior]],Conceptos_Analítica_contraloría[#All],7,0),"")</f>
        <v/>
      </c>
      <c r="I651" s="138" t="str">
        <f>+IFERROR(VLOOKUP(D651,Conceptos_Analítica_contraloría[#All],2,0),"")</f>
        <v/>
      </c>
      <c r="J651" s="138" t="str">
        <f>+IFERROR(VLOOKUP(D651,Conceptos_Analítica_contraloría[#All],3,0),"")</f>
        <v/>
      </c>
    </row>
    <row r="652" spans="3:10" x14ac:dyDescent="0.35">
      <c r="C652" s="144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s="138" t="str">
        <f>+IFERROR(VLOOKUP(Fact_Analitica[[#This Row],[Concepto Anterior]],Conceptos_Analítica_contraloría[#All],5,0),"")</f>
        <v/>
      </c>
      <c r="F652" s="138" t="str">
        <f>+IFERROR(VLOOKUP(Fact_Analitica[[#This Row],[Concepto Anterior]],Conceptos_Analítica_contraloría[#All],7,0),"")</f>
        <v/>
      </c>
      <c r="I652" s="138" t="str">
        <f>+IFERROR(VLOOKUP(D652,Conceptos_Analítica_contraloría[#All],2,0),"")</f>
        <v/>
      </c>
      <c r="J652" s="138" t="str">
        <f>+IFERROR(VLOOKUP(D652,Conceptos_Analítica_contraloría[#All],3,0),"")</f>
        <v/>
      </c>
    </row>
    <row r="653" spans="3:10" x14ac:dyDescent="0.35">
      <c r="C653" s="144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s="138" t="str">
        <f>+IFERROR(VLOOKUP(Fact_Analitica[[#This Row],[Concepto Anterior]],Conceptos_Analítica_contraloría[#All],5,0),"")</f>
        <v/>
      </c>
      <c r="F653" s="138" t="str">
        <f>+IFERROR(VLOOKUP(Fact_Analitica[[#This Row],[Concepto Anterior]],Conceptos_Analítica_contraloría[#All],7,0),"")</f>
        <v/>
      </c>
      <c r="I653" s="138" t="str">
        <f>+IFERROR(VLOOKUP(D653,Conceptos_Analítica_contraloría[#All],2,0),"")</f>
        <v/>
      </c>
      <c r="J653" s="138" t="str">
        <f>+IFERROR(VLOOKUP(D653,Conceptos_Analítica_contraloría[#All],3,0),"")</f>
        <v/>
      </c>
    </row>
    <row r="654" spans="3:10" x14ac:dyDescent="0.35">
      <c r="C654" s="144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s="138" t="str">
        <f>+IFERROR(VLOOKUP(Fact_Analitica[[#This Row],[Concepto Anterior]],Conceptos_Analítica_contraloría[#All],5,0),"")</f>
        <v/>
      </c>
      <c r="F654" s="138" t="str">
        <f>+IFERROR(VLOOKUP(Fact_Analitica[[#This Row],[Concepto Anterior]],Conceptos_Analítica_contraloría[#All],7,0),"")</f>
        <v/>
      </c>
      <c r="I654" s="138" t="str">
        <f>+IFERROR(VLOOKUP(D654,Conceptos_Analítica_contraloría[#All],2,0),"")</f>
        <v/>
      </c>
      <c r="J654" s="138" t="str">
        <f>+IFERROR(VLOOKUP(D654,Conceptos_Analítica_contraloría[#All],3,0),"")</f>
        <v/>
      </c>
    </row>
    <row r="655" spans="3:10" x14ac:dyDescent="0.35">
      <c r="C655" s="144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s="138" t="str">
        <f>+IFERROR(VLOOKUP(Fact_Analitica[[#This Row],[Concepto Anterior]],Conceptos_Analítica_contraloría[#All],5,0),"")</f>
        <v/>
      </c>
      <c r="F655" s="138" t="str">
        <f>+IFERROR(VLOOKUP(Fact_Analitica[[#This Row],[Concepto Anterior]],Conceptos_Analítica_contraloría[#All],7,0),"")</f>
        <v/>
      </c>
      <c r="I655" s="138" t="str">
        <f>+IFERROR(VLOOKUP(D655,Conceptos_Analítica_contraloría[#All],2,0),"")</f>
        <v/>
      </c>
      <c r="J655" s="138" t="str">
        <f>+IFERROR(VLOOKUP(D655,Conceptos_Analítica_contraloría[#All],3,0),"")</f>
        <v/>
      </c>
    </row>
    <row r="656" spans="3:10" x14ac:dyDescent="0.35">
      <c r="C656" s="144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s="138" t="str">
        <f>+IFERROR(VLOOKUP(Fact_Analitica[[#This Row],[Concepto Anterior]],Conceptos_Analítica_contraloría[#All],5,0),"")</f>
        <v/>
      </c>
      <c r="F656" s="138" t="str">
        <f>+IFERROR(VLOOKUP(Fact_Analitica[[#This Row],[Concepto Anterior]],Conceptos_Analítica_contraloría[#All],7,0),"")</f>
        <v/>
      </c>
      <c r="I656" s="138" t="str">
        <f>+IFERROR(VLOOKUP(D656,Conceptos_Analítica_contraloría[#All],2,0),"")</f>
        <v/>
      </c>
      <c r="J656" s="138" t="str">
        <f>+IFERROR(VLOOKUP(D656,Conceptos_Analítica_contraloría[#All],3,0),"")</f>
        <v/>
      </c>
    </row>
    <row r="657" spans="3:10" x14ac:dyDescent="0.35">
      <c r="C657" s="144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s="138" t="str">
        <f>+IFERROR(VLOOKUP(Fact_Analitica[[#This Row],[Concepto Anterior]],Conceptos_Analítica_contraloría[#All],5,0),"")</f>
        <v/>
      </c>
      <c r="F657" s="138" t="str">
        <f>+IFERROR(VLOOKUP(Fact_Analitica[[#This Row],[Concepto Anterior]],Conceptos_Analítica_contraloría[#All],7,0),"")</f>
        <v/>
      </c>
      <c r="I657" s="138" t="str">
        <f>+IFERROR(VLOOKUP(D657,Conceptos_Analítica_contraloría[#All],2,0),"")</f>
        <v/>
      </c>
      <c r="J657" s="138" t="str">
        <f>+IFERROR(VLOOKUP(D657,Conceptos_Analítica_contraloría[#All],3,0),"")</f>
        <v/>
      </c>
    </row>
    <row r="658" spans="3:10" x14ac:dyDescent="0.35">
      <c r="C658" s="144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s="138" t="str">
        <f>+IFERROR(VLOOKUP(Fact_Analitica[[#This Row],[Concepto Anterior]],Conceptos_Analítica_contraloría[#All],5,0),"")</f>
        <v/>
      </c>
      <c r="F658" s="138" t="str">
        <f>+IFERROR(VLOOKUP(Fact_Analitica[[#This Row],[Concepto Anterior]],Conceptos_Analítica_contraloría[#All],7,0),"")</f>
        <v/>
      </c>
      <c r="I658" s="138" t="str">
        <f>+IFERROR(VLOOKUP(D658,Conceptos_Analítica_contraloría[#All],2,0),"")</f>
        <v/>
      </c>
      <c r="J658" s="138" t="str">
        <f>+IFERROR(VLOOKUP(D658,Conceptos_Analítica_contraloría[#All],3,0),"")</f>
        <v/>
      </c>
    </row>
    <row r="659" spans="3:10" x14ac:dyDescent="0.35">
      <c r="C659" s="144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s="138" t="str">
        <f>+IFERROR(VLOOKUP(Fact_Analitica[[#This Row],[Concepto Anterior]],Conceptos_Analítica_contraloría[#All],5,0),"")</f>
        <v/>
      </c>
      <c r="F659" s="138" t="str">
        <f>+IFERROR(VLOOKUP(Fact_Analitica[[#This Row],[Concepto Anterior]],Conceptos_Analítica_contraloría[#All],7,0),"")</f>
        <v/>
      </c>
      <c r="I659" s="138" t="str">
        <f>+IFERROR(VLOOKUP(D659,Conceptos_Analítica_contraloría[#All],2,0),"")</f>
        <v/>
      </c>
      <c r="J659" s="138" t="str">
        <f>+IFERROR(VLOOKUP(D659,Conceptos_Analítica_contraloría[#All],3,0),"")</f>
        <v/>
      </c>
    </row>
    <row r="660" spans="3:10" x14ac:dyDescent="0.35">
      <c r="C660" s="144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s="138" t="str">
        <f>+IFERROR(VLOOKUP(Fact_Analitica[[#This Row],[Concepto Anterior]],Conceptos_Analítica_contraloría[#All],5,0),"")</f>
        <v/>
      </c>
      <c r="F660" s="138" t="str">
        <f>+IFERROR(VLOOKUP(Fact_Analitica[[#This Row],[Concepto Anterior]],Conceptos_Analítica_contraloría[#All],7,0),"")</f>
        <v/>
      </c>
      <c r="I660" s="138" t="str">
        <f>+IFERROR(VLOOKUP(D660,Conceptos_Analítica_contraloría[#All],2,0),"")</f>
        <v/>
      </c>
      <c r="J660" s="138" t="str">
        <f>+IFERROR(VLOOKUP(D660,Conceptos_Analítica_contraloría[#All],3,0),"")</f>
        <v/>
      </c>
    </row>
    <row r="661" spans="3:10" x14ac:dyDescent="0.35">
      <c r="C661" s="144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s="138" t="str">
        <f>+IFERROR(VLOOKUP(Fact_Analitica[[#This Row],[Concepto Anterior]],Conceptos_Analítica_contraloría[#All],5,0),"")</f>
        <v/>
      </c>
      <c r="F661" s="138" t="str">
        <f>+IFERROR(VLOOKUP(Fact_Analitica[[#This Row],[Concepto Anterior]],Conceptos_Analítica_contraloría[#All],7,0),"")</f>
        <v/>
      </c>
      <c r="I661" s="138" t="str">
        <f>+IFERROR(VLOOKUP(D661,Conceptos_Analítica_contraloría[#All],2,0),"")</f>
        <v/>
      </c>
      <c r="J661" s="138" t="str">
        <f>+IFERROR(VLOOKUP(D661,Conceptos_Analítica_contraloría[#All],3,0),"")</f>
        <v/>
      </c>
    </row>
    <row r="662" spans="3:10" x14ac:dyDescent="0.35">
      <c r="C662" s="144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s="138" t="str">
        <f>+IFERROR(VLOOKUP(Fact_Analitica[[#This Row],[Concepto Anterior]],Conceptos_Analítica_contraloría[#All],5,0),"")</f>
        <v/>
      </c>
      <c r="F662" s="138" t="str">
        <f>+IFERROR(VLOOKUP(Fact_Analitica[[#This Row],[Concepto Anterior]],Conceptos_Analítica_contraloría[#All],7,0),"")</f>
        <v/>
      </c>
      <c r="I662" s="138" t="str">
        <f>+IFERROR(VLOOKUP(D662,Conceptos_Analítica_contraloría[#All],2,0),"")</f>
        <v/>
      </c>
      <c r="J662" s="138" t="str">
        <f>+IFERROR(VLOOKUP(D662,Conceptos_Analítica_contraloría[#All],3,0),"")</f>
        <v/>
      </c>
    </row>
    <row r="663" spans="3:10" x14ac:dyDescent="0.35">
      <c r="C663" s="144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s="138" t="str">
        <f>+IFERROR(VLOOKUP(Fact_Analitica[[#This Row],[Concepto Anterior]],Conceptos_Analítica_contraloría[#All],5,0),"")</f>
        <v/>
      </c>
      <c r="F663" s="138" t="str">
        <f>+IFERROR(VLOOKUP(Fact_Analitica[[#This Row],[Concepto Anterior]],Conceptos_Analítica_contraloría[#All],7,0),"")</f>
        <v/>
      </c>
      <c r="I663" s="138" t="str">
        <f>+IFERROR(VLOOKUP(D663,Conceptos_Analítica_contraloría[#All],2,0),"")</f>
        <v/>
      </c>
      <c r="J663" s="138" t="str">
        <f>+IFERROR(VLOOKUP(D663,Conceptos_Analítica_contraloría[#All],3,0),"")</f>
        <v/>
      </c>
    </row>
    <row r="664" spans="3:10" x14ac:dyDescent="0.35">
      <c r="C664" s="144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s="138" t="str">
        <f>+IFERROR(VLOOKUP(Fact_Analitica[[#This Row],[Concepto Anterior]],Conceptos_Analítica_contraloría[#All],5,0),"")</f>
        <v/>
      </c>
      <c r="F664" s="138" t="str">
        <f>+IFERROR(VLOOKUP(Fact_Analitica[[#This Row],[Concepto Anterior]],Conceptos_Analítica_contraloría[#All],7,0),"")</f>
        <v/>
      </c>
      <c r="I664" s="138" t="str">
        <f>+IFERROR(VLOOKUP(D664,Conceptos_Analítica_contraloría[#All],2,0),"")</f>
        <v/>
      </c>
      <c r="J664" s="138" t="str">
        <f>+IFERROR(VLOOKUP(D664,Conceptos_Analítica_contraloría[#All],3,0),"")</f>
        <v/>
      </c>
    </row>
    <row r="665" spans="3:10" x14ac:dyDescent="0.35">
      <c r="C665" s="144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s="138" t="str">
        <f>+IFERROR(VLOOKUP(Fact_Analitica[[#This Row],[Concepto Anterior]],Conceptos_Analítica_contraloría[#All],5,0),"")</f>
        <v/>
      </c>
      <c r="F665" s="138" t="str">
        <f>+IFERROR(VLOOKUP(Fact_Analitica[[#This Row],[Concepto Anterior]],Conceptos_Analítica_contraloría[#All],7,0),"")</f>
        <v/>
      </c>
      <c r="I665" s="138" t="str">
        <f>+IFERROR(VLOOKUP(D665,Conceptos_Analítica_contraloría[#All],2,0),"")</f>
        <v/>
      </c>
      <c r="J665" s="138" t="str">
        <f>+IFERROR(VLOOKUP(D665,Conceptos_Analítica_contraloría[#All],3,0),"")</f>
        <v/>
      </c>
    </row>
    <row r="666" spans="3:10" x14ac:dyDescent="0.35">
      <c r="C666" s="144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s="138" t="str">
        <f>+IFERROR(VLOOKUP(Fact_Analitica[[#This Row],[Concepto Anterior]],Conceptos_Analítica_contraloría[#All],5,0),"")</f>
        <v/>
      </c>
      <c r="F666" s="138" t="str">
        <f>+IFERROR(VLOOKUP(Fact_Analitica[[#This Row],[Concepto Anterior]],Conceptos_Analítica_contraloría[#All],7,0),"")</f>
        <v/>
      </c>
      <c r="I666" s="138" t="str">
        <f>+IFERROR(VLOOKUP(D666,Conceptos_Analítica_contraloría[#All],2,0),"")</f>
        <v/>
      </c>
      <c r="J666" s="138" t="str">
        <f>+IFERROR(VLOOKUP(D666,Conceptos_Analítica_contraloría[#All],3,0),"")</f>
        <v/>
      </c>
    </row>
    <row r="667" spans="3:10" x14ac:dyDescent="0.35">
      <c r="C667" s="144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s="138" t="str">
        <f>+IFERROR(VLOOKUP(Fact_Analitica[[#This Row],[Concepto Anterior]],Conceptos_Analítica_contraloría[#All],5,0),"")</f>
        <v/>
      </c>
      <c r="F667" s="138" t="str">
        <f>+IFERROR(VLOOKUP(Fact_Analitica[[#This Row],[Concepto Anterior]],Conceptos_Analítica_contraloría[#All],7,0),"")</f>
        <v/>
      </c>
      <c r="I667" s="138" t="str">
        <f>+IFERROR(VLOOKUP(D667,Conceptos_Analítica_contraloría[#All],2,0),"")</f>
        <v/>
      </c>
      <c r="J667" s="138" t="str">
        <f>+IFERROR(VLOOKUP(D667,Conceptos_Analítica_contraloría[#All],3,0),"")</f>
        <v/>
      </c>
    </row>
    <row r="668" spans="3:10" x14ac:dyDescent="0.35">
      <c r="C668" s="144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s="138" t="str">
        <f>+IFERROR(VLOOKUP(Fact_Analitica[[#This Row],[Concepto Anterior]],Conceptos_Analítica_contraloría[#All],5,0),"")</f>
        <v/>
      </c>
      <c r="F668" s="138" t="str">
        <f>+IFERROR(VLOOKUP(Fact_Analitica[[#This Row],[Concepto Anterior]],Conceptos_Analítica_contraloría[#All],7,0),"")</f>
        <v/>
      </c>
      <c r="I668" s="138" t="str">
        <f>+IFERROR(VLOOKUP(D668,Conceptos_Analítica_contraloría[#All],2,0),"")</f>
        <v/>
      </c>
      <c r="J668" s="138" t="str">
        <f>+IFERROR(VLOOKUP(D668,Conceptos_Analítica_contraloría[#All],3,0),"")</f>
        <v/>
      </c>
    </row>
    <row r="669" spans="3:10" x14ac:dyDescent="0.35">
      <c r="C669" s="144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s="138" t="str">
        <f>+IFERROR(VLOOKUP(Fact_Analitica[[#This Row],[Concepto Anterior]],Conceptos_Analítica_contraloría[#All],5,0),"")</f>
        <v/>
      </c>
      <c r="F669" s="138" t="str">
        <f>+IFERROR(VLOOKUP(Fact_Analitica[[#This Row],[Concepto Anterior]],Conceptos_Analítica_contraloría[#All],7,0),"")</f>
        <v/>
      </c>
      <c r="I669" s="138" t="str">
        <f>+IFERROR(VLOOKUP(D669,Conceptos_Analítica_contraloría[#All],2,0),"")</f>
        <v/>
      </c>
      <c r="J669" s="138" t="str">
        <f>+IFERROR(VLOOKUP(D669,Conceptos_Analítica_contraloría[#All],3,0),"")</f>
        <v/>
      </c>
    </row>
    <row r="670" spans="3:10" x14ac:dyDescent="0.35">
      <c r="C670" s="144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s="138" t="str">
        <f>+IFERROR(VLOOKUP(Fact_Analitica[[#This Row],[Concepto Anterior]],Conceptos_Analítica_contraloría[#All],5,0),"")</f>
        <v/>
      </c>
      <c r="F670" s="138" t="str">
        <f>+IFERROR(VLOOKUP(Fact_Analitica[[#This Row],[Concepto Anterior]],Conceptos_Analítica_contraloría[#All],7,0),"")</f>
        <v/>
      </c>
      <c r="I670" s="138" t="str">
        <f>+IFERROR(VLOOKUP(D670,Conceptos_Analítica_contraloría[#All],2,0),"")</f>
        <v/>
      </c>
      <c r="J670" s="138" t="str">
        <f>+IFERROR(VLOOKUP(D670,Conceptos_Analítica_contraloría[#All],3,0),"")</f>
        <v/>
      </c>
    </row>
    <row r="671" spans="3:10" x14ac:dyDescent="0.35">
      <c r="C671" s="144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s="138" t="str">
        <f>+IFERROR(VLOOKUP(Fact_Analitica[[#This Row],[Concepto Anterior]],Conceptos_Analítica_contraloría[#All],5,0),"")</f>
        <v/>
      </c>
      <c r="F671" s="138" t="str">
        <f>+IFERROR(VLOOKUP(Fact_Analitica[[#This Row],[Concepto Anterior]],Conceptos_Analítica_contraloría[#All],7,0),"")</f>
        <v/>
      </c>
      <c r="I671" s="138" t="str">
        <f>+IFERROR(VLOOKUP(D671,Conceptos_Analítica_contraloría[#All],2,0),"")</f>
        <v/>
      </c>
      <c r="J671" s="138" t="str">
        <f>+IFERROR(VLOOKUP(D671,Conceptos_Analítica_contraloría[#All],3,0),"")</f>
        <v/>
      </c>
    </row>
    <row r="672" spans="3:10" x14ac:dyDescent="0.35">
      <c r="C672" s="144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s="138" t="str">
        <f>+IFERROR(VLOOKUP(Fact_Analitica[[#This Row],[Concepto Anterior]],Conceptos_Analítica_contraloría[#All],5,0),"")</f>
        <v/>
      </c>
      <c r="F672" s="138" t="str">
        <f>+IFERROR(VLOOKUP(Fact_Analitica[[#This Row],[Concepto Anterior]],Conceptos_Analítica_contraloría[#All],7,0),"")</f>
        <v/>
      </c>
      <c r="I672" s="138" t="str">
        <f>+IFERROR(VLOOKUP(D672,Conceptos_Analítica_contraloría[#All],2,0),"")</f>
        <v/>
      </c>
      <c r="J672" s="138" t="str">
        <f>+IFERROR(VLOOKUP(D672,Conceptos_Analítica_contraloría[#All],3,0),"")</f>
        <v/>
      </c>
    </row>
    <row r="673" spans="3:10" x14ac:dyDescent="0.35">
      <c r="C673" s="144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s="138" t="str">
        <f>+IFERROR(VLOOKUP(Fact_Analitica[[#This Row],[Concepto Anterior]],Conceptos_Analítica_contraloría[#All],5,0),"")</f>
        <v/>
      </c>
      <c r="F673" s="138" t="str">
        <f>+IFERROR(VLOOKUP(Fact_Analitica[[#This Row],[Concepto Anterior]],Conceptos_Analítica_contraloría[#All],7,0),"")</f>
        <v/>
      </c>
      <c r="I673" s="138" t="str">
        <f>+IFERROR(VLOOKUP(D673,Conceptos_Analítica_contraloría[#All],2,0),"")</f>
        <v/>
      </c>
      <c r="J673" s="138" t="str">
        <f>+IFERROR(VLOOKUP(D673,Conceptos_Analítica_contraloría[#All],3,0),"")</f>
        <v/>
      </c>
    </row>
    <row r="674" spans="3:10" x14ac:dyDescent="0.35">
      <c r="C674" s="144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s="138" t="str">
        <f>+IFERROR(VLOOKUP(Fact_Analitica[[#This Row],[Concepto Anterior]],Conceptos_Analítica_contraloría[#All],5,0),"")</f>
        <v/>
      </c>
      <c r="F674" s="138" t="str">
        <f>+IFERROR(VLOOKUP(Fact_Analitica[[#This Row],[Concepto Anterior]],Conceptos_Analítica_contraloría[#All],7,0),"")</f>
        <v/>
      </c>
      <c r="I674" s="138" t="str">
        <f>+IFERROR(VLOOKUP(D674,Conceptos_Analítica_contraloría[#All],2,0),"")</f>
        <v/>
      </c>
      <c r="J674" s="138" t="str">
        <f>+IFERROR(VLOOKUP(D674,Conceptos_Analítica_contraloría[#All],3,0),"")</f>
        <v/>
      </c>
    </row>
    <row r="675" spans="3:10" x14ac:dyDescent="0.35">
      <c r="C675" s="144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s="138" t="str">
        <f>+IFERROR(VLOOKUP(Fact_Analitica[[#This Row],[Concepto Anterior]],Conceptos_Analítica_contraloría[#All],5,0),"")</f>
        <v/>
      </c>
      <c r="F675" s="138" t="str">
        <f>+IFERROR(VLOOKUP(Fact_Analitica[[#This Row],[Concepto Anterior]],Conceptos_Analítica_contraloría[#All],7,0),"")</f>
        <v/>
      </c>
      <c r="I675" s="138" t="str">
        <f>+IFERROR(VLOOKUP(D675,Conceptos_Analítica_contraloría[#All],2,0),"")</f>
        <v/>
      </c>
      <c r="J675" s="138" t="str">
        <f>+IFERROR(VLOOKUP(D675,Conceptos_Analítica_contraloría[#All],3,0),"")</f>
        <v/>
      </c>
    </row>
    <row r="676" spans="3:10" x14ac:dyDescent="0.35">
      <c r="C676" s="144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s="138" t="str">
        <f>+IFERROR(VLOOKUP(Fact_Analitica[[#This Row],[Concepto Anterior]],Conceptos_Analítica_contraloría[#All],5,0),"")</f>
        <v/>
      </c>
      <c r="F676" s="138" t="str">
        <f>+IFERROR(VLOOKUP(Fact_Analitica[[#This Row],[Concepto Anterior]],Conceptos_Analítica_contraloría[#All],7,0),"")</f>
        <v/>
      </c>
      <c r="I676" s="138" t="str">
        <f>+IFERROR(VLOOKUP(D676,Conceptos_Analítica_contraloría[#All],2,0),"")</f>
        <v/>
      </c>
      <c r="J676" s="138" t="str">
        <f>+IFERROR(VLOOKUP(D676,Conceptos_Analítica_contraloría[#All],3,0),"")</f>
        <v/>
      </c>
    </row>
    <row r="677" spans="3:10" x14ac:dyDescent="0.35">
      <c r="C677" s="144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s="138" t="str">
        <f>+IFERROR(VLOOKUP(Fact_Analitica[[#This Row],[Concepto Anterior]],Conceptos_Analítica_contraloría[#All],5,0),"")</f>
        <v/>
      </c>
      <c r="F677" s="138" t="str">
        <f>+IFERROR(VLOOKUP(Fact_Analitica[[#This Row],[Concepto Anterior]],Conceptos_Analítica_contraloría[#All],7,0),"")</f>
        <v/>
      </c>
      <c r="I677" s="138" t="str">
        <f>+IFERROR(VLOOKUP(D677,Conceptos_Analítica_contraloría[#All],2,0),"")</f>
        <v/>
      </c>
      <c r="J677" s="138" t="str">
        <f>+IFERROR(VLOOKUP(D677,Conceptos_Analítica_contraloría[#All],3,0),"")</f>
        <v/>
      </c>
    </row>
    <row r="678" spans="3:10" x14ac:dyDescent="0.35">
      <c r="C678" s="144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s="138" t="str">
        <f>+IFERROR(VLOOKUP(Fact_Analitica[[#This Row],[Concepto Anterior]],Conceptos_Analítica_contraloría[#All],5,0),"")</f>
        <v/>
      </c>
      <c r="F678" s="138" t="str">
        <f>+IFERROR(VLOOKUP(Fact_Analitica[[#This Row],[Concepto Anterior]],Conceptos_Analítica_contraloría[#All],7,0),"")</f>
        <v/>
      </c>
      <c r="I678" s="138" t="str">
        <f>+IFERROR(VLOOKUP(D678,Conceptos_Analítica_contraloría[#All],2,0),"")</f>
        <v/>
      </c>
      <c r="J678" s="138" t="str">
        <f>+IFERROR(VLOOKUP(D678,Conceptos_Analítica_contraloría[#All],3,0),"")</f>
        <v/>
      </c>
    </row>
    <row r="679" spans="3:10" x14ac:dyDescent="0.35">
      <c r="C679" s="144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s="138" t="str">
        <f>+IFERROR(VLOOKUP(Fact_Analitica[[#This Row],[Concepto Anterior]],Conceptos_Analítica_contraloría[#All],5,0),"")</f>
        <v/>
      </c>
      <c r="F679" s="138" t="str">
        <f>+IFERROR(VLOOKUP(Fact_Analitica[[#This Row],[Concepto Anterior]],Conceptos_Analítica_contraloría[#All],7,0),"")</f>
        <v/>
      </c>
      <c r="I679" s="138" t="str">
        <f>+IFERROR(VLOOKUP(D679,Conceptos_Analítica_contraloría[#All],2,0),"")</f>
        <v/>
      </c>
      <c r="J679" s="138" t="str">
        <f>+IFERROR(VLOOKUP(D679,Conceptos_Analítica_contraloría[#All],3,0),"")</f>
        <v/>
      </c>
    </row>
    <row r="680" spans="3:10" x14ac:dyDescent="0.35">
      <c r="C680" s="144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s="138" t="str">
        <f>+IFERROR(VLOOKUP(Fact_Analitica[[#This Row],[Concepto Anterior]],Conceptos_Analítica_contraloría[#All],5,0),"")</f>
        <v/>
      </c>
      <c r="F680" s="138" t="str">
        <f>+IFERROR(VLOOKUP(Fact_Analitica[[#This Row],[Concepto Anterior]],Conceptos_Analítica_contraloría[#All],7,0),"")</f>
        <v/>
      </c>
      <c r="I680" s="138" t="str">
        <f>+IFERROR(VLOOKUP(D680,Conceptos_Analítica_contraloría[#All],2,0),"")</f>
        <v/>
      </c>
      <c r="J680" s="138" t="str">
        <f>+IFERROR(VLOOKUP(D680,Conceptos_Analítica_contraloría[#All],3,0),"")</f>
        <v/>
      </c>
    </row>
    <row r="681" spans="3:10" x14ac:dyDescent="0.35">
      <c r="C681" s="144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s="138" t="str">
        <f>+IFERROR(VLOOKUP(Fact_Analitica[[#This Row],[Concepto Anterior]],Conceptos_Analítica_contraloría[#All],5,0),"")</f>
        <v/>
      </c>
      <c r="F681" s="138" t="str">
        <f>+IFERROR(VLOOKUP(Fact_Analitica[[#This Row],[Concepto Anterior]],Conceptos_Analítica_contraloría[#All],7,0),"")</f>
        <v/>
      </c>
      <c r="I681" s="138" t="str">
        <f>+IFERROR(VLOOKUP(D681,Conceptos_Analítica_contraloría[#All],2,0),"")</f>
        <v/>
      </c>
      <c r="J681" s="138" t="str">
        <f>+IFERROR(VLOOKUP(D681,Conceptos_Analítica_contraloría[#All],3,0),"")</f>
        <v/>
      </c>
    </row>
    <row r="682" spans="3:10" x14ac:dyDescent="0.35">
      <c r="C682" s="144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s="138" t="str">
        <f>+IFERROR(VLOOKUP(Fact_Analitica[[#This Row],[Concepto Anterior]],Conceptos_Analítica_contraloría[#All],5,0),"")</f>
        <v/>
      </c>
      <c r="F682" s="138" t="str">
        <f>+IFERROR(VLOOKUP(Fact_Analitica[[#This Row],[Concepto Anterior]],Conceptos_Analítica_contraloría[#All],7,0),"")</f>
        <v/>
      </c>
      <c r="I682" s="138" t="str">
        <f>+IFERROR(VLOOKUP(D682,Conceptos_Analítica_contraloría[#All],2,0),"")</f>
        <v/>
      </c>
      <c r="J682" s="138" t="str">
        <f>+IFERROR(VLOOKUP(D682,Conceptos_Analítica_contraloría[#All],3,0),"")</f>
        <v/>
      </c>
    </row>
    <row r="683" spans="3:10" x14ac:dyDescent="0.35">
      <c r="C683" s="144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s="138" t="str">
        <f>+IFERROR(VLOOKUP(Fact_Analitica[[#This Row],[Concepto Anterior]],Conceptos_Analítica_contraloría[#All],5,0),"")</f>
        <v/>
      </c>
      <c r="F683" s="138" t="str">
        <f>+IFERROR(VLOOKUP(Fact_Analitica[[#This Row],[Concepto Anterior]],Conceptos_Analítica_contraloría[#All],7,0),"")</f>
        <v/>
      </c>
      <c r="I683" s="138" t="str">
        <f>+IFERROR(VLOOKUP(D683,Conceptos_Analítica_contraloría[#All],2,0),"")</f>
        <v/>
      </c>
      <c r="J683" s="138" t="str">
        <f>+IFERROR(VLOOKUP(D683,Conceptos_Analítica_contraloría[#All],3,0),"")</f>
        <v/>
      </c>
    </row>
    <row r="684" spans="3:10" x14ac:dyDescent="0.35">
      <c r="C684" s="144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s="138" t="str">
        <f>+IFERROR(VLOOKUP(Fact_Analitica[[#This Row],[Concepto Anterior]],Conceptos_Analítica_contraloría[#All],5,0),"")</f>
        <v/>
      </c>
      <c r="F684" s="138" t="str">
        <f>+IFERROR(VLOOKUP(Fact_Analitica[[#This Row],[Concepto Anterior]],Conceptos_Analítica_contraloría[#All],7,0),"")</f>
        <v/>
      </c>
      <c r="I684" s="138" t="str">
        <f>+IFERROR(VLOOKUP(D684,Conceptos_Analítica_contraloría[#All],2,0),"")</f>
        <v/>
      </c>
      <c r="J684" s="138" t="str">
        <f>+IFERROR(VLOOKUP(D684,Conceptos_Analítica_contraloría[#All],3,0),"")</f>
        <v/>
      </c>
    </row>
    <row r="685" spans="3:10" x14ac:dyDescent="0.35">
      <c r="C685" s="144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s="138" t="str">
        <f>+IFERROR(VLOOKUP(Fact_Analitica[[#This Row],[Concepto Anterior]],Conceptos_Analítica_contraloría[#All],5,0),"")</f>
        <v/>
      </c>
      <c r="F685" s="138" t="str">
        <f>+IFERROR(VLOOKUP(Fact_Analitica[[#This Row],[Concepto Anterior]],Conceptos_Analítica_contraloría[#All],7,0),"")</f>
        <v/>
      </c>
      <c r="I685" s="138" t="str">
        <f>+IFERROR(VLOOKUP(D685,Conceptos_Analítica_contraloría[#All],2,0),"")</f>
        <v/>
      </c>
      <c r="J685" s="138" t="str">
        <f>+IFERROR(VLOOKUP(D685,Conceptos_Analítica_contraloría[#All],3,0),"")</f>
        <v/>
      </c>
    </row>
    <row r="686" spans="3:10" x14ac:dyDescent="0.35">
      <c r="C686" s="144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s="138" t="str">
        <f>+IFERROR(VLOOKUP(Fact_Analitica[[#This Row],[Concepto Anterior]],Conceptos_Analítica_contraloría[#All],5,0),"")</f>
        <v/>
      </c>
      <c r="F686" s="138" t="str">
        <f>+IFERROR(VLOOKUP(Fact_Analitica[[#This Row],[Concepto Anterior]],Conceptos_Analítica_contraloría[#All],7,0),"")</f>
        <v/>
      </c>
      <c r="I686" s="138" t="str">
        <f>+IFERROR(VLOOKUP(D686,Conceptos_Analítica_contraloría[#All],2,0),"")</f>
        <v/>
      </c>
      <c r="J686" s="138" t="str">
        <f>+IFERROR(VLOOKUP(D686,Conceptos_Analítica_contraloría[#All],3,0),"")</f>
        <v/>
      </c>
    </row>
    <row r="687" spans="3:10" x14ac:dyDescent="0.35">
      <c r="C687" s="144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s="138" t="str">
        <f>+IFERROR(VLOOKUP(Fact_Analitica[[#This Row],[Concepto Anterior]],Conceptos_Analítica_contraloría[#All],5,0),"")</f>
        <v/>
      </c>
      <c r="F687" s="138" t="str">
        <f>+IFERROR(VLOOKUP(Fact_Analitica[[#This Row],[Concepto Anterior]],Conceptos_Analítica_contraloría[#All],7,0),"")</f>
        <v/>
      </c>
      <c r="I687" s="138" t="str">
        <f>+IFERROR(VLOOKUP(D687,Conceptos_Analítica_contraloría[#All],2,0),"")</f>
        <v/>
      </c>
      <c r="J687" s="138" t="str">
        <f>+IFERROR(VLOOKUP(D687,Conceptos_Analítica_contraloría[#All],3,0),"")</f>
        <v/>
      </c>
    </row>
    <row r="688" spans="3:10" x14ac:dyDescent="0.35">
      <c r="C688" s="144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s="138" t="str">
        <f>+IFERROR(VLOOKUP(Fact_Analitica[[#This Row],[Concepto Anterior]],Conceptos_Analítica_contraloría[#All],5,0),"")</f>
        <v/>
      </c>
      <c r="F688" s="138" t="str">
        <f>+IFERROR(VLOOKUP(Fact_Analitica[[#This Row],[Concepto Anterior]],Conceptos_Analítica_contraloría[#All],7,0),"")</f>
        <v/>
      </c>
      <c r="I688" s="138" t="str">
        <f>+IFERROR(VLOOKUP(D688,Conceptos_Analítica_contraloría[#All],2,0),"")</f>
        <v/>
      </c>
      <c r="J688" s="138" t="str">
        <f>+IFERROR(VLOOKUP(D688,Conceptos_Analítica_contraloría[#All],3,0),"")</f>
        <v/>
      </c>
    </row>
    <row r="689" spans="3:10" x14ac:dyDescent="0.35">
      <c r="C689" s="144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s="138" t="str">
        <f>+IFERROR(VLOOKUP(Fact_Analitica[[#This Row],[Concepto Anterior]],Conceptos_Analítica_contraloría[#All],5,0),"")</f>
        <v/>
      </c>
      <c r="F689" s="138" t="str">
        <f>+IFERROR(VLOOKUP(Fact_Analitica[[#This Row],[Concepto Anterior]],Conceptos_Analítica_contraloría[#All],7,0),"")</f>
        <v/>
      </c>
      <c r="I689" s="138" t="str">
        <f>+IFERROR(VLOOKUP(D689,Conceptos_Analítica_contraloría[#All],2,0),"")</f>
        <v/>
      </c>
      <c r="J689" s="138" t="str">
        <f>+IFERROR(VLOOKUP(D689,Conceptos_Analítica_contraloría[#All],3,0),"")</f>
        <v/>
      </c>
    </row>
    <row r="690" spans="3:10" x14ac:dyDescent="0.35">
      <c r="C690" s="144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s="138" t="str">
        <f>+IFERROR(VLOOKUP(Fact_Analitica[[#This Row],[Concepto Anterior]],Conceptos_Analítica_contraloría[#All],5,0),"")</f>
        <v/>
      </c>
      <c r="F690" s="138" t="str">
        <f>+IFERROR(VLOOKUP(Fact_Analitica[[#This Row],[Concepto Anterior]],Conceptos_Analítica_contraloría[#All],7,0),"")</f>
        <v/>
      </c>
      <c r="I690" s="138" t="str">
        <f>+IFERROR(VLOOKUP(D690,Conceptos_Analítica_contraloría[#All],2,0),"")</f>
        <v/>
      </c>
      <c r="J690" s="138" t="str">
        <f>+IFERROR(VLOOKUP(D690,Conceptos_Analítica_contraloría[#All],3,0),"")</f>
        <v/>
      </c>
    </row>
    <row r="691" spans="3:10" x14ac:dyDescent="0.35">
      <c r="C691" s="144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s="138" t="str">
        <f>+IFERROR(VLOOKUP(Fact_Analitica[[#This Row],[Concepto Anterior]],Conceptos_Analítica_contraloría[#All],5,0),"")</f>
        <v/>
      </c>
      <c r="F691" s="138" t="str">
        <f>+IFERROR(VLOOKUP(Fact_Analitica[[#This Row],[Concepto Anterior]],Conceptos_Analítica_contraloría[#All],7,0),"")</f>
        <v/>
      </c>
      <c r="I691" s="138" t="str">
        <f>+IFERROR(VLOOKUP(D691,Conceptos_Analítica_contraloría[#All],2,0),"")</f>
        <v/>
      </c>
      <c r="J691" s="138" t="str">
        <f>+IFERROR(VLOOKUP(D691,Conceptos_Analítica_contraloría[#All],3,0),"")</f>
        <v/>
      </c>
    </row>
    <row r="692" spans="3:10" x14ac:dyDescent="0.35">
      <c r="C692" s="144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s="138" t="str">
        <f>+IFERROR(VLOOKUP(Fact_Analitica[[#This Row],[Concepto Anterior]],Conceptos_Analítica_contraloría[#All],5,0),"")</f>
        <v/>
      </c>
      <c r="F692" s="138" t="str">
        <f>+IFERROR(VLOOKUP(Fact_Analitica[[#This Row],[Concepto Anterior]],Conceptos_Analítica_contraloría[#All],7,0),"")</f>
        <v/>
      </c>
      <c r="I692" s="138" t="str">
        <f>+IFERROR(VLOOKUP(D692,Conceptos_Analítica_contraloría[#All],2,0),"")</f>
        <v/>
      </c>
      <c r="J692" s="138" t="str">
        <f>+IFERROR(VLOOKUP(D692,Conceptos_Analítica_contraloría[#All],3,0),"")</f>
        <v/>
      </c>
    </row>
    <row r="693" spans="3:10" x14ac:dyDescent="0.35">
      <c r="C693" s="144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s="138" t="str">
        <f>+IFERROR(VLOOKUP(Fact_Analitica[[#This Row],[Concepto Anterior]],Conceptos_Analítica_contraloría[#All],5,0),"")</f>
        <v/>
      </c>
      <c r="F693" s="138" t="str">
        <f>+IFERROR(VLOOKUP(Fact_Analitica[[#This Row],[Concepto Anterior]],Conceptos_Analítica_contraloría[#All],7,0),"")</f>
        <v/>
      </c>
      <c r="I693" s="138" t="str">
        <f>+IFERROR(VLOOKUP(D693,Conceptos_Analítica_contraloría[#All],2,0),"")</f>
        <v/>
      </c>
      <c r="J693" s="138" t="str">
        <f>+IFERROR(VLOOKUP(D693,Conceptos_Analítica_contraloría[#All],3,0),"")</f>
        <v/>
      </c>
    </row>
    <row r="694" spans="3:10" x14ac:dyDescent="0.35">
      <c r="C694" s="144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s="138" t="str">
        <f>+IFERROR(VLOOKUP(Fact_Analitica[[#This Row],[Concepto Anterior]],Conceptos_Analítica_contraloría[#All],5,0),"")</f>
        <v/>
      </c>
      <c r="F694" s="138" t="str">
        <f>+IFERROR(VLOOKUP(Fact_Analitica[[#This Row],[Concepto Anterior]],Conceptos_Analítica_contraloría[#All],7,0),"")</f>
        <v/>
      </c>
      <c r="I694" s="138" t="str">
        <f>+IFERROR(VLOOKUP(D694,Conceptos_Analítica_contraloría[#All],2,0),"")</f>
        <v/>
      </c>
      <c r="J694" s="138" t="str">
        <f>+IFERROR(VLOOKUP(D694,Conceptos_Analítica_contraloría[#All],3,0),"")</f>
        <v/>
      </c>
    </row>
    <row r="695" spans="3:10" x14ac:dyDescent="0.35">
      <c r="C695" s="144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s="138" t="str">
        <f>+IFERROR(VLOOKUP(Fact_Analitica[[#This Row],[Concepto Anterior]],Conceptos_Analítica_contraloría[#All],5,0),"")</f>
        <v/>
      </c>
      <c r="F695" s="138" t="str">
        <f>+IFERROR(VLOOKUP(Fact_Analitica[[#This Row],[Concepto Anterior]],Conceptos_Analítica_contraloría[#All],7,0),"")</f>
        <v/>
      </c>
      <c r="I695" s="138" t="str">
        <f>+IFERROR(VLOOKUP(D695,Conceptos_Analítica_contraloría[#All],2,0),"")</f>
        <v/>
      </c>
      <c r="J695" s="138" t="str">
        <f>+IFERROR(VLOOKUP(D695,Conceptos_Analítica_contraloría[#All],3,0),"")</f>
        <v/>
      </c>
    </row>
    <row r="696" spans="3:10" x14ac:dyDescent="0.35">
      <c r="C696" s="144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s="138" t="str">
        <f>+IFERROR(VLOOKUP(Fact_Analitica[[#This Row],[Concepto Anterior]],Conceptos_Analítica_contraloría[#All],5,0),"")</f>
        <v/>
      </c>
      <c r="F696" s="138" t="str">
        <f>+IFERROR(VLOOKUP(Fact_Analitica[[#This Row],[Concepto Anterior]],Conceptos_Analítica_contraloría[#All],7,0),"")</f>
        <v/>
      </c>
      <c r="I696" s="138" t="str">
        <f>+IFERROR(VLOOKUP(D696,Conceptos_Analítica_contraloría[#All],2,0),"")</f>
        <v/>
      </c>
      <c r="J696" s="138" t="str">
        <f>+IFERROR(VLOOKUP(D696,Conceptos_Analítica_contraloría[#All],3,0),"")</f>
        <v/>
      </c>
    </row>
    <row r="697" spans="3:10" x14ac:dyDescent="0.35">
      <c r="C697" s="144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s="138" t="str">
        <f>+IFERROR(VLOOKUP(Fact_Analitica[[#This Row],[Concepto Anterior]],Conceptos_Analítica_contraloría[#All],5,0),"")</f>
        <v/>
      </c>
      <c r="F697" s="138" t="str">
        <f>+IFERROR(VLOOKUP(Fact_Analitica[[#This Row],[Concepto Anterior]],Conceptos_Analítica_contraloría[#All],7,0),"")</f>
        <v/>
      </c>
      <c r="I697" s="138" t="str">
        <f>+IFERROR(VLOOKUP(D697,Conceptos_Analítica_contraloría[#All],2,0),"")</f>
        <v/>
      </c>
      <c r="J697" s="138" t="str">
        <f>+IFERROR(VLOOKUP(D697,Conceptos_Analítica_contraloría[#All],3,0),"")</f>
        <v/>
      </c>
    </row>
    <row r="698" spans="3:10" x14ac:dyDescent="0.35">
      <c r="C698" s="144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s="138" t="str">
        <f>+IFERROR(VLOOKUP(Fact_Analitica[[#This Row],[Concepto Anterior]],Conceptos_Analítica_contraloría[#All],5,0),"")</f>
        <v/>
      </c>
      <c r="F698" s="138" t="str">
        <f>+IFERROR(VLOOKUP(Fact_Analitica[[#This Row],[Concepto Anterior]],Conceptos_Analítica_contraloría[#All],7,0),"")</f>
        <v/>
      </c>
      <c r="I698" s="138" t="str">
        <f>+IFERROR(VLOOKUP(D698,Conceptos_Analítica_contraloría[#All],2,0),"")</f>
        <v/>
      </c>
      <c r="J698" s="138" t="str">
        <f>+IFERROR(VLOOKUP(D698,Conceptos_Analítica_contraloría[#All],3,0),"")</f>
        <v/>
      </c>
    </row>
    <row r="699" spans="3:10" x14ac:dyDescent="0.35">
      <c r="C699" s="144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s="138" t="str">
        <f>+IFERROR(VLOOKUP(Fact_Analitica[[#This Row],[Concepto Anterior]],Conceptos_Analítica_contraloría[#All],5,0),"")</f>
        <v/>
      </c>
      <c r="F699" s="138" t="str">
        <f>+IFERROR(VLOOKUP(Fact_Analitica[[#This Row],[Concepto Anterior]],Conceptos_Analítica_contraloría[#All],7,0),"")</f>
        <v/>
      </c>
      <c r="I699" s="138" t="str">
        <f>+IFERROR(VLOOKUP(D699,Conceptos_Analítica_contraloría[#All],2,0),"")</f>
        <v/>
      </c>
      <c r="J699" s="138" t="str">
        <f>+IFERROR(VLOOKUP(D699,Conceptos_Analítica_contraloría[#All],3,0),"")</f>
        <v/>
      </c>
    </row>
    <row r="700" spans="3:10" x14ac:dyDescent="0.35">
      <c r="C700" s="144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s="138" t="str">
        <f>+IFERROR(VLOOKUP(Fact_Analitica[[#This Row],[Concepto Anterior]],Conceptos_Analítica_contraloría[#All],5,0),"")</f>
        <v/>
      </c>
      <c r="F700" s="138" t="str">
        <f>+IFERROR(VLOOKUP(Fact_Analitica[[#This Row],[Concepto Anterior]],Conceptos_Analítica_contraloría[#All],7,0),"")</f>
        <v/>
      </c>
      <c r="I700" s="138" t="str">
        <f>+IFERROR(VLOOKUP(D700,Conceptos_Analítica_contraloría[#All],2,0),"")</f>
        <v/>
      </c>
      <c r="J700" s="138" t="str">
        <f>+IFERROR(VLOOKUP(D700,Conceptos_Analítica_contraloría[#All],3,0),"")</f>
        <v/>
      </c>
    </row>
    <row r="701" spans="3:10" x14ac:dyDescent="0.35">
      <c r="C701" s="144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s="138" t="str">
        <f>+IFERROR(VLOOKUP(Fact_Analitica[[#This Row],[Concepto Anterior]],Conceptos_Analítica_contraloría[#All],5,0),"")</f>
        <v/>
      </c>
      <c r="F701" s="138" t="str">
        <f>+IFERROR(VLOOKUP(Fact_Analitica[[#This Row],[Concepto Anterior]],Conceptos_Analítica_contraloría[#All],7,0),"")</f>
        <v/>
      </c>
      <c r="I701" s="138" t="str">
        <f>+IFERROR(VLOOKUP(D701,Conceptos_Analítica_contraloría[#All],2,0),"")</f>
        <v/>
      </c>
      <c r="J701" s="138" t="str">
        <f>+IFERROR(VLOOKUP(D701,Conceptos_Analítica_contraloría[#All],3,0),"")</f>
        <v/>
      </c>
    </row>
    <row r="702" spans="3:10" x14ac:dyDescent="0.35">
      <c r="C702" s="144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s="138" t="str">
        <f>+IFERROR(VLOOKUP(Fact_Analitica[[#This Row],[Concepto Anterior]],Conceptos_Analítica_contraloría[#All],5,0),"")</f>
        <v/>
      </c>
      <c r="F702" s="138" t="str">
        <f>+IFERROR(VLOOKUP(Fact_Analitica[[#This Row],[Concepto Anterior]],Conceptos_Analítica_contraloría[#All],7,0),"")</f>
        <v/>
      </c>
      <c r="I702" s="138" t="str">
        <f>+IFERROR(VLOOKUP(D702,Conceptos_Analítica_contraloría[#All],2,0),"")</f>
        <v/>
      </c>
      <c r="J702" s="138" t="str">
        <f>+IFERROR(VLOOKUP(D702,Conceptos_Analítica_contraloría[#All],3,0),"")</f>
        <v/>
      </c>
    </row>
    <row r="703" spans="3:10" x14ac:dyDescent="0.35">
      <c r="C703" s="144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s="138" t="str">
        <f>+IFERROR(VLOOKUP(Fact_Analitica[[#This Row],[Concepto Anterior]],Conceptos_Analítica_contraloría[#All],5,0),"")</f>
        <v/>
      </c>
      <c r="F703" s="138" t="str">
        <f>+IFERROR(VLOOKUP(Fact_Analitica[[#This Row],[Concepto Anterior]],Conceptos_Analítica_contraloría[#All],7,0),"")</f>
        <v/>
      </c>
      <c r="I703" s="138" t="str">
        <f>+IFERROR(VLOOKUP(D703,Conceptos_Analítica_contraloría[#All],2,0),"")</f>
        <v/>
      </c>
      <c r="J703" s="138" t="str">
        <f>+IFERROR(VLOOKUP(D703,Conceptos_Analítica_contraloría[#All],3,0),"")</f>
        <v/>
      </c>
    </row>
    <row r="704" spans="3:10" x14ac:dyDescent="0.35">
      <c r="C704" s="144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s="138" t="str">
        <f>+IFERROR(VLOOKUP(Fact_Analitica[[#This Row],[Concepto Anterior]],Conceptos_Analítica_contraloría[#All],5,0),"")</f>
        <v/>
      </c>
      <c r="F704" s="138" t="str">
        <f>+IFERROR(VLOOKUP(Fact_Analitica[[#This Row],[Concepto Anterior]],Conceptos_Analítica_contraloría[#All],7,0),"")</f>
        <v/>
      </c>
      <c r="I704" s="138" t="str">
        <f>+IFERROR(VLOOKUP(D704,Conceptos_Analítica_contraloría[#All],2,0),"")</f>
        <v/>
      </c>
      <c r="J704" s="138" t="str">
        <f>+IFERROR(VLOOKUP(D704,Conceptos_Analítica_contraloría[#All],3,0),"")</f>
        <v/>
      </c>
    </row>
    <row r="705" spans="3:10" x14ac:dyDescent="0.35">
      <c r="C705" s="144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s="138" t="str">
        <f>+IFERROR(VLOOKUP(Fact_Analitica[[#This Row],[Concepto Anterior]],Conceptos_Analítica_contraloría[#All],5,0),"")</f>
        <v/>
      </c>
      <c r="F705" s="138" t="str">
        <f>+IFERROR(VLOOKUP(Fact_Analitica[[#This Row],[Concepto Anterior]],Conceptos_Analítica_contraloría[#All],7,0),"")</f>
        <v/>
      </c>
      <c r="I705" s="138" t="str">
        <f>+IFERROR(VLOOKUP(D705,Conceptos_Analítica_contraloría[#All],2,0),"")</f>
        <v/>
      </c>
      <c r="J705" s="138" t="str">
        <f>+IFERROR(VLOOKUP(D705,Conceptos_Analítica_contraloría[#All],3,0),"")</f>
        <v/>
      </c>
    </row>
    <row r="706" spans="3:10" x14ac:dyDescent="0.35">
      <c r="C706" s="144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s="138" t="str">
        <f>+IFERROR(VLOOKUP(Fact_Analitica[[#This Row],[Concepto Anterior]],Conceptos_Analítica_contraloría[#All],5,0),"")</f>
        <v/>
      </c>
      <c r="F706" s="138" t="str">
        <f>+IFERROR(VLOOKUP(Fact_Analitica[[#This Row],[Concepto Anterior]],Conceptos_Analítica_contraloría[#All],7,0),"")</f>
        <v/>
      </c>
      <c r="I706" s="138" t="str">
        <f>+IFERROR(VLOOKUP(D706,Conceptos_Analítica_contraloría[#All],2,0),"")</f>
        <v/>
      </c>
      <c r="J706" s="138" t="str">
        <f>+IFERROR(VLOOKUP(D706,Conceptos_Analítica_contraloría[#All],3,0),"")</f>
        <v/>
      </c>
    </row>
    <row r="707" spans="3:10" x14ac:dyDescent="0.35">
      <c r="C707" s="144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s="138" t="str">
        <f>+IFERROR(VLOOKUP(Fact_Analitica[[#This Row],[Concepto Anterior]],Conceptos_Analítica_contraloría[#All],5,0),"")</f>
        <v/>
      </c>
      <c r="F707" s="138" t="str">
        <f>+IFERROR(VLOOKUP(Fact_Analitica[[#This Row],[Concepto Anterior]],Conceptos_Analítica_contraloría[#All],7,0),"")</f>
        <v/>
      </c>
      <c r="I707" s="138" t="str">
        <f>+IFERROR(VLOOKUP(D707,Conceptos_Analítica_contraloría[#All],2,0),"")</f>
        <v/>
      </c>
      <c r="J707" s="138" t="str">
        <f>+IFERROR(VLOOKUP(D707,Conceptos_Analítica_contraloría[#All],3,0),"")</f>
        <v/>
      </c>
    </row>
    <row r="708" spans="3:10" x14ac:dyDescent="0.35">
      <c r="C708" s="144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s="138" t="str">
        <f>+IFERROR(VLOOKUP(Fact_Analitica[[#This Row],[Concepto Anterior]],Conceptos_Analítica_contraloría[#All],5,0),"")</f>
        <v/>
      </c>
      <c r="F708" s="138" t="str">
        <f>+IFERROR(VLOOKUP(Fact_Analitica[[#This Row],[Concepto Anterior]],Conceptos_Analítica_contraloría[#All],7,0),"")</f>
        <v/>
      </c>
      <c r="I708" s="138" t="str">
        <f>+IFERROR(VLOOKUP(D708,Conceptos_Analítica_contraloría[#All],2,0),"")</f>
        <v/>
      </c>
      <c r="J708" s="138" t="str">
        <f>+IFERROR(VLOOKUP(D708,Conceptos_Analítica_contraloría[#All],3,0),"")</f>
        <v/>
      </c>
    </row>
    <row r="709" spans="3:10" x14ac:dyDescent="0.35">
      <c r="C709" s="144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s="138" t="str">
        <f>+IFERROR(VLOOKUP(Fact_Analitica[[#This Row],[Concepto Anterior]],Conceptos_Analítica_contraloría[#All],5,0),"")</f>
        <v/>
      </c>
      <c r="F709" s="138" t="str">
        <f>+IFERROR(VLOOKUP(Fact_Analitica[[#This Row],[Concepto Anterior]],Conceptos_Analítica_contraloría[#All],7,0),"")</f>
        <v/>
      </c>
      <c r="I709" s="138" t="str">
        <f>+IFERROR(VLOOKUP(D709,Conceptos_Analítica_contraloría[#All],2,0),"")</f>
        <v/>
      </c>
      <c r="J709" s="138" t="str">
        <f>+IFERROR(VLOOKUP(D709,Conceptos_Analítica_contraloría[#All],3,0),"")</f>
        <v/>
      </c>
    </row>
    <row r="710" spans="3:10" x14ac:dyDescent="0.35">
      <c r="C710" s="144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s="138" t="str">
        <f>+IFERROR(VLOOKUP(Fact_Analitica[[#This Row],[Concepto Anterior]],Conceptos_Analítica_contraloría[#All],5,0),"")</f>
        <v/>
      </c>
      <c r="F710" s="138" t="str">
        <f>+IFERROR(VLOOKUP(Fact_Analitica[[#This Row],[Concepto Anterior]],Conceptos_Analítica_contraloría[#All],7,0),"")</f>
        <v/>
      </c>
      <c r="I710" s="138" t="str">
        <f>+IFERROR(VLOOKUP(D710,Conceptos_Analítica_contraloría[#All],2,0),"")</f>
        <v/>
      </c>
      <c r="J710" s="138" t="str">
        <f>+IFERROR(VLOOKUP(D710,Conceptos_Analítica_contraloría[#All],3,0),"")</f>
        <v/>
      </c>
    </row>
    <row r="711" spans="3:10" x14ac:dyDescent="0.35">
      <c r="C711" s="144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s="138" t="str">
        <f>+IFERROR(VLOOKUP(Fact_Analitica[[#This Row],[Concepto Anterior]],Conceptos_Analítica_contraloría[#All],5,0),"")</f>
        <v/>
      </c>
      <c r="F711" s="138" t="str">
        <f>+IFERROR(VLOOKUP(Fact_Analitica[[#This Row],[Concepto Anterior]],Conceptos_Analítica_contraloría[#All],7,0),"")</f>
        <v/>
      </c>
      <c r="I711" s="138" t="str">
        <f>+IFERROR(VLOOKUP(D711,Conceptos_Analítica_contraloría[#All],2,0),"")</f>
        <v/>
      </c>
      <c r="J711" s="138" t="str">
        <f>+IFERROR(VLOOKUP(D711,Conceptos_Analítica_contraloría[#All],3,0),"")</f>
        <v/>
      </c>
    </row>
    <row r="712" spans="3:10" x14ac:dyDescent="0.35">
      <c r="C712" s="144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s="138" t="str">
        <f>+IFERROR(VLOOKUP(Fact_Analitica[[#This Row],[Concepto Anterior]],Conceptos_Analítica_contraloría[#All],5,0),"")</f>
        <v/>
      </c>
      <c r="F712" s="138" t="str">
        <f>+IFERROR(VLOOKUP(Fact_Analitica[[#This Row],[Concepto Anterior]],Conceptos_Analítica_contraloría[#All],7,0),"")</f>
        <v/>
      </c>
      <c r="I712" s="138" t="str">
        <f>+IFERROR(VLOOKUP(D712,Conceptos_Analítica_contraloría[#All],2,0),"")</f>
        <v/>
      </c>
      <c r="J712" s="138" t="str">
        <f>+IFERROR(VLOOKUP(D712,Conceptos_Analítica_contraloría[#All],3,0),"")</f>
        <v/>
      </c>
    </row>
    <row r="713" spans="3:10" x14ac:dyDescent="0.35">
      <c r="C713" s="144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s="138" t="str">
        <f>+IFERROR(VLOOKUP(Fact_Analitica[[#This Row],[Concepto Anterior]],Conceptos_Analítica_contraloría[#All],5,0),"")</f>
        <v/>
      </c>
      <c r="F713" s="138" t="str">
        <f>+IFERROR(VLOOKUP(Fact_Analitica[[#This Row],[Concepto Anterior]],Conceptos_Analítica_contraloría[#All],7,0),"")</f>
        <v/>
      </c>
      <c r="I713" s="138" t="str">
        <f>+IFERROR(VLOOKUP(D713,Conceptos_Analítica_contraloría[#All],2,0),"")</f>
        <v/>
      </c>
      <c r="J713" s="138" t="str">
        <f>+IFERROR(VLOOKUP(D713,Conceptos_Analítica_contraloría[#All],3,0),"")</f>
        <v/>
      </c>
    </row>
    <row r="714" spans="3:10" x14ac:dyDescent="0.35">
      <c r="C714" s="144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s="138" t="str">
        <f>+IFERROR(VLOOKUP(Fact_Analitica[[#This Row],[Concepto Anterior]],Conceptos_Analítica_contraloría[#All],5,0),"")</f>
        <v/>
      </c>
      <c r="F714" s="138" t="str">
        <f>+IFERROR(VLOOKUP(Fact_Analitica[[#This Row],[Concepto Anterior]],Conceptos_Analítica_contraloría[#All],7,0),"")</f>
        <v/>
      </c>
      <c r="I714" s="138" t="str">
        <f>+IFERROR(VLOOKUP(D714,Conceptos_Analítica_contraloría[#All],2,0),"")</f>
        <v/>
      </c>
      <c r="J714" s="138" t="str">
        <f>+IFERROR(VLOOKUP(D714,Conceptos_Analítica_contraloría[#All],3,0),"")</f>
        <v/>
      </c>
    </row>
    <row r="715" spans="3:10" x14ac:dyDescent="0.35">
      <c r="C715" s="144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s="138" t="str">
        <f>+IFERROR(VLOOKUP(Fact_Analitica[[#This Row],[Concepto Anterior]],Conceptos_Analítica_contraloría[#All],5,0),"")</f>
        <v/>
      </c>
      <c r="F715" s="138" t="str">
        <f>+IFERROR(VLOOKUP(Fact_Analitica[[#This Row],[Concepto Anterior]],Conceptos_Analítica_contraloría[#All],7,0),"")</f>
        <v/>
      </c>
      <c r="I715" s="138" t="str">
        <f>+IFERROR(VLOOKUP(D715,Conceptos_Analítica_contraloría[#All],2,0),"")</f>
        <v/>
      </c>
      <c r="J715" s="138" t="str">
        <f>+IFERROR(VLOOKUP(D715,Conceptos_Analítica_contraloría[#All],3,0),"")</f>
        <v/>
      </c>
    </row>
    <row r="716" spans="3:10" x14ac:dyDescent="0.35">
      <c r="C716" s="144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s="138" t="str">
        <f>+IFERROR(VLOOKUP(Fact_Analitica[[#This Row],[Concepto Anterior]],Conceptos_Analítica_contraloría[#All],5,0),"")</f>
        <v/>
      </c>
      <c r="F716" s="138" t="str">
        <f>+IFERROR(VLOOKUP(Fact_Analitica[[#This Row],[Concepto Anterior]],Conceptos_Analítica_contraloría[#All],7,0),"")</f>
        <v/>
      </c>
      <c r="I716" s="138" t="str">
        <f>+IFERROR(VLOOKUP(D716,Conceptos_Analítica_contraloría[#All],2,0),"")</f>
        <v/>
      </c>
      <c r="J716" s="138" t="str">
        <f>+IFERROR(VLOOKUP(D716,Conceptos_Analítica_contraloría[#All],3,0),"")</f>
        <v/>
      </c>
    </row>
    <row r="717" spans="3:10" x14ac:dyDescent="0.35">
      <c r="C717" s="144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s="138" t="str">
        <f>+IFERROR(VLOOKUP(Fact_Analitica[[#This Row],[Concepto Anterior]],Conceptos_Analítica_contraloría[#All],5,0),"")</f>
        <v/>
      </c>
      <c r="F717" s="138" t="str">
        <f>+IFERROR(VLOOKUP(Fact_Analitica[[#This Row],[Concepto Anterior]],Conceptos_Analítica_contraloría[#All],7,0),"")</f>
        <v/>
      </c>
      <c r="I717" s="138" t="str">
        <f>+IFERROR(VLOOKUP(D717,Conceptos_Analítica_contraloría[#All],2,0),"")</f>
        <v/>
      </c>
      <c r="J717" s="138" t="str">
        <f>+IFERROR(VLOOKUP(D717,Conceptos_Analítica_contraloría[#All],3,0),"")</f>
        <v/>
      </c>
    </row>
    <row r="718" spans="3:10" x14ac:dyDescent="0.35">
      <c r="C718" s="144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s="138" t="str">
        <f>+IFERROR(VLOOKUP(Fact_Analitica[[#This Row],[Concepto Anterior]],Conceptos_Analítica_contraloría[#All],5,0),"")</f>
        <v/>
      </c>
      <c r="F718" s="138" t="str">
        <f>+IFERROR(VLOOKUP(Fact_Analitica[[#This Row],[Concepto Anterior]],Conceptos_Analítica_contraloría[#All],7,0),"")</f>
        <v/>
      </c>
      <c r="I718" s="138" t="str">
        <f>+IFERROR(VLOOKUP(D718,Conceptos_Analítica_contraloría[#All],2,0),"")</f>
        <v/>
      </c>
      <c r="J718" s="138" t="str">
        <f>+IFERROR(VLOOKUP(D718,Conceptos_Analítica_contraloría[#All],3,0),"")</f>
        <v/>
      </c>
    </row>
    <row r="719" spans="3:10" x14ac:dyDescent="0.35">
      <c r="C719" s="144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s="138" t="str">
        <f>+IFERROR(VLOOKUP(Fact_Analitica[[#This Row],[Concepto Anterior]],Conceptos_Analítica_contraloría[#All],5,0),"")</f>
        <v/>
      </c>
      <c r="F719" s="138" t="str">
        <f>+IFERROR(VLOOKUP(Fact_Analitica[[#This Row],[Concepto Anterior]],Conceptos_Analítica_contraloría[#All],7,0),"")</f>
        <v/>
      </c>
      <c r="I719" s="138" t="str">
        <f>+IFERROR(VLOOKUP(D719,Conceptos_Analítica_contraloría[#All],2,0),"")</f>
        <v/>
      </c>
      <c r="J719" s="138" t="str">
        <f>+IFERROR(VLOOKUP(D719,Conceptos_Analítica_contraloría[#All],3,0),"")</f>
        <v/>
      </c>
    </row>
    <row r="720" spans="3:10" x14ac:dyDescent="0.35">
      <c r="C720" s="144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s="138" t="str">
        <f>+IFERROR(VLOOKUP(Fact_Analitica[[#This Row],[Concepto Anterior]],Conceptos_Analítica_contraloría[#All],5,0),"")</f>
        <v/>
      </c>
      <c r="F720" s="138" t="str">
        <f>+IFERROR(VLOOKUP(Fact_Analitica[[#This Row],[Concepto Anterior]],Conceptos_Analítica_contraloría[#All],7,0),"")</f>
        <v/>
      </c>
      <c r="I720" s="138" t="str">
        <f>+IFERROR(VLOOKUP(D720,Conceptos_Analítica_contraloría[#All],2,0),"")</f>
        <v/>
      </c>
      <c r="J720" s="138" t="str">
        <f>+IFERROR(VLOOKUP(D720,Conceptos_Analítica_contraloría[#All],3,0),"")</f>
        <v/>
      </c>
    </row>
    <row r="721" spans="3:10" x14ac:dyDescent="0.35">
      <c r="C721" s="144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s="138" t="str">
        <f>+IFERROR(VLOOKUP(Fact_Analitica[[#This Row],[Concepto Anterior]],Conceptos_Analítica_contraloría[#All],5,0),"")</f>
        <v/>
      </c>
      <c r="F721" s="138" t="str">
        <f>+IFERROR(VLOOKUP(Fact_Analitica[[#This Row],[Concepto Anterior]],Conceptos_Analítica_contraloría[#All],7,0),"")</f>
        <v/>
      </c>
      <c r="I721" s="138" t="str">
        <f>+IFERROR(VLOOKUP(D721,Conceptos_Analítica_contraloría[#All],2,0),"")</f>
        <v/>
      </c>
      <c r="J721" s="138" t="str">
        <f>+IFERROR(VLOOKUP(D721,Conceptos_Analítica_contraloría[#All],3,0),"")</f>
        <v/>
      </c>
    </row>
    <row r="722" spans="3:10" x14ac:dyDescent="0.35">
      <c r="C722" s="144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s="138" t="str">
        <f>+IFERROR(VLOOKUP(Fact_Analitica[[#This Row],[Concepto Anterior]],Conceptos_Analítica_contraloría[#All],5,0),"")</f>
        <v/>
      </c>
      <c r="F722" s="138" t="str">
        <f>+IFERROR(VLOOKUP(Fact_Analitica[[#This Row],[Concepto Anterior]],Conceptos_Analítica_contraloría[#All],7,0),"")</f>
        <v/>
      </c>
      <c r="I722" s="138" t="str">
        <f>+IFERROR(VLOOKUP(D722,Conceptos_Analítica_contraloría[#All],2,0),"")</f>
        <v/>
      </c>
      <c r="J722" s="138" t="str">
        <f>+IFERROR(VLOOKUP(D722,Conceptos_Analítica_contraloría[#All],3,0),"")</f>
        <v/>
      </c>
    </row>
    <row r="723" spans="3:10" x14ac:dyDescent="0.35">
      <c r="C723" s="144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s="138" t="str">
        <f>+IFERROR(VLOOKUP(Fact_Analitica[[#This Row],[Concepto Anterior]],Conceptos_Analítica_contraloría[#All],5,0),"")</f>
        <v/>
      </c>
      <c r="F723" s="138" t="str">
        <f>+IFERROR(VLOOKUP(Fact_Analitica[[#This Row],[Concepto Anterior]],Conceptos_Analítica_contraloría[#All],7,0),"")</f>
        <v/>
      </c>
      <c r="I723" s="138" t="str">
        <f>+IFERROR(VLOOKUP(D723,Conceptos_Analítica_contraloría[#All],2,0),"")</f>
        <v/>
      </c>
      <c r="J723" s="138" t="str">
        <f>+IFERROR(VLOOKUP(D723,Conceptos_Analítica_contraloría[#All],3,0),"")</f>
        <v/>
      </c>
    </row>
    <row r="724" spans="3:10" x14ac:dyDescent="0.35">
      <c r="C724" s="144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s="138" t="str">
        <f>+IFERROR(VLOOKUP(Fact_Analitica[[#This Row],[Concepto Anterior]],Conceptos_Analítica_contraloría[#All],5,0),"")</f>
        <v/>
      </c>
      <c r="F724" s="138" t="str">
        <f>+IFERROR(VLOOKUP(Fact_Analitica[[#This Row],[Concepto Anterior]],Conceptos_Analítica_contraloría[#All],7,0),"")</f>
        <v/>
      </c>
      <c r="I724" s="138" t="str">
        <f>+IFERROR(VLOOKUP(D724,Conceptos_Analítica_contraloría[#All],2,0),"")</f>
        <v/>
      </c>
      <c r="J724" s="138" t="str">
        <f>+IFERROR(VLOOKUP(D724,Conceptos_Analítica_contraloría[#All],3,0),"")</f>
        <v/>
      </c>
    </row>
    <row r="725" spans="3:10" x14ac:dyDescent="0.35">
      <c r="C725" s="144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s="138" t="str">
        <f>+IFERROR(VLOOKUP(Fact_Analitica[[#This Row],[Concepto Anterior]],Conceptos_Analítica_contraloría[#All],5,0),"")</f>
        <v/>
      </c>
      <c r="F725" s="138" t="str">
        <f>+IFERROR(VLOOKUP(Fact_Analitica[[#This Row],[Concepto Anterior]],Conceptos_Analítica_contraloría[#All],7,0),"")</f>
        <v/>
      </c>
      <c r="I725" s="138" t="str">
        <f>+IFERROR(VLOOKUP(D725,Conceptos_Analítica_contraloría[#All],2,0),"")</f>
        <v/>
      </c>
      <c r="J725" s="138" t="str">
        <f>+IFERROR(VLOOKUP(D725,Conceptos_Analítica_contraloría[#All],3,0),"")</f>
        <v/>
      </c>
    </row>
    <row r="726" spans="3:10" x14ac:dyDescent="0.35">
      <c r="C726" s="144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s="138" t="str">
        <f>+IFERROR(VLOOKUP(Fact_Analitica[[#This Row],[Concepto Anterior]],Conceptos_Analítica_contraloría[#All],5,0),"")</f>
        <v/>
      </c>
      <c r="F726" s="138" t="str">
        <f>+IFERROR(VLOOKUP(Fact_Analitica[[#This Row],[Concepto Anterior]],Conceptos_Analítica_contraloría[#All],7,0),"")</f>
        <v/>
      </c>
      <c r="I726" s="138" t="str">
        <f>+IFERROR(VLOOKUP(D726,Conceptos_Analítica_contraloría[#All],2,0),"")</f>
        <v/>
      </c>
      <c r="J726" s="138" t="str">
        <f>+IFERROR(VLOOKUP(D726,Conceptos_Analítica_contraloría[#All],3,0),"")</f>
        <v/>
      </c>
    </row>
    <row r="727" spans="3:10" x14ac:dyDescent="0.35">
      <c r="C727" s="144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s="138" t="str">
        <f>+IFERROR(VLOOKUP(Fact_Analitica[[#This Row],[Concepto Anterior]],Conceptos_Analítica_contraloría[#All],5,0),"")</f>
        <v/>
      </c>
      <c r="F727" s="138" t="str">
        <f>+IFERROR(VLOOKUP(Fact_Analitica[[#This Row],[Concepto Anterior]],Conceptos_Analítica_contraloría[#All],7,0),"")</f>
        <v/>
      </c>
      <c r="I727" s="138" t="str">
        <f>+IFERROR(VLOOKUP(D727,Conceptos_Analítica_contraloría[#All],2,0),"")</f>
        <v/>
      </c>
      <c r="J727" s="138" t="str">
        <f>+IFERROR(VLOOKUP(D727,Conceptos_Analítica_contraloría[#All],3,0),"")</f>
        <v/>
      </c>
    </row>
    <row r="728" spans="3:10" x14ac:dyDescent="0.35">
      <c r="C728" s="144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s="138" t="str">
        <f>+IFERROR(VLOOKUP(Fact_Analitica[[#This Row],[Concepto Anterior]],Conceptos_Analítica_contraloría[#All],5,0),"")</f>
        <v/>
      </c>
      <c r="F728" s="138" t="str">
        <f>+IFERROR(VLOOKUP(Fact_Analitica[[#This Row],[Concepto Anterior]],Conceptos_Analítica_contraloría[#All],7,0),"")</f>
        <v/>
      </c>
      <c r="I728" s="138" t="str">
        <f>+IFERROR(VLOOKUP(D728,Conceptos_Analítica_contraloría[#All],2,0),"")</f>
        <v/>
      </c>
      <c r="J728" s="138" t="str">
        <f>+IFERROR(VLOOKUP(D728,Conceptos_Analítica_contraloría[#All],3,0),"")</f>
        <v/>
      </c>
    </row>
    <row r="729" spans="3:10" x14ac:dyDescent="0.35">
      <c r="C729" s="144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s="138" t="str">
        <f>+IFERROR(VLOOKUP(Fact_Analitica[[#This Row],[Concepto Anterior]],Conceptos_Analítica_contraloría[#All],5,0),"")</f>
        <v/>
      </c>
      <c r="F729" s="138" t="str">
        <f>+IFERROR(VLOOKUP(Fact_Analitica[[#This Row],[Concepto Anterior]],Conceptos_Analítica_contraloría[#All],7,0),"")</f>
        <v/>
      </c>
      <c r="I729" s="138" t="str">
        <f>+IFERROR(VLOOKUP(D729,Conceptos_Analítica_contraloría[#All],2,0),"")</f>
        <v/>
      </c>
      <c r="J729" s="138" t="str">
        <f>+IFERROR(VLOOKUP(D729,Conceptos_Analítica_contraloría[#All],3,0),"")</f>
        <v/>
      </c>
    </row>
    <row r="730" spans="3:10" x14ac:dyDescent="0.35">
      <c r="C730" s="144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s="138" t="str">
        <f>+IFERROR(VLOOKUP(Fact_Analitica[[#This Row],[Concepto Anterior]],Conceptos_Analítica_contraloría[#All],5,0),"")</f>
        <v/>
      </c>
      <c r="F730" s="138" t="str">
        <f>+IFERROR(VLOOKUP(Fact_Analitica[[#This Row],[Concepto Anterior]],Conceptos_Analítica_contraloría[#All],7,0),"")</f>
        <v/>
      </c>
      <c r="I730" s="138" t="str">
        <f>+IFERROR(VLOOKUP(D730,Conceptos_Analítica_contraloría[#All],2,0),"")</f>
        <v/>
      </c>
      <c r="J730" s="138" t="str">
        <f>+IFERROR(VLOOKUP(D730,Conceptos_Analítica_contraloría[#All],3,0),"")</f>
        <v/>
      </c>
    </row>
    <row r="731" spans="3:10" x14ac:dyDescent="0.35">
      <c r="C731" s="144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s="138" t="str">
        <f>+IFERROR(VLOOKUP(Fact_Analitica[[#This Row],[Concepto Anterior]],Conceptos_Analítica_contraloría[#All],5,0),"")</f>
        <v/>
      </c>
      <c r="F731" s="138" t="str">
        <f>+IFERROR(VLOOKUP(Fact_Analitica[[#This Row],[Concepto Anterior]],Conceptos_Analítica_contraloría[#All],7,0),"")</f>
        <v/>
      </c>
      <c r="I731" s="138" t="str">
        <f>+IFERROR(VLOOKUP(D731,Conceptos_Analítica_contraloría[#All],2,0),"")</f>
        <v/>
      </c>
      <c r="J731" s="138" t="str">
        <f>+IFERROR(VLOOKUP(D731,Conceptos_Analítica_contraloría[#All],3,0),"")</f>
        <v/>
      </c>
    </row>
    <row r="732" spans="3:10" x14ac:dyDescent="0.35">
      <c r="C732" s="144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s="138" t="str">
        <f>+IFERROR(VLOOKUP(Fact_Analitica[[#This Row],[Concepto Anterior]],Conceptos_Analítica_contraloría[#All],5,0),"")</f>
        <v/>
      </c>
      <c r="F732" s="138" t="str">
        <f>+IFERROR(VLOOKUP(Fact_Analitica[[#This Row],[Concepto Anterior]],Conceptos_Analítica_contraloría[#All],7,0),"")</f>
        <v/>
      </c>
      <c r="I732" s="138" t="str">
        <f>+IFERROR(VLOOKUP(D732,Conceptos_Analítica_contraloría[#All],2,0),"")</f>
        <v/>
      </c>
      <c r="J732" s="138" t="str">
        <f>+IFERROR(VLOOKUP(D732,Conceptos_Analítica_contraloría[#All],3,0),"")</f>
        <v/>
      </c>
    </row>
    <row r="733" spans="3:10" x14ac:dyDescent="0.35">
      <c r="C733" s="144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s="138" t="str">
        <f>+IFERROR(VLOOKUP(Fact_Analitica[[#This Row],[Concepto Anterior]],Conceptos_Analítica_contraloría[#All],5,0),"")</f>
        <v/>
      </c>
      <c r="F733" s="138" t="str">
        <f>+IFERROR(VLOOKUP(Fact_Analitica[[#This Row],[Concepto Anterior]],Conceptos_Analítica_contraloría[#All],7,0),"")</f>
        <v/>
      </c>
      <c r="I733" s="138" t="str">
        <f>+IFERROR(VLOOKUP(D733,Conceptos_Analítica_contraloría[#All],2,0),"")</f>
        <v/>
      </c>
      <c r="J733" s="138" t="str">
        <f>+IFERROR(VLOOKUP(D733,Conceptos_Analítica_contraloría[#All],3,0),"")</f>
        <v/>
      </c>
    </row>
    <row r="734" spans="3:10" x14ac:dyDescent="0.35">
      <c r="C734" s="144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s="138" t="str">
        <f>+IFERROR(VLOOKUP(Fact_Analitica[[#This Row],[Concepto Anterior]],Conceptos_Analítica_contraloría[#All],5,0),"")</f>
        <v/>
      </c>
      <c r="F734" s="138" t="str">
        <f>+IFERROR(VLOOKUP(Fact_Analitica[[#This Row],[Concepto Anterior]],Conceptos_Analítica_contraloría[#All],7,0),"")</f>
        <v/>
      </c>
      <c r="I734" s="138" t="str">
        <f>+IFERROR(VLOOKUP(D734,Conceptos_Analítica_contraloría[#All],2,0),"")</f>
        <v/>
      </c>
      <c r="J734" s="138" t="str">
        <f>+IFERROR(VLOOKUP(D734,Conceptos_Analítica_contraloría[#All],3,0),"")</f>
        <v/>
      </c>
    </row>
    <row r="735" spans="3:10" x14ac:dyDescent="0.35">
      <c r="C735" s="144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s="138" t="str">
        <f>+IFERROR(VLOOKUP(Fact_Analitica[[#This Row],[Concepto Anterior]],Conceptos_Analítica_contraloría[#All],5,0),"")</f>
        <v/>
      </c>
      <c r="F735" s="138" t="str">
        <f>+IFERROR(VLOOKUP(Fact_Analitica[[#This Row],[Concepto Anterior]],Conceptos_Analítica_contraloría[#All],7,0),"")</f>
        <v/>
      </c>
      <c r="I735" s="138" t="str">
        <f>+IFERROR(VLOOKUP(D735,Conceptos_Analítica_contraloría[#All],2,0),"")</f>
        <v/>
      </c>
      <c r="J735" s="138" t="str">
        <f>+IFERROR(VLOOKUP(D735,Conceptos_Analítica_contraloría[#All],3,0),"")</f>
        <v/>
      </c>
    </row>
    <row r="736" spans="3:10" x14ac:dyDescent="0.35">
      <c r="C736" s="144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s="138" t="str">
        <f>+IFERROR(VLOOKUP(Fact_Analitica[[#This Row],[Concepto Anterior]],Conceptos_Analítica_contraloría[#All],5,0),"")</f>
        <v/>
      </c>
      <c r="F736" s="138" t="str">
        <f>+IFERROR(VLOOKUP(Fact_Analitica[[#This Row],[Concepto Anterior]],Conceptos_Analítica_contraloría[#All],7,0),"")</f>
        <v/>
      </c>
      <c r="I736" s="138" t="str">
        <f>+IFERROR(VLOOKUP(D736,Conceptos_Analítica_contraloría[#All],2,0),"")</f>
        <v/>
      </c>
      <c r="J736" s="138" t="str">
        <f>+IFERROR(VLOOKUP(D736,Conceptos_Analítica_contraloría[#All],3,0),"")</f>
        <v/>
      </c>
    </row>
    <row r="737" spans="3:10" x14ac:dyDescent="0.35">
      <c r="C737" s="144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s="138" t="str">
        <f>+IFERROR(VLOOKUP(Fact_Analitica[[#This Row],[Concepto Anterior]],Conceptos_Analítica_contraloría[#All],5,0),"")</f>
        <v/>
      </c>
      <c r="F737" s="138" t="str">
        <f>+IFERROR(VLOOKUP(Fact_Analitica[[#This Row],[Concepto Anterior]],Conceptos_Analítica_contraloría[#All],7,0),"")</f>
        <v/>
      </c>
      <c r="I737" s="138" t="str">
        <f>+IFERROR(VLOOKUP(D737,Conceptos_Analítica_contraloría[#All],2,0),"")</f>
        <v/>
      </c>
      <c r="J737" s="138" t="str">
        <f>+IFERROR(VLOOKUP(D737,Conceptos_Analítica_contraloría[#All],3,0),"")</f>
        <v/>
      </c>
    </row>
    <row r="738" spans="3:10" x14ac:dyDescent="0.35">
      <c r="C738" s="144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s="138" t="str">
        <f>+IFERROR(VLOOKUP(Fact_Analitica[[#This Row],[Concepto Anterior]],Conceptos_Analítica_contraloría[#All],5,0),"")</f>
        <v/>
      </c>
      <c r="F738" s="138" t="str">
        <f>+IFERROR(VLOOKUP(Fact_Analitica[[#This Row],[Concepto Anterior]],Conceptos_Analítica_contraloría[#All],7,0),"")</f>
        <v/>
      </c>
      <c r="I738" s="138" t="str">
        <f>+IFERROR(VLOOKUP(D738,Conceptos_Analítica_contraloría[#All],2,0),"")</f>
        <v/>
      </c>
      <c r="J738" s="138" t="str">
        <f>+IFERROR(VLOOKUP(D738,Conceptos_Analítica_contraloría[#All],3,0),"")</f>
        <v/>
      </c>
    </row>
    <row r="739" spans="3:10" x14ac:dyDescent="0.35">
      <c r="C739" s="144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s="138" t="str">
        <f>+IFERROR(VLOOKUP(Fact_Analitica[[#This Row],[Concepto Anterior]],Conceptos_Analítica_contraloría[#All],5,0),"")</f>
        <v/>
      </c>
      <c r="F739" s="138" t="str">
        <f>+IFERROR(VLOOKUP(Fact_Analitica[[#This Row],[Concepto Anterior]],Conceptos_Analítica_contraloría[#All],7,0),"")</f>
        <v/>
      </c>
      <c r="I739" s="138" t="str">
        <f>+IFERROR(VLOOKUP(D739,Conceptos_Analítica_contraloría[#All],2,0),"")</f>
        <v/>
      </c>
      <c r="J739" s="138" t="str">
        <f>+IFERROR(VLOOKUP(D739,Conceptos_Analítica_contraloría[#All],3,0),"")</f>
        <v/>
      </c>
    </row>
    <row r="740" spans="3:10" x14ac:dyDescent="0.35">
      <c r="C740" s="144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s="138" t="str">
        <f>+IFERROR(VLOOKUP(Fact_Analitica[[#This Row],[Concepto Anterior]],Conceptos_Analítica_contraloría[#All],5,0),"")</f>
        <v/>
      </c>
      <c r="F740" s="138" t="str">
        <f>+IFERROR(VLOOKUP(Fact_Analitica[[#This Row],[Concepto Anterior]],Conceptos_Analítica_contraloría[#All],7,0),"")</f>
        <v/>
      </c>
      <c r="I740" s="138" t="str">
        <f>+IFERROR(VLOOKUP(D740,Conceptos_Analítica_contraloría[#All],2,0),"")</f>
        <v/>
      </c>
      <c r="J740" s="138" t="str">
        <f>+IFERROR(VLOOKUP(D740,Conceptos_Analítica_contraloría[#All],3,0),"")</f>
        <v/>
      </c>
    </row>
    <row r="741" spans="3:10" x14ac:dyDescent="0.35">
      <c r="C741" s="144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s="138" t="str">
        <f>+IFERROR(VLOOKUP(Fact_Analitica[[#This Row],[Concepto Anterior]],Conceptos_Analítica_contraloría[#All],5,0),"")</f>
        <v/>
      </c>
      <c r="F741" s="138" t="str">
        <f>+IFERROR(VLOOKUP(Fact_Analitica[[#This Row],[Concepto Anterior]],Conceptos_Analítica_contraloría[#All],7,0),"")</f>
        <v/>
      </c>
      <c r="I741" s="138" t="str">
        <f>+IFERROR(VLOOKUP(D741,Conceptos_Analítica_contraloría[#All],2,0),"")</f>
        <v/>
      </c>
      <c r="J741" s="138" t="str">
        <f>+IFERROR(VLOOKUP(D741,Conceptos_Analítica_contraloría[#All],3,0),"")</f>
        <v/>
      </c>
    </row>
    <row r="742" spans="3:10" x14ac:dyDescent="0.35">
      <c r="C742" s="144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s="138" t="str">
        <f>+IFERROR(VLOOKUP(Fact_Analitica[[#This Row],[Concepto Anterior]],Conceptos_Analítica_contraloría[#All],5,0),"")</f>
        <v/>
      </c>
      <c r="F742" s="138" t="str">
        <f>+IFERROR(VLOOKUP(Fact_Analitica[[#This Row],[Concepto Anterior]],Conceptos_Analítica_contraloría[#All],7,0),"")</f>
        <v/>
      </c>
      <c r="I742" s="138" t="str">
        <f>+IFERROR(VLOOKUP(D742,Conceptos_Analítica_contraloría[#All],2,0),"")</f>
        <v/>
      </c>
      <c r="J742" s="138" t="str">
        <f>+IFERROR(VLOOKUP(D742,Conceptos_Analítica_contraloría[#All],3,0),"")</f>
        <v/>
      </c>
    </row>
    <row r="743" spans="3:10" x14ac:dyDescent="0.35">
      <c r="C743" s="144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s="138" t="str">
        <f>+IFERROR(VLOOKUP(Fact_Analitica[[#This Row],[Concepto Anterior]],Conceptos_Analítica_contraloría[#All],5,0),"")</f>
        <v/>
      </c>
      <c r="F743" s="138" t="str">
        <f>+IFERROR(VLOOKUP(Fact_Analitica[[#This Row],[Concepto Anterior]],Conceptos_Analítica_contraloría[#All],7,0),"")</f>
        <v/>
      </c>
      <c r="I743" s="138" t="str">
        <f>+IFERROR(VLOOKUP(D743,Conceptos_Analítica_contraloría[#All],2,0),"")</f>
        <v/>
      </c>
      <c r="J743" s="138" t="str">
        <f>+IFERROR(VLOOKUP(D743,Conceptos_Analítica_contraloría[#All],3,0),"")</f>
        <v/>
      </c>
    </row>
    <row r="744" spans="3:10" x14ac:dyDescent="0.35">
      <c r="C744" s="144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s="138" t="str">
        <f>+IFERROR(VLOOKUP(Fact_Analitica[[#This Row],[Concepto Anterior]],Conceptos_Analítica_contraloría[#All],5,0),"")</f>
        <v/>
      </c>
      <c r="F744" s="138" t="str">
        <f>+IFERROR(VLOOKUP(Fact_Analitica[[#This Row],[Concepto Anterior]],Conceptos_Analítica_contraloría[#All],7,0),"")</f>
        <v/>
      </c>
      <c r="I744" s="138" t="str">
        <f>+IFERROR(VLOOKUP(D744,Conceptos_Analítica_contraloría[#All],2,0),"")</f>
        <v/>
      </c>
      <c r="J744" s="138" t="str">
        <f>+IFERROR(VLOOKUP(D744,Conceptos_Analítica_contraloría[#All],3,0),"")</f>
        <v/>
      </c>
    </row>
    <row r="745" spans="3:10" x14ac:dyDescent="0.35">
      <c r="C745" s="144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s="138" t="str">
        <f>+IFERROR(VLOOKUP(Fact_Analitica[[#This Row],[Concepto Anterior]],Conceptos_Analítica_contraloría[#All],5,0),"")</f>
        <v/>
      </c>
      <c r="F745" s="138" t="str">
        <f>+IFERROR(VLOOKUP(Fact_Analitica[[#This Row],[Concepto Anterior]],Conceptos_Analítica_contraloría[#All],7,0),"")</f>
        <v/>
      </c>
      <c r="I745" s="138" t="str">
        <f>+IFERROR(VLOOKUP(D745,Conceptos_Analítica_contraloría[#All],2,0),"")</f>
        <v/>
      </c>
      <c r="J745" s="138" t="str">
        <f>+IFERROR(VLOOKUP(D745,Conceptos_Analítica_contraloría[#All],3,0),"")</f>
        <v/>
      </c>
    </row>
    <row r="746" spans="3:10" x14ac:dyDescent="0.35">
      <c r="C746" s="144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s="138" t="str">
        <f>+IFERROR(VLOOKUP(Fact_Analitica[[#This Row],[Concepto Anterior]],Conceptos_Analítica_contraloría[#All],5,0),"")</f>
        <v/>
      </c>
      <c r="F746" s="138" t="str">
        <f>+IFERROR(VLOOKUP(Fact_Analitica[[#This Row],[Concepto Anterior]],Conceptos_Analítica_contraloría[#All],7,0),"")</f>
        <v/>
      </c>
      <c r="I746" s="138" t="str">
        <f>+IFERROR(VLOOKUP(D746,Conceptos_Analítica_contraloría[#All],2,0),"")</f>
        <v/>
      </c>
      <c r="J746" s="138" t="str">
        <f>+IFERROR(VLOOKUP(D746,Conceptos_Analítica_contraloría[#All],3,0),"")</f>
        <v/>
      </c>
    </row>
    <row r="747" spans="3:10" x14ac:dyDescent="0.35">
      <c r="C747" s="144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s="138" t="str">
        <f>+IFERROR(VLOOKUP(Fact_Analitica[[#This Row],[Concepto Anterior]],Conceptos_Analítica_contraloría[#All],5,0),"")</f>
        <v/>
      </c>
      <c r="F747" s="138" t="str">
        <f>+IFERROR(VLOOKUP(Fact_Analitica[[#This Row],[Concepto Anterior]],Conceptos_Analítica_contraloría[#All],7,0),"")</f>
        <v/>
      </c>
      <c r="I747" s="138" t="str">
        <f>+IFERROR(VLOOKUP(D747,Conceptos_Analítica_contraloría[#All],2,0),"")</f>
        <v/>
      </c>
      <c r="J747" s="138" t="str">
        <f>+IFERROR(VLOOKUP(D747,Conceptos_Analítica_contraloría[#All],3,0),"")</f>
        <v/>
      </c>
    </row>
    <row r="748" spans="3:10" x14ac:dyDescent="0.35">
      <c r="C748" s="144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s="138" t="str">
        <f>+IFERROR(VLOOKUP(Fact_Analitica[[#This Row],[Concepto Anterior]],Conceptos_Analítica_contraloría[#All],5,0),"")</f>
        <v/>
      </c>
      <c r="F748" s="138" t="str">
        <f>+IFERROR(VLOOKUP(Fact_Analitica[[#This Row],[Concepto Anterior]],Conceptos_Analítica_contraloría[#All],7,0),"")</f>
        <v/>
      </c>
      <c r="I748" s="138" t="str">
        <f>+IFERROR(VLOOKUP(D748,Conceptos_Analítica_contraloría[#All],2,0),"")</f>
        <v/>
      </c>
      <c r="J748" s="138" t="str">
        <f>+IFERROR(VLOOKUP(D748,Conceptos_Analítica_contraloría[#All],3,0),"")</f>
        <v/>
      </c>
    </row>
    <row r="749" spans="3:10" x14ac:dyDescent="0.35">
      <c r="C749" s="144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s="138" t="str">
        <f>+IFERROR(VLOOKUP(Fact_Analitica[[#This Row],[Concepto Anterior]],Conceptos_Analítica_contraloría[#All],5,0),"")</f>
        <v/>
      </c>
      <c r="F749" s="138" t="str">
        <f>+IFERROR(VLOOKUP(Fact_Analitica[[#This Row],[Concepto Anterior]],Conceptos_Analítica_contraloría[#All],7,0),"")</f>
        <v/>
      </c>
      <c r="I749" s="138" t="str">
        <f>+IFERROR(VLOOKUP(D749,Conceptos_Analítica_contraloría[#All],2,0),"")</f>
        <v/>
      </c>
      <c r="J749" s="138" t="str">
        <f>+IFERROR(VLOOKUP(D749,Conceptos_Analítica_contraloría[#All],3,0),"")</f>
        <v/>
      </c>
    </row>
    <row r="750" spans="3:10" x14ac:dyDescent="0.35">
      <c r="C750" s="144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s="138" t="str">
        <f>+IFERROR(VLOOKUP(Fact_Analitica[[#This Row],[Concepto Anterior]],Conceptos_Analítica_contraloría[#All],5,0),"")</f>
        <v/>
      </c>
      <c r="F750" s="138" t="str">
        <f>+IFERROR(VLOOKUP(Fact_Analitica[[#This Row],[Concepto Anterior]],Conceptos_Analítica_contraloría[#All],7,0),"")</f>
        <v/>
      </c>
      <c r="I750" s="138" t="str">
        <f>+IFERROR(VLOOKUP(D750,Conceptos_Analítica_contraloría[#All],2,0),"")</f>
        <v/>
      </c>
      <c r="J750" s="138" t="str">
        <f>+IFERROR(VLOOKUP(D750,Conceptos_Analítica_contraloría[#All],3,0),"")</f>
        <v/>
      </c>
    </row>
    <row r="751" spans="3:10" x14ac:dyDescent="0.35">
      <c r="C751" s="144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s="138" t="str">
        <f>+IFERROR(VLOOKUP(Fact_Analitica[[#This Row],[Concepto Anterior]],Conceptos_Analítica_contraloría[#All],5,0),"")</f>
        <v/>
      </c>
      <c r="F751" s="138" t="str">
        <f>+IFERROR(VLOOKUP(Fact_Analitica[[#This Row],[Concepto Anterior]],Conceptos_Analítica_contraloría[#All],7,0),"")</f>
        <v/>
      </c>
      <c r="I751" s="138" t="str">
        <f>+IFERROR(VLOOKUP(D751,Conceptos_Analítica_contraloría[#All],2,0),"")</f>
        <v/>
      </c>
      <c r="J751" s="138" t="str">
        <f>+IFERROR(VLOOKUP(D751,Conceptos_Analítica_contraloría[#All],3,0),"")</f>
        <v/>
      </c>
    </row>
    <row r="752" spans="3:10" x14ac:dyDescent="0.35">
      <c r="C752" s="144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s="138" t="str">
        <f>+IFERROR(VLOOKUP(Fact_Analitica[[#This Row],[Concepto Anterior]],Conceptos_Analítica_contraloría[#All],5,0),"")</f>
        <v/>
      </c>
      <c r="F752" s="138" t="str">
        <f>+IFERROR(VLOOKUP(Fact_Analitica[[#This Row],[Concepto Anterior]],Conceptos_Analítica_contraloría[#All],7,0),"")</f>
        <v/>
      </c>
      <c r="I752" s="138" t="str">
        <f>+IFERROR(VLOOKUP(D752,Conceptos_Analítica_contraloría[#All],2,0),"")</f>
        <v/>
      </c>
      <c r="J752" s="138" t="str">
        <f>+IFERROR(VLOOKUP(D752,Conceptos_Analítica_contraloría[#All],3,0),"")</f>
        <v/>
      </c>
    </row>
    <row r="753" spans="3:10" x14ac:dyDescent="0.35">
      <c r="C753" s="144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s="138" t="str">
        <f>+IFERROR(VLOOKUP(Fact_Analitica[[#This Row],[Concepto Anterior]],Conceptos_Analítica_contraloría[#All],5,0),"")</f>
        <v/>
      </c>
      <c r="F753" s="138" t="str">
        <f>+IFERROR(VLOOKUP(Fact_Analitica[[#This Row],[Concepto Anterior]],Conceptos_Analítica_contraloría[#All],7,0),"")</f>
        <v/>
      </c>
      <c r="I753" s="138" t="str">
        <f>+IFERROR(VLOOKUP(D753,Conceptos_Analítica_contraloría[#All],2,0),"")</f>
        <v/>
      </c>
      <c r="J753" s="138" t="str">
        <f>+IFERROR(VLOOKUP(D753,Conceptos_Analítica_contraloría[#All],3,0),"")</f>
        <v/>
      </c>
    </row>
    <row r="754" spans="3:10" x14ac:dyDescent="0.35">
      <c r="C754" s="144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s="138" t="str">
        <f>+IFERROR(VLOOKUP(Fact_Analitica[[#This Row],[Concepto Anterior]],Conceptos_Analítica_contraloría[#All],5,0),"")</f>
        <v/>
      </c>
      <c r="F754" s="138" t="str">
        <f>+IFERROR(VLOOKUP(Fact_Analitica[[#This Row],[Concepto Anterior]],Conceptos_Analítica_contraloría[#All],7,0),"")</f>
        <v/>
      </c>
      <c r="I754" s="138" t="str">
        <f>+IFERROR(VLOOKUP(D754,Conceptos_Analítica_contraloría[#All],2,0),"")</f>
        <v/>
      </c>
      <c r="J754" s="138" t="str">
        <f>+IFERROR(VLOOKUP(D754,Conceptos_Analítica_contraloría[#All],3,0),"")</f>
        <v/>
      </c>
    </row>
    <row r="755" spans="3:10" x14ac:dyDescent="0.35">
      <c r="C755" s="144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s="138" t="str">
        <f>+IFERROR(VLOOKUP(Fact_Analitica[[#This Row],[Concepto Anterior]],Conceptos_Analítica_contraloría[#All],5,0),"")</f>
        <v/>
      </c>
      <c r="F755" s="138" t="str">
        <f>+IFERROR(VLOOKUP(Fact_Analitica[[#This Row],[Concepto Anterior]],Conceptos_Analítica_contraloría[#All],7,0),"")</f>
        <v/>
      </c>
      <c r="I755" s="138" t="str">
        <f>+IFERROR(VLOOKUP(D755,Conceptos_Analítica_contraloría[#All],2,0),"")</f>
        <v/>
      </c>
      <c r="J755" s="138" t="str">
        <f>+IFERROR(VLOOKUP(D755,Conceptos_Analítica_contraloría[#All],3,0),"")</f>
        <v/>
      </c>
    </row>
    <row r="756" spans="3:10" x14ac:dyDescent="0.35">
      <c r="C756" s="144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s="138" t="str">
        <f>+IFERROR(VLOOKUP(Fact_Analitica[[#This Row],[Concepto Anterior]],Conceptos_Analítica_contraloría[#All],5,0),"")</f>
        <v/>
      </c>
      <c r="F756" s="138" t="str">
        <f>+IFERROR(VLOOKUP(Fact_Analitica[[#This Row],[Concepto Anterior]],Conceptos_Analítica_contraloría[#All],7,0),"")</f>
        <v/>
      </c>
      <c r="I756" s="138" t="str">
        <f>+IFERROR(VLOOKUP(D756,Conceptos_Analítica_contraloría[#All],2,0),"")</f>
        <v/>
      </c>
      <c r="J756" s="138" t="str">
        <f>+IFERROR(VLOOKUP(D756,Conceptos_Analítica_contraloría[#All],3,0),"")</f>
        <v/>
      </c>
    </row>
    <row r="757" spans="3:10" x14ac:dyDescent="0.35">
      <c r="C757" s="144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s="138" t="str">
        <f>+IFERROR(VLOOKUP(Fact_Analitica[[#This Row],[Concepto Anterior]],Conceptos_Analítica_contraloría[#All],5,0),"")</f>
        <v/>
      </c>
      <c r="F757" s="138" t="str">
        <f>+IFERROR(VLOOKUP(Fact_Analitica[[#This Row],[Concepto Anterior]],Conceptos_Analítica_contraloría[#All],7,0),"")</f>
        <v/>
      </c>
      <c r="I757" s="138" t="str">
        <f>+IFERROR(VLOOKUP(D757,Conceptos_Analítica_contraloría[#All],2,0),"")</f>
        <v/>
      </c>
      <c r="J757" s="138" t="str">
        <f>+IFERROR(VLOOKUP(D757,Conceptos_Analítica_contraloría[#All],3,0),"")</f>
        <v/>
      </c>
    </row>
    <row r="758" spans="3:10" x14ac:dyDescent="0.35">
      <c r="C758" s="144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s="138" t="str">
        <f>+IFERROR(VLOOKUP(Fact_Analitica[[#This Row],[Concepto Anterior]],Conceptos_Analítica_contraloría[#All],5,0),"")</f>
        <v/>
      </c>
      <c r="F758" s="138" t="str">
        <f>+IFERROR(VLOOKUP(Fact_Analitica[[#This Row],[Concepto Anterior]],Conceptos_Analítica_contraloría[#All],7,0),"")</f>
        <v/>
      </c>
      <c r="I758" s="138" t="str">
        <f>+IFERROR(VLOOKUP(D758,Conceptos_Analítica_contraloría[#All],2,0),"")</f>
        <v/>
      </c>
      <c r="J758" s="138" t="str">
        <f>+IFERROR(VLOOKUP(D758,Conceptos_Analítica_contraloría[#All],3,0),"")</f>
        <v/>
      </c>
    </row>
    <row r="759" spans="3:10" x14ac:dyDescent="0.35">
      <c r="C759" s="144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s="138" t="str">
        <f>+IFERROR(VLOOKUP(Fact_Analitica[[#This Row],[Concepto Anterior]],Conceptos_Analítica_contraloría[#All],5,0),"")</f>
        <v/>
      </c>
      <c r="F759" s="138" t="str">
        <f>+IFERROR(VLOOKUP(Fact_Analitica[[#This Row],[Concepto Anterior]],Conceptos_Analítica_contraloría[#All],7,0),"")</f>
        <v/>
      </c>
      <c r="I759" s="138" t="str">
        <f>+IFERROR(VLOOKUP(D759,Conceptos_Analítica_contraloría[#All],2,0),"")</f>
        <v/>
      </c>
      <c r="J759" s="138" t="str">
        <f>+IFERROR(VLOOKUP(D759,Conceptos_Analítica_contraloría[#All],3,0),"")</f>
        <v/>
      </c>
    </row>
    <row r="760" spans="3:10" x14ac:dyDescent="0.35">
      <c r="C760" s="144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s="138" t="str">
        <f>+IFERROR(VLOOKUP(Fact_Analitica[[#This Row],[Concepto Anterior]],Conceptos_Analítica_contraloría[#All],5,0),"")</f>
        <v/>
      </c>
      <c r="F760" s="138" t="str">
        <f>+IFERROR(VLOOKUP(Fact_Analitica[[#This Row],[Concepto Anterior]],Conceptos_Analítica_contraloría[#All],7,0),"")</f>
        <v/>
      </c>
      <c r="I760" s="138" t="str">
        <f>+IFERROR(VLOOKUP(D760,Conceptos_Analítica_contraloría[#All],2,0),"")</f>
        <v/>
      </c>
      <c r="J760" s="138" t="str">
        <f>+IFERROR(VLOOKUP(D760,Conceptos_Analítica_contraloría[#All],3,0),"")</f>
        <v/>
      </c>
    </row>
    <row r="761" spans="3:10" x14ac:dyDescent="0.35">
      <c r="C761" s="144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s="138" t="str">
        <f>+IFERROR(VLOOKUP(Fact_Analitica[[#This Row],[Concepto Anterior]],Conceptos_Analítica_contraloría[#All],5,0),"")</f>
        <v/>
      </c>
      <c r="F761" s="138" t="str">
        <f>+IFERROR(VLOOKUP(Fact_Analitica[[#This Row],[Concepto Anterior]],Conceptos_Analítica_contraloría[#All],7,0),"")</f>
        <v/>
      </c>
      <c r="I761" s="138" t="str">
        <f>+IFERROR(VLOOKUP(D761,Conceptos_Analítica_contraloría[#All],2,0),"")</f>
        <v/>
      </c>
      <c r="J761" s="138" t="str">
        <f>+IFERROR(VLOOKUP(D761,Conceptos_Analítica_contraloría[#All],3,0),"")</f>
        <v/>
      </c>
    </row>
    <row r="762" spans="3:10" x14ac:dyDescent="0.35">
      <c r="C762" s="144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s="138" t="str">
        <f>+IFERROR(VLOOKUP(Fact_Analitica[[#This Row],[Concepto Anterior]],Conceptos_Analítica_contraloría[#All],5,0),"")</f>
        <v/>
      </c>
      <c r="F762" s="138" t="str">
        <f>+IFERROR(VLOOKUP(Fact_Analitica[[#This Row],[Concepto Anterior]],Conceptos_Analítica_contraloría[#All],7,0),"")</f>
        <v/>
      </c>
      <c r="I762" s="138" t="str">
        <f>+IFERROR(VLOOKUP(D762,Conceptos_Analítica_contraloría[#All],2,0),"")</f>
        <v/>
      </c>
      <c r="J762" s="138" t="str">
        <f>+IFERROR(VLOOKUP(D762,Conceptos_Analítica_contraloría[#All],3,0),"")</f>
        <v/>
      </c>
    </row>
    <row r="763" spans="3:10" x14ac:dyDescent="0.35">
      <c r="C763" s="144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s="138" t="str">
        <f>+IFERROR(VLOOKUP(Fact_Analitica[[#This Row],[Concepto Anterior]],Conceptos_Analítica_contraloría[#All],5,0),"")</f>
        <v/>
      </c>
      <c r="F763" s="138" t="str">
        <f>+IFERROR(VLOOKUP(Fact_Analitica[[#This Row],[Concepto Anterior]],Conceptos_Analítica_contraloría[#All],7,0),"")</f>
        <v/>
      </c>
      <c r="I763" s="138" t="str">
        <f>+IFERROR(VLOOKUP(D763,Conceptos_Analítica_contraloría[#All],2,0),"")</f>
        <v/>
      </c>
      <c r="J763" s="138" t="str">
        <f>+IFERROR(VLOOKUP(D763,Conceptos_Analítica_contraloría[#All],3,0),"")</f>
        <v/>
      </c>
    </row>
    <row r="764" spans="3:10" x14ac:dyDescent="0.35">
      <c r="C764" s="144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s="138" t="str">
        <f>+IFERROR(VLOOKUP(Fact_Analitica[[#This Row],[Concepto Anterior]],Conceptos_Analítica_contraloría[#All],5,0),"")</f>
        <v/>
      </c>
      <c r="F764" s="138" t="str">
        <f>+IFERROR(VLOOKUP(Fact_Analitica[[#This Row],[Concepto Anterior]],Conceptos_Analítica_contraloría[#All],7,0),"")</f>
        <v/>
      </c>
      <c r="I764" s="138" t="str">
        <f>+IFERROR(VLOOKUP(D764,Conceptos_Analítica_contraloría[#All],2,0),"")</f>
        <v/>
      </c>
      <c r="J764" s="138" t="str">
        <f>+IFERROR(VLOOKUP(D764,Conceptos_Analítica_contraloría[#All],3,0),"")</f>
        <v/>
      </c>
    </row>
    <row r="765" spans="3:10" x14ac:dyDescent="0.35">
      <c r="C765" s="144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s="138" t="str">
        <f>+IFERROR(VLOOKUP(Fact_Analitica[[#This Row],[Concepto Anterior]],Conceptos_Analítica_contraloría[#All],5,0),"")</f>
        <v/>
      </c>
      <c r="F765" s="138" t="str">
        <f>+IFERROR(VLOOKUP(Fact_Analitica[[#This Row],[Concepto Anterior]],Conceptos_Analítica_contraloría[#All],7,0),"")</f>
        <v/>
      </c>
      <c r="I765" s="138" t="str">
        <f>+IFERROR(VLOOKUP(D765,Conceptos_Analítica_contraloría[#All],2,0),"")</f>
        <v/>
      </c>
      <c r="J765" s="138" t="str">
        <f>+IFERROR(VLOOKUP(D765,Conceptos_Analítica_contraloría[#All],3,0),"")</f>
        <v/>
      </c>
    </row>
    <row r="766" spans="3:10" x14ac:dyDescent="0.35">
      <c r="C766" s="144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s="138" t="str">
        <f>+IFERROR(VLOOKUP(Fact_Analitica[[#This Row],[Concepto Anterior]],Conceptos_Analítica_contraloría[#All],5,0),"")</f>
        <v/>
      </c>
      <c r="F766" s="138" t="str">
        <f>+IFERROR(VLOOKUP(Fact_Analitica[[#This Row],[Concepto Anterior]],Conceptos_Analítica_contraloría[#All],7,0),"")</f>
        <v/>
      </c>
      <c r="I766" s="138" t="str">
        <f>+IFERROR(VLOOKUP(D766,Conceptos_Analítica_contraloría[#All],2,0),"")</f>
        <v/>
      </c>
      <c r="J766" s="138" t="str">
        <f>+IFERROR(VLOOKUP(D766,Conceptos_Analítica_contraloría[#All],3,0),"")</f>
        <v/>
      </c>
    </row>
    <row r="767" spans="3:10" x14ac:dyDescent="0.35">
      <c r="C767" s="144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s="138" t="str">
        <f>+IFERROR(VLOOKUP(Fact_Analitica[[#This Row],[Concepto Anterior]],Conceptos_Analítica_contraloría[#All],5,0),"")</f>
        <v/>
      </c>
      <c r="F767" s="138" t="str">
        <f>+IFERROR(VLOOKUP(Fact_Analitica[[#This Row],[Concepto Anterior]],Conceptos_Analítica_contraloría[#All],7,0),"")</f>
        <v/>
      </c>
      <c r="I767" s="138" t="str">
        <f>+IFERROR(VLOOKUP(D767,Conceptos_Analítica_contraloría[#All],2,0),"")</f>
        <v/>
      </c>
      <c r="J767" s="138" t="str">
        <f>+IFERROR(VLOOKUP(D767,Conceptos_Analítica_contraloría[#All],3,0),"")</f>
        <v/>
      </c>
    </row>
    <row r="768" spans="3:10" x14ac:dyDescent="0.35">
      <c r="C768" s="144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s="138" t="str">
        <f>+IFERROR(VLOOKUP(Fact_Analitica[[#This Row],[Concepto Anterior]],Conceptos_Analítica_contraloría[#All],5,0),"")</f>
        <v/>
      </c>
      <c r="F768" s="138" t="str">
        <f>+IFERROR(VLOOKUP(Fact_Analitica[[#This Row],[Concepto Anterior]],Conceptos_Analítica_contraloría[#All],7,0),"")</f>
        <v/>
      </c>
      <c r="I768" s="138" t="str">
        <f>+IFERROR(VLOOKUP(D768,Conceptos_Analítica_contraloría[#All],2,0),"")</f>
        <v/>
      </c>
      <c r="J768" s="138" t="str">
        <f>+IFERROR(VLOOKUP(D768,Conceptos_Analítica_contraloría[#All],3,0),"")</f>
        <v/>
      </c>
    </row>
    <row r="769" spans="3:10" x14ac:dyDescent="0.35">
      <c r="C769" s="144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s="138" t="str">
        <f>+IFERROR(VLOOKUP(Fact_Analitica[[#This Row],[Concepto Anterior]],Conceptos_Analítica_contraloría[#All],5,0),"")</f>
        <v/>
      </c>
      <c r="F769" s="138" t="str">
        <f>+IFERROR(VLOOKUP(Fact_Analitica[[#This Row],[Concepto Anterior]],Conceptos_Analítica_contraloría[#All],7,0),"")</f>
        <v/>
      </c>
      <c r="I769" s="138" t="str">
        <f>+IFERROR(VLOOKUP(D769,Conceptos_Analítica_contraloría[#All],2,0),"")</f>
        <v/>
      </c>
      <c r="J769" s="138" t="str">
        <f>+IFERROR(VLOOKUP(D769,Conceptos_Analítica_contraloría[#All],3,0),"")</f>
        <v/>
      </c>
    </row>
    <row r="770" spans="3:10" x14ac:dyDescent="0.35">
      <c r="C770" s="144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s="138" t="str">
        <f>+IFERROR(VLOOKUP(Fact_Analitica[[#This Row],[Concepto Anterior]],Conceptos_Analítica_contraloría[#All],5,0),"")</f>
        <v/>
      </c>
      <c r="F770" s="138" t="str">
        <f>+IFERROR(VLOOKUP(Fact_Analitica[[#This Row],[Concepto Anterior]],Conceptos_Analítica_contraloría[#All],7,0),"")</f>
        <v/>
      </c>
      <c r="I770" s="138" t="str">
        <f>+IFERROR(VLOOKUP(D770,Conceptos_Analítica_contraloría[#All],2,0),"")</f>
        <v/>
      </c>
      <c r="J770" s="138" t="str">
        <f>+IFERROR(VLOOKUP(D770,Conceptos_Analítica_contraloría[#All],3,0),"")</f>
        <v/>
      </c>
    </row>
    <row r="771" spans="3:10" x14ac:dyDescent="0.35">
      <c r="C771" s="144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s="138" t="str">
        <f>+IFERROR(VLOOKUP(Fact_Analitica[[#This Row],[Concepto Anterior]],Conceptos_Analítica_contraloría[#All],5,0),"")</f>
        <v/>
      </c>
      <c r="F771" s="138" t="str">
        <f>+IFERROR(VLOOKUP(Fact_Analitica[[#This Row],[Concepto Anterior]],Conceptos_Analítica_contraloría[#All],7,0),"")</f>
        <v/>
      </c>
      <c r="I771" s="138" t="str">
        <f>+IFERROR(VLOOKUP(D771,Conceptos_Analítica_contraloría[#All],2,0),"")</f>
        <v/>
      </c>
      <c r="J771" s="138" t="str">
        <f>+IFERROR(VLOOKUP(D771,Conceptos_Analítica_contraloría[#All],3,0),"")</f>
        <v/>
      </c>
    </row>
    <row r="772" spans="3:10" x14ac:dyDescent="0.35">
      <c r="C772" s="144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s="138" t="str">
        <f>+IFERROR(VLOOKUP(Fact_Analitica[[#This Row],[Concepto Anterior]],Conceptos_Analítica_contraloría[#All],5,0),"")</f>
        <v/>
      </c>
      <c r="F772" s="138" t="str">
        <f>+IFERROR(VLOOKUP(Fact_Analitica[[#This Row],[Concepto Anterior]],Conceptos_Analítica_contraloría[#All],7,0),"")</f>
        <v/>
      </c>
      <c r="I772" s="138" t="str">
        <f>+IFERROR(VLOOKUP(D772,Conceptos_Analítica_contraloría[#All],2,0),"")</f>
        <v/>
      </c>
      <c r="J772" s="138" t="str">
        <f>+IFERROR(VLOOKUP(D772,Conceptos_Analítica_contraloría[#All],3,0),"")</f>
        <v/>
      </c>
    </row>
    <row r="773" spans="3:10" x14ac:dyDescent="0.35">
      <c r="C773" s="144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s="138" t="str">
        <f>+IFERROR(VLOOKUP(Fact_Analitica[[#This Row],[Concepto Anterior]],Conceptos_Analítica_contraloría[#All],5,0),"")</f>
        <v/>
      </c>
      <c r="F773" s="138" t="str">
        <f>+IFERROR(VLOOKUP(Fact_Analitica[[#This Row],[Concepto Anterior]],Conceptos_Analítica_contraloría[#All],7,0),"")</f>
        <v/>
      </c>
      <c r="I773" s="138" t="str">
        <f>+IFERROR(VLOOKUP(D773,Conceptos_Analítica_contraloría[#All],2,0),"")</f>
        <v/>
      </c>
      <c r="J773" s="138" t="str">
        <f>+IFERROR(VLOOKUP(D773,Conceptos_Analítica_contraloría[#All],3,0),"")</f>
        <v/>
      </c>
    </row>
    <row r="774" spans="3:10" x14ac:dyDescent="0.35">
      <c r="C774" s="144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s="138" t="str">
        <f>+IFERROR(VLOOKUP(Fact_Analitica[[#This Row],[Concepto Anterior]],Conceptos_Analítica_contraloría[#All],5,0),"")</f>
        <v/>
      </c>
      <c r="F774" s="138" t="str">
        <f>+IFERROR(VLOOKUP(Fact_Analitica[[#This Row],[Concepto Anterior]],Conceptos_Analítica_contraloría[#All],7,0),"")</f>
        <v/>
      </c>
      <c r="I774" s="138" t="str">
        <f>+IFERROR(VLOOKUP(D774,Conceptos_Analítica_contraloría[#All],2,0),"")</f>
        <v/>
      </c>
      <c r="J774" s="138" t="str">
        <f>+IFERROR(VLOOKUP(D774,Conceptos_Analítica_contraloría[#All],3,0),"")</f>
        <v/>
      </c>
    </row>
    <row r="775" spans="3:10" x14ac:dyDescent="0.35">
      <c r="C775" s="144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s="138" t="str">
        <f>+IFERROR(VLOOKUP(Fact_Analitica[[#This Row],[Concepto Anterior]],Conceptos_Analítica_contraloría[#All],5,0),"")</f>
        <v/>
      </c>
      <c r="F775" s="138" t="str">
        <f>+IFERROR(VLOOKUP(Fact_Analitica[[#This Row],[Concepto Anterior]],Conceptos_Analítica_contraloría[#All],7,0),"")</f>
        <v/>
      </c>
      <c r="I775" s="138" t="str">
        <f>+IFERROR(VLOOKUP(D775,Conceptos_Analítica_contraloría[#All],2,0),"")</f>
        <v/>
      </c>
      <c r="J775" s="138" t="str">
        <f>+IFERROR(VLOOKUP(D775,Conceptos_Analítica_contraloría[#All],3,0),"")</f>
        <v/>
      </c>
    </row>
    <row r="776" spans="3:10" x14ac:dyDescent="0.35">
      <c r="C776" s="144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s="138" t="str">
        <f>+IFERROR(VLOOKUP(Fact_Analitica[[#This Row],[Concepto Anterior]],Conceptos_Analítica_contraloría[#All],5,0),"")</f>
        <v/>
      </c>
      <c r="F776" s="138" t="str">
        <f>+IFERROR(VLOOKUP(Fact_Analitica[[#This Row],[Concepto Anterior]],Conceptos_Analítica_contraloría[#All],7,0),"")</f>
        <v/>
      </c>
      <c r="I776" s="138" t="str">
        <f>+IFERROR(VLOOKUP(D776,Conceptos_Analítica_contraloría[#All],2,0),"")</f>
        <v/>
      </c>
      <c r="J776" s="138" t="str">
        <f>+IFERROR(VLOOKUP(D776,Conceptos_Analítica_contraloría[#All],3,0),"")</f>
        <v/>
      </c>
    </row>
    <row r="777" spans="3:10" x14ac:dyDescent="0.35">
      <c r="C777" s="144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s="138" t="str">
        <f>+IFERROR(VLOOKUP(Fact_Analitica[[#This Row],[Concepto Anterior]],Conceptos_Analítica_contraloría[#All],5,0),"")</f>
        <v/>
      </c>
      <c r="F777" s="138" t="str">
        <f>+IFERROR(VLOOKUP(Fact_Analitica[[#This Row],[Concepto Anterior]],Conceptos_Analítica_contraloría[#All],7,0),"")</f>
        <v/>
      </c>
      <c r="I777" s="138" t="str">
        <f>+IFERROR(VLOOKUP(D777,Conceptos_Analítica_contraloría[#All],2,0),"")</f>
        <v/>
      </c>
      <c r="J777" s="138" t="str">
        <f>+IFERROR(VLOOKUP(D777,Conceptos_Analítica_contraloría[#All],3,0),"")</f>
        <v/>
      </c>
    </row>
    <row r="778" spans="3:10" x14ac:dyDescent="0.35">
      <c r="C778" s="144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s="138" t="str">
        <f>+IFERROR(VLOOKUP(Fact_Analitica[[#This Row],[Concepto Anterior]],Conceptos_Analítica_contraloría[#All],5,0),"")</f>
        <v/>
      </c>
      <c r="F778" s="138" t="str">
        <f>+IFERROR(VLOOKUP(Fact_Analitica[[#This Row],[Concepto Anterior]],Conceptos_Analítica_contraloría[#All],7,0),"")</f>
        <v/>
      </c>
      <c r="I778" s="138" t="str">
        <f>+IFERROR(VLOOKUP(D778,Conceptos_Analítica_contraloría[#All],2,0),"")</f>
        <v/>
      </c>
      <c r="J778" s="138" t="str">
        <f>+IFERROR(VLOOKUP(D778,Conceptos_Analítica_contraloría[#All],3,0),"")</f>
        <v/>
      </c>
    </row>
    <row r="779" spans="3:10" x14ac:dyDescent="0.35">
      <c r="C779" s="144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s="138" t="str">
        <f>+IFERROR(VLOOKUP(Fact_Analitica[[#This Row],[Concepto Anterior]],Conceptos_Analítica_contraloría[#All],5,0),"")</f>
        <v/>
      </c>
      <c r="F779" s="138" t="str">
        <f>+IFERROR(VLOOKUP(Fact_Analitica[[#This Row],[Concepto Anterior]],Conceptos_Analítica_contraloría[#All],7,0),"")</f>
        <v/>
      </c>
      <c r="I779" s="138" t="str">
        <f>+IFERROR(VLOOKUP(D779,Conceptos_Analítica_contraloría[#All],2,0),"")</f>
        <v/>
      </c>
      <c r="J779" s="138" t="str">
        <f>+IFERROR(VLOOKUP(D779,Conceptos_Analítica_contraloría[#All],3,0),"")</f>
        <v/>
      </c>
    </row>
    <row r="780" spans="3:10" x14ac:dyDescent="0.35">
      <c r="C780" s="144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s="138" t="str">
        <f>+IFERROR(VLOOKUP(Fact_Analitica[[#This Row],[Concepto Anterior]],Conceptos_Analítica_contraloría[#All],5,0),"")</f>
        <v/>
      </c>
      <c r="F780" s="138" t="str">
        <f>+IFERROR(VLOOKUP(Fact_Analitica[[#This Row],[Concepto Anterior]],Conceptos_Analítica_contraloría[#All],7,0),"")</f>
        <v/>
      </c>
      <c r="I780" s="138" t="str">
        <f>+IFERROR(VLOOKUP(D780,Conceptos_Analítica_contraloría[#All],2,0),"")</f>
        <v/>
      </c>
      <c r="J780" s="138" t="str">
        <f>+IFERROR(VLOOKUP(D780,Conceptos_Analítica_contraloría[#All],3,0),"")</f>
        <v/>
      </c>
    </row>
    <row r="781" spans="3:10" x14ac:dyDescent="0.35">
      <c r="C781" s="144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s="138" t="str">
        <f>+IFERROR(VLOOKUP(Fact_Analitica[[#This Row],[Concepto Anterior]],Conceptos_Analítica_contraloría[#All],5,0),"")</f>
        <v/>
      </c>
      <c r="F781" s="138" t="str">
        <f>+IFERROR(VLOOKUP(Fact_Analitica[[#This Row],[Concepto Anterior]],Conceptos_Analítica_contraloría[#All],7,0),"")</f>
        <v/>
      </c>
      <c r="I781" s="138" t="str">
        <f>+IFERROR(VLOOKUP(D781,Conceptos_Analítica_contraloría[#All],2,0),"")</f>
        <v/>
      </c>
      <c r="J781" s="138" t="str">
        <f>+IFERROR(VLOOKUP(D781,Conceptos_Analítica_contraloría[#All],3,0),"")</f>
        <v/>
      </c>
    </row>
    <row r="782" spans="3:10" x14ac:dyDescent="0.35">
      <c r="C782" s="144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s="138" t="str">
        <f>+IFERROR(VLOOKUP(Fact_Analitica[[#This Row],[Concepto Anterior]],Conceptos_Analítica_contraloría[#All],5,0),"")</f>
        <v/>
      </c>
      <c r="F782" s="138" t="str">
        <f>+IFERROR(VLOOKUP(Fact_Analitica[[#This Row],[Concepto Anterior]],Conceptos_Analítica_contraloría[#All],7,0),"")</f>
        <v/>
      </c>
      <c r="I782" s="138" t="str">
        <f>+IFERROR(VLOOKUP(D782,Conceptos_Analítica_contraloría[#All],2,0),"")</f>
        <v/>
      </c>
      <c r="J782" s="138" t="str">
        <f>+IFERROR(VLOOKUP(D782,Conceptos_Analítica_contraloría[#All],3,0),"")</f>
        <v/>
      </c>
    </row>
    <row r="783" spans="3:10" x14ac:dyDescent="0.35">
      <c r="C783" s="144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s="138" t="str">
        <f>+IFERROR(VLOOKUP(Fact_Analitica[[#This Row],[Concepto Anterior]],Conceptos_Analítica_contraloría[#All],5,0),"")</f>
        <v/>
      </c>
      <c r="F783" s="138" t="str">
        <f>+IFERROR(VLOOKUP(Fact_Analitica[[#This Row],[Concepto Anterior]],Conceptos_Analítica_contraloría[#All],7,0),"")</f>
        <v/>
      </c>
      <c r="I783" s="138" t="str">
        <f>+IFERROR(VLOOKUP(D783,Conceptos_Analítica_contraloría[#All],2,0),"")</f>
        <v/>
      </c>
      <c r="J783" s="138" t="str">
        <f>+IFERROR(VLOOKUP(D783,Conceptos_Analítica_contraloría[#All],3,0),"")</f>
        <v/>
      </c>
    </row>
    <row r="784" spans="3:10" x14ac:dyDescent="0.35">
      <c r="C784" s="144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s="138" t="str">
        <f>+IFERROR(VLOOKUP(Fact_Analitica[[#This Row],[Concepto Anterior]],Conceptos_Analítica_contraloría[#All],5,0),"")</f>
        <v/>
      </c>
      <c r="F784" s="138" t="str">
        <f>+IFERROR(VLOOKUP(Fact_Analitica[[#This Row],[Concepto Anterior]],Conceptos_Analítica_contraloría[#All],7,0),"")</f>
        <v/>
      </c>
      <c r="I784" s="138" t="str">
        <f>+IFERROR(VLOOKUP(D784,Conceptos_Analítica_contraloría[#All],2,0),"")</f>
        <v/>
      </c>
      <c r="J784" s="138" t="str">
        <f>+IFERROR(VLOOKUP(D784,Conceptos_Analítica_contraloría[#All],3,0),"")</f>
        <v/>
      </c>
    </row>
    <row r="785" spans="3:10" x14ac:dyDescent="0.35">
      <c r="C785" s="144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s="138" t="str">
        <f>+IFERROR(VLOOKUP(Fact_Analitica[[#This Row],[Concepto Anterior]],Conceptos_Analítica_contraloría[#All],5,0),"")</f>
        <v/>
      </c>
      <c r="F785" s="138" t="str">
        <f>+IFERROR(VLOOKUP(Fact_Analitica[[#This Row],[Concepto Anterior]],Conceptos_Analítica_contraloría[#All],7,0),"")</f>
        <v/>
      </c>
      <c r="I785" s="138" t="str">
        <f>+IFERROR(VLOOKUP(D785,Conceptos_Analítica_contraloría[#All],2,0),"")</f>
        <v/>
      </c>
      <c r="J785" s="138" t="str">
        <f>+IFERROR(VLOOKUP(D785,Conceptos_Analítica_contraloría[#All],3,0),"")</f>
        <v/>
      </c>
    </row>
    <row r="786" spans="3:10" x14ac:dyDescent="0.35">
      <c r="C786" s="144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s="138" t="str">
        <f>+IFERROR(VLOOKUP(Fact_Analitica[[#This Row],[Concepto Anterior]],Conceptos_Analítica_contraloría[#All],5,0),"")</f>
        <v/>
      </c>
      <c r="F786" s="138" t="str">
        <f>+IFERROR(VLOOKUP(Fact_Analitica[[#This Row],[Concepto Anterior]],Conceptos_Analítica_contraloría[#All],7,0),"")</f>
        <v/>
      </c>
      <c r="I786" s="138" t="str">
        <f>+IFERROR(VLOOKUP(D786,Conceptos_Analítica_contraloría[#All],2,0),"")</f>
        <v/>
      </c>
      <c r="J786" s="138" t="str">
        <f>+IFERROR(VLOOKUP(D786,Conceptos_Analítica_contraloría[#All],3,0),"")</f>
        <v/>
      </c>
    </row>
    <row r="787" spans="3:10" x14ac:dyDescent="0.35">
      <c r="C787" s="144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s="138" t="str">
        <f>+IFERROR(VLOOKUP(Fact_Analitica[[#This Row],[Concepto Anterior]],Conceptos_Analítica_contraloría[#All],5,0),"")</f>
        <v/>
      </c>
      <c r="F787" s="138" t="str">
        <f>+IFERROR(VLOOKUP(Fact_Analitica[[#This Row],[Concepto Anterior]],Conceptos_Analítica_contraloría[#All],7,0),"")</f>
        <v/>
      </c>
      <c r="I787" s="138" t="str">
        <f>+IFERROR(VLOOKUP(D787,Conceptos_Analítica_contraloría[#All],2,0),"")</f>
        <v/>
      </c>
      <c r="J787" s="138" t="str">
        <f>+IFERROR(VLOOKUP(D787,Conceptos_Analítica_contraloría[#All],3,0),"")</f>
        <v/>
      </c>
    </row>
    <row r="788" spans="3:10" x14ac:dyDescent="0.35">
      <c r="C788" s="144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s="138" t="str">
        <f>+IFERROR(VLOOKUP(Fact_Analitica[[#This Row],[Concepto Anterior]],Conceptos_Analítica_contraloría[#All],5,0),"")</f>
        <v/>
      </c>
      <c r="F788" s="138" t="str">
        <f>+IFERROR(VLOOKUP(Fact_Analitica[[#This Row],[Concepto Anterior]],Conceptos_Analítica_contraloría[#All],7,0),"")</f>
        <v/>
      </c>
      <c r="I788" s="138" t="str">
        <f>+IFERROR(VLOOKUP(D788,Conceptos_Analítica_contraloría[#All],2,0),"")</f>
        <v/>
      </c>
      <c r="J788" s="138" t="str">
        <f>+IFERROR(VLOOKUP(D788,Conceptos_Analítica_contraloría[#All],3,0),"")</f>
        <v/>
      </c>
    </row>
    <row r="789" spans="3:10" x14ac:dyDescent="0.35">
      <c r="C789" s="144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s="138" t="str">
        <f>+IFERROR(VLOOKUP(Fact_Analitica[[#This Row],[Concepto Anterior]],Conceptos_Analítica_contraloría[#All],5,0),"")</f>
        <v/>
      </c>
      <c r="F789" s="138" t="str">
        <f>+IFERROR(VLOOKUP(Fact_Analitica[[#This Row],[Concepto Anterior]],Conceptos_Analítica_contraloría[#All],7,0),"")</f>
        <v/>
      </c>
      <c r="I789" s="138" t="str">
        <f>+IFERROR(VLOOKUP(D789,Conceptos_Analítica_contraloría[#All],2,0),"")</f>
        <v/>
      </c>
      <c r="J789" s="138" t="str">
        <f>+IFERROR(VLOOKUP(D789,Conceptos_Analítica_contraloría[#All],3,0),"")</f>
        <v/>
      </c>
    </row>
    <row r="790" spans="3:10" x14ac:dyDescent="0.35">
      <c r="C790" s="144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s="138" t="str">
        <f>+IFERROR(VLOOKUP(Fact_Analitica[[#This Row],[Concepto Anterior]],Conceptos_Analítica_contraloría[#All],5,0),"")</f>
        <v/>
      </c>
      <c r="F790" s="138" t="str">
        <f>+IFERROR(VLOOKUP(Fact_Analitica[[#This Row],[Concepto Anterior]],Conceptos_Analítica_contraloría[#All],7,0),"")</f>
        <v/>
      </c>
      <c r="I790" s="138" t="str">
        <f>+IFERROR(VLOOKUP(D790,Conceptos_Analítica_contraloría[#All],2,0),"")</f>
        <v/>
      </c>
      <c r="J790" s="138" t="str">
        <f>+IFERROR(VLOOKUP(D790,Conceptos_Analítica_contraloría[#All],3,0),"")</f>
        <v/>
      </c>
    </row>
    <row r="791" spans="3:10" x14ac:dyDescent="0.35">
      <c r="C791" s="144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s="138" t="str">
        <f>+IFERROR(VLOOKUP(Fact_Analitica[[#This Row],[Concepto Anterior]],Conceptos_Analítica_contraloría[#All],5,0),"")</f>
        <v/>
      </c>
      <c r="F791" s="138" t="str">
        <f>+IFERROR(VLOOKUP(Fact_Analitica[[#This Row],[Concepto Anterior]],Conceptos_Analítica_contraloría[#All],7,0),"")</f>
        <v/>
      </c>
      <c r="I791" s="138" t="str">
        <f>+IFERROR(VLOOKUP(D791,Conceptos_Analítica_contraloría[#All],2,0),"")</f>
        <v/>
      </c>
      <c r="J791" s="138" t="str">
        <f>+IFERROR(VLOOKUP(D791,Conceptos_Analítica_contraloría[#All],3,0),"")</f>
        <v/>
      </c>
    </row>
    <row r="792" spans="3:10" x14ac:dyDescent="0.35">
      <c r="C792" s="144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s="138" t="str">
        <f>+IFERROR(VLOOKUP(Fact_Analitica[[#This Row],[Concepto Anterior]],Conceptos_Analítica_contraloría[#All],5,0),"")</f>
        <v/>
      </c>
      <c r="F792" s="138" t="str">
        <f>+IFERROR(VLOOKUP(Fact_Analitica[[#This Row],[Concepto Anterior]],Conceptos_Analítica_contraloría[#All],7,0),"")</f>
        <v/>
      </c>
      <c r="I792" s="138" t="str">
        <f>+IFERROR(VLOOKUP(D792,Conceptos_Analítica_contraloría[#All],2,0),"")</f>
        <v/>
      </c>
      <c r="J792" s="138" t="str">
        <f>+IFERROR(VLOOKUP(D792,Conceptos_Analítica_contraloría[#All],3,0),"")</f>
        <v/>
      </c>
    </row>
    <row r="793" spans="3:10" x14ac:dyDescent="0.35">
      <c r="C793" s="144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s="138" t="str">
        <f>+IFERROR(VLOOKUP(Fact_Analitica[[#This Row],[Concepto Anterior]],Conceptos_Analítica_contraloría[#All],5,0),"")</f>
        <v/>
      </c>
      <c r="F793" s="138" t="str">
        <f>+IFERROR(VLOOKUP(Fact_Analitica[[#This Row],[Concepto Anterior]],Conceptos_Analítica_contraloría[#All],7,0),"")</f>
        <v/>
      </c>
      <c r="I793" s="138" t="str">
        <f>+IFERROR(VLOOKUP(D793,Conceptos_Analítica_contraloría[#All],2,0),"")</f>
        <v/>
      </c>
      <c r="J793" s="138" t="str">
        <f>+IFERROR(VLOOKUP(D793,Conceptos_Analítica_contraloría[#All],3,0),"")</f>
        <v/>
      </c>
    </row>
    <row r="794" spans="3:10" x14ac:dyDescent="0.35">
      <c r="C794" s="144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s="138" t="str">
        <f>+IFERROR(VLOOKUP(Fact_Analitica[[#This Row],[Concepto Anterior]],Conceptos_Analítica_contraloría[#All],5,0),"")</f>
        <v/>
      </c>
      <c r="F794" s="138" t="str">
        <f>+IFERROR(VLOOKUP(Fact_Analitica[[#This Row],[Concepto Anterior]],Conceptos_Analítica_contraloría[#All],7,0),"")</f>
        <v/>
      </c>
      <c r="I794" s="138" t="str">
        <f>+IFERROR(VLOOKUP(D794,Conceptos_Analítica_contraloría[#All],2,0),"")</f>
        <v/>
      </c>
      <c r="J794" s="138" t="str">
        <f>+IFERROR(VLOOKUP(D794,Conceptos_Analítica_contraloría[#All],3,0),"")</f>
        <v/>
      </c>
    </row>
    <row r="795" spans="3:10" x14ac:dyDescent="0.35">
      <c r="C795" s="144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s="138" t="str">
        <f>+IFERROR(VLOOKUP(Fact_Analitica[[#This Row],[Concepto Anterior]],Conceptos_Analítica_contraloría[#All],5,0),"")</f>
        <v/>
      </c>
      <c r="F795" s="138" t="str">
        <f>+IFERROR(VLOOKUP(Fact_Analitica[[#This Row],[Concepto Anterior]],Conceptos_Analítica_contraloría[#All],7,0),"")</f>
        <v/>
      </c>
      <c r="I795" s="138" t="str">
        <f>+IFERROR(VLOOKUP(D795,Conceptos_Analítica_contraloría[#All],2,0),"")</f>
        <v/>
      </c>
      <c r="J795" s="138" t="str">
        <f>+IFERROR(VLOOKUP(D795,Conceptos_Analítica_contraloría[#All],3,0),"")</f>
        <v/>
      </c>
    </row>
    <row r="796" spans="3:10" x14ac:dyDescent="0.35">
      <c r="C796" s="144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s="138" t="str">
        <f>+IFERROR(VLOOKUP(Fact_Analitica[[#This Row],[Concepto Anterior]],Conceptos_Analítica_contraloría[#All],5,0),"")</f>
        <v/>
      </c>
      <c r="F796" s="138" t="str">
        <f>+IFERROR(VLOOKUP(Fact_Analitica[[#This Row],[Concepto Anterior]],Conceptos_Analítica_contraloría[#All],7,0),"")</f>
        <v/>
      </c>
      <c r="I796" s="138" t="str">
        <f>+IFERROR(VLOOKUP(D796,Conceptos_Analítica_contraloría[#All],2,0),"")</f>
        <v/>
      </c>
      <c r="J796" s="138" t="str">
        <f>+IFERROR(VLOOKUP(D796,Conceptos_Analítica_contraloría[#All],3,0),"")</f>
        <v/>
      </c>
    </row>
    <row r="797" spans="3:10" x14ac:dyDescent="0.35">
      <c r="C797" s="144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s="138" t="str">
        <f>+IFERROR(VLOOKUP(Fact_Analitica[[#This Row],[Concepto Anterior]],Conceptos_Analítica_contraloría[#All],5,0),"")</f>
        <v/>
      </c>
      <c r="F797" s="138" t="str">
        <f>+IFERROR(VLOOKUP(Fact_Analitica[[#This Row],[Concepto Anterior]],Conceptos_Analítica_contraloría[#All],7,0),"")</f>
        <v/>
      </c>
      <c r="I797" s="138" t="str">
        <f>+IFERROR(VLOOKUP(D797,Conceptos_Analítica_contraloría[#All],2,0),"")</f>
        <v/>
      </c>
      <c r="J797" s="138" t="str">
        <f>+IFERROR(VLOOKUP(D797,Conceptos_Analítica_contraloría[#All],3,0),"")</f>
        <v/>
      </c>
    </row>
    <row r="798" spans="3:10" x14ac:dyDescent="0.35">
      <c r="C798" s="144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s="138" t="str">
        <f>+IFERROR(VLOOKUP(Fact_Analitica[[#This Row],[Concepto Anterior]],Conceptos_Analítica_contraloría[#All],5,0),"")</f>
        <v/>
      </c>
      <c r="F798" s="138" t="str">
        <f>+IFERROR(VLOOKUP(Fact_Analitica[[#This Row],[Concepto Anterior]],Conceptos_Analítica_contraloría[#All],7,0),"")</f>
        <v/>
      </c>
      <c r="I798" s="138" t="str">
        <f>+IFERROR(VLOOKUP(D798,Conceptos_Analítica_contraloría[#All],2,0),"")</f>
        <v/>
      </c>
      <c r="J798" s="138" t="str">
        <f>+IFERROR(VLOOKUP(D798,Conceptos_Analítica_contraloría[#All],3,0),"")</f>
        <v/>
      </c>
    </row>
    <row r="799" spans="3:10" x14ac:dyDescent="0.35">
      <c r="C799" s="144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s="138" t="str">
        <f>+IFERROR(VLOOKUP(Fact_Analitica[[#This Row],[Concepto Anterior]],Conceptos_Analítica_contraloría[#All],5,0),"")</f>
        <v/>
      </c>
      <c r="F799" s="138" t="str">
        <f>+IFERROR(VLOOKUP(Fact_Analitica[[#This Row],[Concepto Anterior]],Conceptos_Analítica_contraloría[#All],7,0),"")</f>
        <v/>
      </c>
      <c r="I799" s="138" t="str">
        <f>+IFERROR(VLOOKUP(D799,Conceptos_Analítica_contraloría[#All],2,0),"")</f>
        <v/>
      </c>
      <c r="J799" s="138" t="str">
        <f>+IFERROR(VLOOKUP(D799,Conceptos_Analítica_contraloría[#All],3,0),"")</f>
        <v/>
      </c>
    </row>
    <row r="800" spans="3:10" x14ac:dyDescent="0.35">
      <c r="C800" s="144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s="138" t="str">
        <f>+IFERROR(VLOOKUP(Fact_Analitica[[#This Row],[Concepto Anterior]],Conceptos_Analítica_contraloría[#All],5,0),"")</f>
        <v/>
      </c>
      <c r="F800" s="138" t="str">
        <f>+IFERROR(VLOOKUP(Fact_Analitica[[#This Row],[Concepto Anterior]],Conceptos_Analítica_contraloría[#All],7,0),"")</f>
        <v/>
      </c>
      <c r="I800" s="138" t="str">
        <f>+IFERROR(VLOOKUP(D800,Conceptos_Analítica_contraloría[#All],2,0),"")</f>
        <v/>
      </c>
      <c r="J800" s="138" t="str">
        <f>+IFERROR(VLOOKUP(D800,Conceptos_Analítica_contraloría[#All],3,0),"")</f>
        <v/>
      </c>
    </row>
    <row r="801" spans="3:10" x14ac:dyDescent="0.35">
      <c r="C801" s="144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s="138" t="str">
        <f>+IFERROR(VLOOKUP(Fact_Analitica[[#This Row],[Concepto Anterior]],Conceptos_Analítica_contraloría[#All],5,0),"")</f>
        <v/>
      </c>
      <c r="F801" s="138" t="str">
        <f>+IFERROR(VLOOKUP(Fact_Analitica[[#This Row],[Concepto Anterior]],Conceptos_Analítica_contraloría[#All],7,0),"")</f>
        <v/>
      </c>
      <c r="I801" s="138" t="str">
        <f>+IFERROR(VLOOKUP(D801,Conceptos_Analítica_contraloría[#All],2,0),"")</f>
        <v/>
      </c>
      <c r="J801" s="138" t="str">
        <f>+IFERROR(VLOOKUP(D801,Conceptos_Analítica_contraloría[#All],3,0),"")</f>
        <v/>
      </c>
    </row>
    <row r="802" spans="3:10" x14ac:dyDescent="0.35">
      <c r="C802" s="144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s="138" t="str">
        <f>+IFERROR(VLOOKUP(Fact_Analitica[[#This Row],[Concepto Anterior]],Conceptos_Analítica_contraloría[#All],5,0),"")</f>
        <v/>
      </c>
      <c r="F802" s="138" t="str">
        <f>+IFERROR(VLOOKUP(Fact_Analitica[[#This Row],[Concepto Anterior]],Conceptos_Analítica_contraloría[#All],7,0),"")</f>
        <v/>
      </c>
      <c r="I802" s="138" t="str">
        <f>+IFERROR(VLOOKUP(D802,Conceptos_Analítica_contraloría[#All],2,0),"")</f>
        <v/>
      </c>
      <c r="J802" s="138" t="str">
        <f>+IFERROR(VLOOKUP(D802,Conceptos_Analítica_contraloría[#All],3,0),"")</f>
        <v/>
      </c>
    </row>
    <row r="803" spans="3:10" x14ac:dyDescent="0.35">
      <c r="C803" s="144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s="138" t="str">
        <f>+IFERROR(VLOOKUP(Fact_Analitica[[#This Row],[Concepto Anterior]],Conceptos_Analítica_contraloría[#All],5,0),"")</f>
        <v/>
      </c>
      <c r="F803" s="138" t="str">
        <f>+IFERROR(VLOOKUP(Fact_Analitica[[#This Row],[Concepto Anterior]],Conceptos_Analítica_contraloría[#All],7,0),"")</f>
        <v/>
      </c>
      <c r="I803" s="138" t="str">
        <f>+IFERROR(VLOOKUP(D803,Conceptos_Analítica_contraloría[#All],2,0),"")</f>
        <v/>
      </c>
      <c r="J803" s="138" t="str">
        <f>+IFERROR(VLOOKUP(D803,Conceptos_Analítica_contraloría[#All],3,0),"")</f>
        <v/>
      </c>
    </row>
    <row r="804" spans="3:10" x14ac:dyDescent="0.35">
      <c r="C804" s="144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s="138" t="str">
        <f>+IFERROR(VLOOKUP(Fact_Analitica[[#This Row],[Concepto Anterior]],Conceptos_Analítica_contraloría[#All],5,0),"")</f>
        <v/>
      </c>
      <c r="F804" s="138" t="str">
        <f>+IFERROR(VLOOKUP(Fact_Analitica[[#This Row],[Concepto Anterior]],Conceptos_Analítica_contraloría[#All],7,0),"")</f>
        <v/>
      </c>
      <c r="I804" s="138" t="str">
        <f>+IFERROR(VLOOKUP(D804,Conceptos_Analítica_contraloría[#All],2,0),"")</f>
        <v/>
      </c>
      <c r="J804" s="138" t="str">
        <f>+IFERROR(VLOOKUP(D804,Conceptos_Analítica_contraloría[#All],3,0),"")</f>
        <v/>
      </c>
    </row>
    <row r="805" spans="3:10" x14ac:dyDescent="0.35">
      <c r="C805" s="144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s="138" t="str">
        <f>+IFERROR(VLOOKUP(Fact_Analitica[[#This Row],[Concepto Anterior]],Conceptos_Analítica_contraloría[#All],5,0),"")</f>
        <v/>
      </c>
      <c r="F805" s="138" t="str">
        <f>+IFERROR(VLOOKUP(Fact_Analitica[[#This Row],[Concepto Anterior]],Conceptos_Analítica_contraloría[#All],7,0),"")</f>
        <v/>
      </c>
      <c r="I805" s="138" t="str">
        <f>+IFERROR(VLOOKUP(D805,Conceptos_Analítica_contraloría[#All],2,0),"")</f>
        <v/>
      </c>
      <c r="J805" s="138" t="str">
        <f>+IFERROR(VLOOKUP(D805,Conceptos_Analítica_contraloría[#All],3,0),"")</f>
        <v/>
      </c>
    </row>
    <row r="806" spans="3:10" x14ac:dyDescent="0.35">
      <c r="C806" s="144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s="138" t="str">
        <f>+IFERROR(VLOOKUP(Fact_Analitica[[#This Row],[Concepto Anterior]],Conceptos_Analítica_contraloría[#All],5,0),"")</f>
        <v/>
      </c>
      <c r="F806" s="138" t="str">
        <f>+IFERROR(VLOOKUP(Fact_Analitica[[#This Row],[Concepto Anterior]],Conceptos_Analítica_contraloría[#All],7,0),"")</f>
        <v/>
      </c>
      <c r="I806" s="138" t="str">
        <f>+IFERROR(VLOOKUP(D806,Conceptos_Analítica_contraloría[#All],2,0),"")</f>
        <v/>
      </c>
      <c r="J806" s="138" t="str">
        <f>+IFERROR(VLOOKUP(D806,Conceptos_Analítica_contraloría[#All],3,0),"")</f>
        <v/>
      </c>
    </row>
    <row r="807" spans="3:10" x14ac:dyDescent="0.35">
      <c r="C807" s="144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s="138" t="str">
        <f>+IFERROR(VLOOKUP(Fact_Analitica[[#This Row],[Concepto Anterior]],Conceptos_Analítica_contraloría[#All],5,0),"")</f>
        <v/>
      </c>
      <c r="F807" s="138" t="str">
        <f>+IFERROR(VLOOKUP(Fact_Analitica[[#This Row],[Concepto Anterior]],Conceptos_Analítica_contraloría[#All],7,0),"")</f>
        <v/>
      </c>
      <c r="I807" s="138" t="str">
        <f>+IFERROR(VLOOKUP(D807,Conceptos_Analítica_contraloría[#All],2,0),"")</f>
        <v/>
      </c>
      <c r="J807" s="138" t="str">
        <f>+IFERROR(VLOOKUP(D807,Conceptos_Analítica_contraloría[#All],3,0),"")</f>
        <v/>
      </c>
    </row>
    <row r="808" spans="3:10" x14ac:dyDescent="0.35">
      <c r="C808" s="144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s="138" t="str">
        <f>+IFERROR(VLOOKUP(Fact_Analitica[[#This Row],[Concepto Anterior]],Conceptos_Analítica_contraloría[#All],5,0),"")</f>
        <v/>
      </c>
      <c r="F808" s="138" t="str">
        <f>+IFERROR(VLOOKUP(Fact_Analitica[[#This Row],[Concepto Anterior]],Conceptos_Analítica_contraloría[#All],7,0),"")</f>
        <v/>
      </c>
      <c r="I808" s="138" t="str">
        <f>+IFERROR(VLOOKUP(D808,Conceptos_Analítica_contraloría[#All],2,0),"")</f>
        <v/>
      </c>
      <c r="J808" s="138" t="str">
        <f>+IFERROR(VLOOKUP(D808,Conceptos_Analítica_contraloría[#All],3,0),"")</f>
        <v/>
      </c>
    </row>
    <row r="809" spans="3:10" x14ac:dyDescent="0.35">
      <c r="C809" s="144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s="138" t="str">
        <f>+IFERROR(VLOOKUP(Fact_Analitica[[#This Row],[Concepto Anterior]],Conceptos_Analítica_contraloría[#All],5,0),"")</f>
        <v/>
      </c>
      <c r="F809" s="138" t="str">
        <f>+IFERROR(VLOOKUP(Fact_Analitica[[#This Row],[Concepto Anterior]],Conceptos_Analítica_contraloría[#All],7,0),"")</f>
        <v/>
      </c>
      <c r="I809" s="138" t="str">
        <f>+IFERROR(VLOOKUP(D809,Conceptos_Analítica_contraloría[#All],2,0),"")</f>
        <v/>
      </c>
      <c r="J809" s="138" t="str">
        <f>+IFERROR(VLOOKUP(D809,Conceptos_Analítica_contraloría[#All],3,0),"")</f>
        <v/>
      </c>
    </row>
    <row r="810" spans="3:10" x14ac:dyDescent="0.35">
      <c r="C810" s="144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s="138" t="str">
        <f>+IFERROR(VLOOKUP(Fact_Analitica[[#This Row],[Concepto Anterior]],Conceptos_Analítica_contraloría[#All],5,0),"")</f>
        <v/>
      </c>
      <c r="F810" s="138" t="str">
        <f>+IFERROR(VLOOKUP(Fact_Analitica[[#This Row],[Concepto Anterior]],Conceptos_Analítica_contraloría[#All],7,0),"")</f>
        <v/>
      </c>
      <c r="I810" s="138" t="str">
        <f>+IFERROR(VLOOKUP(D810,Conceptos_Analítica_contraloría[#All],2,0),"")</f>
        <v/>
      </c>
      <c r="J810" s="138" t="str">
        <f>+IFERROR(VLOOKUP(D810,Conceptos_Analítica_contraloría[#All],3,0),"")</f>
        <v/>
      </c>
    </row>
    <row r="811" spans="3:10" x14ac:dyDescent="0.35">
      <c r="C811" s="144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s="138" t="str">
        <f>+IFERROR(VLOOKUP(Fact_Analitica[[#This Row],[Concepto Anterior]],Conceptos_Analítica_contraloría[#All],5,0),"")</f>
        <v/>
      </c>
      <c r="F811" s="138" t="str">
        <f>+IFERROR(VLOOKUP(Fact_Analitica[[#This Row],[Concepto Anterior]],Conceptos_Analítica_contraloría[#All],7,0),"")</f>
        <v/>
      </c>
      <c r="I811" s="138" t="str">
        <f>+IFERROR(VLOOKUP(D811,Conceptos_Analítica_contraloría[#All],2,0),"")</f>
        <v/>
      </c>
      <c r="J811" s="138" t="str">
        <f>+IFERROR(VLOOKUP(D811,Conceptos_Analítica_contraloría[#All],3,0),"")</f>
        <v/>
      </c>
    </row>
    <row r="812" spans="3:10" x14ac:dyDescent="0.35">
      <c r="C812" s="144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s="138" t="str">
        <f>+IFERROR(VLOOKUP(Fact_Analitica[[#This Row],[Concepto Anterior]],Conceptos_Analítica_contraloría[#All],5,0),"")</f>
        <v/>
      </c>
      <c r="F812" s="138" t="str">
        <f>+IFERROR(VLOOKUP(Fact_Analitica[[#This Row],[Concepto Anterior]],Conceptos_Analítica_contraloría[#All],7,0),"")</f>
        <v/>
      </c>
      <c r="I812" s="138" t="str">
        <f>+IFERROR(VLOOKUP(D812,Conceptos_Analítica_contraloría[#All],2,0),"")</f>
        <v/>
      </c>
      <c r="J812" s="138" t="str">
        <f>+IFERROR(VLOOKUP(D812,Conceptos_Analítica_contraloría[#All],3,0),"")</f>
        <v/>
      </c>
    </row>
    <row r="813" spans="3:10" x14ac:dyDescent="0.35">
      <c r="C813" s="144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s="138" t="str">
        <f>+IFERROR(VLOOKUP(Fact_Analitica[[#This Row],[Concepto Anterior]],Conceptos_Analítica_contraloría[#All],5,0),"")</f>
        <v/>
      </c>
      <c r="F813" s="138" t="str">
        <f>+IFERROR(VLOOKUP(Fact_Analitica[[#This Row],[Concepto Anterior]],Conceptos_Analítica_contraloría[#All],7,0),"")</f>
        <v/>
      </c>
      <c r="I813" s="138" t="str">
        <f>+IFERROR(VLOOKUP(D813,Conceptos_Analítica_contraloría[#All],2,0),"")</f>
        <v/>
      </c>
      <c r="J813" s="138" t="str">
        <f>+IFERROR(VLOOKUP(D813,Conceptos_Analítica_contraloría[#All],3,0),"")</f>
        <v/>
      </c>
    </row>
    <row r="814" spans="3:10" x14ac:dyDescent="0.35">
      <c r="C814" s="144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s="138" t="str">
        <f>+IFERROR(VLOOKUP(Fact_Analitica[[#This Row],[Concepto Anterior]],Conceptos_Analítica_contraloría[#All],5,0),"")</f>
        <v/>
      </c>
      <c r="F814" s="138" t="str">
        <f>+IFERROR(VLOOKUP(Fact_Analitica[[#This Row],[Concepto Anterior]],Conceptos_Analítica_contraloría[#All],7,0),"")</f>
        <v/>
      </c>
      <c r="I814" s="138" t="str">
        <f>+IFERROR(VLOOKUP(D814,Conceptos_Analítica_contraloría[#All],2,0),"")</f>
        <v/>
      </c>
      <c r="J814" s="138" t="str">
        <f>+IFERROR(VLOOKUP(D814,Conceptos_Analítica_contraloría[#All],3,0),"")</f>
        <v/>
      </c>
    </row>
    <row r="815" spans="3:10" x14ac:dyDescent="0.35">
      <c r="C815" s="144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s="138" t="str">
        <f>+IFERROR(VLOOKUP(Fact_Analitica[[#This Row],[Concepto Anterior]],Conceptos_Analítica_contraloría[#All],5,0),"")</f>
        <v/>
      </c>
      <c r="F815" s="138" t="str">
        <f>+IFERROR(VLOOKUP(Fact_Analitica[[#This Row],[Concepto Anterior]],Conceptos_Analítica_contraloría[#All],7,0),"")</f>
        <v/>
      </c>
      <c r="I815" s="138" t="str">
        <f>+IFERROR(VLOOKUP(D815,Conceptos_Analítica_contraloría[#All],2,0),"")</f>
        <v/>
      </c>
      <c r="J815" s="138" t="str">
        <f>+IFERROR(VLOOKUP(D815,Conceptos_Analítica_contraloría[#All],3,0),"")</f>
        <v/>
      </c>
    </row>
    <row r="816" spans="3:10" x14ac:dyDescent="0.35">
      <c r="C816" s="144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s="138" t="str">
        <f>+IFERROR(VLOOKUP(Fact_Analitica[[#This Row],[Concepto Anterior]],Conceptos_Analítica_contraloría[#All],5,0),"")</f>
        <v/>
      </c>
      <c r="F816" s="138" t="str">
        <f>+IFERROR(VLOOKUP(Fact_Analitica[[#This Row],[Concepto Anterior]],Conceptos_Analítica_contraloría[#All],7,0),"")</f>
        <v/>
      </c>
      <c r="I816" s="138" t="str">
        <f>+IFERROR(VLOOKUP(D816,Conceptos_Analítica_contraloría[#All],2,0),"")</f>
        <v/>
      </c>
      <c r="J816" s="138" t="str">
        <f>+IFERROR(VLOOKUP(D816,Conceptos_Analítica_contraloría[#All],3,0),"")</f>
        <v/>
      </c>
    </row>
    <row r="817" spans="3:10" x14ac:dyDescent="0.35">
      <c r="C817" s="144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s="138" t="str">
        <f>+IFERROR(VLOOKUP(Fact_Analitica[[#This Row],[Concepto Anterior]],Conceptos_Analítica_contraloría[#All],5,0),"")</f>
        <v/>
      </c>
      <c r="F817" s="138" t="str">
        <f>+IFERROR(VLOOKUP(Fact_Analitica[[#This Row],[Concepto Anterior]],Conceptos_Analítica_contraloría[#All],7,0),"")</f>
        <v/>
      </c>
      <c r="I817" s="138" t="str">
        <f>+IFERROR(VLOOKUP(D817,Conceptos_Analítica_contraloría[#All],2,0),"")</f>
        <v/>
      </c>
      <c r="J817" s="138" t="str">
        <f>+IFERROR(VLOOKUP(D817,Conceptos_Analítica_contraloría[#All],3,0),"")</f>
        <v/>
      </c>
    </row>
    <row r="818" spans="3:10" x14ac:dyDescent="0.35">
      <c r="C818" s="144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s="138" t="str">
        <f>+IFERROR(VLOOKUP(Fact_Analitica[[#This Row],[Concepto Anterior]],Conceptos_Analítica_contraloría[#All],5,0),"")</f>
        <v/>
      </c>
      <c r="F818" s="138" t="str">
        <f>+IFERROR(VLOOKUP(Fact_Analitica[[#This Row],[Concepto Anterior]],Conceptos_Analítica_contraloría[#All],7,0),"")</f>
        <v/>
      </c>
      <c r="I818" s="138" t="str">
        <f>+IFERROR(VLOOKUP(D818,Conceptos_Analítica_contraloría[#All],2,0),"")</f>
        <v/>
      </c>
      <c r="J818" s="138" t="str">
        <f>+IFERROR(VLOOKUP(D818,Conceptos_Analítica_contraloría[#All],3,0),"")</f>
        <v/>
      </c>
    </row>
    <row r="819" spans="3:10" x14ac:dyDescent="0.35">
      <c r="C819" s="144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s="138" t="str">
        <f>+IFERROR(VLOOKUP(Fact_Analitica[[#This Row],[Concepto Anterior]],Conceptos_Analítica_contraloría[#All],5,0),"")</f>
        <v/>
      </c>
      <c r="F819" s="138" t="str">
        <f>+IFERROR(VLOOKUP(Fact_Analitica[[#This Row],[Concepto Anterior]],Conceptos_Analítica_contraloría[#All],7,0),"")</f>
        <v/>
      </c>
      <c r="I819" s="138" t="str">
        <f>+IFERROR(VLOOKUP(D819,Conceptos_Analítica_contraloría[#All],2,0),"")</f>
        <v/>
      </c>
      <c r="J819" s="138" t="str">
        <f>+IFERROR(VLOOKUP(D819,Conceptos_Analítica_contraloría[#All],3,0),"")</f>
        <v/>
      </c>
    </row>
    <row r="820" spans="3:10" x14ac:dyDescent="0.35">
      <c r="C820" s="144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s="138" t="str">
        <f>+IFERROR(VLOOKUP(Fact_Analitica[[#This Row],[Concepto Anterior]],Conceptos_Analítica_contraloría[#All],5,0),"")</f>
        <v/>
      </c>
      <c r="F820" s="138" t="str">
        <f>+IFERROR(VLOOKUP(Fact_Analitica[[#This Row],[Concepto Anterior]],Conceptos_Analítica_contraloría[#All],7,0),"")</f>
        <v/>
      </c>
      <c r="I820" s="138" t="str">
        <f>+IFERROR(VLOOKUP(D820,Conceptos_Analítica_contraloría[#All],2,0),"")</f>
        <v/>
      </c>
      <c r="J820" s="138" t="str">
        <f>+IFERROR(VLOOKUP(D820,Conceptos_Analítica_contraloría[#All],3,0),"")</f>
        <v/>
      </c>
    </row>
    <row r="821" spans="3:10" x14ac:dyDescent="0.35">
      <c r="C821" s="144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s="138" t="str">
        <f>+IFERROR(VLOOKUP(Fact_Analitica[[#This Row],[Concepto Anterior]],Conceptos_Analítica_contraloría[#All],5,0),"")</f>
        <v/>
      </c>
      <c r="F821" s="138" t="str">
        <f>+IFERROR(VLOOKUP(Fact_Analitica[[#This Row],[Concepto Anterior]],Conceptos_Analítica_contraloría[#All],7,0),"")</f>
        <v/>
      </c>
      <c r="I821" s="138" t="str">
        <f>+IFERROR(VLOOKUP(D821,Conceptos_Analítica_contraloría[#All],2,0),"")</f>
        <v/>
      </c>
      <c r="J821" s="138" t="str">
        <f>+IFERROR(VLOOKUP(D821,Conceptos_Analítica_contraloría[#All],3,0),"")</f>
        <v/>
      </c>
    </row>
    <row r="822" spans="3:10" x14ac:dyDescent="0.35">
      <c r="C822" s="144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s="138" t="str">
        <f>+IFERROR(VLOOKUP(Fact_Analitica[[#This Row],[Concepto Anterior]],Conceptos_Analítica_contraloría[#All],5,0),"")</f>
        <v/>
      </c>
      <c r="F822" s="138" t="str">
        <f>+IFERROR(VLOOKUP(Fact_Analitica[[#This Row],[Concepto Anterior]],Conceptos_Analítica_contraloría[#All],7,0),"")</f>
        <v/>
      </c>
      <c r="I822" s="138" t="str">
        <f>+IFERROR(VLOOKUP(D822,Conceptos_Analítica_contraloría[#All],2,0),"")</f>
        <v/>
      </c>
      <c r="J822" s="138" t="str">
        <f>+IFERROR(VLOOKUP(D822,Conceptos_Analítica_contraloría[#All],3,0),"")</f>
        <v/>
      </c>
    </row>
    <row r="823" spans="3:10" x14ac:dyDescent="0.35">
      <c r="C823" s="144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s="138" t="str">
        <f>+IFERROR(VLOOKUP(Fact_Analitica[[#This Row],[Concepto Anterior]],Conceptos_Analítica_contraloría[#All],5,0),"")</f>
        <v/>
      </c>
      <c r="F823" s="138" t="str">
        <f>+IFERROR(VLOOKUP(Fact_Analitica[[#This Row],[Concepto Anterior]],Conceptos_Analítica_contraloría[#All],7,0),"")</f>
        <v/>
      </c>
      <c r="I823" s="138" t="str">
        <f>+IFERROR(VLOOKUP(D823,Conceptos_Analítica_contraloría[#All],2,0),"")</f>
        <v/>
      </c>
      <c r="J823" s="138" t="str">
        <f>+IFERROR(VLOOKUP(D823,Conceptos_Analítica_contraloría[#All],3,0),"")</f>
        <v/>
      </c>
    </row>
    <row r="824" spans="3:10" x14ac:dyDescent="0.35">
      <c r="C824" s="144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s="138" t="str">
        <f>+IFERROR(VLOOKUP(Fact_Analitica[[#This Row],[Concepto Anterior]],Conceptos_Analítica_contraloría[#All],5,0),"")</f>
        <v/>
      </c>
      <c r="F824" s="138" t="str">
        <f>+IFERROR(VLOOKUP(Fact_Analitica[[#This Row],[Concepto Anterior]],Conceptos_Analítica_contraloría[#All],7,0),"")</f>
        <v/>
      </c>
      <c r="I824" s="138" t="str">
        <f>+IFERROR(VLOOKUP(D824,Conceptos_Analítica_contraloría[#All],2,0),"")</f>
        <v/>
      </c>
      <c r="J824" s="138" t="str">
        <f>+IFERROR(VLOOKUP(D824,Conceptos_Analítica_contraloría[#All],3,0),"")</f>
        <v/>
      </c>
    </row>
    <row r="825" spans="3:10" x14ac:dyDescent="0.35">
      <c r="C825" s="144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s="138" t="str">
        <f>+IFERROR(VLOOKUP(Fact_Analitica[[#This Row],[Concepto Anterior]],Conceptos_Analítica_contraloría[#All],5,0),"")</f>
        <v/>
      </c>
      <c r="F825" s="138" t="str">
        <f>+IFERROR(VLOOKUP(Fact_Analitica[[#This Row],[Concepto Anterior]],Conceptos_Analítica_contraloría[#All],7,0),"")</f>
        <v/>
      </c>
      <c r="I825" s="138" t="str">
        <f>+IFERROR(VLOOKUP(D825,Conceptos_Analítica_contraloría[#All],2,0),"")</f>
        <v/>
      </c>
      <c r="J825" s="138" t="str">
        <f>+IFERROR(VLOOKUP(D825,Conceptos_Analítica_contraloría[#All],3,0),"")</f>
        <v/>
      </c>
    </row>
    <row r="826" spans="3:10" x14ac:dyDescent="0.35">
      <c r="C826" s="144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s="138" t="str">
        <f>+IFERROR(VLOOKUP(Fact_Analitica[[#This Row],[Concepto Anterior]],Conceptos_Analítica_contraloría[#All],5,0),"")</f>
        <v/>
      </c>
      <c r="F826" s="138" t="str">
        <f>+IFERROR(VLOOKUP(Fact_Analitica[[#This Row],[Concepto Anterior]],Conceptos_Analítica_contraloría[#All],7,0),"")</f>
        <v/>
      </c>
      <c r="I826" s="138" t="str">
        <f>+IFERROR(VLOOKUP(D826,Conceptos_Analítica_contraloría[#All],2,0),"")</f>
        <v/>
      </c>
      <c r="J826" s="138" t="str">
        <f>+IFERROR(VLOOKUP(D826,Conceptos_Analítica_contraloría[#All],3,0),"")</f>
        <v/>
      </c>
    </row>
    <row r="827" spans="3:10" x14ac:dyDescent="0.35">
      <c r="C827" s="144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s="138" t="str">
        <f>+IFERROR(VLOOKUP(Fact_Analitica[[#This Row],[Concepto Anterior]],Conceptos_Analítica_contraloría[#All],5,0),"")</f>
        <v/>
      </c>
      <c r="F827" s="138" t="str">
        <f>+IFERROR(VLOOKUP(Fact_Analitica[[#This Row],[Concepto Anterior]],Conceptos_Analítica_contraloría[#All],7,0),"")</f>
        <v/>
      </c>
      <c r="I827" s="138" t="str">
        <f>+IFERROR(VLOOKUP(D827,Conceptos_Analítica_contraloría[#All],2,0),"")</f>
        <v/>
      </c>
      <c r="J827" s="138" t="str">
        <f>+IFERROR(VLOOKUP(D827,Conceptos_Analítica_contraloría[#All],3,0),"")</f>
        <v/>
      </c>
    </row>
    <row r="828" spans="3:10" x14ac:dyDescent="0.35">
      <c r="C828" s="144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s="138" t="str">
        <f>+IFERROR(VLOOKUP(Fact_Analitica[[#This Row],[Concepto Anterior]],Conceptos_Analítica_contraloría[#All],5,0),"")</f>
        <v/>
      </c>
      <c r="F828" s="138" t="str">
        <f>+IFERROR(VLOOKUP(Fact_Analitica[[#This Row],[Concepto Anterior]],Conceptos_Analítica_contraloría[#All],7,0),"")</f>
        <v/>
      </c>
      <c r="I828" s="138" t="str">
        <f>+IFERROR(VLOOKUP(D828,Conceptos_Analítica_contraloría[#All],2,0),"")</f>
        <v/>
      </c>
      <c r="J828" s="138" t="str">
        <f>+IFERROR(VLOOKUP(D828,Conceptos_Analítica_contraloría[#All],3,0),"")</f>
        <v/>
      </c>
    </row>
    <row r="829" spans="3:10" x14ac:dyDescent="0.35">
      <c r="C829" s="144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s="138" t="str">
        <f>+IFERROR(VLOOKUP(Fact_Analitica[[#This Row],[Concepto Anterior]],Conceptos_Analítica_contraloría[#All],5,0),"")</f>
        <v/>
      </c>
      <c r="F829" s="138" t="str">
        <f>+IFERROR(VLOOKUP(Fact_Analitica[[#This Row],[Concepto Anterior]],Conceptos_Analítica_contraloría[#All],7,0),"")</f>
        <v/>
      </c>
      <c r="I829" s="138" t="str">
        <f>+IFERROR(VLOOKUP(D829,Conceptos_Analítica_contraloría[#All],2,0),"")</f>
        <v/>
      </c>
      <c r="J829" s="138" t="str">
        <f>+IFERROR(VLOOKUP(D829,Conceptos_Analítica_contraloría[#All],3,0),"")</f>
        <v/>
      </c>
    </row>
    <row r="830" spans="3:10" x14ac:dyDescent="0.35">
      <c r="C830" s="144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s="138" t="str">
        <f>+IFERROR(VLOOKUP(Fact_Analitica[[#This Row],[Concepto Anterior]],Conceptos_Analítica_contraloría[#All],5,0),"")</f>
        <v/>
      </c>
      <c r="F830" s="138" t="str">
        <f>+IFERROR(VLOOKUP(Fact_Analitica[[#This Row],[Concepto Anterior]],Conceptos_Analítica_contraloría[#All],7,0),"")</f>
        <v/>
      </c>
      <c r="I830" s="138" t="str">
        <f>+IFERROR(VLOOKUP(D830,Conceptos_Analítica_contraloría[#All],2,0),"")</f>
        <v/>
      </c>
      <c r="J830" s="138" t="str">
        <f>+IFERROR(VLOOKUP(D830,Conceptos_Analítica_contraloría[#All],3,0),"")</f>
        <v/>
      </c>
    </row>
    <row r="831" spans="3:10" x14ac:dyDescent="0.35">
      <c r="C831" s="144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s="138" t="str">
        <f>+IFERROR(VLOOKUP(Fact_Analitica[[#This Row],[Concepto Anterior]],Conceptos_Analítica_contraloría[#All],5,0),"")</f>
        <v/>
      </c>
      <c r="F831" s="138" t="str">
        <f>+IFERROR(VLOOKUP(Fact_Analitica[[#This Row],[Concepto Anterior]],Conceptos_Analítica_contraloría[#All],7,0),"")</f>
        <v/>
      </c>
      <c r="I831" s="138" t="str">
        <f>+IFERROR(VLOOKUP(D831,Conceptos_Analítica_contraloría[#All],2,0),"")</f>
        <v/>
      </c>
      <c r="J831" s="138" t="str">
        <f>+IFERROR(VLOOKUP(D831,Conceptos_Analítica_contraloría[#All],3,0),"")</f>
        <v/>
      </c>
    </row>
    <row r="832" spans="3:10" x14ac:dyDescent="0.35">
      <c r="C832" s="144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s="138" t="str">
        <f>+IFERROR(VLOOKUP(Fact_Analitica[[#This Row],[Concepto Anterior]],Conceptos_Analítica_contraloría[#All],5,0),"")</f>
        <v/>
      </c>
      <c r="F832" s="138" t="str">
        <f>+IFERROR(VLOOKUP(Fact_Analitica[[#This Row],[Concepto Anterior]],Conceptos_Analítica_contraloría[#All],7,0),"")</f>
        <v/>
      </c>
      <c r="I832" s="138" t="str">
        <f>+IFERROR(VLOOKUP(D832,Conceptos_Analítica_contraloría[#All],2,0),"")</f>
        <v/>
      </c>
      <c r="J832" s="138" t="str">
        <f>+IFERROR(VLOOKUP(D832,Conceptos_Analítica_contraloría[#All],3,0),"")</f>
        <v/>
      </c>
    </row>
    <row r="833" spans="3:10" x14ac:dyDescent="0.35">
      <c r="C833" s="144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s="138" t="str">
        <f>+IFERROR(VLOOKUP(Fact_Analitica[[#This Row],[Concepto Anterior]],Conceptos_Analítica_contraloría[#All],5,0),"")</f>
        <v/>
      </c>
      <c r="F833" s="138" t="str">
        <f>+IFERROR(VLOOKUP(Fact_Analitica[[#This Row],[Concepto Anterior]],Conceptos_Analítica_contraloría[#All],7,0),"")</f>
        <v/>
      </c>
      <c r="I833" s="138" t="str">
        <f>+IFERROR(VLOOKUP(D833,Conceptos_Analítica_contraloría[#All],2,0),"")</f>
        <v/>
      </c>
      <c r="J833" s="138" t="str">
        <f>+IFERROR(VLOOKUP(D833,Conceptos_Analítica_contraloría[#All],3,0),"")</f>
        <v/>
      </c>
    </row>
    <row r="834" spans="3:10" x14ac:dyDescent="0.35">
      <c r="C834" s="144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s="138" t="str">
        <f>+IFERROR(VLOOKUP(Fact_Analitica[[#This Row],[Concepto Anterior]],Conceptos_Analítica_contraloría[#All],5,0),"")</f>
        <v/>
      </c>
      <c r="F834" s="138" t="str">
        <f>+IFERROR(VLOOKUP(Fact_Analitica[[#This Row],[Concepto Anterior]],Conceptos_Analítica_contraloría[#All],7,0),"")</f>
        <v/>
      </c>
      <c r="I834" s="138" t="str">
        <f>+IFERROR(VLOOKUP(D834,Conceptos_Analítica_contraloría[#All],2,0),"")</f>
        <v/>
      </c>
      <c r="J834" s="138" t="str">
        <f>+IFERROR(VLOOKUP(D834,Conceptos_Analítica_contraloría[#All],3,0),"")</f>
        <v/>
      </c>
    </row>
    <row r="835" spans="3:10" x14ac:dyDescent="0.35">
      <c r="C835" s="144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s="138" t="str">
        <f>+IFERROR(VLOOKUP(Fact_Analitica[[#This Row],[Concepto Anterior]],Conceptos_Analítica_contraloría[#All],5,0),"")</f>
        <v/>
      </c>
      <c r="F835" s="138" t="str">
        <f>+IFERROR(VLOOKUP(Fact_Analitica[[#This Row],[Concepto Anterior]],Conceptos_Analítica_contraloría[#All],7,0),"")</f>
        <v/>
      </c>
      <c r="I835" s="138" t="str">
        <f>+IFERROR(VLOOKUP(D835,Conceptos_Analítica_contraloría[#All],2,0),"")</f>
        <v/>
      </c>
      <c r="J835" s="138" t="str">
        <f>+IFERROR(VLOOKUP(D835,Conceptos_Analítica_contraloría[#All],3,0),"")</f>
        <v/>
      </c>
    </row>
    <row r="836" spans="3:10" x14ac:dyDescent="0.35">
      <c r="C836" s="144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s="138" t="str">
        <f>+IFERROR(VLOOKUP(Fact_Analitica[[#This Row],[Concepto Anterior]],Conceptos_Analítica_contraloría[#All],5,0),"")</f>
        <v/>
      </c>
      <c r="F836" s="138" t="str">
        <f>+IFERROR(VLOOKUP(Fact_Analitica[[#This Row],[Concepto Anterior]],Conceptos_Analítica_contraloría[#All],7,0),"")</f>
        <v/>
      </c>
      <c r="I836" s="138" t="str">
        <f>+IFERROR(VLOOKUP(D836,Conceptos_Analítica_contraloría[#All],2,0),"")</f>
        <v/>
      </c>
      <c r="J836" s="138" t="str">
        <f>+IFERROR(VLOOKUP(D836,Conceptos_Analítica_contraloría[#All],3,0),"")</f>
        <v/>
      </c>
    </row>
    <row r="837" spans="3:10" x14ac:dyDescent="0.35">
      <c r="C837" s="144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s="138" t="str">
        <f>+IFERROR(VLOOKUP(Fact_Analitica[[#This Row],[Concepto Anterior]],Conceptos_Analítica_contraloría[#All],5,0),"")</f>
        <v/>
      </c>
      <c r="F837" s="138" t="str">
        <f>+IFERROR(VLOOKUP(Fact_Analitica[[#This Row],[Concepto Anterior]],Conceptos_Analítica_contraloría[#All],7,0),"")</f>
        <v/>
      </c>
      <c r="I837" s="138" t="str">
        <f>+IFERROR(VLOOKUP(D837,Conceptos_Analítica_contraloría[#All],2,0),"")</f>
        <v/>
      </c>
      <c r="J837" s="138" t="str">
        <f>+IFERROR(VLOOKUP(D837,Conceptos_Analítica_contraloría[#All],3,0),"")</f>
        <v/>
      </c>
    </row>
    <row r="838" spans="3:10" x14ac:dyDescent="0.35">
      <c r="C838" s="144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s="138" t="str">
        <f>+IFERROR(VLOOKUP(Fact_Analitica[[#This Row],[Concepto Anterior]],Conceptos_Analítica_contraloría[#All],5,0),"")</f>
        <v/>
      </c>
      <c r="F838" s="138" t="str">
        <f>+IFERROR(VLOOKUP(Fact_Analitica[[#This Row],[Concepto Anterior]],Conceptos_Analítica_contraloría[#All],7,0),"")</f>
        <v/>
      </c>
      <c r="I838" s="138" t="str">
        <f>+IFERROR(VLOOKUP(D838,Conceptos_Analítica_contraloría[#All],2,0),"")</f>
        <v/>
      </c>
      <c r="J838" s="138" t="str">
        <f>+IFERROR(VLOOKUP(D838,Conceptos_Analítica_contraloría[#All],3,0),"")</f>
        <v/>
      </c>
    </row>
    <row r="839" spans="3:10" x14ac:dyDescent="0.35">
      <c r="C839" s="144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s="138" t="str">
        <f>+IFERROR(VLOOKUP(Fact_Analitica[[#This Row],[Concepto Anterior]],Conceptos_Analítica_contraloría[#All],5,0),"")</f>
        <v/>
      </c>
      <c r="F839" s="138" t="str">
        <f>+IFERROR(VLOOKUP(Fact_Analitica[[#This Row],[Concepto Anterior]],Conceptos_Analítica_contraloría[#All],7,0),"")</f>
        <v/>
      </c>
      <c r="I839" s="138" t="str">
        <f>+IFERROR(VLOOKUP(D839,Conceptos_Analítica_contraloría[#All],2,0),"")</f>
        <v/>
      </c>
      <c r="J839" s="138" t="str">
        <f>+IFERROR(VLOOKUP(D839,Conceptos_Analítica_contraloría[#All],3,0),"")</f>
        <v/>
      </c>
    </row>
    <row r="840" spans="3:10" x14ac:dyDescent="0.35">
      <c r="C840" s="144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s="138" t="str">
        <f>+IFERROR(VLOOKUP(Fact_Analitica[[#This Row],[Concepto Anterior]],Conceptos_Analítica_contraloría[#All],5,0),"")</f>
        <v/>
      </c>
      <c r="F840" s="138" t="str">
        <f>+IFERROR(VLOOKUP(Fact_Analitica[[#This Row],[Concepto Anterior]],Conceptos_Analítica_contraloría[#All],7,0),"")</f>
        <v/>
      </c>
      <c r="I840" s="138" t="str">
        <f>+IFERROR(VLOOKUP(D840,Conceptos_Analítica_contraloría[#All],2,0),"")</f>
        <v/>
      </c>
      <c r="J840" s="138" t="str">
        <f>+IFERROR(VLOOKUP(D840,Conceptos_Analítica_contraloría[#All],3,0),"")</f>
        <v/>
      </c>
    </row>
    <row r="841" spans="3:10" x14ac:dyDescent="0.35">
      <c r="C841" s="144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s="138" t="str">
        <f>+IFERROR(VLOOKUP(Fact_Analitica[[#This Row],[Concepto Anterior]],Conceptos_Analítica_contraloría[#All],5,0),"")</f>
        <v/>
      </c>
      <c r="F841" s="138" t="str">
        <f>+IFERROR(VLOOKUP(Fact_Analitica[[#This Row],[Concepto Anterior]],Conceptos_Analítica_contraloría[#All],7,0),"")</f>
        <v/>
      </c>
      <c r="I841" s="138" t="str">
        <f>+IFERROR(VLOOKUP(D841,Conceptos_Analítica_contraloría[#All],2,0),"")</f>
        <v/>
      </c>
      <c r="J841" s="138" t="str">
        <f>+IFERROR(VLOOKUP(D841,Conceptos_Analítica_contraloría[#All],3,0),"")</f>
        <v/>
      </c>
    </row>
    <row r="842" spans="3:10" x14ac:dyDescent="0.35">
      <c r="C842" s="144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s="138" t="str">
        <f>+IFERROR(VLOOKUP(Fact_Analitica[[#This Row],[Concepto Anterior]],Conceptos_Analítica_contraloría[#All],5,0),"")</f>
        <v/>
      </c>
      <c r="F842" s="138" t="str">
        <f>+IFERROR(VLOOKUP(Fact_Analitica[[#This Row],[Concepto Anterior]],Conceptos_Analítica_contraloría[#All],7,0),"")</f>
        <v/>
      </c>
      <c r="I842" s="138" t="str">
        <f>+IFERROR(VLOOKUP(D842,Conceptos_Analítica_contraloría[#All],2,0),"")</f>
        <v/>
      </c>
      <c r="J842" s="138" t="str">
        <f>+IFERROR(VLOOKUP(D842,Conceptos_Analítica_contraloría[#All],3,0),"")</f>
        <v/>
      </c>
    </row>
    <row r="843" spans="3:10" x14ac:dyDescent="0.35">
      <c r="C843" s="144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s="138" t="str">
        <f>+IFERROR(VLOOKUP(Fact_Analitica[[#This Row],[Concepto Anterior]],Conceptos_Analítica_contraloría[#All],5,0),"")</f>
        <v/>
      </c>
      <c r="F843" s="138" t="str">
        <f>+IFERROR(VLOOKUP(Fact_Analitica[[#This Row],[Concepto Anterior]],Conceptos_Analítica_contraloría[#All],7,0),"")</f>
        <v/>
      </c>
      <c r="I843" s="138" t="str">
        <f>+IFERROR(VLOOKUP(D843,Conceptos_Analítica_contraloría[#All],2,0),"")</f>
        <v/>
      </c>
      <c r="J843" s="138" t="str">
        <f>+IFERROR(VLOOKUP(D843,Conceptos_Analítica_contraloría[#All],3,0),"")</f>
        <v/>
      </c>
    </row>
    <row r="844" spans="3:10" x14ac:dyDescent="0.35">
      <c r="C844" s="144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s="138" t="str">
        <f>+IFERROR(VLOOKUP(Fact_Analitica[[#This Row],[Concepto Anterior]],Conceptos_Analítica_contraloría[#All],5,0),"")</f>
        <v/>
      </c>
      <c r="F844" s="138" t="str">
        <f>+IFERROR(VLOOKUP(Fact_Analitica[[#This Row],[Concepto Anterior]],Conceptos_Analítica_contraloría[#All],7,0),"")</f>
        <v/>
      </c>
      <c r="I844" s="138" t="str">
        <f>+IFERROR(VLOOKUP(D844,Conceptos_Analítica_contraloría[#All],2,0),"")</f>
        <v/>
      </c>
      <c r="J844" s="138" t="str">
        <f>+IFERROR(VLOOKUP(D844,Conceptos_Analítica_contraloría[#All],3,0),"")</f>
        <v/>
      </c>
    </row>
    <row r="845" spans="3:10" x14ac:dyDescent="0.35">
      <c r="C845" s="144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s="138" t="str">
        <f>+IFERROR(VLOOKUP(Fact_Analitica[[#This Row],[Concepto Anterior]],Conceptos_Analítica_contraloría[#All],5,0),"")</f>
        <v/>
      </c>
      <c r="F845" s="138" t="str">
        <f>+IFERROR(VLOOKUP(Fact_Analitica[[#This Row],[Concepto Anterior]],Conceptos_Analítica_contraloría[#All],7,0),"")</f>
        <v/>
      </c>
      <c r="I845" s="138" t="str">
        <f>+IFERROR(VLOOKUP(D845,Conceptos_Analítica_contraloría[#All],2,0),"")</f>
        <v/>
      </c>
      <c r="J845" s="138" t="str">
        <f>+IFERROR(VLOOKUP(D845,Conceptos_Analítica_contraloría[#All],3,0),"")</f>
        <v/>
      </c>
    </row>
    <row r="846" spans="3:10" x14ac:dyDescent="0.35">
      <c r="C846" s="144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s="138" t="str">
        <f>+IFERROR(VLOOKUP(Fact_Analitica[[#This Row],[Concepto Anterior]],Conceptos_Analítica_contraloría[#All],5,0),"")</f>
        <v/>
      </c>
      <c r="F846" s="138" t="str">
        <f>+IFERROR(VLOOKUP(Fact_Analitica[[#This Row],[Concepto Anterior]],Conceptos_Analítica_contraloría[#All],7,0),"")</f>
        <v/>
      </c>
      <c r="I846" s="138" t="str">
        <f>+IFERROR(VLOOKUP(D846,Conceptos_Analítica_contraloría[#All],2,0),"")</f>
        <v/>
      </c>
      <c r="J846" s="138" t="str">
        <f>+IFERROR(VLOOKUP(D846,Conceptos_Analítica_contraloría[#All],3,0),"")</f>
        <v/>
      </c>
    </row>
    <row r="847" spans="3:10" x14ac:dyDescent="0.35">
      <c r="C847" s="144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s="138" t="str">
        <f>+IFERROR(VLOOKUP(Fact_Analitica[[#This Row],[Concepto Anterior]],Conceptos_Analítica_contraloría[#All],5,0),"")</f>
        <v/>
      </c>
      <c r="F847" s="138" t="str">
        <f>+IFERROR(VLOOKUP(Fact_Analitica[[#This Row],[Concepto Anterior]],Conceptos_Analítica_contraloría[#All],7,0),"")</f>
        <v/>
      </c>
      <c r="I847" s="138" t="str">
        <f>+IFERROR(VLOOKUP(D847,Conceptos_Analítica_contraloría[#All],2,0),"")</f>
        <v/>
      </c>
      <c r="J847" s="138" t="str">
        <f>+IFERROR(VLOOKUP(D847,Conceptos_Analítica_contraloría[#All],3,0),"")</f>
        <v/>
      </c>
    </row>
    <row r="848" spans="3:10" x14ac:dyDescent="0.35">
      <c r="C848" s="144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s="138" t="str">
        <f>+IFERROR(VLOOKUP(Fact_Analitica[[#This Row],[Concepto Anterior]],Conceptos_Analítica_contraloría[#All],5,0),"")</f>
        <v/>
      </c>
      <c r="F848" s="138" t="str">
        <f>+IFERROR(VLOOKUP(Fact_Analitica[[#This Row],[Concepto Anterior]],Conceptos_Analítica_contraloría[#All],7,0),"")</f>
        <v/>
      </c>
      <c r="I848" s="138" t="str">
        <f>+IFERROR(VLOOKUP(D848,Conceptos_Analítica_contraloría[#All],2,0),"")</f>
        <v/>
      </c>
      <c r="J848" s="138" t="str">
        <f>+IFERROR(VLOOKUP(D848,Conceptos_Analítica_contraloría[#All],3,0),"")</f>
        <v/>
      </c>
    </row>
    <row r="849" spans="3:10" x14ac:dyDescent="0.35">
      <c r="C849" s="144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s="138" t="str">
        <f>+IFERROR(VLOOKUP(Fact_Analitica[[#This Row],[Concepto Anterior]],Conceptos_Analítica_contraloría[#All],5,0),"")</f>
        <v/>
      </c>
      <c r="F849" s="138" t="str">
        <f>+IFERROR(VLOOKUP(Fact_Analitica[[#This Row],[Concepto Anterior]],Conceptos_Analítica_contraloría[#All],7,0),"")</f>
        <v/>
      </c>
      <c r="I849" s="138" t="str">
        <f>+IFERROR(VLOOKUP(D849,Conceptos_Analítica_contraloría[#All],2,0),"")</f>
        <v/>
      </c>
      <c r="J849" s="138" t="str">
        <f>+IFERROR(VLOOKUP(D849,Conceptos_Analítica_contraloría[#All],3,0),"")</f>
        <v/>
      </c>
    </row>
    <row r="850" spans="3:10" x14ac:dyDescent="0.35">
      <c r="C850" s="144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s="138" t="str">
        <f>+IFERROR(VLOOKUP(Fact_Analitica[[#This Row],[Concepto Anterior]],Conceptos_Analítica_contraloría[#All],5,0),"")</f>
        <v/>
      </c>
      <c r="F850" s="138" t="str">
        <f>+IFERROR(VLOOKUP(Fact_Analitica[[#This Row],[Concepto Anterior]],Conceptos_Analítica_contraloría[#All],7,0),"")</f>
        <v/>
      </c>
      <c r="I850" s="138" t="str">
        <f>+IFERROR(VLOOKUP(D850,Conceptos_Analítica_contraloría[#All],2,0),"")</f>
        <v/>
      </c>
      <c r="J850" s="138" t="str">
        <f>+IFERROR(VLOOKUP(D850,Conceptos_Analítica_contraloría[#All],3,0),"")</f>
        <v/>
      </c>
    </row>
    <row r="851" spans="3:10" x14ac:dyDescent="0.35">
      <c r="C851" s="144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s="138" t="str">
        <f>+IFERROR(VLOOKUP(Fact_Analitica[[#This Row],[Concepto Anterior]],Conceptos_Analítica_contraloría[#All],5,0),"")</f>
        <v/>
      </c>
      <c r="F851" s="138" t="str">
        <f>+IFERROR(VLOOKUP(Fact_Analitica[[#This Row],[Concepto Anterior]],Conceptos_Analítica_contraloría[#All],7,0),"")</f>
        <v/>
      </c>
      <c r="I851" s="138" t="str">
        <f>+IFERROR(VLOOKUP(D851,Conceptos_Analítica_contraloría[#All],2,0),"")</f>
        <v/>
      </c>
      <c r="J851" s="138" t="str">
        <f>+IFERROR(VLOOKUP(D851,Conceptos_Analítica_contraloría[#All],3,0),"")</f>
        <v/>
      </c>
    </row>
    <row r="852" spans="3:10" x14ac:dyDescent="0.35">
      <c r="C852" s="144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s="138" t="str">
        <f>+IFERROR(VLOOKUP(Fact_Analitica[[#This Row],[Concepto Anterior]],Conceptos_Analítica_contraloría[#All],5,0),"")</f>
        <v/>
      </c>
      <c r="F852" s="138" t="str">
        <f>+IFERROR(VLOOKUP(Fact_Analitica[[#This Row],[Concepto Anterior]],Conceptos_Analítica_contraloría[#All],7,0),"")</f>
        <v/>
      </c>
      <c r="I852" s="138" t="str">
        <f>+IFERROR(VLOOKUP(D852,Conceptos_Analítica_contraloría[#All],2,0),"")</f>
        <v/>
      </c>
      <c r="J852" s="138" t="str">
        <f>+IFERROR(VLOOKUP(D852,Conceptos_Analítica_contraloría[#All],3,0),"")</f>
        <v/>
      </c>
    </row>
    <row r="853" spans="3:10" x14ac:dyDescent="0.35">
      <c r="C853" s="144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s="138" t="str">
        <f>+IFERROR(VLOOKUP(Fact_Analitica[[#This Row],[Concepto Anterior]],Conceptos_Analítica_contraloría[#All],5,0),"")</f>
        <v/>
      </c>
      <c r="F853" s="138" t="str">
        <f>+IFERROR(VLOOKUP(Fact_Analitica[[#This Row],[Concepto Anterior]],Conceptos_Analítica_contraloría[#All],7,0),"")</f>
        <v/>
      </c>
      <c r="I853" s="138" t="str">
        <f>+IFERROR(VLOOKUP(D853,Conceptos_Analítica_contraloría[#All],2,0),"")</f>
        <v/>
      </c>
      <c r="J853" s="138" t="str">
        <f>+IFERROR(VLOOKUP(D853,Conceptos_Analítica_contraloría[#All],3,0),"")</f>
        <v/>
      </c>
    </row>
    <row r="854" spans="3:10" x14ac:dyDescent="0.35">
      <c r="C854" s="144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s="138" t="str">
        <f>+IFERROR(VLOOKUP(Fact_Analitica[[#This Row],[Concepto Anterior]],Conceptos_Analítica_contraloría[#All],5,0),"")</f>
        <v/>
      </c>
      <c r="F854" s="138" t="str">
        <f>+IFERROR(VLOOKUP(Fact_Analitica[[#This Row],[Concepto Anterior]],Conceptos_Analítica_contraloría[#All],7,0),"")</f>
        <v/>
      </c>
      <c r="I854" s="138" t="str">
        <f>+IFERROR(VLOOKUP(D854,Conceptos_Analítica_contraloría[#All],2,0),"")</f>
        <v/>
      </c>
      <c r="J854" s="138" t="str">
        <f>+IFERROR(VLOOKUP(D854,Conceptos_Analítica_contraloría[#All],3,0),"")</f>
        <v/>
      </c>
    </row>
    <row r="855" spans="3:10" x14ac:dyDescent="0.35">
      <c r="C855" s="144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s="138" t="str">
        <f>+IFERROR(VLOOKUP(Fact_Analitica[[#This Row],[Concepto Anterior]],Conceptos_Analítica_contraloría[#All],5,0),"")</f>
        <v/>
      </c>
      <c r="F855" s="138" t="str">
        <f>+IFERROR(VLOOKUP(Fact_Analitica[[#This Row],[Concepto Anterior]],Conceptos_Analítica_contraloría[#All],7,0),"")</f>
        <v/>
      </c>
      <c r="I855" s="138" t="str">
        <f>+IFERROR(VLOOKUP(D855,Conceptos_Analítica_contraloría[#All],2,0),"")</f>
        <v/>
      </c>
      <c r="J855" s="138" t="str">
        <f>+IFERROR(VLOOKUP(D855,Conceptos_Analítica_contraloría[#All],3,0),"")</f>
        <v/>
      </c>
    </row>
    <row r="856" spans="3:10" x14ac:dyDescent="0.35">
      <c r="C856" s="144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s="138" t="str">
        <f>+IFERROR(VLOOKUP(Fact_Analitica[[#This Row],[Concepto Anterior]],Conceptos_Analítica_contraloría[#All],5,0),"")</f>
        <v/>
      </c>
      <c r="F856" s="138" t="str">
        <f>+IFERROR(VLOOKUP(Fact_Analitica[[#This Row],[Concepto Anterior]],Conceptos_Analítica_contraloría[#All],7,0),"")</f>
        <v/>
      </c>
      <c r="I856" s="138" t="str">
        <f>+IFERROR(VLOOKUP(D856,Conceptos_Analítica_contraloría[#All],2,0),"")</f>
        <v/>
      </c>
      <c r="J856" s="138" t="str">
        <f>+IFERROR(VLOOKUP(D856,Conceptos_Analítica_contraloría[#All],3,0),"")</f>
        <v/>
      </c>
    </row>
    <row r="857" spans="3:10" x14ac:dyDescent="0.35">
      <c r="C857" s="144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s="138" t="str">
        <f>+IFERROR(VLOOKUP(Fact_Analitica[[#This Row],[Concepto Anterior]],Conceptos_Analítica_contraloría[#All],5,0),"")</f>
        <v/>
      </c>
      <c r="F857" s="138" t="str">
        <f>+IFERROR(VLOOKUP(Fact_Analitica[[#This Row],[Concepto Anterior]],Conceptos_Analítica_contraloría[#All],7,0),"")</f>
        <v/>
      </c>
      <c r="I857" s="138" t="str">
        <f>+IFERROR(VLOOKUP(D857,Conceptos_Analítica_contraloría[#All],2,0),"")</f>
        <v/>
      </c>
      <c r="J857" s="138" t="str">
        <f>+IFERROR(VLOOKUP(D857,Conceptos_Analítica_contraloría[#All],3,0),"")</f>
        <v/>
      </c>
    </row>
    <row r="858" spans="3:10" x14ac:dyDescent="0.35">
      <c r="C858" s="144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s="138" t="str">
        <f>+IFERROR(VLOOKUP(Fact_Analitica[[#This Row],[Concepto Anterior]],Conceptos_Analítica_contraloría[#All],5,0),"")</f>
        <v/>
      </c>
      <c r="F858" s="138" t="str">
        <f>+IFERROR(VLOOKUP(Fact_Analitica[[#This Row],[Concepto Anterior]],Conceptos_Analítica_contraloría[#All],7,0),"")</f>
        <v/>
      </c>
      <c r="I858" s="138" t="str">
        <f>+IFERROR(VLOOKUP(D858,Conceptos_Analítica_contraloría[#All],2,0),"")</f>
        <v/>
      </c>
      <c r="J858" s="138" t="str">
        <f>+IFERROR(VLOOKUP(D858,Conceptos_Analítica_contraloría[#All],3,0),"")</f>
        <v/>
      </c>
    </row>
    <row r="859" spans="3:10" x14ac:dyDescent="0.35">
      <c r="C859" s="144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s="138" t="str">
        <f>+IFERROR(VLOOKUP(Fact_Analitica[[#This Row],[Concepto Anterior]],Conceptos_Analítica_contraloría[#All],5,0),"")</f>
        <v/>
      </c>
      <c r="F859" s="138" t="str">
        <f>+IFERROR(VLOOKUP(Fact_Analitica[[#This Row],[Concepto Anterior]],Conceptos_Analítica_contraloría[#All],7,0),"")</f>
        <v/>
      </c>
      <c r="I859" s="138" t="str">
        <f>+IFERROR(VLOOKUP(D859,Conceptos_Analítica_contraloría[#All],2,0),"")</f>
        <v/>
      </c>
      <c r="J859" s="138" t="str">
        <f>+IFERROR(VLOOKUP(D859,Conceptos_Analítica_contraloría[#All],3,0),"")</f>
        <v/>
      </c>
    </row>
    <row r="860" spans="3:10" x14ac:dyDescent="0.35">
      <c r="C860" s="144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s="138" t="str">
        <f>+IFERROR(VLOOKUP(Fact_Analitica[[#This Row],[Concepto Anterior]],Conceptos_Analítica_contraloría[#All],5,0),"")</f>
        <v/>
      </c>
      <c r="F860" s="138" t="str">
        <f>+IFERROR(VLOOKUP(Fact_Analitica[[#This Row],[Concepto Anterior]],Conceptos_Analítica_contraloría[#All],7,0),"")</f>
        <v/>
      </c>
      <c r="I860" s="138" t="str">
        <f>+IFERROR(VLOOKUP(D860,Conceptos_Analítica_contraloría[#All],2,0),"")</f>
        <v/>
      </c>
      <c r="J860" s="138" t="str">
        <f>+IFERROR(VLOOKUP(D860,Conceptos_Analítica_contraloría[#All],3,0),"")</f>
        <v/>
      </c>
    </row>
    <row r="861" spans="3:10" x14ac:dyDescent="0.35">
      <c r="C861" s="144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s="138" t="str">
        <f>+IFERROR(VLOOKUP(Fact_Analitica[[#This Row],[Concepto Anterior]],Conceptos_Analítica_contraloría[#All],5,0),"")</f>
        <v/>
      </c>
      <c r="F861" s="138" t="str">
        <f>+IFERROR(VLOOKUP(Fact_Analitica[[#This Row],[Concepto Anterior]],Conceptos_Analítica_contraloría[#All],7,0),"")</f>
        <v/>
      </c>
      <c r="I861" s="138" t="str">
        <f>+IFERROR(VLOOKUP(D861,Conceptos_Analítica_contraloría[#All],2,0),"")</f>
        <v/>
      </c>
      <c r="J861" s="138" t="str">
        <f>+IFERROR(VLOOKUP(D861,Conceptos_Analítica_contraloría[#All],3,0),"")</f>
        <v/>
      </c>
    </row>
    <row r="862" spans="3:10" x14ac:dyDescent="0.35">
      <c r="C862" s="144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s="138" t="str">
        <f>+IFERROR(VLOOKUP(Fact_Analitica[[#This Row],[Concepto Anterior]],Conceptos_Analítica_contraloría[#All],5,0),"")</f>
        <v/>
      </c>
      <c r="F862" s="138" t="str">
        <f>+IFERROR(VLOOKUP(Fact_Analitica[[#This Row],[Concepto Anterior]],Conceptos_Analítica_contraloría[#All],7,0),"")</f>
        <v/>
      </c>
      <c r="I862" s="138" t="str">
        <f>+IFERROR(VLOOKUP(D862,Conceptos_Analítica_contraloría[#All],2,0),"")</f>
        <v/>
      </c>
      <c r="J862" s="138" t="str">
        <f>+IFERROR(VLOOKUP(D862,Conceptos_Analítica_contraloría[#All],3,0),"")</f>
        <v/>
      </c>
    </row>
    <row r="863" spans="3:10" x14ac:dyDescent="0.35">
      <c r="C863" s="144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s="138" t="str">
        <f>+IFERROR(VLOOKUP(Fact_Analitica[[#This Row],[Concepto Anterior]],Conceptos_Analítica_contraloría[#All],5,0),"")</f>
        <v/>
      </c>
      <c r="F863" s="138" t="str">
        <f>+IFERROR(VLOOKUP(Fact_Analitica[[#This Row],[Concepto Anterior]],Conceptos_Analítica_contraloría[#All],7,0),"")</f>
        <v/>
      </c>
      <c r="I863" s="138" t="str">
        <f>+IFERROR(VLOOKUP(D863,Conceptos_Analítica_contraloría[#All],2,0),"")</f>
        <v/>
      </c>
      <c r="J863" s="138" t="str">
        <f>+IFERROR(VLOOKUP(D863,Conceptos_Analítica_contraloría[#All],3,0),"")</f>
        <v/>
      </c>
    </row>
    <row r="864" spans="3:10" x14ac:dyDescent="0.35">
      <c r="C864" s="144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s="138" t="str">
        <f>+IFERROR(VLOOKUP(Fact_Analitica[[#This Row],[Concepto Anterior]],Conceptos_Analítica_contraloría[#All],5,0),"")</f>
        <v/>
      </c>
      <c r="F864" s="138" t="str">
        <f>+IFERROR(VLOOKUP(Fact_Analitica[[#This Row],[Concepto Anterior]],Conceptos_Analítica_contraloría[#All],7,0),"")</f>
        <v/>
      </c>
      <c r="I864" s="138" t="str">
        <f>+IFERROR(VLOOKUP(D864,Conceptos_Analítica_contraloría[#All],2,0),"")</f>
        <v/>
      </c>
      <c r="J864" s="138" t="str">
        <f>+IFERROR(VLOOKUP(D864,Conceptos_Analítica_contraloría[#All],3,0),"")</f>
        <v/>
      </c>
    </row>
    <row r="865" spans="3:10" x14ac:dyDescent="0.35">
      <c r="C865" s="144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s="138" t="str">
        <f>+IFERROR(VLOOKUP(Fact_Analitica[[#This Row],[Concepto Anterior]],Conceptos_Analítica_contraloría[#All],5,0),"")</f>
        <v/>
      </c>
      <c r="F865" s="138" t="str">
        <f>+IFERROR(VLOOKUP(Fact_Analitica[[#This Row],[Concepto Anterior]],Conceptos_Analítica_contraloría[#All],7,0),"")</f>
        <v/>
      </c>
      <c r="I865" s="138" t="str">
        <f>+IFERROR(VLOOKUP(D865,Conceptos_Analítica_contraloría[#All],2,0),"")</f>
        <v/>
      </c>
      <c r="J865" s="138" t="str">
        <f>+IFERROR(VLOOKUP(D865,Conceptos_Analítica_contraloría[#All],3,0),"")</f>
        <v/>
      </c>
    </row>
    <row r="866" spans="3:10" x14ac:dyDescent="0.35">
      <c r="C866" s="144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s="138" t="str">
        <f>+IFERROR(VLOOKUP(Fact_Analitica[[#This Row],[Concepto Anterior]],Conceptos_Analítica_contraloría[#All],5,0),"")</f>
        <v/>
      </c>
      <c r="F866" s="138" t="str">
        <f>+IFERROR(VLOOKUP(Fact_Analitica[[#This Row],[Concepto Anterior]],Conceptos_Analítica_contraloría[#All],7,0),"")</f>
        <v/>
      </c>
      <c r="I866" s="138" t="str">
        <f>+IFERROR(VLOOKUP(D866,Conceptos_Analítica_contraloría[#All],2,0),"")</f>
        <v/>
      </c>
      <c r="J866" s="138" t="str">
        <f>+IFERROR(VLOOKUP(D866,Conceptos_Analítica_contraloría[#All],3,0),"")</f>
        <v/>
      </c>
    </row>
    <row r="867" spans="3:10" x14ac:dyDescent="0.35">
      <c r="C867" s="144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s="138" t="str">
        <f>+IFERROR(VLOOKUP(Fact_Analitica[[#This Row],[Concepto Anterior]],Conceptos_Analítica_contraloría[#All],5,0),"")</f>
        <v/>
      </c>
      <c r="F867" s="138" t="str">
        <f>+IFERROR(VLOOKUP(Fact_Analitica[[#This Row],[Concepto Anterior]],Conceptos_Analítica_contraloría[#All],7,0),"")</f>
        <v/>
      </c>
      <c r="I867" s="138" t="str">
        <f>+IFERROR(VLOOKUP(D867,Conceptos_Analítica_contraloría[#All],2,0),"")</f>
        <v/>
      </c>
      <c r="J867" s="138" t="str">
        <f>+IFERROR(VLOOKUP(D867,Conceptos_Analítica_contraloría[#All],3,0),"")</f>
        <v/>
      </c>
    </row>
    <row r="868" spans="3:10" x14ac:dyDescent="0.35">
      <c r="C868" s="144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s="138" t="str">
        <f>+IFERROR(VLOOKUP(Fact_Analitica[[#This Row],[Concepto Anterior]],Conceptos_Analítica_contraloría[#All],5,0),"")</f>
        <v/>
      </c>
      <c r="F868" s="138" t="str">
        <f>+IFERROR(VLOOKUP(Fact_Analitica[[#This Row],[Concepto Anterior]],Conceptos_Analítica_contraloría[#All],7,0),"")</f>
        <v/>
      </c>
      <c r="I868" s="138" t="str">
        <f>+IFERROR(VLOOKUP(D868,Conceptos_Analítica_contraloría[#All],2,0),"")</f>
        <v/>
      </c>
      <c r="J868" s="138" t="str">
        <f>+IFERROR(VLOOKUP(D868,Conceptos_Analítica_contraloría[#All],3,0),"")</f>
        <v/>
      </c>
    </row>
    <row r="869" spans="3:10" x14ac:dyDescent="0.35">
      <c r="C869" s="144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s="138" t="str">
        <f>+IFERROR(VLOOKUP(Fact_Analitica[[#This Row],[Concepto Anterior]],Conceptos_Analítica_contraloría[#All],5,0),"")</f>
        <v/>
      </c>
      <c r="F869" s="138" t="str">
        <f>+IFERROR(VLOOKUP(Fact_Analitica[[#This Row],[Concepto Anterior]],Conceptos_Analítica_contraloría[#All],7,0),"")</f>
        <v/>
      </c>
      <c r="I869" s="138" t="str">
        <f>+IFERROR(VLOOKUP(D869,Conceptos_Analítica_contraloría[#All],2,0),"")</f>
        <v/>
      </c>
      <c r="J869" s="138" t="str">
        <f>+IFERROR(VLOOKUP(D869,Conceptos_Analítica_contraloría[#All],3,0),"")</f>
        <v/>
      </c>
    </row>
    <row r="870" spans="3:10" x14ac:dyDescent="0.35">
      <c r="C870" s="144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s="138" t="str">
        <f>+IFERROR(VLOOKUP(Fact_Analitica[[#This Row],[Concepto Anterior]],Conceptos_Analítica_contraloría[#All],5,0),"")</f>
        <v/>
      </c>
      <c r="F870" s="138" t="str">
        <f>+IFERROR(VLOOKUP(Fact_Analitica[[#This Row],[Concepto Anterior]],Conceptos_Analítica_contraloría[#All],7,0),"")</f>
        <v/>
      </c>
      <c r="I870" s="138" t="str">
        <f>+IFERROR(VLOOKUP(D870,Conceptos_Analítica_contraloría[#All],2,0),"")</f>
        <v/>
      </c>
      <c r="J870" s="138" t="str">
        <f>+IFERROR(VLOOKUP(D870,Conceptos_Analítica_contraloría[#All],3,0),"")</f>
        <v/>
      </c>
    </row>
    <row r="871" spans="3:10" x14ac:dyDescent="0.35">
      <c r="C871" s="144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s="138" t="str">
        <f>+IFERROR(VLOOKUP(Fact_Analitica[[#This Row],[Concepto Anterior]],Conceptos_Analítica_contraloría[#All],5,0),"")</f>
        <v/>
      </c>
      <c r="F871" s="138" t="str">
        <f>+IFERROR(VLOOKUP(Fact_Analitica[[#This Row],[Concepto Anterior]],Conceptos_Analítica_contraloría[#All],7,0),"")</f>
        <v/>
      </c>
      <c r="I871" s="138" t="str">
        <f>+IFERROR(VLOOKUP(D871,Conceptos_Analítica_contraloría[#All],2,0),"")</f>
        <v/>
      </c>
      <c r="J871" s="138" t="str">
        <f>+IFERROR(VLOOKUP(D871,Conceptos_Analítica_contraloría[#All],3,0),"")</f>
        <v/>
      </c>
    </row>
    <row r="872" spans="3:10" x14ac:dyDescent="0.35">
      <c r="C872" s="144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s="138" t="str">
        <f>+IFERROR(VLOOKUP(Fact_Analitica[[#This Row],[Concepto Anterior]],Conceptos_Analítica_contraloría[#All],5,0),"")</f>
        <v/>
      </c>
      <c r="F872" s="138" t="str">
        <f>+IFERROR(VLOOKUP(Fact_Analitica[[#This Row],[Concepto Anterior]],Conceptos_Analítica_contraloría[#All],7,0),"")</f>
        <v/>
      </c>
      <c r="I872" s="138" t="str">
        <f>+IFERROR(VLOOKUP(D872,Conceptos_Analítica_contraloría[#All],2,0),"")</f>
        <v/>
      </c>
      <c r="J872" s="138" t="str">
        <f>+IFERROR(VLOOKUP(D872,Conceptos_Analítica_contraloría[#All],3,0),"")</f>
        <v/>
      </c>
    </row>
    <row r="873" spans="3:10" x14ac:dyDescent="0.35">
      <c r="C873" s="144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s="138" t="str">
        <f>+IFERROR(VLOOKUP(Fact_Analitica[[#This Row],[Concepto Anterior]],Conceptos_Analítica_contraloría[#All],5,0),"")</f>
        <v/>
      </c>
      <c r="F873" s="138" t="str">
        <f>+IFERROR(VLOOKUP(Fact_Analitica[[#This Row],[Concepto Anterior]],Conceptos_Analítica_contraloría[#All],7,0),"")</f>
        <v/>
      </c>
      <c r="I873" s="138" t="str">
        <f>+IFERROR(VLOOKUP(D873,Conceptos_Analítica_contraloría[#All],2,0),"")</f>
        <v/>
      </c>
      <c r="J873" s="138" t="str">
        <f>+IFERROR(VLOOKUP(D873,Conceptos_Analítica_contraloría[#All],3,0),"")</f>
        <v/>
      </c>
    </row>
    <row r="874" spans="3:10" x14ac:dyDescent="0.35">
      <c r="C874" s="144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s="138" t="str">
        <f>+IFERROR(VLOOKUP(Fact_Analitica[[#This Row],[Concepto Anterior]],Conceptos_Analítica_contraloría[#All],5,0),"")</f>
        <v/>
      </c>
      <c r="F874" s="138" t="str">
        <f>+IFERROR(VLOOKUP(Fact_Analitica[[#This Row],[Concepto Anterior]],Conceptos_Analítica_contraloría[#All],7,0),"")</f>
        <v/>
      </c>
      <c r="I874" s="138" t="str">
        <f>+IFERROR(VLOOKUP(D874,Conceptos_Analítica_contraloría[#All],2,0),"")</f>
        <v/>
      </c>
      <c r="J874" s="138" t="str">
        <f>+IFERROR(VLOOKUP(D874,Conceptos_Analítica_contraloría[#All],3,0),"")</f>
        <v/>
      </c>
    </row>
    <row r="875" spans="3:10" x14ac:dyDescent="0.35">
      <c r="C875" s="144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s="138" t="str">
        <f>+IFERROR(VLOOKUP(Fact_Analitica[[#This Row],[Concepto Anterior]],Conceptos_Analítica_contraloría[#All],5,0),"")</f>
        <v/>
      </c>
      <c r="F875" s="138" t="str">
        <f>+IFERROR(VLOOKUP(Fact_Analitica[[#This Row],[Concepto Anterior]],Conceptos_Analítica_contraloría[#All],7,0),"")</f>
        <v/>
      </c>
      <c r="I875" s="138" t="str">
        <f>+IFERROR(VLOOKUP(D875,Conceptos_Analítica_contraloría[#All],2,0),"")</f>
        <v/>
      </c>
      <c r="J875" s="138" t="str">
        <f>+IFERROR(VLOOKUP(D875,Conceptos_Analítica_contraloría[#All],3,0),"")</f>
        <v/>
      </c>
    </row>
    <row r="876" spans="3:10" x14ac:dyDescent="0.35">
      <c r="C876" s="144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s="138" t="str">
        <f>+IFERROR(VLOOKUP(Fact_Analitica[[#This Row],[Concepto Anterior]],Conceptos_Analítica_contraloría[#All],5,0),"")</f>
        <v/>
      </c>
      <c r="F876" s="138" t="str">
        <f>+IFERROR(VLOOKUP(Fact_Analitica[[#This Row],[Concepto Anterior]],Conceptos_Analítica_contraloría[#All],7,0),"")</f>
        <v/>
      </c>
      <c r="I876" s="138" t="str">
        <f>+IFERROR(VLOOKUP(D876,Conceptos_Analítica_contraloría[#All],2,0),"")</f>
        <v/>
      </c>
      <c r="J876" s="138" t="str">
        <f>+IFERROR(VLOOKUP(D876,Conceptos_Analítica_contraloría[#All],3,0),"")</f>
        <v/>
      </c>
    </row>
    <row r="877" spans="3:10" x14ac:dyDescent="0.35">
      <c r="C877" s="144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s="138" t="str">
        <f>+IFERROR(VLOOKUP(Fact_Analitica[[#This Row],[Concepto Anterior]],Conceptos_Analítica_contraloría[#All],5,0),"")</f>
        <v/>
      </c>
      <c r="F877" s="138" t="str">
        <f>+IFERROR(VLOOKUP(Fact_Analitica[[#This Row],[Concepto Anterior]],Conceptos_Analítica_contraloría[#All],7,0),"")</f>
        <v/>
      </c>
      <c r="I877" s="138" t="str">
        <f>+IFERROR(VLOOKUP(D877,Conceptos_Analítica_contraloría[#All],2,0),"")</f>
        <v/>
      </c>
      <c r="J877" s="138" t="str">
        <f>+IFERROR(VLOOKUP(D877,Conceptos_Analítica_contraloría[#All],3,0),"")</f>
        <v/>
      </c>
    </row>
    <row r="878" spans="3:10" x14ac:dyDescent="0.35">
      <c r="C878" s="144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s="138" t="str">
        <f>+IFERROR(VLOOKUP(Fact_Analitica[[#This Row],[Concepto Anterior]],Conceptos_Analítica_contraloría[#All],5,0),"")</f>
        <v/>
      </c>
      <c r="F878" s="138" t="str">
        <f>+IFERROR(VLOOKUP(Fact_Analitica[[#This Row],[Concepto Anterior]],Conceptos_Analítica_contraloría[#All],7,0),"")</f>
        <v/>
      </c>
      <c r="I878" s="138" t="str">
        <f>+IFERROR(VLOOKUP(D878,Conceptos_Analítica_contraloría[#All],2,0),"")</f>
        <v/>
      </c>
      <c r="J878" s="138" t="str">
        <f>+IFERROR(VLOOKUP(D878,Conceptos_Analítica_contraloría[#All],3,0),"")</f>
        <v/>
      </c>
    </row>
    <row r="879" spans="3:10" x14ac:dyDescent="0.35">
      <c r="C879" s="144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s="138" t="str">
        <f>+IFERROR(VLOOKUP(Fact_Analitica[[#This Row],[Concepto Anterior]],Conceptos_Analítica_contraloría[#All],5,0),"")</f>
        <v/>
      </c>
      <c r="F879" s="138" t="str">
        <f>+IFERROR(VLOOKUP(Fact_Analitica[[#This Row],[Concepto Anterior]],Conceptos_Analítica_contraloría[#All],7,0),"")</f>
        <v/>
      </c>
      <c r="I879" s="138" t="str">
        <f>+IFERROR(VLOOKUP(D879,Conceptos_Analítica_contraloría[#All],2,0),"")</f>
        <v/>
      </c>
      <c r="J879" s="138" t="str">
        <f>+IFERROR(VLOOKUP(D879,Conceptos_Analítica_contraloría[#All],3,0),"")</f>
        <v/>
      </c>
    </row>
    <row r="880" spans="3:10" x14ac:dyDescent="0.35">
      <c r="C880" s="144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s="138" t="str">
        <f>+IFERROR(VLOOKUP(Fact_Analitica[[#This Row],[Concepto Anterior]],Conceptos_Analítica_contraloría[#All],5,0),"")</f>
        <v/>
      </c>
      <c r="F880" s="138" t="str">
        <f>+IFERROR(VLOOKUP(Fact_Analitica[[#This Row],[Concepto Anterior]],Conceptos_Analítica_contraloría[#All],7,0),"")</f>
        <v/>
      </c>
      <c r="I880" s="138" t="str">
        <f>+IFERROR(VLOOKUP(D880,Conceptos_Analítica_contraloría[#All],2,0),"")</f>
        <v/>
      </c>
      <c r="J880" s="138" t="str">
        <f>+IFERROR(VLOOKUP(D880,Conceptos_Analítica_contraloría[#All],3,0),"")</f>
        <v/>
      </c>
    </row>
    <row r="881" spans="3:10" x14ac:dyDescent="0.35">
      <c r="C881" s="144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s="138" t="str">
        <f>+IFERROR(VLOOKUP(Fact_Analitica[[#This Row],[Concepto Anterior]],Conceptos_Analítica_contraloría[#All],5,0),"")</f>
        <v/>
      </c>
      <c r="F881" s="138" t="str">
        <f>+IFERROR(VLOOKUP(Fact_Analitica[[#This Row],[Concepto Anterior]],Conceptos_Analítica_contraloría[#All],7,0),"")</f>
        <v/>
      </c>
      <c r="I881" s="138" t="str">
        <f>+IFERROR(VLOOKUP(D881,Conceptos_Analítica_contraloría[#All],2,0),"")</f>
        <v/>
      </c>
      <c r="J881" s="138" t="str">
        <f>+IFERROR(VLOOKUP(D881,Conceptos_Analítica_contraloría[#All],3,0),"")</f>
        <v/>
      </c>
    </row>
    <row r="882" spans="3:10" x14ac:dyDescent="0.35">
      <c r="C882" s="144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s="138" t="str">
        <f>+IFERROR(VLOOKUP(Fact_Analitica[[#This Row],[Concepto Anterior]],Conceptos_Analítica_contraloría[#All],5,0),"")</f>
        <v/>
      </c>
      <c r="F882" s="138" t="str">
        <f>+IFERROR(VLOOKUP(Fact_Analitica[[#This Row],[Concepto Anterior]],Conceptos_Analítica_contraloría[#All],7,0),"")</f>
        <v/>
      </c>
      <c r="I882" s="138" t="str">
        <f>+IFERROR(VLOOKUP(D882,Conceptos_Analítica_contraloría[#All],2,0),"")</f>
        <v/>
      </c>
      <c r="J882" s="138" t="str">
        <f>+IFERROR(VLOOKUP(D882,Conceptos_Analítica_contraloría[#All],3,0),"")</f>
        <v/>
      </c>
    </row>
    <row r="883" spans="3:10" x14ac:dyDescent="0.35">
      <c r="C883" s="144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s="138" t="str">
        <f>+IFERROR(VLOOKUP(Fact_Analitica[[#This Row],[Concepto Anterior]],Conceptos_Analítica_contraloría[#All],5,0),"")</f>
        <v/>
      </c>
      <c r="F883" s="138" t="str">
        <f>+IFERROR(VLOOKUP(Fact_Analitica[[#This Row],[Concepto Anterior]],Conceptos_Analítica_contraloría[#All],7,0),"")</f>
        <v/>
      </c>
      <c r="I883" s="138" t="str">
        <f>+IFERROR(VLOOKUP(D883,Conceptos_Analítica_contraloría[#All],2,0),"")</f>
        <v/>
      </c>
      <c r="J883" s="138" t="str">
        <f>+IFERROR(VLOOKUP(D883,Conceptos_Analítica_contraloría[#All],3,0),"")</f>
        <v/>
      </c>
    </row>
    <row r="884" spans="3:10" x14ac:dyDescent="0.35">
      <c r="C884" s="144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s="138" t="str">
        <f>+IFERROR(VLOOKUP(Fact_Analitica[[#This Row],[Concepto Anterior]],Conceptos_Analítica_contraloría[#All],5,0),"")</f>
        <v/>
      </c>
      <c r="F884" s="138" t="str">
        <f>+IFERROR(VLOOKUP(Fact_Analitica[[#This Row],[Concepto Anterior]],Conceptos_Analítica_contraloría[#All],7,0),"")</f>
        <v/>
      </c>
      <c r="I884" s="138" t="str">
        <f>+IFERROR(VLOOKUP(D884,Conceptos_Analítica_contraloría[#All],2,0),"")</f>
        <v/>
      </c>
      <c r="J884" s="138" t="str">
        <f>+IFERROR(VLOOKUP(D884,Conceptos_Analítica_contraloría[#All],3,0),"")</f>
        <v/>
      </c>
    </row>
    <row r="885" spans="3:10" x14ac:dyDescent="0.35">
      <c r="C885" s="144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s="138" t="str">
        <f>+IFERROR(VLOOKUP(Fact_Analitica[[#This Row],[Concepto Anterior]],Conceptos_Analítica_contraloría[#All],5,0),"")</f>
        <v/>
      </c>
      <c r="F885" s="138" t="str">
        <f>+IFERROR(VLOOKUP(Fact_Analitica[[#This Row],[Concepto Anterior]],Conceptos_Analítica_contraloría[#All],7,0),"")</f>
        <v/>
      </c>
      <c r="I885" s="138" t="str">
        <f>+IFERROR(VLOOKUP(D885,Conceptos_Analítica_contraloría[#All],2,0),"")</f>
        <v/>
      </c>
      <c r="J885" s="138" t="str">
        <f>+IFERROR(VLOOKUP(D885,Conceptos_Analítica_contraloría[#All],3,0),"")</f>
        <v/>
      </c>
    </row>
    <row r="886" spans="3:10" x14ac:dyDescent="0.35">
      <c r="C886" s="144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s="138" t="str">
        <f>+IFERROR(VLOOKUP(Fact_Analitica[[#This Row],[Concepto Anterior]],Conceptos_Analítica_contraloría[#All],5,0),"")</f>
        <v/>
      </c>
      <c r="F886" s="138" t="str">
        <f>+IFERROR(VLOOKUP(Fact_Analitica[[#This Row],[Concepto Anterior]],Conceptos_Analítica_contraloría[#All],7,0),"")</f>
        <v/>
      </c>
      <c r="I886" s="138" t="str">
        <f>+IFERROR(VLOOKUP(D886,Conceptos_Analítica_contraloría[#All],2,0),"")</f>
        <v/>
      </c>
      <c r="J886" s="138" t="str">
        <f>+IFERROR(VLOOKUP(D886,Conceptos_Analítica_contraloría[#All],3,0),"")</f>
        <v/>
      </c>
    </row>
    <row r="887" spans="3:10" x14ac:dyDescent="0.35">
      <c r="C887" s="144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s="138" t="str">
        <f>+IFERROR(VLOOKUP(Fact_Analitica[[#This Row],[Concepto Anterior]],Conceptos_Analítica_contraloría[#All],5,0),"")</f>
        <v/>
      </c>
      <c r="F887" s="138" t="str">
        <f>+IFERROR(VLOOKUP(Fact_Analitica[[#This Row],[Concepto Anterior]],Conceptos_Analítica_contraloría[#All],7,0),"")</f>
        <v/>
      </c>
      <c r="I887" s="138" t="str">
        <f>+IFERROR(VLOOKUP(D887,Conceptos_Analítica_contraloría[#All],2,0),"")</f>
        <v/>
      </c>
      <c r="J887" s="138" t="str">
        <f>+IFERROR(VLOOKUP(D887,Conceptos_Analítica_contraloría[#All],3,0),"")</f>
        <v/>
      </c>
    </row>
    <row r="888" spans="3:10" x14ac:dyDescent="0.35">
      <c r="C888" s="144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s="138" t="str">
        <f>+IFERROR(VLOOKUP(Fact_Analitica[[#This Row],[Concepto Anterior]],Conceptos_Analítica_contraloría[#All],5,0),"")</f>
        <v/>
      </c>
      <c r="F888" s="138" t="str">
        <f>+IFERROR(VLOOKUP(Fact_Analitica[[#This Row],[Concepto Anterior]],Conceptos_Analítica_contraloría[#All],7,0),"")</f>
        <v/>
      </c>
      <c r="I888" s="138" t="str">
        <f>+IFERROR(VLOOKUP(D888,Conceptos_Analítica_contraloría[#All],2,0),"")</f>
        <v/>
      </c>
      <c r="J888" s="138" t="str">
        <f>+IFERROR(VLOOKUP(D888,Conceptos_Analítica_contraloría[#All],3,0),"")</f>
        <v/>
      </c>
    </row>
    <row r="889" spans="3:10" x14ac:dyDescent="0.35">
      <c r="C889" s="144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s="138" t="str">
        <f>+IFERROR(VLOOKUP(Fact_Analitica[[#This Row],[Concepto Anterior]],Conceptos_Analítica_contraloría[#All],5,0),"")</f>
        <v/>
      </c>
      <c r="F889" s="138" t="str">
        <f>+IFERROR(VLOOKUP(Fact_Analitica[[#This Row],[Concepto Anterior]],Conceptos_Analítica_contraloría[#All],7,0),"")</f>
        <v/>
      </c>
      <c r="I889" s="138" t="str">
        <f>+IFERROR(VLOOKUP(D889,Conceptos_Analítica_contraloría[#All],2,0),"")</f>
        <v/>
      </c>
      <c r="J889" s="138" t="str">
        <f>+IFERROR(VLOOKUP(D889,Conceptos_Analítica_contraloría[#All],3,0),"")</f>
        <v/>
      </c>
    </row>
    <row r="890" spans="3:10" x14ac:dyDescent="0.35">
      <c r="C890" s="144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s="138" t="str">
        <f>+IFERROR(VLOOKUP(Fact_Analitica[[#This Row],[Concepto Anterior]],Conceptos_Analítica_contraloría[#All],5,0),"")</f>
        <v/>
      </c>
      <c r="F890" s="138" t="str">
        <f>+IFERROR(VLOOKUP(Fact_Analitica[[#This Row],[Concepto Anterior]],Conceptos_Analítica_contraloría[#All],7,0),"")</f>
        <v/>
      </c>
      <c r="I890" s="138" t="str">
        <f>+IFERROR(VLOOKUP(D890,Conceptos_Analítica_contraloría[#All],2,0),"")</f>
        <v/>
      </c>
      <c r="J890" s="138" t="str">
        <f>+IFERROR(VLOOKUP(D890,Conceptos_Analítica_contraloría[#All],3,0),"")</f>
        <v/>
      </c>
    </row>
    <row r="891" spans="3:10" x14ac:dyDescent="0.35">
      <c r="C891" s="144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s="138" t="str">
        <f>+IFERROR(VLOOKUP(Fact_Analitica[[#This Row],[Concepto Anterior]],Conceptos_Analítica_contraloría[#All],5,0),"")</f>
        <v/>
      </c>
      <c r="F891" s="138" t="str">
        <f>+IFERROR(VLOOKUP(Fact_Analitica[[#This Row],[Concepto Anterior]],Conceptos_Analítica_contraloría[#All],7,0),"")</f>
        <v/>
      </c>
      <c r="I891" s="138" t="str">
        <f>+IFERROR(VLOOKUP(D891,Conceptos_Analítica_contraloría[#All],2,0),"")</f>
        <v/>
      </c>
      <c r="J891" s="138" t="str">
        <f>+IFERROR(VLOOKUP(D891,Conceptos_Analítica_contraloría[#All],3,0),"")</f>
        <v/>
      </c>
    </row>
    <row r="892" spans="3:10" x14ac:dyDescent="0.35">
      <c r="C892" s="144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s="138" t="str">
        <f>+IFERROR(VLOOKUP(Fact_Analitica[[#This Row],[Concepto Anterior]],Conceptos_Analítica_contraloría[#All],5,0),"")</f>
        <v/>
      </c>
      <c r="F892" s="138" t="str">
        <f>+IFERROR(VLOOKUP(Fact_Analitica[[#This Row],[Concepto Anterior]],Conceptos_Analítica_contraloría[#All],7,0),"")</f>
        <v/>
      </c>
      <c r="I892" s="138" t="str">
        <f>+IFERROR(VLOOKUP(D892,Conceptos_Analítica_contraloría[#All],2,0),"")</f>
        <v/>
      </c>
      <c r="J892" s="138" t="str">
        <f>+IFERROR(VLOOKUP(D892,Conceptos_Analítica_contraloría[#All],3,0),"")</f>
        <v/>
      </c>
    </row>
    <row r="893" spans="3:10" x14ac:dyDescent="0.35">
      <c r="C893" s="144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s="138" t="str">
        <f>+IFERROR(VLOOKUP(Fact_Analitica[[#This Row],[Concepto Anterior]],Conceptos_Analítica_contraloría[#All],5,0),"")</f>
        <v/>
      </c>
      <c r="F893" s="138" t="str">
        <f>+IFERROR(VLOOKUP(Fact_Analitica[[#This Row],[Concepto Anterior]],Conceptos_Analítica_contraloría[#All],7,0),"")</f>
        <v/>
      </c>
      <c r="I893" s="138" t="str">
        <f>+IFERROR(VLOOKUP(D893,Conceptos_Analítica_contraloría[#All],2,0),"")</f>
        <v/>
      </c>
      <c r="J893" s="138" t="str">
        <f>+IFERROR(VLOOKUP(D893,Conceptos_Analítica_contraloría[#All],3,0),"")</f>
        <v/>
      </c>
    </row>
    <row r="894" spans="3:10" x14ac:dyDescent="0.35">
      <c r="C894" s="144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s="138" t="str">
        <f>+IFERROR(VLOOKUP(Fact_Analitica[[#This Row],[Concepto Anterior]],Conceptos_Analítica_contraloría[#All],5,0),"")</f>
        <v/>
      </c>
      <c r="F894" s="138" t="str">
        <f>+IFERROR(VLOOKUP(Fact_Analitica[[#This Row],[Concepto Anterior]],Conceptos_Analítica_contraloría[#All],7,0),"")</f>
        <v/>
      </c>
      <c r="I894" s="138" t="str">
        <f>+IFERROR(VLOOKUP(D894,Conceptos_Analítica_contraloría[#All],2,0),"")</f>
        <v/>
      </c>
      <c r="J894" s="138" t="str">
        <f>+IFERROR(VLOOKUP(D894,Conceptos_Analítica_contraloría[#All],3,0),"")</f>
        <v/>
      </c>
    </row>
    <row r="895" spans="3:10" x14ac:dyDescent="0.35">
      <c r="C895" s="144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s="138" t="str">
        <f>+IFERROR(VLOOKUP(Fact_Analitica[[#This Row],[Concepto Anterior]],Conceptos_Analítica_contraloría[#All],5,0),"")</f>
        <v/>
      </c>
      <c r="F895" s="138" t="str">
        <f>+IFERROR(VLOOKUP(Fact_Analitica[[#This Row],[Concepto Anterior]],Conceptos_Analítica_contraloría[#All],7,0),"")</f>
        <v/>
      </c>
      <c r="I895" s="138" t="str">
        <f>+IFERROR(VLOOKUP(D895,Conceptos_Analítica_contraloría[#All],2,0),"")</f>
        <v/>
      </c>
      <c r="J895" s="138" t="str">
        <f>+IFERROR(VLOOKUP(D895,Conceptos_Analítica_contraloría[#All],3,0),"")</f>
        <v/>
      </c>
    </row>
    <row r="896" spans="3:10" x14ac:dyDescent="0.35">
      <c r="C896" s="144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s="138" t="str">
        <f>+IFERROR(VLOOKUP(Fact_Analitica[[#This Row],[Concepto Anterior]],Conceptos_Analítica_contraloría[#All],5,0),"")</f>
        <v/>
      </c>
      <c r="F896" s="138" t="str">
        <f>+IFERROR(VLOOKUP(Fact_Analitica[[#This Row],[Concepto Anterior]],Conceptos_Analítica_contraloría[#All],7,0),"")</f>
        <v/>
      </c>
      <c r="I896" s="138" t="str">
        <f>+IFERROR(VLOOKUP(D896,Conceptos_Analítica_contraloría[#All],2,0),"")</f>
        <v/>
      </c>
      <c r="J896" s="138" t="str">
        <f>+IFERROR(VLOOKUP(D896,Conceptos_Analítica_contraloría[#All],3,0),"")</f>
        <v/>
      </c>
    </row>
    <row r="897" spans="3:10" x14ac:dyDescent="0.35">
      <c r="C897" s="144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s="138" t="str">
        <f>+IFERROR(VLOOKUP(Fact_Analitica[[#This Row],[Concepto Anterior]],Conceptos_Analítica_contraloría[#All],5,0),"")</f>
        <v/>
      </c>
      <c r="F897" s="138" t="str">
        <f>+IFERROR(VLOOKUP(Fact_Analitica[[#This Row],[Concepto Anterior]],Conceptos_Analítica_contraloría[#All],7,0),"")</f>
        <v/>
      </c>
      <c r="I897" s="138" t="str">
        <f>+IFERROR(VLOOKUP(D897,Conceptos_Analítica_contraloría[#All],2,0),"")</f>
        <v/>
      </c>
      <c r="J897" s="138" t="str">
        <f>+IFERROR(VLOOKUP(D897,Conceptos_Analítica_contraloría[#All],3,0),"")</f>
        <v/>
      </c>
    </row>
    <row r="898" spans="3:10" x14ac:dyDescent="0.35">
      <c r="C898" s="144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s="138" t="str">
        <f>+IFERROR(VLOOKUP(Fact_Analitica[[#This Row],[Concepto Anterior]],Conceptos_Analítica_contraloría[#All],5,0),"")</f>
        <v/>
      </c>
      <c r="F898" s="138" t="str">
        <f>+IFERROR(VLOOKUP(Fact_Analitica[[#This Row],[Concepto Anterior]],Conceptos_Analítica_contraloría[#All],7,0),"")</f>
        <v/>
      </c>
      <c r="I898" s="138" t="str">
        <f>+IFERROR(VLOOKUP(D898,Conceptos_Analítica_contraloría[#All],2,0),"")</f>
        <v/>
      </c>
      <c r="J898" s="138" t="str">
        <f>+IFERROR(VLOOKUP(D898,Conceptos_Analítica_contraloría[#All],3,0),"")</f>
        <v/>
      </c>
    </row>
    <row r="899" spans="3:10" x14ac:dyDescent="0.35">
      <c r="C899" s="144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s="138" t="str">
        <f>+IFERROR(VLOOKUP(Fact_Analitica[[#This Row],[Concepto Anterior]],Conceptos_Analítica_contraloría[#All],5,0),"")</f>
        <v/>
      </c>
      <c r="F899" s="138" t="str">
        <f>+IFERROR(VLOOKUP(Fact_Analitica[[#This Row],[Concepto Anterior]],Conceptos_Analítica_contraloría[#All],7,0),"")</f>
        <v/>
      </c>
      <c r="I899" s="138" t="str">
        <f>+IFERROR(VLOOKUP(D899,Conceptos_Analítica_contraloría[#All],2,0),"")</f>
        <v/>
      </c>
      <c r="J899" s="138" t="str">
        <f>+IFERROR(VLOOKUP(D899,Conceptos_Analítica_contraloría[#All],3,0),"")</f>
        <v/>
      </c>
    </row>
    <row r="900" spans="3:10" x14ac:dyDescent="0.35">
      <c r="C900" s="144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s="138" t="str">
        <f>+IFERROR(VLOOKUP(Fact_Analitica[[#This Row],[Concepto Anterior]],Conceptos_Analítica_contraloría[#All],5,0),"")</f>
        <v/>
      </c>
      <c r="F900" s="138" t="str">
        <f>+IFERROR(VLOOKUP(Fact_Analitica[[#This Row],[Concepto Anterior]],Conceptos_Analítica_contraloría[#All],7,0),"")</f>
        <v/>
      </c>
      <c r="I900" s="138" t="str">
        <f>+IFERROR(VLOOKUP(D900,Conceptos_Analítica_contraloría[#All],2,0),"")</f>
        <v/>
      </c>
      <c r="J900" s="138" t="str">
        <f>+IFERROR(VLOOKUP(D900,Conceptos_Analítica_contraloría[#All],3,0),"")</f>
        <v/>
      </c>
    </row>
    <row r="901" spans="3:10" x14ac:dyDescent="0.35">
      <c r="C901" s="144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s="138" t="str">
        <f>+IFERROR(VLOOKUP(Fact_Analitica[[#This Row],[Concepto Anterior]],Conceptos_Analítica_contraloría[#All],5,0),"")</f>
        <v/>
      </c>
      <c r="F901" s="138" t="str">
        <f>+IFERROR(VLOOKUP(Fact_Analitica[[#This Row],[Concepto Anterior]],Conceptos_Analítica_contraloría[#All],7,0),"")</f>
        <v/>
      </c>
      <c r="I901" s="138" t="str">
        <f>+IFERROR(VLOOKUP(D901,Conceptos_Analítica_contraloría[#All],2,0),"")</f>
        <v/>
      </c>
      <c r="J901" s="138" t="str">
        <f>+IFERROR(VLOOKUP(D901,Conceptos_Analítica_contraloría[#All],3,0),"")</f>
        <v/>
      </c>
    </row>
    <row r="902" spans="3:10" x14ac:dyDescent="0.35">
      <c r="C902" s="144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s="138" t="str">
        <f>+IFERROR(VLOOKUP(Fact_Analitica[[#This Row],[Concepto Anterior]],Conceptos_Analítica_contraloría[#All],5,0),"")</f>
        <v/>
      </c>
      <c r="F902" s="138" t="str">
        <f>+IFERROR(VLOOKUP(Fact_Analitica[[#This Row],[Concepto Anterior]],Conceptos_Analítica_contraloría[#All],7,0),"")</f>
        <v/>
      </c>
      <c r="I902" s="138" t="str">
        <f>+IFERROR(VLOOKUP(D902,Conceptos_Analítica_contraloría[#All],2,0),"")</f>
        <v/>
      </c>
      <c r="J902" s="138" t="str">
        <f>+IFERROR(VLOOKUP(D902,Conceptos_Analítica_contraloría[#All],3,0),"")</f>
        <v/>
      </c>
    </row>
    <row r="903" spans="3:10" x14ac:dyDescent="0.35">
      <c r="C903" s="144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s="138" t="str">
        <f>+IFERROR(VLOOKUP(Fact_Analitica[[#This Row],[Concepto Anterior]],Conceptos_Analítica_contraloría[#All],5,0),"")</f>
        <v/>
      </c>
      <c r="F903" s="138" t="str">
        <f>+IFERROR(VLOOKUP(Fact_Analitica[[#This Row],[Concepto Anterior]],Conceptos_Analítica_contraloría[#All],7,0),"")</f>
        <v/>
      </c>
      <c r="I903" s="138" t="str">
        <f>+IFERROR(VLOOKUP(D903,Conceptos_Analítica_contraloría[#All],2,0),"")</f>
        <v/>
      </c>
      <c r="J903" s="138" t="str">
        <f>+IFERROR(VLOOKUP(D903,Conceptos_Analítica_contraloría[#All],3,0),"")</f>
        <v/>
      </c>
    </row>
    <row r="904" spans="3:10" x14ac:dyDescent="0.35">
      <c r="C904" s="144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s="138" t="str">
        <f>+IFERROR(VLOOKUP(Fact_Analitica[[#This Row],[Concepto Anterior]],Conceptos_Analítica_contraloría[#All],5,0),"")</f>
        <v/>
      </c>
      <c r="F904" s="138" t="str">
        <f>+IFERROR(VLOOKUP(Fact_Analitica[[#This Row],[Concepto Anterior]],Conceptos_Analítica_contraloría[#All],7,0),"")</f>
        <v/>
      </c>
      <c r="I904" s="138" t="str">
        <f>+IFERROR(VLOOKUP(D904,Conceptos_Analítica_contraloría[#All],2,0),"")</f>
        <v/>
      </c>
      <c r="J904" s="138" t="str">
        <f>+IFERROR(VLOOKUP(D904,Conceptos_Analítica_contraloría[#All],3,0),"")</f>
        <v/>
      </c>
    </row>
    <row r="905" spans="3:10" x14ac:dyDescent="0.35">
      <c r="C905" s="144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s="138" t="str">
        <f>+IFERROR(VLOOKUP(Fact_Analitica[[#This Row],[Concepto Anterior]],Conceptos_Analítica_contraloría[#All],5,0),"")</f>
        <v/>
      </c>
      <c r="F905" s="138" t="str">
        <f>+IFERROR(VLOOKUP(Fact_Analitica[[#This Row],[Concepto Anterior]],Conceptos_Analítica_contraloría[#All],7,0),"")</f>
        <v/>
      </c>
      <c r="I905" s="138" t="str">
        <f>+IFERROR(VLOOKUP(D905,Conceptos_Analítica_contraloría[#All],2,0),"")</f>
        <v/>
      </c>
      <c r="J905" s="138" t="str">
        <f>+IFERROR(VLOOKUP(D905,Conceptos_Analítica_contraloría[#All],3,0),"")</f>
        <v/>
      </c>
    </row>
    <row r="906" spans="3:10" x14ac:dyDescent="0.35">
      <c r="C906" s="144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s="138" t="str">
        <f>+IFERROR(VLOOKUP(Fact_Analitica[[#This Row],[Concepto Anterior]],Conceptos_Analítica_contraloría[#All],5,0),"")</f>
        <v/>
      </c>
      <c r="F906" s="138" t="str">
        <f>+IFERROR(VLOOKUP(Fact_Analitica[[#This Row],[Concepto Anterior]],Conceptos_Analítica_contraloría[#All],7,0),"")</f>
        <v/>
      </c>
      <c r="I906" s="138" t="str">
        <f>+IFERROR(VLOOKUP(D906,Conceptos_Analítica_contraloría[#All],2,0),"")</f>
        <v/>
      </c>
      <c r="J906" s="138" t="str">
        <f>+IFERROR(VLOOKUP(D906,Conceptos_Analítica_contraloría[#All],3,0),"")</f>
        <v/>
      </c>
    </row>
    <row r="907" spans="3:10" x14ac:dyDescent="0.35">
      <c r="C907" s="144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s="138" t="str">
        <f>+IFERROR(VLOOKUP(Fact_Analitica[[#This Row],[Concepto Anterior]],Conceptos_Analítica_contraloría[#All],5,0),"")</f>
        <v/>
      </c>
      <c r="F907" s="138" t="str">
        <f>+IFERROR(VLOOKUP(Fact_Analitica[[#This Row],[Concepto Anterior]],Conceptos_Analítica_contraloría[#All],7,0),"")</f>
        <v/>
      </c>
      <c r="I907" s="138" t="str">
        <f>+IFERROR(VLOOKUP(D907,Conceptos_Analítica_contraloría[#All],2,0),"")</f>
        <v/>
      </c>
      <c r="J907" s="138" t="str">
        <f>+IFERROR(VLOOKUP(D907,Conceptos_Analítica_contraloría[#All],3,0),"")</f>
        <v/>
      </c>
    </row>
    <row r="908" spans="3:10" x14ac:dyDescent="0.35">
      <c r="C908" s="144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s="138" t="str">
        <f>+IFERROR(VLOOKUP(Fact_Analitica[[#This Row],[Concepto Anterior]],Conceptos_Analítica_contraloría[#All],5,0),"")</f>
        <v/>
      </c>
      <c r="F908" s="138" t="str">
        <f>+IFERROR(VLOOKUP(Fact_Analitica[[#This Row],[Concepto Anterior]],Conceptos_Analítica_contraloría[#All],7,0),"")</f>
        <v/>
      </c>
      <c r="I908" s="138" t="str">
        <f>+IFERROR(VLOOKUP(D908,Conceptos_Analítica_contraloría[#All],2,0),"")</f>
        <v/>
      </c>
      <c r="J908" s="138" t="str">
        <f>+IFERROR(VLOOKUP(D908,Conceptos_Analítica_contraloría[#All],3,0),"")</f>
        <v/>
      </c>
    </row>
    <row r="909" spans="3:10" x14ac:dyDescent="0.35">
      <c r="C909" s="144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s="138" t="str">
        <f>+IFERROR(VLOOKUP(Fact_Analitica[[#This Row],[Concepto Anterior]],Conceptos_Analítica_contraloría[#All],5,0),"")</f>
        <v/>
      </c>
      <c r="F909" s="138" t="str">
        <f>+IFERROR(VLOOKUP(Fact_Analitica[[#This Row],[Concepto Anterior]],Conceptos_Analítica_contraloría[#All],7,0),"")</f>
        <v/>
      </c>
      <c r="I909" s="138" t="str">
        <f>+IFERROR(VLOOKUP(D909,Conceptos_Analítica_contraloría[#All],2,0),"")</f>
        <v/>
      </c>
      <c r="J909" s="138" t="str">
        <f>+IFERROR(VLOOKUP(D909,Conceptos_Analítica_contraloría[#All],3,0),"")</f>
        <v/>
      </c>
    </row>
    <row r="910" spans="3:10" x14ac:dyDescent="0.35">
      <c r="C910" s="144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s="138" t="str">
        <f>+IFERROR(VLOOKUP(Fact_Analitica[[#This Row],[Concepto Anterior]],Conceptos_Analítica_contraloría[#All],5,0),"")</f>
        <v/>
      </c>
      <c r="F910" s="138" t="str">
        <f>+IFERROR(VLOOKUP(Fact_Analitica[[#This Row],[Concepto Anterior]],Conceptos_Analítica_contraloría[#All],7,0),"")</f>
        <v/>
      </c>
      <c r="I910" s="138" t="str">
        <f>+IFERROR(VLOOKUP(D910,Conceptos_Analítica_contraloría[#All],2,0),"")</f>
        <v/>
      </c>
      <c r="J910" s="138" t="str">
        <f>+IFERROR(VLOOKUP(D910,Conceptos_Analítica_contraloría[#All],3,0),"")</f>
        <v/>
      </c>
    </row>
    <row r="911" spans="3:10" x14ac:dyDescent="0.35">
      <c r="C911" s="144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s="138" t="str">
        <f>+IFERROR(VLOOKUP(Fact_Analitica[[#This Row],[Concepto Anterior]],Conceptos_Analítica_contraloría[#All],5,0),"")</f>
        <v/>
      </c>
      <c r="F911" s="138" t="str">
        <f>+IFERROR(VLOOKUP(Fact_Analitica[[#This Row],[Concepto Anterior]],Conceptos_Analítica_contraloría[#All],7,0),"")</f>
        <v/>
      </c>
      <c r="I911" s="138" t="str">
        <f>+IFERROR(VLOOKUP(D911,Conceptos_Analítica_contraloría[#All],2,0),"")</f>
        <v/>
      </c>
      <c r="J911" s="138" t="str">
        <f>+IFERROR(VLOOKUP(D911,Conceptos_Analítica_contraloría[#All],3,0),"")</f>
        <v/>
      </c>
    </row>
    <row r="912" spans="3:10" x14ac:dyDescent="0.35">
      <c r="C912" s="144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s="138" t="str">
        <f>+IFERROR(VLOOKUP(Fact_Analitica[[#This Row],[Concepto Anterior]],Conceptos_Analítica_contraloría[#All],5,0),"")</f>
        <v/>
      </c>
      <c r="F912" s="138" t="str">
        <f>+IFERROR(VLOOKUP(Fact_Analitica[[#This Row],[Concepto Anterior]],Conceptos_Analítica_contraloría[#All],7,0),"")</f>
        <v/>
      </c>
      <c r="I912" s="138" t="str">
        <f>+IFERROR(VLOOKUP(D912,Conceptos_Analítica_contraloría[#All],2,0),"")</f>
        <v/>
      </c>
      <c r="J912" s="138" t="str">
        <f>+IFERROR(VLOOKUP(D912,Conceptos_Analítica_contraloría[#All],3,0),"")</f>
        <v/>
      </c>
    </row>
    <row r="913" spans="3:10" x14ac:dyDescent="0.35">
      <c r="C913" s="144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s="138" t="str">
        <f>+IFERROR(VLOOKUP(Fact_Analitica[[#This Row],[Concepto Anterior]],Conceptos_Analítica_contraloría[#All],5,0),"")</f>
        <v/>
      </c>
      <c r="F913" s="138" t="str">
        <f>+IFERROR(VLOOKUP(Fact_Analitica[[#This Row],[Concepto Anterior]],Conceptos_Analítica_contraloría[#All],7,0),"")</f>
        <v/>
      </c>
      <c r="I913" s="138" t="str">
        <f>+IFERROR(VLOOKUP(D913,Conceptos_Analítica_contraloría[#All],2,0),"")</f>
        <v/>
      </c>
      <c r="J913" s="138" t="str">
        <f>+IFERROR(VLOOKUP(D913,Conceptos_Analítica_contraloría[#All],3,0),"")</f>
        <v/>
      </c>
    </row>
    <row r="914" spans="3:10" x14ac:dyDescent="0.35">
      <c r="C914" s="144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s="138" t="str">
        <f>+IFERROR(VLOOKUP(Fact_Analitica[[#This Row],[Concepto Anterior]],Conceptos_Analítica_contraloría[#All],5,0),"")</f>
        <v/>
      </c>
      <c r="F914" s="138" t="str">
        <f>+IFERROR(VLOOKUP(Fact_Analitica[[#This Row],[Concepto Anterior]],Conceptos_Analítica_contraloría[#All],7,0),"")</f>
        <v/>
      </c>
      <c r="I914" s="138" t="str">
        <f>+IFERROR(VLOOKUP(D914,Conceptos_Analítica_contraloría[#All],2,0),"")</f>
        <v/>
      </c>
      <c r="J914" s="138" t="str">
        <f>+IFERROR(VLOOKUP(D914,Conceptos_Analítica_contraloría[#All],3,0),"")</f>
        <v/>
      </c>
    </row>
    <row r="915" spans="3:10" x14ac:dyDescent="0.35">
      <c r="C915" s="144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s="138" t="str">
        <f>+IFERROR(VLOOKUP(Fact_Analitica[[#This Row],[Concepto Anterior]],Conceptos_Analítica_contraloría[#All],5,0),"")</f>
        <v/>
      </c>
      <c r="F915" s="138" t="str">
        <f>+IFERROR(VLOOKUP(Fact_Analitica[[#This Row],[Concepto Anterior]],Conceptos_Analítica_contraloría[#All],7,0),"")</f>
        <v/>
      </c>
      <c r="I915" s="138" t="str">
        <f>+IFERROR(VLOOKUP(D915,Conceptos_Analítica_contraloría[#All],2,0),"")</f>
        <v/>
      </c>
      <c r="J915" s="138" t="str">
        <f>+IFERROR(VLOOKUP(D915,Conceptos_Analítica_contraloría[#All],3,0),"")</f>
        <v/>
      </c>
    </row>
    <row r="916" spans="3:10" x14ac:dyDescent="0.35">
      <c r="C916" s="144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s="138" t="str">
        <f>+IFERROR(VLOOKUP(Fact_Analitica[[#This Row],[Concepto Anterior]],Conceptos_Analítica_contraloría[#All],5,0),"")</f>
        <v/>
      </c>
      <c r="F916" s="138" t="str">
        <f>+IFERROR(VLOOKUP(Fact_Analitica[[#This Row],[Concepto Anterior]],Conceptos_Analítica_contraloría[#All],7,0),"")</f>
        <v/>
      </c>
      <c r="I916" s="138" t="str">
        <f>+IFERROR(VLOOKUP(D916,Conceptos_Analítica_contraloría[#All],2,0),"")</f>
        <v/>
      </c>
      <c r="J916" s="138" t="str">
        <f>+IFERROR(VLOOKUP(D916,Conceptos_Analítica_contraloría[#All],3,0),"")</f>
        <v/>
      </c>
    </row>
    <row r="917" spans="3:10" x14ac:dyDescent="0.35">
      <c r="C917" s="144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s="138" t="str">
        <f>+IFERROR(VLOOKUP(Fact_Analitica[[#This Row],[Concepto Anterior]],Conceptos_Analítica_contraloría[#All],5,0),"")</f>
        <v/>
      </c>
      <c r="F917" s="138" t="str">
        <f>+IFERROR(VLOOKUP(Fact_Analitica[[#This Row],[Concepto Anterior]],Conceptos_Analítica_contraloría[#All],7,0),"")</f>
        <v/>
      </c>
      <c r="I917" s="138" t="str">
        <f>+IFERROR(VLOOKUP(D917,Conceptos_Analítica_contraloría[#All],2,0),"")</f>
        <v/>
      </c>
      <c r="J917" s="138" t="str">
        <f>+IFERROR(VLOOKUP(D917,Conceptos_Analítica_contraloría[#All],3,0),"")</f>
        <v/>
      </c>
    </row>
    <row r="918" spans="3:10" x14ac:dyDescent="0.35">
      <c r="C918" s="144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s="138" t="str">
        <f>+IFERROR(VLOOKUP(Fact_Analitica[[#This Row],[Concepto Anterior]],Conceptos_Analítica_contraloría[#All],5,0),"")</f>
        <v/>
      </c>
      <c r="F918" s="138" t="str">
        <f>+IFERROR(VLOOKUP(Fact_Analitica[[#This Row],[Concepto Anterior]],Conceptos_Analítica_contraloría[#All],7,0),"")</f>
        <v/>
      </c>
      <c r="I918" s="138" t="str">
        <f>+IFERROR(VLOOKUP(D918,Conceptos_Analítica_contraloría[#All],2,0),"")</f>
        <v/>
      </c>
      <c r="J918" s="138" t="str">
        <f>+IFERROR(VLOOKUP(D918,Conceptos_Analítica_contraloría[#All],3,0),"")</f>
        <v/>
      </c>
    </row>
    <row r="919" spans="3:10" x14ac:dyDescent="0.35">
      <c r="C919" s="144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s="138" t="str">
        <f>+IFERROR(VLOOKUP(Fact_Analitica[[#This Row],[Concepto Anterior]],Conceptos_Analítica_contraloría[#All],5,0),"")</f>
        <v/>
      </c>
      <c r="F919" s="138" t="str">
        <f>+IFERROR(VLOOKUP(Fact_Analitica[[#This Row],[Concepto Anterior]],Conceptos_Analítica_contraloría[#All],7,0),"")</f>
        <v/>
      </c>
      <c r="I919" s="138" t="str">
        <f>+IFERROR(VLOOKUP(D919,Conceptos_Analítica_contraloría[#All],2,0),"")</f>
        <v/>
      </c>
      <c r="J919" s="138" t="str">
        <f>+IFERROR(VLOOKUP(D919,Conceptos_Analítica_contraloría[#All],3,0),"")</f>
        <v/>
      </c>
    </row>
    <row r="920" spans="3:10" x14ac:dyDescent="0.35">
      <c r="C920" s="144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s="138" t="str">
        <f>+IFERROR(VLOOKUP(Fact_Analitica[[#This Row],[Concepto Anterior]],Conceptos_Analítica_contraloría[#All],5,0),"")</f>
        <v/>
      </c>
      <c r="F920" s="138" t="str">
        <f>+IFERROR(VLOOKUP(Fact_Analitica[[#This Row],[Concepto Anterior]],Conceptos_Analítica_contraloría[#All],7,0),"")</f>
        <v/>
      </c>
      <c r="I920" s="138" t="str">
        <f>+IFERROR(VLOOKUP(D920,Conceptos_Analítica_contraloría[#All],2,0),"")</f>
        <v/>
      </c>
      <c r="J920" s="138" t="str">
        <f>+IFERROR(VLOOKUP(D920,Conceptos_Analítica_contraloría[#All],3,0),"")</f>
        <v/>
      </c>
    </row>
    <row r="921" spans="3:10" x14ac:dyDescent="0.35">
      <c r="C921" s="144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s="138" t="str">
        <f>+IFERROR(VLOOKUP(Fact_Analitica[[#This Row],[Concepto Anterior]],Conceptos_Analítica_contraloría[#All],5,0),"")</f>
        <v/>
      </c>
      <c r="F921" s="138" t="str">
        <f>+IFERROR(VLOOKUP(Fact_Analitica[[#This Row],[Concepto Anterior]],Conceptos_Analítica_contraloría[#All],7,0),"")</f>
        <v/>
      </c>
      <c r="I921" s="138" t="str">
        <f>+IFERROR(VLOOKUP(D921,Conceptos_Analítica_contraloría[#All],2,0),"")</f>
        <v/>
      </c>
      <c r="J921" s="138" t="str">
        <f>+IFERROR(VLOOKUP(D921,Conceptos_Analítica_contraloría[#All],3,0),"")</f>
        <v/>
      </c>
    </row>
    <row r="922" spans="3:10" x14ac:dyDescent="0.35">
      <c r="C922" s="144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s="138" t="str">
        <f>+IFERROR(VLOOKUP(Fact_Analitica[[#This Row],[Concepto Anterior]],Conceptos_Analítica_contraloría[#All],5,0),"")</f>
        <v/>
      </c>
      <c r="F922" s="138" t="str">
        <f>+IFERROR(VLOOKUP(Fact_Analitica[[#This Row],[Concepto Anterior]],Conceptos_Analítica_contraloría[#All],7,0),"")</f>
        <v/>
      </c>
      <c r="I922" s="138" t="str">
        <f>+IFERROR(VLOOKUP(D922,Conceptos_Analítica_contraloría[#All],2,0),"")</f>
        <v/>
      </c>
      <c r="J922" s="138" t="str">
        <f>+IFERROR(VLOOKUP(D922,Conceptos_Analítica_contraloría[#All],3,0),"")</f>
        <v/>
      </c>
    </row>
    <row r="923" spans="3:10" x14ac:dyDescent="0.35">
      <c r="C923" s="144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s="138" t="str">
        <f>+IFERROR(VLOOKUP(Fact_Analitica[[#This Row],[Concepto Anterior]],Conceptos_Analítica_contraloría[#All],5,0),"")</f>
        <v/>
      </c>
      <c r="F923" s="138" t="str">
        <f>+IFERROR(VLOOKUP(Fact_Analitica[[#This Row],[Concepto Anterior]],Conceptos_Analítica_contraloría[#All],7,0),"")</f>
        <v/>
      </c>
      <c r="I923" s="138" t="str">
        <f>+IFERROR(VLOOKUP(D923,Conceptos_Analítica_contraloría[#All],2,0),"")</f>
        <v/>
      </c>
      <c r="J923" s="138" t="str">
        <f>+IFERROR(VLOOKUP(D923,Conceptos_Analítica_contraloría[#All],3,0),"")</f>
        <v/>
      </c>
    </row>
    <row r="924" spans="3:10" x14ac:dyDescent="0.35">
      <c r="C924" s="144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s="138" t="str">
        <f>+IFERROR(VLOOKUP(Fact_Analitica[[#This Row],[Concepto Anterior]],Conceptos_Analítica_contraloría[#All],5,0),"")</f>
        <v/>
      </c>
      <c r="F924" s="138" t="str">
        <f>+IFERROR(VLOOKUP(Fact_Analitica[[#This Row],[Concepto Anterior]],Conceptos_Analítica_contraloría[#All],7,0),"")</f>
        <v/>
      </c>
      <c r="I924" s="138" t="str">
        <f>+IFERROR(VLOOKUP(D924,Conceptos_Analítica_contraloría[#All],2,0),"")</f>
        <v/>
      </c>
      <c r="J924" s="138" t="str">
        <f>+IFERROR(VLOOKUP(D924,Conceptos_Analítica_contraloría[#All],3,0),"")</f>
        <v/>
      </c>
    </row>
    <row r="925" spans="3:10" x14ac:dyDescent="0.35">
      <c r="C925" s="144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s="138" t="str">
        <f>+IFERROR(VLOOKUP(Fact_Analitica[[#This Row],[Concepto Anterior]],Conceptos_Analítica_contraloría[#All],5,0),"")</f>
        <v/>
      </c>
      <c r="F925" s="138" t="str">
        <f>+IFERROR(VLOOKUP(Fact_Analitica[[#This Row],[Concepto Anterior]],Conceptos_Analítica_contraloría[#All],7,0),"")</f>
        <v/>
      </c>
      <c r="I925" s="138" t="str">
        <f>+IFERROR(VLOOKUP(D925,Conceptos_Analítica_contraloría[#All],2,0),"")</f>
        <v/>
      </c>
      <c r="J925" s="138" t="str">
        <f>+IFERROR(VLOOKUP(D925,Conceptos_Analítica_contraloría[#All],3,0),"")</f>
        <v/>
      </c>
    </row>
    <row r="926" spans="3:10" x14ac:dyDescent="0.35">
      <c r="C926" s="144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s="138" t="str">
        <f>+IFERROR(VLOOKUP(Fact_Analitica[[#This Row],[Concepto Anterior]],Conceptos_Analítica_contraloría[#All],5,0),"")</f>
        <v/>
      </c>
      <c r="F926" s="138" t="str">
        <f>+IFERROR(VLOOKUP(Fact_Analitica[[#This Row],[Concepto Anterior]],Conceptos_Analítica_contraloría[#All],7,0),"")</f>
        <v/>
      </c>
      <c r="I926" s="138" t="str">
        <f>+IFERROR(VLOOKUP(D926,Conceptos_Analítica_contraloría[#All],2,0),"")</f>
        <v/>
      </c>
      <c r="J926" s="138" t="str">
        <f>+IFERROR(VLOOKUP(D926,Conceptos_Analítica_contraloría[#All],3,0),"")</f>
        <v/>
      </c>
    </row>
    <row r="927" spans="3:10" x14ac:dyDescent="0.35">
      <c r="C927" s="144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s="138" t="str">
        <f>+IFERROR(VLOOKUP(Fact_Analitica[[#This Row],[Concepto Anterior]],Conceptos_Analítica_contraloría[#All],5,0),"")</f>
        <v/>
      </c>
      <c r="F927" s="138" t="str">
        <f>+IFERROR(VLOOKUP(Fact_Analitica[[#This Row],[Concepto Anterior]],Conceptos_Analítica_contraloría[#All],7,0),"")</f>
        <v/>
      </c>
      <c r="I927" s="138" t="str">
        <f>+IFERROR(VLOOKUP(D927,Conceptos_Analítica_contraloría[#All],2,0),"")</f>
        <v/>
      </c>
      <c r="J927" s="138" t="str">
        <f>+IFERROR(VLOOKUP(D927,Conceptos_Analítica_contraloría[#All],3,0),"")</f>
        <v/>
      </c>
    </row>
    <row r="928" spans="3:10" x14ac:dyDescent="0.35">
      <c r="C928" s="144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s="138" t="str">
        <f>+IFERROR(VLOOKUP(Fact_Analitica[[#This Row],[Concepto Anterior]],Conceptos_Analítica_contraloría[#All],5,0),"")</f>
        <v/>
      </c>
      <c r="F928" s="138" t="str">
        <f>+IFERROR(VLOOKUP(Fact_Analitica[[#This Row],[Concepto Anterior]],Conceptos_Analítica_contraloría[#All],7,0),"")</f>
        <v/>
      </c>
      <c r="I928" s="138" t="str">
        <f>+IFERROR(VLOOKUP(D928,Conceptos_Analítica_contraloría[#All],2,0),"")</f>
        <v/>
      </c>
      <c r="J928" s="138" t="str">
        <f>+IFERROR(VLOOKUP(D928,Conceptos_Analítica_contraloría[#All],3,0),"")</f>
        <v/>
      </c>
    </row>
    <row r="929" spans="3:10" x14ac:dyDescent="0.35">
      <c r="C929" s="144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s="138" t="str">
        <f>+IFERROR(VLOOKUP(Fact_Analitica[[#This Row],[Concepto Anterior]],Conceptos_Analítica_contraloría[#All],5,0),"")</f>
        <v/>
      </c>
      <c r="F929" s="138" t="str">
        <f>+IFERROR(VLOOKUP(Fact_Analitica[[#This Row],[Concepto Anterior]],Conceptos_Analítica_contraloría[#All],7,0),"")</f>
        <v/>
      </c>
      <c r="I929" s="138" t="str">
        <f>+IFERROR(VLOOKUP(D929,Conceptos_Analítica_contraloría[#All],2,0),"")</f>
        <v/>
      </c>
      <c r="J929" s="138" t="str">
        <f>+IFERROR(VLOOKUP(D929,Conceptos_Analítica_contraloría[#All],3,0),"")</f>
        <v/>
      </c>
    </row>
    <row r="930" spans="3:10" x14ac:dyDescent="0.35">
      <c r="C930" s="144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s="138" t="str">
        <f>+IFERROR(VLOOKUP(Fact_Analitica[[#This Row],[Concepto Anterior]],Conceptos_Analítica_contraloría[#All],5,0),"")</f>
        <v/>
      </c>
      <c r="F930" s="138" t="str">
        <f>+IFERROR(VLOOKUP(Fact_Analitica[[#This Row],[Concepto Anterior]],Conceptos_Analítica_contraloría[#All],7,0),"")</f>
        <v/>
      </c>
      <c r="I930" s="138" t="str">
        <f>+IFERROR(VLOOKUP(D930,Conceptos_Analítica_contraloría[#All],2,0),"")</f>
        <v/>
      </c>
      <c r="J930" s="138" t="str">
        <f>+IFERROR(VLOOKUP(D930,Conceptos_Analítica_contraloría[#All],3,0),"")</f>
        <v/>
      </c>
    </row>
    <row r="931" spans="3:10" x14ac:dyDescent="0.35">
      <c r="C931" s="144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s="138" t="str">
        <f>+IFERROR(VLOOKUP(Fact_Analitica[[#This Row],[Concepto Anterior]],Conceptos_Analítica_contraloría[#All],5,0),"")</f>
        <v/>
      </c>
      <c r="F931" s="138" t="str">
        <f>+IFERROR(VLOOKUP(Fact_Analitica[[#This Row],[Concepto Anterior]],Conceptos_Analítica_contraloría[#All],7,0),"")</f>
        <v/>
      </c>
      <c r="I931" s="138" t="str">
        <f>+IFERROR(VLOOKUP(D931,Conceptos_Analítica_contraloría[#All],2,0),"")</f>
        <v/>
      </c>
      <c r="J931" s="138" t="str">
        <f>+IFERROR(VLOOKUP(D931,Conceptos_Analítica_contraloría[#All],3,0),"")</f>
        <v/>
      </c>
    </row>
    <row r="932" spans="3:10" x14ac:dyDescent="0.35">
      <c r="C932" s="144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s="138" t="str">
        <f>+IFERROR(VLOOKUP(Fact_Analitica[[#This Row],[Concepto Anterior]],Conceptos_Analítica_contraloría[#All],5,0),"")</f>
        <v/>
      </c>
      <c r="F932" s="138" t="str">
        <f>+IFERROR(VLOOKUP(Fact_Analitica[[#This Row],[Concepto Anterior]],Conceptos_Analítica_contraloría[#All],7,0),"")</f>
        <v/>
      </c>
      <c r="I932" s="138" t="str">
        <f>+IFERROR(VLOOKUP(D932,Conceptos_Analítica_contraloría[#All],2,0),"")</f>
        <v/>
      </c>
      <c r="J932" s="138" t="str">
        <f>+IFERROR(VLOOKUP(D932,Conceptos_Analítica_contraloría[#All],3,0),"")</f>
        <v/>
      </c>
    </row>
    <row r="933" spans="3:10" x14ac:dyDescent="0.35">
      <c r="C933" s="144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s="138" t="str">
        <f>+IFERROR(VLOOKUP(Fact_Analitica[[#This Row],[Concepto Anterior]],Conceptos_Analítica_contraloría[#All],5,0),"")</f>
        <v/>
      </c>
      <c r="F933" s="138" t="str">
        <f>+IFERROR(VLOOKUP(Fact_Analitica[[#This Row],[Concepto Anterior]],Conceptos_Analítica_contraloría[#All],7,0),"")</f>
        <v/>
      </c>
      <c r="I933" s="138" t="str">
        <f>+IFERROR(VLOOKUP(D933,Conceptos_Analítica_contraloría[#All],2,0),"")</f>
        <v/>
      </c>
      <c r="J933" s="138" t="str">
        <f>+IFERROR(VLOOKUP(D933,Conceptos_Analítica_contraloría[#All],3,0),"")</f>
        <v/>
      </c>
    </row>
    <row r="934" spans="3:10" x14ac:dyDescent="0.35">
      <c r="C934" s="144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s="138" t="str">
        <f>+IFERROR(VLOOKUP(Fact_Analitica[[#This Row],[Concepto Anterior]],Conceptos_Analítica_contraloría[#All],5,0),"")</f>
        <v/>
      </c>
      <c r="F934" s="138" t="str">
        <f>+IFERROR(VLOOKUP(Fact_Analitica[[#This Row],[Concepto Anterior]],Conceptos_Analítica_contraloría[#All],7,0),"")</f>
        <v/>
      </c>
      <c r="I934" s="138" t="str">
        <f>+IFERROR(VLOOKUP(D934,Conceptos_Analítica_contraloría[#All],2,0),"")</f>
        <v/>
      </c>
      <c r="J934" s="138" t="str">
        <f>+IFERROR(VLOOKUP(D934,Conceptos_Analítica_contraloría[#All],3,0),"")</f>
        <v/>
      </c>
    </row>
    <row r="935" spans="3:10" x14ac:dyDescent="0.35">
      <c r="C935" s="144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s="138" t="str">
        <f>+IFERROR(VLOOKUP(Fact_Analitica[[#This Row],[Concepto Anterior]],Conceptos_Analítica_contraloría[#All],5,0),"")</f>
        <v/>
      </c>
      <c r="F935" s="138" t="str">
        <f>+IFERROR(VLOOKUP(Fact_Analitica[[#This Row],[Concepto Anterior]],Conceptos_Analítica_contraloría[#All],7,0),"")</f>
        <v/>
      </c>
      <c r="I935" s="138" t="str">
        <f>+IFERROR(VLOOKUP(D935,Conceptos_Analítica_contraloría[#All],2,0),"")</f>
        <v/>
      </c>
      <c r="J935" s="138" t="str">
        <f>+IFERROR(VLOOKUP(D935,Conceptos_Analítica_contraloría[#All],3,0),"")</f>
        <v/>
      </c>
    </row>
    <row r="936" spans="3:10" x14ac:dyDescent="0.35">
      <c r="C936" s="144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s="138" t="str">
        <f>+IFERROR(VLOOKUP(Fact_Analitica[[#This Row],[Concepto Anterior]],Conceptos_Analítica_contraloría[#All],5,0),"")</f>
        <v/>
      </c>
      <c r="F936" s="138" t="str">
        <f>+IFERROR(VLOOKUP(Fact_Analitica[[#This Row],[Concepto Anterior]],Conceptos_Analítica_contraloría[#All],7,0),"")</f>
        <v/>
      </c>
      <c r="I936" s="138" t="str">
        <f>+IFERROR(VLOOKUP(D936,Conceptos_Analítica_contraloría[#All],2,0),"")</f>
        <v/>
      </c>
      <c r="J936" s="138" t="str">
        <f>+IFERROR(VLOOKUP(D936,Conceptos_Analítica_contraloría[#All],3,0),"")</f>
        <v/>
      </c>
    </row>
    <row r="937" spans="3:10" x14ac:dyDescent="0.35">
      <c r="C937" s="144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s="138" t="str">
        <f>+IFERROR(VLOOKUP(Fact_Analitica[[#This Row],[Concepto Anterior]],Conceptos_Analítica_contraloría[#All],5,0),"")</f>
        <v/>
      </c>
      <c r="F937" s="138" t="str">
        <f>+IFERROR(VLOOKUP(Fact_Analitica[[#This Row],[Concepto Anterior]],Conceptos_Analítica_contraloría[#All],7,0),"")</f>
        <v/>
      </c>
      <c r="I937" s="138" t="str">
        <f>+IFERROR(VLOOKUP(D937,Conceptos_Analítica_contraloría[#All],2,0),"")</f>
        <v/>
      </c>
      <c r="J937" s="138" t="str">
        <f>+IFERROR(VLOOKUP(D937,Conceptos_Analítica_contraloría[#All],3,0),"")</f>
        <v/>
      </c>
    </row>
    <row r="938" spans="3:10" x14ac:dyDescent="0.35">
      <c r="C938" s="144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s="138" t="str">
        <f>+IFERROR(VLOOKUP(Fact_Analitica[[#This Row],[Concepto Anterior]],Conceptos_Analítica_contraloría[#All],5,0),"")</f>
        <v/>
      </c>
      <c r="F938" s="138" t="str">
        <f>+IFERROR(VLOOKUP(Fact_Analitica[[#This Row],[Concepto Anterior]],Conceptos_Analítica_contraloría[#All],7,0),"")</f>
        <v/>
      </c>
      <c r="I938" s="138" t="str">
        <f>+IFERROR(VLOOKUP(D938,Conceptos_Analítica_contraloría[#All],2,0),"")</f>
        <v/>
      </c>
      <c r="J938" s="138" t="str">
        <f>+IFERROR(VLOOKUP(D938,Conceptos_Analítica_contraloría[#All],3,0),"")</f>
        <v/>
      </c>
    </row>
    <row r="939" spans="3:10" x14ac:dyDescent="0.35">
      <c r="C939" s="144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s="138" t="str">
        <f>+IFERROR(VLOOKUP(Fact_Analitica[[#This Row],[Concepto Anterior]],Conceptos_Analítica_contraloría[#All],5,0),"")</f>
        <v/>
      </c>
      <c r="F939" s="138" t="str">
        <f>+IFERROR(VLOOKUP(Fact_Analitica[[#This Row],[Concepto Anterior]],Conceptos_Analítica_contraloría[#All],7,0),"")</f>
        <v/>
      </c>
      <c r="I939" s="138" t="str">
        <f>+IFERROR(VLOOKUP(D939,Conceptos_Analítica_contraloría[#All],2,0),"")</f>
        <v/>
      </c>
      <c r="J939" s="138" t="str">
        <f>+IFERROR(VLOOKUP(D939,Conceptos_Analítica_contraloría[#All],3,0),"")</f>
        <v/>
      </c>
    </row>
    <row r="940" spans="3:10" x14ac:dyDescent="0.35">
      <c r="C940" s="144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s="138" t="str">
        <f>+IFERROR(VLOOKUP(Fact_Analitica[[#This Row],[Concepto Anterior]],Conceptos_Analítica_contraloría[#All],5,0),"")</f>
        <v/>
      </c>
      <c r="F940" s="138" t="str">
        <f>+IFERROR(VLOOKUP(Fact_Analitica[[#This Row],[Concepto Anterior]],Conceptos_Analítica_contraloría[#All],7,0),"")</f>
        <v/>
      </c>
      <c r="I940" s="138" t="str">
        <f>+IFERROR(VLOOKUP(D940,Conceptos_Analítica_contraloría[#All],2,0),"")</f>
        <v/>
      </c>
      <c r="J940" s="138" t="str">
        <f>+IFERROR(VLOOKUP(D940,Conceptos_Analítica_contraloría[#All],3,0),"")</f>
        <v/>
      </c>
    </row>
    <row r="941" spans="3:10" x14ac:dyDescent="0.35">
      <c r="C941" s="144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s="138" t="str">
        <f>+IFERROR(VLOOKUP(Fact_Analitica[[#This Row],[Concepto Anterior]],Conceptos_Analítica_contraloría[#All],5,0),"")</f>
        <v/>
      </c>
      <c r="F941" s="138" t="str">
        <f>+IFERROR(VLOOKUP(Fact_Analitica[[#This Row],[Concepto Anterior]],Conceptos_Analítica_contraloría[#All],7,0),"")</f>
        <v/>
      </c>
      <c r="I941" s="138" t="str">
        <f>+IFERROR(VLOOKUP(D941,Conceptos_Analítica_contraloría[#All],2,0),"")</f>
        <v/>
      </c>
      <c r="J941" s="138" t="str">
        <f>+IFERROR(VLOOKUP(D941,Conceptos_Analítica_contraloría[#All],3,0),"")</f>
        <v/>
      </c>
    </row>
    <row r="942" spans="3:10" x14ac:dyDescent="0.35">
      <c r="C942" s="144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s="138" t="str">
        <f>+IFERROR(VLOOKUP(Fact_Analitica[[#This Row],[Concepto Anterior]],Conceptos_Analítica_contraloría[#All],5,0),"")</f>
        <v/>
      </c>
      <c r="F942" s="138" t="str">
        <f>+IFERROR(VLOOKUP(Fact_Analitica[[#This Row],[Concepto Anterior]],Conceptos_Analítica_contraloría[#All],7,0),"")</f>
        <v/>
      </c>
      <c r="I942" s="138" t="str">
        <f>+IFERROR(VLOOKUP(D942,Conceptos_Analítica_contraloría[#All],2,0),"")</f>
        <v/>
      </c>
      <c r="J942" s="138" t="str">
        <f>+IFERROR(VLOOKUP(D942,Conceptos_Analítica_contraloría[#All],3,0),"")</f>
        <v/>
      </c>
    </row>
    <row r="943" spans="3:10" x14ac:dyDescent="0.35">
      <c r="C943" s="144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s="138" t="str">
        <f>+IFERROR(VLOOKUP(Fact_Analitica[[#This Row],[Concepto Anterior]],Conceptos_Analítica_contraloría[#All],5,0),"")</f>
        <v/>
      </c>
      <c r="F943" s="138" t="str">
        <f>+IFERROR(VLOOKUP(Fact_Analitica[[#This Row],[Concepto Anterior]],Conceptos_Analítica_contraloría[#All],7,0),"")</f>
        <v/>
      </c>
      <c r="I943" s="138" t="str">
        <f>+IFERROR(VLOOKUP(D943,Conceptos_Analítica_contraloría[#All],2,0),"")</f>
        <v/>
      </c>
      <c r="J943" s="138" t="str">
        <f>+IFERROR(VLOOKUP(D943,Conceptos_Analítica_contraloría[#All],3,0),"")</f>
        <v/>
      </c>
    </row>
    <row r="944" spans="3:10" x14ac:dyDescent="0.35">
      <c r="C944" s="144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s="138" t="str">
        <f>+IFERROR(VLOOKUP(Fact_Analitica[[#This Row],[Concepto Anterior]],Conceptos_Analítica_contraloría[#All],5,0),"")</f>
        <v/>
      </c>
      <c r="F944" s="138" t="str">
        <f>+IFERROR(VLOOKUP(Fact_Analitica[[#This Row],[Concepto Anterior]],Conceptos_Analítica_contraloría[#All],7,0),"")</f>
        <v/>
      </c>
      <c r="I944" s="138" t="str">
        <f>+IFERROR(VLOOKUP(D944,Conceptos_Analítica_contraloría[#All],2,0),"")</f>
        <v/>
      </c>
      <c r="J944" s="138" t="str">
        <f>+IFERROR(VLOOKUP(D944,Conceptos_Analítica_contraloría[#All],3,0),"")</f>
        <v/>
      </c>
    </row>
    <row r="945" spans="3:10" x14ac:dyDescent="0.35">
      <c r="C945" s="144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s="138" t="str">
        <f>+IFERROR(VLOOKUP(Fact_Analitica[[#This Row],[Concepto Anterior]],Conceptos_Analítica_contraloría[#All],5,0),"")</f>
        <v/>
      </c>
      <c r="F945" s="138" t="str">
        <f>+IFERROR(VLOOKUP(Fact_Analitica[[#This Row],[Concepto Anterior]],Conceptos_Analítica_contraloría[#All],7,0),"")</f>
        <v/>
      </c>
      <c r="I945" s="138" t="str">
        <f>+IFERROR(VLOOKUP(D945,Conceptos_Analítica_contraloría[#All],2,0),"")</f>
        <v/>
      </c>
      <c r="J945" s="138" t="str">
        <f>+IFERROR(VLOOKUP(D945,Conceptos_Analítica_contraloría[#All],3,0),"")</f>
        <v/>
      </c>
    </row>
    <row r="946" spans="3:10" x14ac:dyDescent="0.35">
      <c r="C946" s="144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s="138" t="str">
        <f>+IFERROR(VLOOKUP(Fact_Analitica[[#This Row],[Concepto Anterior]],Conceptos_Analítica_contraloría[#All],5,0),"")</f>
        <v/>
      </c>
      <c r="F946" s="138" t="str">
        <f>+IFERROR(VLOOKUP(Fact_Analitica[[#This Row],[Concepto Anterior]],Conceptos_Analítica_contraloría[#All],7,0),"")</f>
        <v/>
      </c>
      <c r="I946" s="138" t="str">
        <f>+IFERROR(VLOOKUP(D946,Conceptos_Analítica_contraloría[#All],2,0),"")</f>
        <v/>
      </c>
      <c r="J946" s="138" t="str">
        <f>+IFERROR(VLOOKUP(D946,Conceptos_Analítica_contraloría[#All],3,0),"")</f>
        <v/>
      </c>
    </row>
    <row r="947" spans="3:10" x14ac:dyDescent="0.35">
      <c r="C947" s="144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s="138" t="str">
        <f>+IFERROR(VLOOKUP(Fact_Analitica[[#This Row],[Concepto Anterior]],Conceptos_Analítica_contraloría[#All],5,0),"")</f>
        <v/>
      </c>
      <c r="F947" s="138" t="str">
        <f>+IFERROR(VLOOKUP(Fact_Analitica[[#This Row],[Concepto Anterior]],Conceptos_Analítica_contraloría[#All],7,0),"")</f>
        <v/>
      </c>
      <c r="I947" s="138" t="str">
        <f>+IFERROR(VLOOKUP(D947,Conceptos_Analítica_contraloría[#All],2,0),"")</f>
        <v/>
      </c>
      <c r="J947" s="138" t="str">
        <f>+IFERROR(VLOOKUP(D947,Conceptos_Analítica_contraloría[#All],3,0),"")</f>
        <v/>
      </c>
    </row>
    <row r="948" spans="3:10" x14ac:dyDescent="0.35">
      <c r="C948" s="144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s="138" t="str">
        <f>+IFERROR(VLOOKUP(Fact_Analitica[[#This Row],[Concepto Anterior]],Conceptos_Analítica_contraloría[#All],5,0),"")</f>
        <v/>
      </c>
      <c r="F948" s="138" t="str">
        <f>+IFERROR(VLOOKUP(Fact_Analitica[[#This Row],[Concepto Anterior]],Conceptos_Analítica_contraloría[#All],7,0),"")</f>
        <v/>
      </c>
      <c r="I948" s="138" t="str">
        <f>+IFERROR(VLOOKUP(D948,Conceptos_Analítica_contraloría[#All],2,0),"")</f>
        <v/>
      </c>
      <c r="J948" s="138" t="str">
        <f>+IFERROR(VLOOKUP(D948,Conceptos_Analítica_contraloría[#All],3,0),"")</f>
        <v/>
      </c>
    </row>
    <row r="949" spans="3:10" x14ac:dyDescent="0.35">
      <c r="C949" s="144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s="138" t="str">
        <f>+IFERROR(VLOOKUP(Fact_Analitica[[#This Row],[Concepto Anterior]],Conceptos_Analítica_contraloría[#All],5,0),"")</f>
        <v/>
      </c>
      <c r="F949" s="138" t="str">
        <f>+IFERROR(VLOOKUP(Fact_Analitica[[#This Row],[Concepto Anterior]],Conceptos_Analítica_contraloría[#All],7,0),"")</f>
        <v/>
      </c>
      <c r="I949" s="138" t="str">
        <f>+IFERROR(VLOOKUP(D949,Conceptos_Analítica_contraloría[#All],2,0),"")</f>
        <v/>
      </c>
      <c r="J949" s="138" t="str">
        <f>+IFERROR(VLOOKUP(D949,Conceptos_Analítica_contraloría[#All],3,0),"")</f>
        <v/>
      </c>
    </row>
    <row r="950" spans="3:10" x14ac:dyDescent="0.35">
      <c r="C950" s="144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s="138" t="str">
        <f>+IFERROR(VLOOKUP(Fact_Analitica[[#This Row],[Concepto Anterior]],Conceptos_Analítica_contraloría[#All],5,0),"")</f>
        <v/>
      </c>
      <c r="F950" s="138" t="str">
        <f>+IFERROR(VLOOKUP(Fact_Analitica[[#This Row],[Concepto Anterior]],Conceptos_Analítica_contraloría[#All],7,0),"")</f>
        <v/>
      </c>
      <c r="I950" s="138" t="str">
        <f>+IFERROR(VLOOKUP(D950,Conceptos_Analítica_contraloría[#All],2,0),"")</f>
        <v/>
      </c>
      <c r="J950" s="138" t="str">
        <f>+IFERROR(VLOOKUP(D950,Conceptos_Analítica_contraloría[#All],3,0),"")</f>
        <v/>
      </c>
    </row>
    <row r="951" spans="3:10" x14ac:dyDescent="0.35">
      <c r="C951" s="144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s="138" t="str">
        <f>+IFERROR(VLOOKUP(Fact_Analitica[[#This Row],[Concepto Anterior]],Conceptos_Analítica_contraloría[#All],5,0),"")</f>
        <v/>
      </c>
      <c r="F951" s="138" t="str">
        <f>+IFERROR(VLOOKUP(Fact_Analitica[[#This Row],[Concepto Anterior]],Conceptos_Analítica_contraloría[#All],7,0),"")</f>
        <v/>
      </c>
      <c r="I951" s="138" t="str">
        <f>+IFERROR(VLOOKUP(D951,Conceptos_Analítica_contraloría[#All],2,0),"")</f>
        <v/>
      </c>
      <c r="J951" s="138" t="str">
        <f>+IFERROR(VLOOKUP(D951,Conceptos_Analítica_contraloría[#All],3,0),"")</f>
        <v/>
      </c>
    </row>
    <row r="952" spans="3:10" x14ac:dyDescent="0.35">
      <c r="C952" s="144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s="138" t="str">
        <f>+IFERROR(VLOOKUP(Fact_Analitica[[#This Row],[Concepto Anterior]],Conceptos_Analítica_contraloría[#All],5,0),"")</f>
        <v/>
      </c>
      <c r="F952" s="138" t="str">
        <f>+IFERROR(VLOOKUP(Fact_Analitica[[#This Row],[Concepto Anterior]],Conceptos_Analítica_contraloría[#All],7,0),"")</f>
        <v/>
      </c>
      <c r="I952" s="138" t="str">
        <f>+IFERROR(VLOOKUP(D952,Conceptos_Analítica_contraloría[#All],2,0),"")</f>
        <v/>
      </c>
      <c r="J952" s="138" t="str">
        <f>+IFERROR(VLOOKUP(D952,Conceptos_Analítica_contraloría[#All],3,0),"")</f>
        <v/>
      </c>
    </row>
    <row r="953" spans="3:10" x14ac:dyDescent="0.35">
      <c r="C953" s="144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s="138" t="str">
        <f>+IFERROR(VLOOKUP(Fact_Analitica[[#This Row],[Concepto Anterior]],Conceptos_Analítica_contraloría[#All],5,0),"")</f>
        <v/>
      </c>
      <c r="F953" s="138" t="str">
        <f>+IFERROR(VLOOKUP(Fact_Analitica[[#This Row],[Concepto Anterior]],Conceptos_Analítica_contraloría[#All],7,0),"")</f>
        <v/>
      </c>
      <c r="I953" s="138" t="str">
        <f>+IFERROR(VLOOKUP(D953,Conceptos_Analítica_contraloría[#All],2,0),"")</f>
        <v/>
      </c>
      <c r="J953" s="138" t="str">
        <f>+IFERROR(VLOOKUP(D953,Conceptos_Analítica_contraloría[#All],3,0),"")</f>
        <v/>
      </c>
    </row>
    <row r="954" spans="3:10" x14ac:dyDescent="0.35">
      <c r="C954" s="144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s="138" t="str">
        <f>+IFERROR(VLOOKUP(Fact_Analitica[[#This Row],[Concepto Anterior]],Conceptos_Analítica_contraloría[#All],5,0),"")</f>
        <v/>
      </c>
      <c r="F954" s="138" t="str">
        <f>+IFERROR(VLOOKUP(Fact_Analitica[[#This Row],[Concepto Anterior]],Conceptos_Analítica_contraloría[#All],7,0),"")</f>
        <v/>
      </c>
      <c r="I954" s="138" t="str">
        <f>+IFERROR(VLOOKUP(D954,Conceptos_Analítica_contraloría[#All],2,0),"")</f>
        <v/>
      </c>
      <c r="J954" s="138" t="str">
        <f>+IFERROR(VLOOKUP(D954,Conceptos_Analítica_contraloría[#All],3,0),"")</f>
        <v/>
      </c>
    </row>
    <row r="955" spans="3:10" x14ac:dyDescent="0.35">
      <c r="C955" s="144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s="138" t="str">
        <f>+IFERROR(VLOOKUP(Fact_Analitica[[#This Row],[Concepto Anterior]],Conceptos_Analítica_contraloría[#All],5,0),"")</f>
        <v/>
      </c>
      <c r="F955" s="138" t="str">
        <f>+IFERROR(VLOOKUP(Fact_Analitica[[#This Row],[Concepto Anterior]],Conceptos_Analítica_contraloría[#All],7,0),"")</f>
        <v/>
      </c>
      <c r="I955" s="138" t="str">
        <f>+IFERROR(VLOOKUP(D955,Conceptos_Analítica_contraloría[#All],2,0),"")</f>
        <v/>
      </c>
      <c r="J955" s="138" t="str">
        <f>+IFERROR(VLOOKUP(D955,Conceptos_Analítica_contraloría[#All],3,0),"")</f>
        <v/>
      </c>
    </row>
    <row r="956" spans="3:10" x14ac:dyDescent="0.35">
      <c r="C956" s="144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s="138" t="str">
        <f>+IFERROR(VLOOKUP(Fact_Analitica[[#This Row],[Concepto Anterior]],Conceptos_Analítica_contraloría[#All],5,0),"")</f>
        <v/>
      </c>
      <c r="F956" s="138" t="str">
        <f>+IFERROR(VLOOKUP(Fact_Analitica[[#This Row],[Concepto Anterior]],Conceptos_Analítica_contraloría[#All],7,0),"")</f>
        <v/>
      </c>
      <c r="I956" s="138" t="str">
        <f>+IFERROR(VLOOKUP(D956,Conceptos_Analítica_contraloría[#All],2,0),"")</f>
        <v/>
      </c>
      <c r="J956" s="138" t="str">
        <f>+IFERROR(VLOOKUP(D956,Conceptos_Analítica_contraloría[#All],3,0),"")</f>
        <v/>
      </c>
    </row>
    <row r="957" spans="3:10" x14ac:dyDescent="0.35">
      <c r="C957" s="144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s="138" t="str">
        <f>+IFERROR(VLOOKUP(Fact_Analitica[[#This Row],[Concepto Anterior]],Conceptos_Analítica_contraloría[#All],5,0),"")</f>
        <v/>
      </c>
      <c r="F957" s="138" t="str">
        <f>+IFERROR(VLOOKUP(Fact_Analitica[[#This Row],[Concepto Anterior]],Conceptos_Analítica_contraloría[#All],7,0),"")</f>
        <v/>
      </c>
      <c r="I957" s="138" t="str">
        <f>+IFERROR(VLOOKUP(D957,Conceptos_Analítica_contraloría[#All],2,0),"")</f>
        <v/>
      </c>
      <c r="J957" s="138" t="str">
        <f>+IFERROR(VLOOKUP(D957,Conceptos_Analítica_contraloría[#All],3,0),"")</f>
        <v/>
      </c>
    </row>
    <row r="958" spans="3:10" x14ac:dyDescent="0.35">
      <c r="C958" s="144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s="138" t="str">
        <f>+IFERROR(VLOOKUP(Fact_Analitica[[#This Row],[Concepto Anterior]],Conceptos_Analítica_contraloría[#All],5,0),"")</f>
        <v/>
      </c>
      <c r="F958" s="138" t="str">
        <f>+IFERROR(VLOOKUP(Fact_Analitica[[#This Row],[Concepto Anterior]],Conceptos_Analítica_contraloría[#All],7,0),"")</f>
        <v/>
      </c>
      <c r="I958" s="138" t="str">
        <f>+IFERROR(VLOOKUP(D958,Conceptos_Analítica_contraloría[#All],2,0),"")</f>
        <v/>
      </c>
      <c r="J958" s="138" t="str">
        <f>+IFERROR(VLOOKUP(D958,Conceptos_Analítica_contraloría[#All],3,0),"")</f>
        <v/>
      </c>
    </row>
    <row r="959" spans="3:10" x14ac:dyDescent="0.35">
      <c r="C959" s="144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s="138" t="str">
        <f>+IFERROR(VLOOKUP(Fact_Analitica[[#This Row],[Concepto Anterior]],Conceptos_Analítica_contraloría[#All],5,0),"")</f>
        <v/>
      </c>
      <c r="F959" s="138" t="str">
        <f>+IFERROR(VLOOKUP(Fact_Analitica[[#This Row],[Concepto Anterior]],Conceptos_Analítica_contraloría[#All],7,0),"")</f>
        <v/>
      </c>
      <c r="I959" s="138" t="str">
        <f>+IFERROR(VLOOKUP(D959,Conceptos_Analítica_contraloría[#All],2,0),"")</f>
        <v/>
      </c>
      <c r="J959" s="138" t="str">
        <f>+IFERROR(VLOOKUP(D959,Conceptos_Analítica_contraloría[#All],3,0),"")</f>
        <v/>
      </c>
    </row>
    <row r="960" spans="3:10" x14ac:dyDescent="0.35">
      <c r="C960" s="144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s="138" t="str">
        <f>+IFERROR(VLOOKUP(Fact_Analitica[[#This Row],[Concepto Anterior]],Conceptos_Analítica_contraloría[#All],5,0),"")</f>
        <v/>
      </c>
      <c r="F960" s="138" t="str">
        <f>+IFERROR(VLOOKUP(Fact_Analitica[[#This Row],[Concepto Anterior]],Conceptos_Analítica_contraloría[#All],7,0),"")</f>
        <v/>
      </c>
      <c r="I960" s="138" t="str">
        <f>+IFERROR(VLOOKUP(D960,Conceptos_Analítica_contraloría[#All],2,0),"")</f>
        <v/>
      </c>
      <c r="J960" s="138" t="str">
        <f>+IFERROR(VLOOKUP(D960,Conceptos_Analítica_contraloría[#All],3,0),"")</f>
        <v/>
      </c>
    </row>
    <row r="961" spans="3:10" x14ac:dyDescent="0.35">
      <c r="C961" s="144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s="138" t="str">
        <f>+IFERROR(VLOOKUP(Fact_Analitica[[#This Row],[Concepto Anterior]],Conceptos_Analítica_contraloría[#All],5,0),"")</f>
        <v/>
      </c>
      <c r="F961" s="138" t="str">
        <f>+IFERROR(VLOOKUP(Fact_Analitica[[#This Row],[Concepto Anterior]],Conceptos_Analítica_contraloría[#All],7,0),"")</f>
        <v/>
      </c>
      <c r="I961" s="138" t="str">
        <f>+IFERROR(VLOOKUP(D961,Conceptos_Analítica_contraloría[#All],2,0),"")</f>
        <v/>
      </c>
      <c r="J961" s="138" t="str">
        <f>+IFERROR(VLOOKUP(D961,Conceptos_Analítica_contraloría[#All],3,0),"")</f>
        <v/>
      </c>
    </row>
    <row r="962" spans="3:10" x14ac:dyDescent="0.35">
      <c r="C962" s="144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s="138" t="str">
        <f>+IFERROR(VLOOKUP(Fact_Analitica[[#This Row],[Concepto Anterior]],Conceptos_Analítica_contraloría[#All],5,0),"")</f>
        <v/>
      </c>
      <c r="F962" s="138" t="str">
        <f>+IFERROR(VLOOKUP(Fact_Analitica[[#This Row],[Concepto Anterior]],Conceptos_Analítica_contraloría[#All],7,0),"")</f>
        <v/>
      </c>
      <c r="I962" s="138" t="str">
        <f>+IFERROR(VLOOKUP(D962,Conceptos_Analítica_contraloría[#All],2,0),"")</f>
        <v/>
      </c>
      <c r="J962" s="138" t="str">
        <f>+IFERROR(VLOOKUP(D962,Conceptos_Analítica_contraloría[#All],3,0),"")</f>
        <v/>
      </c>
    </row>
    <row r="963" spans="3:10" x14ac:dyDescent="0.35">
      <c r="C963" s="144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s="138" t="str">
        <f>+IFERROR(VLOOKUP(Fact_Analitica[[#This Row],[Concepto Anterior]],Conceptos_Analítica_contraloría[#All],5,0),"")</f>
        <v/>
      </c>
      <c r="F963" s="138" t="str">
        <f>+IFERROR(VLOOKUP(Fact_Analitica[[#This Row],[Concepto Anterior]],Conceptos_Analítica_contraloría[#All],7,0),"")</f>
        <v/>
      </c>
      <c r="I963" s="138" t="str">
        <f>+IFERROR(VLOOKUP(D963,Conceptos_Analítica_contraloría[#All],2,0),"")</f>
        <v/>
      </c>
      <c r="J963" s="138" t="str">
        <f>+IFERROR(VLOOKUP(D963,Conceptos_Analítica_contraloría[#All],3,0),"")</f>
        <v/>
      </c>
    </row>
    <row r="964" spans="3:10" x14ac:dyDescent="0.35">
      <c r="C964" s="144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s="138" t="str">
        <f>+IFERROR(VLOOKUP(Fact_Analitica[[#This Row],[Concepto Anterior]],Conceptos_Analítica_contraloría[#All],5,0),"")</f>
        <v/>
      </c>
      <c r="F964" s="138" t="str">
        <f>+IFERROR(VLOOKUP(Fact_Analitica[[#This Row],[Concepto Anterior]],Conceptos_Analítica_contraloría[#All],7,0),"")</f>
        <v/>
      </c>
      <c r="I964" s="138" t="str">
        <f>+IFERROR(VLOOKUP(D964,Conceptos_Analítica_contraloría[#All],2,0),"")</f>
        <v/>
      </c>
      <c r="J964" s="138" t="str">
        <f>+IFERROR(VLOOKUP(D964,Conceptos_Analítica_contraloría[#All],3,0),"")</f>
        <v/>
      </c>
    </row>
    <row r="965" spans="3:10" x14ac:dyDescent="0.35">
      <c r="C965" s="144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s="138" t="str">
        <f>+IFERROR(VLOOKUP(Fact_Analitica[[#This Row],[Concepto Anterior]],Conceptos_Analítica_contraloría[#All],5,0),"")</f>
        <v/>
      </c>
      <c r="F965" s="138" t="str">
        <f>+IFERROR(VLOOKUP(Fact_Analitica[[#This Row],[Concepto Anterior]],Conceptos_Analítica_contraloría[#All],7,0),"")</f>
        <v/>
      </c>
      <c r="I965" s="138" t="str">
        <f>+IFERROR(VLOOKUP(D965,Conceptos_Analítica_contraloría[#All],2,0),"")</f>
        <v/>
      </c>
      <c r="J965" s="138" t="str">
        <f>+IFERROR(VLOOKUP(D965,Conceptos_Analítica_contraloría[#All],3,0),"")</f>
        <v/>
      </c>
    </row>
    <row r="966" spans="3:10" x14ac:dyDescent="0.35">
      <c r="C966" s="144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s="138" t="str">
        <f>+IFERROR(VLOOKUP(Fact_Analitica[[#This Row],[Concepto Anterior]],Conceptos_Analítica_contraloría[#All],5,0),"")</f>
        <v/>
      </c>
      <c r="F966" s="138" t="str">
        <f>+IFERROR(VLOOKUP(Fact_Analitica[[#This Row],[Concepto Anterior]],Conceptos_Analítica_contraloría[#All],7,0),"")</f>
        <v/>
      </c>
      <c r="I966" s="138" t="str">
        <f>+IFERROR(VLOOKUP(D966,Conceptos_Analítica_contraloría[#All],2,0),"")</f>
        <v/>
      </c>
      <c r="J966" s="138" t="str">
        <f>+IFERROR(VLOOKUP(D966,Conceptos_Analítica_contraloría[#All],3,0),"")</f>
        <v/>
      </c>
    </row>
    <row r="967" spans="3:10" x14ac:dyDescent="0.35">
      <c r="C967" s="144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s="138" t="str">
        <f>+IFERROR(VLOOKUP(Fact_Analitica[[#This Row],[Concepto Anterior]],Conceptos_Analítica_contraloría[#All],5,0),"")</f>
        <v/>
      </c>
      <c r="F967" s="138" t="str">
        <f>+IFERROR(VLOOKUP(Fact_Analitica[[#This Row],[Concepto Anterior]],Conceptos_Analítica_contraloría[#All],7,0),"")</f>
        <v/>
      </c>
      <c r="I967" s="138" t="str">
        <f>+IFERROR(VLOOKUP(D967,Conceptos_Analítica_contraloría[#All],2,0),"")</f>
        <v/>
      </c>
      <c r="J967" s="138" t="str">
        <f>+IFERROR(VLOOKUP(D967,Conceptos_Analítica_contraloría[#All],3,0),"")</f>
        <v/>
      </c>
    </row>
    <row r="968" spans="3:10" x14ac:dyDescent="0.35">
      <c r="C968" s="144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s="138" t="str">
        <f>+IFERROR(VLOOKUP(Fact_Analitica[[#This Row],[Concepto Anterior]],Conceptos_Analítica_contraloría[#All],5,0),"")</f>
        <v/>
      </c>
      <c r="F968" s="138" t="str">
        <f>+IFERROR(VLOOKUP(Fact_Analitica[[#This Row],[Concepto Anterior]],Conceptos_Analítica_contraloría[#All],7,0),"")</f>
        <v/>
      </c>
      <c r="I968" s="138" t="str">
        <f>+IFERROR(VLOOKUP(D968,Conceptos_Analítica_contraloría[#All],2,0),"")</f>
        <v/>
      </c>
      <c r="J968" s="138" t="str">
        <f>+IFERROR(VLOOKUP(D968,Conceptos_Analítica_contraloría[#All],3,0),"")</f>
        <v/>
      </c>
    </row>
    <row r="969" spans="3:10" x14ac:dyDescent="0.35">
      <c r="C969" s="144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s="138" t="str">
        <f>+IFERROR(VLOOKUP(Fact_Analitica[[#This Row],[Concepto Anterior]],Conceptos_Analítica_contraloría[#All],5,0),"")</f>
        <v/>
      </c>
      <c r="F969" s="138" t="str">
        <f>+IFERROR(VLOOKUP(Fact_Analitica[[#This Row],[Concepto Anterior]],Conceptos_Analítica_contraloría[#All],7,0),"")</f>
        <v/>
      </c>
      <c r="I969" s="138" t="str">
        <f>+IFERROR(VLOOKUP(D969,Conceptos_Analítica_contraloría[#All],2,0),"")</f>
        <v/>
      </c>
      <c r="J969" s="138" t="str">
        <f>+IFERROR(VLOOKUP(D969,Conceptos_Analítica_contraloría[#All],3,0),"")</f>
        <v/>
      </c>
    </row>
    <row r="970" spans="3:10" x14ac:dyDescent="0.35">
      <c r="C970" s="144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s="138" t="str">
        <f>+IFERROR(VLOOKUP(Fact_Analitica[[#This Row],[Concepto Anterior]],Conceptos_Analítica_contraloría[#All],5,0),"")</f>
        <v/>
      </c>
      <c r="F970" s="138" t="str">
        <f>+IFERROR(VLOOKUP(Fact_Analitica[[#This Row],[Concepto Anterior]],Conceptos_Analítica_contraloría[#All],7,0),"")</f>
        <v/>
      </c>
      <c r="I970" s="138" t="str">
        <f>+IFERROR(VLOOKUP(D970,Conceptos_Analítica_contraloría[#All],2,0),"")</f>
        <v/>
      </c>
      <c r="J970" s="138" t="str">
        <f>+IFERROR(VLOOKUP(D970,Conceptos_Analítica_contraloría[#All],3,0),"")</f>
        <v/>
      </c>
    </row>
    <row r="971" spans="3:10" x14ac:dyDescent="0.35">
      <c r="C971" s="144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s="138" t="str">
        <f>+IFERROR(VLOOKUP(Fact_Analitica[[#This Row],[Concepto Anterior]],Conceptos_Analítica_contraloría[#All],5,0),"")</f>
        <v/>
      </c>
      <c r="F971" s="138" t="str">
        <f>+IFERROR(VLOOKUP(Fact_Analitica[[#This Row],[Concepto Anterior]],Conceptos_Analítica_contraloría[#All],7,0),"")</f>
        <v/>
      </c>
      <c r="I971" s="138" t="str">
        <f>+IFERROR(VLOOKUP(D971,Conceptos_Analítica_contraloría[#All],2,0),"")</f>
        <v/>
      </c>
      <c r="J971" s="138" t="str">
        <f>+IFERROR(VLOOKUP(D971,Conceptos_Analítica_contraloría[#All],3,0),"")</f>
        <v/>
      </c>
    </row>
    <row r="972" spans="3:10" x14ac:dyDescent="0.35">
      <c r="C972" s="144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s="138" t="str">
        <f>+IFERROR(VLOOKUP(Fact_Analitica[[#This Row],[Concepto Anterior]],Conceptos_Analítica_contraloría[#All],5,0),"")</f>
        <v/>
      </c>
      <c r="F972" s="138" t="str">
        <f>+IFERROR(VLOOKUP(Fact_Analitica[[#This Row],[Concepto Anterior]],Conceptos_Analítica_contraloría[#All],7,0),"")</f>
        <v/>
      </c>
      <c r="I972" s="138" t="str">
        <f>+IFERROR(VLOOKUP(D972,Conceptos_Analítica_contraloría[#All],2,0),"")</f>
        <v/>
      </c>
      <c r="J972" s="138" t="str">
        <f>+IFERROR(VLOOKUP(D972,Conceptos_Analítica_contraloría[#All],3,0),"")</f>
        <v/>
      </c>
    </row>
    <row r="973" spans="3:10" x14ac:dyDescent="0.35">
      <c r="C973" s="144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s="138" t="str">
        <f>+IFERROR(VLOOKUP(Fact_Analitica[[#This Row],[Concepto Anterior]],Conceptos_Analítica_contraloría[#All],5,0),"")</f>
        <v/>
      </c>
      <c r="F973" s="138" t="str">
        <f>+IFERROR(VLOOKUP(Fact_Analitica[[#This Row],[Concepto Anterior]],Conceptos_Analítica_contraloría[#All],7,0),"")</f>
        <v/>
      </c>
      <c r="I973" s="138" t="str">
        <f>+IFERROR(VLOOKUP(D973,Conceptos_Analítica_contraloría[#All],2,0),"")</f>
        <v/>
      </c>
      <c r="J973" s="138" t="str">
        <f>+IFERROR(VLOOKUP(D973,Conceptos_Analítica_contraloría[#All],3,0),"")</f>
        <v/>
      </c>
    </row>
    <row r="974" spans="3:10" x14ac:dyDescent="0.35">
      <c r="C974" s="144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s="138" t="str">
        <f>+IFERROR(VLOOKUP(Fact_Analitica[[#This Row],[Concepto Anterior]],Conceptos_Analítica_contraloría[#All],5,0),"")</f>
        <v/>
      </c>
      <c r="F974" s="138" t="str">
        <f>+IFERROR(VLOOKUP(Fact_Analitica[[#This Row],[Concepto Anterior]],Conceptos_Analítica_contraloría[#All],7,0),"")</f>
        <v/>
      </c>
      <c r="I974" s="138" t="str">
        <f>+IFERROR(VLOOKUP(D974,Conceptos_Analítica_contraloría[#All],2,0),"")</f>
        <v/>
      </c>
      <c r="J974" s="138" t="str">
        <f>+IFERROR(VLOOKUP(D974,Conceptos_Analítica_contraloría[#All],3,0),"")</f>
        <v/>
      </c>
    </row>
    <row r="975" spans="3:10" x14ac:dyDescent="0.35">
      <c r="C975" s="144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s="138" t="str">
        <f>+IFERROR(VLOOKUP(Fact_Analitica[[#This Row],[Concepto Anterior]],Conceptos_Analítica_contraloría[#All],5,0),"")</f>
        <v/>
      </c>
      <c r="F975" s="138" t="str">
        <f>+IFERROR(VLOOKUP(Fact_Analitica[[#This Row],[Concepto Anterior]],Conceptos_Analítica_contraloría[#All],7,0),"")</f>
        <v/>
      </c>
      <c r="I975" s="138" t="str">
        <f>+IFERROR(VLOOKUP(D975,Conceptos_Analítica_contraloría[#All],2,0),"")</f>
        <v/>
      </c>
      <c r="J975" s="138" t="str">
        <f>+IFERROR(VLOOKUP(D975,Conceptos_Analítica_contraloría[#All],3,0),"")</f>
        <v/>
      </c>
    </row>
    <row r="976" spans="3:10" x14ac:dyDescent="0.35">
      <c r="C976" s="144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s="138" t="str">
        <f>+IFERROR(VLOOKUP(Fact_Analitica[[#This Row],[Concepto Anterior]],Conceptos_Analítica_contraloría[#All],5,0),"")</f>
        <v/>
      </c>
      <c r="F976" s="138" t="str">
        <f>+IFERROR(VLOOKUP(Fact_Analitica[[#This Row],[Concepto Anterior]],Conceptos_Analítica_contraloría[#All],7,0),"")</f>
        <v/>
      </c>
      <c r="I976" s="138" t="str">
        <f>+IFERROR(VLOOKUP(D976,Conceptos_Analítica_contraloría[#All],2,0),"")</f>
        <v/>
      </c>
      <c r="J976" s="138" t="str">
        <f>+IFERROR(VLOOKUP(D976,Conceptos_Analítica_contraloría[#All],3,0),"")</f>
        <v/>
      </c>
    </row>
    <row r="977" spans="3:10" x14ac:dyDescent="0.35">
      <c r="C977" s="144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s="138" t="str">
        <f>+IFERROR(VLOOKUP(Fact_Analitica[[#This Row],[Concepto Anterior]],Conceptos_Analítica_contraloría[#All],5,0),"")</f>
        <v/>
      </c>
      <c r="F977" s="138" t="str">
        <f>+IFERROR(VLOOKUP(Fact_Analitica[[#This Row],[Concepto Anterior]],Conceptos_Analítica_contraloría[#All],7,0),"")</f>
        <v/>
      </c>
      <c r="I977" s="138" t="str">
        <f>+IFERROR(VLOOKUP(D977,Conceptos_Analítica_contraloría[#All],2,0),"")</f>
        <v/>
      </c>
      <c r="J977" s="138" t="str">
        <f>+IFERROR(VLOOKUP(D977,Conceptos_Analítica_contraloría[#All],3,0),"")</f>
        <v/>
      </c>
    </row>
    <row r="978" spans="3:10" x14ac:dyDescent="0.35">
      <c r="C978" s="144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s="138" t="str">
        <f>+IFERROR(VLOOKUP(Fact_Analitica[[#This Row],[Concepto Anterior]],Conceptos_Analítica_contraloría[#All],5,0),"")</f>
        <v/>
      </c>
      <c r="F978" s="138" t="str">
        <f>+IFERROR(VLOOKUP(Fact_Analitica[[#This Row],[Concepto Anterior]],Conceptos_Analítica_contraloría[#All],7,0),"")</f>
        <v/>
      </c>
      <c r="I978" s="138" t="str">
        <f>+IFERROR(VLOOKUP(D978,Conceptos_Analítica_contraloría[#All],2,0),"")</f>
        <v/>
      </c>
      <c r="J978" s="138" t="str">
        <f>+IFERROR(VLOOKUP(D978,Conceptos_Analítica_contraloría[#All],3,0),"")</f>
        <v/>
      </c>
    </row>
    <row r="979" spans="3:10" x14ac:dyDescent="0.35">
      <c r="C979" s="144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s="138" t="str">
        <f>+IFERROR(VLOOKUP(Fact_Analitica[[#This Row],[Concepto Anterior]],Conceptos_Analítica_contraloría[#All],5,0),"")</f>
        <v/>
      </c>
      <c r="F979" s="138" t="str">
        <f>+IFERROR(VLOOKUP(Fact_Analitica[[#This Row],[Concepto Anterior]],Conceptos_Analítica_contraloría[#All],7,0),"")</f>
        <v/>
      </c>
      <c r="I979" s="138" t="str">
        <f>+IFERROR(VLOOKUP(D979,Conceptos_Analítica_contraloría[#All],2,0),"")</f>
        <v/>
      </c>
      <c r="J979" s="138" t="str">
        <f>+IFERROR(VLOOKUP(D979,Conceptos_Analítica_contraloría[#All],3,0),"")</f>
        <v/>
      </c>
    </row>
    <row r="980" spans="3:10" x14ac:dyDescent="0.35">
      <c r="C980" s="144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s="138" t="str">
        <f>+IFERROR(VLOOKUP(Fact_Analitica[[#This Row],[Concepto Anterior]],Conceptos_Analítica_contraloría[#All],5,0),"")</f>
        <v/>
      </c>
      <c r="F980" s="138" t="str">
        <f>+IFERROR(VLOOKUP(Fact_Analitica[[#This Row],[Concepto Anterior]],Conceptos_Analítica_contraloría[#All],7,0),"")</f>
        <v/>
      </c>
      <c r="I980" s="138" t="str">
        <f>+IFERROR(VLOOKUP(D980,Conceptos_Analítica_contraloría[#All],2,0),"")</f>
        <v/>
      </c>
      <c r="J980" s="138" t="str">
        <f>+IFERROR(VLOOKUP(D980,Conceptos_Analítica_contraloría[#All],3,0),"")</f>
        <v/>
      </c>
    </row>
    <row r="981" spans="3:10" x14ac:dyDescent="0.35">
      <c r="C981" s="144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s="138" t="str">
        <f>+IFERROR(VLOOKUP(Fact_Analitica[[#This Row],[Concepto Anterior]],Conceptos_Analítica_contraloría[#All],5,0),"")</f>
        <v/>
      </c>
      <c r="F981" s="138" t="str">
        <f>+IFERROR(VLOOKUP(Fact_Analitica[[#This Row],[Concepto Anterior]],Conceptos_Analítica_contraloría[#All],7,0),"")</f>
        <v/>
      </c>
      <c r="I981" s="138" t="str">
        <f>+IFERROR(VLOOKUP(D981,Conceptos_Analítica_contraloría[#All],2,0),"")</f>
        <v/>
      </c>
      <c r="J981" s="138" t="str">
        <f>+IFERROR(VLOOKUP(D981,Conceptos_Analítica_contraloría[#All],3,0),"")</f>
        <v/>
      </c>
    </row>
    <row r="982" spans="3:10" x14ac:dyDescent="0.35">
      <c r="C982" s="144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s="138" t="str">
        <f>+IFERROR(VLOOKUP(Fact_Analitica[[#This Row],[Concepto Anterior]],Conceptos_Analítica_contraloría[#All],5,0),"")</f>
        <v/>
      </c>
      <c r="F982" s="138" t="str">
        <f>+IFERROR(VLOOKUP(Fact_Analitica[[#This Row],[Concepto Anterior]],Conceptos_Analítica_contraloría[#All],7,0),"")</f>
        <v/>
      </c>
      <c r="I982" s="138" t="str">
        <f>+IFERROR(VLOOKUP(D982,Conceptos_Analítica_contraloría[#All],2,0),"")</f>
        <v/>
      </c>
      <c r="J982" s="138" t="str">
        <f>+IFERROR(VLOOKUP(D982,Conceptos_Analítica_contraloría[#All],3,0),"")</f>
        <v/>
      </c>
    </row>
    <row r="983" spans="3:10" x14ac:dyDescent="0.35">
      <c r="C983" s="144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s="138" t="str">
        <f>+IFERROR(VLOOKUP(Fact_Analitica[[#This Row],[Concepto Anterior]],Conceptos_Analítica_contraloría[#All],5,0),"")</f>
        <v/>
      </c>
      <c r="F983" s="138" t="str">
        <f>+IFERROR(VLOOKUP(Fact_Analitica[[#This Row],[Concepto Anterior]],Conceptos_Analítica_contraloría[#All],7,0),"")</f>
        <v/>
      </c>
      <c r="I983" s="138" t="str">
        <f>+IFERROR(VLOOKUP(D983,Conceptos_Analítica_contraloría[#All],2,0),"")</f>
        <v/>
      </c>
      <c r="J983" s="138" t="str">
        <f>+IFERROR(VLOOKUP(D983,Conceptos_Analítica_contraloría[#All],3,0),"")</f>
        <v/>
      </c>
    </row>
    <row r="984" spans="3:10" x14ac:dyDescent="0.35">
      <c r="C984" s="144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s="138" t="str">
        <f>+IFERROR(VLOOKUP(Fact_Analitica[[#This Row],[Concepto Anterior]],Conceptos_Analítica_contraloría[#All],5,0),"")</f>
        <v/>
      </c>
      <c r="F984" s="138" t="str">
        <f>+IFERROR(VLOOKUP(Fact_Analitica[[#This Row],[Concepto Anterior]],Conceptos_Analítica_contraloría[#All],7,0),"")</f>
        <v/>
      </c>
      <c r="I984" s="138" t="str">
        <f>+IFERROR(VLOOKUP(D984,Conceptos_Analítica_contraloría[#All],2,0),"")</f>
        <v/>
      </c>
      <c r="J984" s="138" t="str">
        <f>+IFERROR(VLOOKUP(D984,Conceptos_Analítica_contraloría[#All],3,0),"")</f>
        <v/>
      </c>
    </row>
    <row r="985" spans="3:10" x14ac:dyDescent="0.35">
      <c r="C985" s="144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s="138" t="str">
        <f>+IFERROR(VLOOKUP(Fact_Analitica[[#This Row],[Concepto Anterior]],Conceptos_Analítica_contraloría[#All],5,0),"")</f>
        <v/>
      </c>
      <c r="F985" s="138" t="str">
        <f>+IFERROR(VLOOKUP(Fact_Analitica[[#This Row],[Concepto Anterior]],Conceptos_Analítica_contraloría[#All],7,0),"")</f>
        <v/>
      </c>
      <c r="I985" s="138" t="str">
        <f>+IFERROR(VLOOKUP(D985,Conceptos_Analítica_contraloría[#All],2,0),"")</f>
        <v/>
      </c>
      <c r="J985" s="138" t="str">
        <f>+IFERROR(VLOOKUP(D985,Conceptos_Analítica_contraloría[#All],3,0),"")</f>
        <v/>
      </c>
    </row>
    <row r="986" spans="3:10" x14ac:dyDescent="0.35">
      <c r="C986" s="144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s="138" t="str">
        <f>+IFERROR(VLOOKUP(Fact_Analitica[[#This Row],[Concepto Anterior]],Conceptos_Analítica_contraloría[#All],5,0),"")</f>
        <v/>
      </c>
      <c r="F986" s="138" t="str">
        <f>+IFERROR(VLOOKUP(Fact_Analitica[[#This Row],[Concepto Anterior]],Conceptos_Analítica_contraloría[#All],7,0),"")</f>
        <v/>
      </c>
      <c r="I986" s="138" t="str">
        <f>+IFERROR(VLOOKUP(D986,Conceptos_Analítica_contraloría[#All],2,0),"")</f>
        <v/>
      </c>
      <c r="J986" s="138" t="str">
        <f>+IFERROR(VLOOKUP(D986,Conceptos_Analítica_contraloría[#All],3,0),"")</f>
        <v/>
      </c>
    </row>
    <row r="987" spans="3:10" x14ac:dyDescent="0.35">
      <c r="C987" s="144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s="138" t="str">
        <f>+IFERROR(VLOOKUP(Fact_Analitica[[#This Row],[Concepto Anterior]],Conceptos_Analítica_contraloría[#All],5,0),"")</f>
        <v/>
      </c>
      <c r="F987" s="138" t="str">
        <f>+IFERROR(VLOOKUP(Fact_Analitica[[#This Row],[Concepto Anterior]],Conceptos_Analítica_contraloría[#All],7,0),"")</f>
        <v/>
      </c>
      <c r="I987" s="138" t="str">
        <f>+IFERROR(VLOOKUP(D987,Conceptos_Analítica_contraloría[#All],2,0),"")</f>
        <v/>
      </c>
      <c r="J987" s="138" t="str">
        <f>+IFERROR(VLOOKUP(D987,Conceptos_Analítica_contraloría[#All],3,0),"")</f>
        <v/>
      </c>
    </row>
    <row r="988" spans="3:10" x14ac:dyDescent="0.35">
      <c r="C988" s="144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s="138" t="str">
        <f>+IFERROR(VLOOKUP(Fact_Analitica[[#This Row],[Concepto Anterior]],Conceptos_Analítica_contraloría[#All],5,0),"")</f>
        <v/>
      </c>
      <c r="F988" s="138" t="str">
        <f>+IFERROR(VLOOKUP(Fact_Analitica[[#This Row],[Concepto Anterior]],Conceptos_Analítica_contraloría[#All],7,0),"")</f>
        <v/>
      </c>
      <c r="I988" s="138" t="str">
        <f>+IFERROR(VLOOKUP(D988,Conceptos_Analítica_contraloría[#All],2,0),"")</f>
        <v/>
      </c>
      <c r="J988" s="138" t="str">
        <f>+IFERROR(VLOOKUP(D988,Conceptos_Analítica_contraloría[#All],3,0),"")</f>
        <v/>
      </c>
    </row>
    <row r="989" spans="3:10" x14ac:dyDescent="0.35">
      <c r="C989" s="144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s="138" t="str">
        <f>+IFERROR(VLOOKUP(Fact_Analitica[[#This Row],[Concepto Anterior]],Conceptos_Analítica_contraloría[#All],5,0),"")</f>
        <v/>
      </c>
      <c r="F989" s="138" t="str">
        <f>+IFERROR(VLOOKUP(Fact_Analitica[[#This Row],[Concepto Anterior]],Conceptos_Analítica_contraloría[#All],7,0),"")</f>
        <v/>
      </c>
      <c r="I989" s="138" t="str">
        <f>+IFERROR(VLOOKUP(D989,Conceptos_Analítica_contraloría[#All],2,0),"")</f>
        <v/>
      </c>
      <c r="J989" s="138" t="str">
        <f>+IFERROR(VLOOKUP(D989,Conceptos_Analítica_contraloría[#All],3,0),"")</f>
        <v/>
      </c>
    </row>
    <row r="990" spans="3:10" x14ac:dyDescent="0.35">
      <c r="C990" s="144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s="138" t="str">
        <f>+IFERROR(VLOOKUP(Fact_Analitica[[#This Row],[Concepto Anterior]],Conceptos_Analítica_contraloría[#All],5,0),"")</f>
        <v/>
      </c>
      <c r="F990" s="138" t="str">
        <f>+IFERROR(VLOOKUP(Fact_Analitica[[#This Row],[Concepto Anterior]],Conceptos_Analítica_contraloría[#All],7,0),"")</f>
        <v/>
      </c>
      <c r="I990" s="138" t="str">
        <f>+IFERROR(VLOOKUP(D990,Conceptos_Analítica_contraloría[#All],2,0),"")</f>
        <v/>
      </c>
      <c r="J990" s="138" t="str">
        <f>+IFERROR(VLOOKUP(D990,Conceptos_Analítica_contraloría[#All],3,0),"")</f>
        <v/>
      </c>
    </row>
    <row r="991" spans="3:10" x14ac:dyDescent="0.35">
      <c r="C991" s="144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s="138" t="str">
        <f>+IFERROR(VLOOKUP(Fact_Analitica[[#This Row],[Concepto Anterior]],Conceptos_Analítica_contraloría[#All],5,0),"")</f>
        <v/>
      </c>
      <c r="F991" s="138" t="str">
        <f>+IFERROR(VLOOKUP(Fact_Analitica[[#This Row],[Concepto Anterior]],Conceptos_Analítica_contraloría[#All],7,0),"")</f>
        <v/>
      </c>
      <c r="I991" s="138" t="str">
        <f>+IFERROR(VLOOKUP(D991,Conceptos_Analítica_contraloría[#All],2,0),"")</f>
        <v/>
      </c>
      <c r="J991" s="138" t="str">
        <f>+IFERROR(VLOOKUP(D991,Conceptos_Analítica_contraloría[#All],3,0),"")</f>
        <v/>
      </c>
    </row>
    <row r="992" spans="3:10" x14ac:dyDescent="0.35">
      <c r="C992" s="144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s="138" t="str">
        <f>+IFERROR(VLOOKUP(Fact_Analitica[[#This Row],[Concepto Anterior]],Conceptos_Analítica_contraloría[#All],5,0),"")</f>
        <v/>
      </c>
      <c r="F992" s="138" t="str">
        <f>+IFERROR(VLOOKUP(Fact_Analitica[[#This Row],[Concepto Anterior]],Conceptos_Analítica_contraloría[#All],7,0),"")</f>
        <v/>
      </c>
      <c r="I992" s="138" t="str">
        <f>+IFERROR(VLOOKUP(D992,Conceptos_Analítica_contraloría[#All],2,0),"")</f>
        <v/>
      </c>
      <c r="J992" s="138" t="str">
        <f>+IFERROR(VLOOKUP(D992,Conceptos_Analítica_contraloría[#All],3,0),"")</f>
        <v/>
      </c>
    </row>
    <row r="993" spans="3:10" x14ac:dyDescent="0.35">
      <c r="C993" s="144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s="138" t="str">
        <f>+IFERROR(VLOOKUP(Fact_Analitica[[#This Row],[Concepto Anterior]],Conceptos_Analítica_contraloría[#All],5,0),"")</f>
        <v/>
      </c>
      <c r="F993" s="138" t="str">
        <f>+IFERROR(VLOOKUP(Fact_Analitica[[#This Row],[Concepto Anterior]],Conceptos_Analítica_contraloría[#All],7,0),"")</f>
        <v/>
      </c>
      <c r="I993" s="138" t="str">
        <f>+IFERROR(VLOOKUP(D993,Conceptos_Analítica_contraloría[#All],2,0),"")</f>
        <v/>
      </c>
      <c r="J993" s="138" t="str">
        <f>+IFERROR(VLOOKUP(D993,Conceptos_Analítica_contraloría[#All],3,0),"")</f>
        <v/>
      </c>
    </row>
    <row r="994" spans="3:10" x14ac:dyDescent="0.35">
      <c r="C994" s="144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s="138" t="str">
        <f>+IFERROR(VLOOKUP(Fact_Analitica[[#This Row],[Concepto Anterior]],Conceptos_Analítica_contraloría[#All],5,0),"")</f>
        <v/>
      </c>
      <c r="F994" s="138" t="str">
        <f>+IFERROR(VLOOKUP(Fact_Analitica[[#This Row],[Concepto Anterior]],Conceptos_Analítica_contraloría[#All],7,0),"")</f>
        <v/>
      </c>
      <c r="I994" s="138" t="str">
        <f>+IFERROR(VLOOKUP(D994,Conceptos_Analítica_contraloría[#All],2,0),"")</f>
        <v/>
      </c>
      <c r="J994" s="138" t="str">
        <f>+IFERROR(VLOOKUP(D994,Conceptos_Analítica_contraloría[#All],3,0),"")</f>
        <v/>
      </c>
    </row>
    <row r="995" spans="3:10" x14ac:dyDescent="0.35">
      <c r="C995" s="144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s="138" t="str">
        <f>+IFERROR(VLOOKUP(Fact_Analitica[[#This Row],[Concepto Anterior]],Conceptos_Analítica_contraloría[#All],5,0),"")</f>
        <v/>
      </c>
      <c r="F995" s="138" t="str">
        <f>+IFERROR(VLOOKUP(Fact_Analitica[[#This Row],[Concepto Anterior]],Conceptos_Analítica_contraloría[#All],7,0),"")</f>
        <v/>
      </c>
      <c r="I995" s="138" t="str">
        <f>+IFERROR(VLOOKUP(D995,Conceptos_Analítica_contraloría[#All],2,0),"")</f>
        <v/>
      </c>
      <c r="J995" s="138" t="str">
        <f>+IFERROR(VLOOKUP(D995,Conceptos_Analítica_contraloría[#All],3,0),"")</f>
        <v/>
      </c>
    </row>
    <row r="996" spans="3:10" x14ac:dyDescent="0.35">
      <c r="C996" s="144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s="138" t="str">
        <f>+IFERROR(VLOOKUP(Fact_Analitica[[#This Row],[Concepto Anterior]],Conceptos_Analítica_contraloría[#All],5,0),"")</f>
        <v/>
      </c>
      <c r="F996" s="138" t="str">
        <f>+IFERROR(VLOOKUP(Fact_Analitica[[#This Row],[Concepto Anterior]],Conceptos_Analítica_contraloría[#All],7,0),"")</f>
        <v/>
      </c>
      <c r="I996" s="138" t="str">
        <f>+IFERROR(VLOOKUP(D996,Conceptos_Analítica_contraloría[#All],2,0),"")</f>
        <v/>
      </c>
      <c r="J996" s="138" t="str">
        <f>+IFERROR(VLOOKUP(D996,Conceptos_Analítica_contraloría[#All],3,0),"")</f>
        <v/>
      </c>
    </row>
    <row r="997" spans="3:10" x14ac:dyDescent="0.35">
      <c r="C997" s="144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s="138" t="str">
        <f>+IFERROR(VLOOKUP(Fact_Analitica[[#This Row],[Concepto Anterior]],Conceptos_Analítica_contraloría[#All],5,0),"")</f>
        <v/>
      </c>
      <c r="F997" s="138" t="str">
        <f>+IFERROR(VLOOKUP(Fact_Analitica[[#This Row],[Concepto Anterior]],Conceptos_Analítica_contraloría[#All],7,0),"")</f>
        <v/>
      </c>
      <c r="I997" s="138" t="str">
        <f>+IFERROR(VLOOKUP(D997,Conceptos_Analítica_contraloría[#All],2,0),"")</f>
        <v/>
      </c>
      <c r="J997" s="138" t="str">
        <f>+IFERROR(VLOOKUP(D997,Conceptos_Analítica_contraloría[#All],3,0),"")</f>
        <v/>
      </c>
    </row>
    <row r="998" spans="3:10" x14ac:dyDescent="0.35">
      <c r="C998" s="144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s="138" t="str">
        <f>+IFERROR(VLOOKUP(Fact_Analitica[[#This Row],[Concepto Anterior]],Conceptos_Analítica_contraloría[#All],5,0),"")</f>
        <v/>
      </c>
      <c r="F998" s="138" t="str">
        <f>+IFERROR(VLOOKUP(Fact_Analitica[[#This Row],[Concepto Anterior]],Conceptos_Analítica_contraloría[#All],7,0),"")</f>
        <v/>
      </c>
      <c r="I998" s="138" t="str">
        <f>+IFERROR(VLOOKUP(D998,Conceptos_Analítica_contraloría[#All],2,0),"")</f>
        <v/>
      </c>
      <c r="J998" s="138" t="str">
        <f>+IFERROR(VLOOKUP(D998,Conceptos_Analítica_contraloría[#All],3,0),"")</f>
        <v/>
      </c>
    </row>
    <row r="999" spans="3:10" x14ac:dyDescent="0.35">
      <c r="C999" s="144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s="138" t="str">
        <f>+IFERROR(VLOOKUP(Fact_Analitica[[#This Row],[Concepto Anterior]],Conceptos_Analítica_contraloría[#All],5,0),"")</f>
        <v/>
      </c>
      <c r="F999" s="138" t="str">
        <f>+IFERROR(VLOOKUP(Fact_Analitica[[#This Row],[Concepto Anterior]],Conceptos_Analítica_contraloría[#All],7,0),"")</f>
        <v/>
      </c>
      <c r="I999" s="138" t="str">
        <f>+IFERROR(VLOOKUP(D999,Conceptos_Analítica_contraloría[#All],2,0),"")</f>
        <v/>
      </c>
      <c r="J999" s="138" t="str">
        <f>+IFERROR(VLOOKUP(D999,Conceptos_Analítica_contraloría[#All],3,0),"")</f>
        <v/>
      </c>
    </row>
    <row r="1000" spans="3:10" x14ac:dyDescent="0.35">
      <c r="C1000" s="144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s="138" t="str">
        <f>+IFERROR(VLOOKUP(Fact_Analitica[[#This Row],[Concepto Anterior]],Conceptos_Analítica_contraloría[#All],5,0),"")</f>
        <v/>
      </c>
      <c r="F1000" s="138" t="str">
        <f>+IFERROR(VLOOKUP(Fact_Analitica[[#This Row],[Concepto Anterior]],Conceptos_Analítica_contraloría[#All],7,0),"")</f>
        <v/>
      </c>
      <c r="I1000" s="138" t="str">
        <f>+IFERROR(VLOOKUP(D1000,Conceptos_Analítica_contraloría[#All],2,0),"")</f>
        <v/>
      </c>
      <c r="J1000" s="138" t="str">
        <f>+IFERROR(VLOOKUP(D1000,Conceptos_Analítica_contraloría[#All],3,0),"")</f>
        <v/>
      </c>
    </row>
    <row r="1001" spans="3:10" x14ac:dyDescent="0.35">
      <c r="C1001" s="144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s="138" t="str">
        <f>+IFERROR(VLOOKUP(Fact_Analitica[[#This Row],[Concepto Anterior]],Conceptos_Analítica_contraloría[#All],5,0),"")</f>
        <v/>
      </c>
      <c r="F1001" s="138" t="str">
        <f>+IFERROR(VLOOKUP(Fact_Analitica[[#This Row],[Concepto Anterior]],Conceptos_Analítica_contraloría[#All],7,0),"")</f>
        <v/>
      </c>
      <c r="I1001" s="138" t="str">
        <f>+IFERROR(VLOOKUP(D1001,Conceptos_Analítica_contraloría[#All],2,0),"")</f>
        <v/>
      </c>
      <c r="J1001" s="138" t="str">
        <f>+IFERROR(VLOOKUP(D1001,Conceptos_Analítica_contraloría[#All],3,0),"")</f>
        <v/>
      </c>
    </row>
    <row r="1002" spans="3:10" x14ac:dyDescent="0.35">
      <c r="C1002" s="144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s="138" t="str">
        <f>+IFERROR(VLOOKUP(Fact_Analitica[[#This Row],[Concepto Anterior]],Conceptos_Analítica_contraloría[#All],5,0),"")</f>
        <v/>
      </c>
      <c r="F1002" s="138" t="str">
        <f>+IFERROR(VLOOKUP(Fact_Analitica[[#This Row],[Concepto Anterior]],Conceptos_Analítica_contraloría[#All],7,0),"")</f>
        <v/>
      </c>
      <c r="I1002" s="138" t="str">
        <f>+IFERROR(VLOOKUP(D1002,Conceptos_Analítica_contraloría[#All],2,0),"")</f>
        <v/>
      </c>
      <c r="J1002" s="138" t="str">
        <f>+IFERROR(VLOOKUP(D1002,Conceptos_Analítica_contraloría[#All],3,0),"")</f>
        <v/>
      </c>
    </row>
    <row r="1003" spans="3:10" x14ac:dyDescent="0.35">
      <c r="C1003" s="144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s="138" t="str">
        <f>+IFERROR(VLOOKUP(Fact_Analitica[[#This Row],[Concepto Anterior]],Conceptos_Analítica_contraloría[#All],5,0),"")</f>
        <v/>
      </c>
      <c r="F1003" s="138" t="str">
        <f>+IFERROR(VLOOKUP(Fact_Analitica[[#This Row],[Concepto Anterior]],Conceptos_Analítica_contraloría[#All],7,0),"")</f>
        <v/>
      </c>
      <c r="I1003" s="138" t="str">
        <f>+IFERROR(VLOOKUP(D1003,Conceptos_Analítica_contraloría[#All],2,0),"")</f>
        <v/>
      </c>
      <c r="J1003" s="138" t="str">
        <f>+IFERROR(VLOOKUP(D1003,Conceptos_Analítica_contraloría[#All],3,0),"")</f>
        <v/>
      </c>
    </row>
    <row r="1004" spans="3:10" x14ac:dyDescent="0.35">
      <c r="C1004" s="144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s="138" t="str">
        <f>+IFERROR(VLOOKUP(Fact_Analitica[[#This Row],[Concepto Anterior]],Conceptos_Analítica_contraloría[#All],5,0),"")</f>
        <v/>
      </c>
      <c r="F1004" s="138" t="str">
        <f>+IFERROR(VLOOKUP(Fact_Analitica[[#This Row],[Concepto Anterior]],Conceptos_Analítica_contraloría[#All],7,0),"")</f>
        <v/>
      </c>
      <c r="I1004" s="138" t="str">
        <f>+IFERROR(VLOOKUP(D1004,Conceptos_Analítica_contraloría[#All],2,0),"")</f>
        <v/>
      </c>
      <c r="J1004" s="138" t="str">
        <f>+IFERROR(VLOOKUP(D1004,Conceptos_Analítica_contraloría[#All],3,0),"")</f>
        <v/>
      </c>
    </row>
    <row r="1005" spans="3:10" x14ac:dyDescent="0.35">
      <c r="C1005" s="144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s="138" t="str">
        <f>+IFERROR(VLOOKUP(Fact_Analitica[[#This Row],[Concepto Anterior]],Conceptos_Analítica_contraloría[#All],5,0),"")</f>
        <v/>
      </c>
      <c r="F1005" s="138" t="str">
        <f>+IFERROR(VLOOKUP(Fact_Analitica[[#This Row],[Concepto Anterior]],Conceptos_Analítica_contraloría[#All],7,0),"")</f>
        <v/>
      </c>
      <c r="I1005" s="138" t="str">
        <f>+IFERROR(VLOOKUP(D1005,Conceptos_Analítica_contraloría[#All],2,0),"")</f>
        <v/>
      </c>
      <c r="J1005" s="138" t="str">
        <f>+IFERROR(VLOOKUP(D1005,Conceptos_Analítica_contraloría[#All],3,0),"")</f>
        <v/>
      </c>
    </row>
    <row r="1006" spans="3:10" x14ac:dyDescent="0.35">
      <c r="C1006" s="144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s="138" t="str">
        <f>+IFERROR(VLOOKUP(Fact_Analitica[[#This Row],[Concepto Anterior]],Conceptos_Analítica_contraloría[#All],5,0),"")</f>
        <v/>
      </c>
      <c r="F1006" s="138" t="str">
        <f>+IFERROR(VLOOKUP(Fact_Analitica[[#This Row],[Concepto Anterior]],Conceptos_Analítica_contraloría[#All],7,0),"")</f>
        <v/>
      </c>
      <c r="I1006" s="138" t="str">
        <f>+IFERROR(VLOOKUP(D1006,Conceptos_Analítica_contraloría[#All],2,0),"")</f>
        <v/>
      </c>
      <c r="J1006" s="138" t="str">
        <f>+IFERROR(VLOOKUP(D1006,Conceptos_Analítica_contraloría[#All],3,0),"")</f>
        <v/>
      </c>
    </row>
    <row r="1007" spans="3:10" x14ac:dyDescent="0.35">
      <c r="C1007" s="144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s="138" t="str">
        <f>+IFERROR(VLOOKUP(Fact_Analitica[[#This Row],[Concepto Anterior]],Conceptos_Analítica_contraloría[#All],5,0),"")</f>
        <v/>
      </c>
      <c r="F1007" s="138" t="str">
        <f>+IFERROR(VLOOKUP(Fact_Analitica[[#This Row],[Concepto Anterior]],Conceptos_Analítica_contraloría[#All],7,0),"")</f>
        <v/>
      </c>
      <c r="I1007" s="138" t="str">
        <f>+IFERROR(VLOOKUP(D1007,Conceptos_Analítica_contraloría[#All],2,0),"")</f>
        <v/>
      </c>
      <c r="J1007" s="138" t="str">
        <f>+IFERROR(VLOOKUP(D1007,Conceptos_Analítica_contraloría[#All],3,0),"")</f>
        <v/>
      </c>
    </row>
    <row r="1008" spans="3:10" x14ac:dyDescent="0.35">
      <c r="C1008" s="144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s="138" t="str">
        <f>+IFERROR(VLOOKUP(Fact_Analitica[[#This Row],[Concepto Anterior]],Conceptos_Analítica_contraloría[#All],5,0),"")</f>
        <v/>
      </c>
      <c r="F1008" s="138" t="str">
        <f>+IFERROR(VLOOKUP(Fact_Analitica[[#This Row],[Concepto Anterior]],Conceptos_Analítica_contraloría[#All],7,0),"")</f>
        <v/>
      </c>
      <c r="I1008" s="138" t="str">
        <f>+IFERROR(VLOOKUP(D1008,Conceptos_Analítica_contraloría[#All],2,0),"")</f>
        <v/>
      </c>
      <c r="J1008" s="138" t="str">
        <f>+IFERROR(VLOOKUP(D1008,Conceptos_Analítica_contraloría[#All],3,0),"")</f>
        <v/>
      </c>
    </row>
    <row r="1009" spans="3:10" x14ac:dyDescent="0.35">
      <c r="C1009" s="144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s="138" t="str">
        <f>+IFERROR(VLOOKUP(Fact_Analitica[[#This Row],[Concepto Anterior]],Conceptos_Analítica_contraloría[#All],5,0),"")</f>
        <v/>
      </c>
      <c r="F1009" s="138" t="str">
        <f>+IFERROR(VLOOKUP(Fact_Analitica[[#This Row],[Concepto Anterior]],Conceptos_Analítica_contraloría[#All],7,0),"")</f>
        <v/>
      </c>
      <c r="I1009" s="138" t="str">
        <f>+IFERROR(VLOOKUP(D1009,Conceptos_Analítica_contraloría[#All],2,0),"")</f>
        <v/>
      </c>
      <c r="J1009" s="138" t="str">
        <f>+IFERROR(VLOOKUP(D1009,Conceptos_Analítica_contraloría[#All],3,0),"")</f>
        <v/>
      </c>
    </row>
    <row r="1010" spans="3:10" x14ac:dyDescent="0.35">
      <c r="C1010" s="144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s="138" t="str">
        <f>+IFERROR(VLOOKUP(Fact_Analitica[[#This Row],[Concepto Anterior]],Conceptos_Analítica_contraloría[#All],5,0),"")</f>
        <v/>
      </c>
      <c r="F1010" s="138" t="str">
        <f>+IFERROR(VLOOKUP(Fact_Analitica[[#This Row],[Concepto Anterior]],Conceptos_Analítica_contraloría[#All],7,0),"")</f>
        <v/>
      </c>
      <c r="I1010" s="138" t="str">
        <f>+IFERROR(VLOOKUP(D1010,Conceptos_Analítica_contraloría[#All],2,0),"")</f>
        <v/>
      </c>
      <c r="J1010" s="138" t="str">
        <f>+IFERROR(VLOOKUP(D1010,Conceptos_Analítica_contraloría[#All],3,0),"")</f>
        <v/>
      </c>
    </row>
    <row r="1011" spans="3:10" x14ac:dyDescent="0.35">
      <c r="C1011" s="144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s="138" t="str">
        <f>+IFERROR(VLOOKUP(Fact_Analitica[[#This Row],[Concepto Anterior]],Conceptos_Analítica_contraloría[#All],5,0),"")</f>
        <v/>
      </c>
      <c r="F1011" s="138" t="str">
        <f>+IFERROR(VLOOKUP(Fact_Analitica[[#This Row],[Concepto Anterior]],Conceptos_Analítica_contraloría[#All],7,0),"")</f>
        <v/>
      </c>
      <c r="I1011" s="138" t="str">
        <f>+IFERROR(VLOOKUP(D1011,Conceptos_Analítica_contraloría[#All],2,0),"")</f>
        <v/>
      </c>
      <c r="J1011" s="138" t="str">
        <f>+IFERROR(VLOOKUP(D1011,Conceptos_Analítica_contraloría[#All],3,0),"")</f>
        <v/>
      </c>
    </row>
    <row r="1012" spans="3:10" x14ac:dyDescent="0.35">
      <c r="C1012" s="144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s="138" t="str">
        <f>+IFERROR(VLOOKUP(Fact_Analitica[[#This Row],[Concepto Anterior]],Conceptos_Analítica_contraloría[#All],5,0),"")</f>
        <v/>
      </c>
      <c r="F1012" s="138" t="str">
        <f>+IFERROR(VLOOKUP(Fact_Analitica[[#This Row],[Concepto Anterior]],Conceptos_Analítica_contraloría[#All],7,0),"")</f>
        <v/>
      </c>
      <c r="I1012" s="138" t="str">
        <f>+IFERROR(VLOOKUP(D1012,Conceptos_Analítica_contraloría[#All],2,0),"")</f>
        <v/>
      </c>
      <c r="J1012" s="138" t="str">
        <f>+IFERROR(VLOOKUP(D1012,Conceptos_Analítica_contraloría[#All],3,0),"")</f>
        <v/>
      </c>
    </row>
    <row r="1013" spans="3:10" x14ac:dyDescent="0.35">
      <c r="C1013" s="144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s="138" t="str">
        <f>+IFERROR(VLOOKUP(Fact_Analitica[[#This Row],[Concepto Anterior]],Conceptos_Analítica_contraloría[#All],5,0),"")</f>
        <v/>
      </c>
      <c r="F1013" s="138" t="str">
        <f>+IFERROR(VLOOKUP(Fact_Analitica[[#This Row],[Concepto Anterior]],Conceptos_Analítica_contraloría[#All],7,0),"")</f>
        <v/>
      </c>
      <c r="I1013" s="138" t="str">
        <f>+IFERROR(VLOOKUP(D1013,Conceptos_Analítica_contraloría[#All],2,0),"")</f>
        <v/>
      </c>
      <c r="J1013" s="138" t="str">
        <f>+IFERROR(VLOOKUP(D1013,Conceptos_Analítica_contraloría[#All],3,0),"")</f>
        <v/>
      </c>
    </row>
    <row r="1014" spans="3:10" x14ac:dyDescent="0.35">
      <c r="C1014" s="144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s="138" t="str">
        <f>+IFERROR(VLOOKUP(Fact_Analitica[[#This Row],[Concepto Anterior]],Conceptos_Analítica_contraloría[#All],5,0),"")</f>
        <v/>
      </c>
      <c r="F1014" s="138" t="str">
        <f>+IFERROR(VLOOKUP(Fact_Analitica[[#This Row],[Concepto Anterior]],Conceptos_Analítica_contraloría[#All],7,0),"")</f>
        <v/>
      </c>
      <c r="I1014" s="138" t="str">
        <f>+IFERROR(VLOOKUP(D1014,Conceptos_Analítica_contraloría[#All],2,0),"")</f>
        <v/>
      </c>
      <c r="J1014" s="138" t="str">
        <f>+IFERROR(VLOOKUP(D1014,Conceptos_Analítica_contraloría[#All],3,0),"")</f>
        <v/>
      </c>
    </row>
    <row r="1015" spans="3:10" x14ac:dyDescent="0.35">
      <c r="C1015" s="144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s="138" t="str">
        <f>+IFERROR(VLOOKUP(Fact_Analitica[[#This Row],[Concepto Anterior]],Conceptos_Analítica_contraloría[#All],5,0),"")</f>
        <v/>
      </c>
      <c r="F1015" s="138" t="str">
        <f>+IFERROR(VLOOKUP(Fact_Analitica[[#This Row],[Concepto Anterior]],Conceptos_Analítica_contraloría[#All],7,0),"")</f>
        <v/>
      </c>
      <c r="I1015" s="138" t="str">
        <f>+IFERROR(VLOOKUP(D1015,Conceptos_Analítica_contraloría[#All],2,0),"")</f>
        <v/>
      </c>
      <c r="J1015" s="138" t="str">
        <f>+IFERROR(VLOOKUP(D1015,Conceptos_Analítica_contraloría[#All],3,0),"")</f>
        <v/>
      </c>
    </row>
    <row r="1016" spans="3:10" x14ac:dyDescent="0.35">
      <c r="C1016" s="144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s="138" t="str">
        <f>+IFERROR(VLOOKUP(Fact_Analitica[[#This Row],[Concepto Anterior]],Conceptos_Analítica_contraloría[#All],5,0),"")</f>
        <v/>
      </c>
      <c r="F1016" s="138" t="str">
        <f>+IFERROR(VLOOKUP(Fact_Analitica[[#This Row],[Concepto Anterior]],Conceptos_Analítica_contraloría[#All],7,0),"")</f>
        <v/>
      </c>
      <c r="I1016" s="138" t="str">
        <f>+IFERROR(VLOOKUP(D1016,Conceptos_Analítica_contraloría[#All],2,0),"")</f>
        <v/>
      </c>
      <c r="J1016" s="138" t="str">
        <f>+IFERROR(VLOOKUP(D1016,Conceptos_Analítica_contraloría[#All],3,0),"")</f>
        <v/>
      </c>
    </row>
    <row r="1017" spans="3:10" x14ac:dyDescent="0.35">
      <c r="C1017" s="144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s="138" t="str">
        <f>+IFERROR(VLOOKUP(Fact_Analitica[[#This Row],[Concepto Anterior]],Conceptos_Analítica_contraloría[#All],5,0),"")</f>
        <v/>
      </c>
      <c r="F1017" s="138" t="str">
        <f>+IFERROR(VLOOKUP(Fact_Analitica[[#This Row],[Concepto Anterior]],Conceptos_Analítica_contraloría[#All],7,0),"")</f>
        <v/>
      </c>
      <c r="I1017" s="138" t="str">
        <f>+IFERROR(VLOOKUP(D1017,Conceptos_Analítica_contraloría[#All],2,0),"")</f>
        <v/>
      </c>
      <c r="J1017" s="138" t="str">
        <f>+IFERROR(VLOOKUP(D1017,Conceptos_Analítica_contraloría[#All],3,0),"")</f>
        <v/>
      </c>
    </row>
    <row r="1018" spans="3:10" x14ac:dyDescent="0.35">
      <c r="C1018" s="144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s="138" t="str">
        <f>+IFERROR(VLOOKUP(Fact_Analitica[[#This Row],[Concepto Anterior]],Conceptos_Analítica_contraloría[#All],5,0),"")</f>
        <v/>
      </c>
      <c r="F1018" s="138" t="str">
        <f>+IFERROR(VLOOKUP(Fact_Analitica[[#This Row],[Concepto Anterior]],Conceptos_Analítica_contraloría[#All],7,0),"")</f>
        <v/>
      </c>
      <c r="I1018" s="138" t="str">
        <f>+IFERROR(VLOOKUP(D1018,Conceptos_Analítica_contraloría[#All],2,0),"")</f>
        <v/>
      </c>
      <c r="J1018" s="138" t="str">
        <f>+IFERROR(VLOOKUP(D1018,Conceptos_Analítica_contraloría[#All],3,0),"")</f>
        <v/>
      </c>
    </row>
    <row r="1019" spans="3:10" x14ac:dyDescent="0.35">
      <c r="C1019" s="144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s="138" t="str">
        <f>+IFERROR(VLOOKUP(Fact_Analitica[[#This Row],[Concepto Anterior]],Conceptos_Analítica_contraloría[#All],5,0),"")</f>
        <v/>
      </c>
      <c r="F1019" s="138" t="str">
        <f>+IFERROR(VLOOKUP(Fact_Analitica[[#This Row],[Concepto Anterior]],Conceptos_Analítica_contraloría[#All],7,0),"")</f>
        <v/>
      </c>
      <c r="I1019" s="138" t="str">
        <f>+IFERROR(VLOOKUP(D1019,Conceptos_Analítica_contraloría[#All],2,0),"")</f>
        <v/>
      </c>
      <c r="J1019" s="138" t="str">
        <f>+IFERROR(VLOOKUP(D1019,Conceptos_Analítica_contraloría[#All],3,0),"")</f>
        <v/>
      </c>
    </row>
    <row r="1020" spans="3:10" x14ac:dyDescent="0.35">
      <c r="C1020" s="144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s="138" t="str">
        <f>+IFERROR(VLOOKUP(Fact_Analitica[[#This Row],[Concepto Anterior]],Conceptos_Analítica_contraloría[#All],5,0),"")</f>
        <v/>
      </c>
      <c r="F1020" s="138" t="str">
        <f>+IFERROR(VLOOKUP(Fact_Analitica[[#This Row],[Concepto Anterior]],Conceptos_Analítica_contraloría[#All],7,0),"")</f>
        <v/>
      </c>
      <c r="I1020" s="138" t="str">
        <f>+IFERROR(VLOOKUP(D1020,Conceptos_Analítica_contraloría[#All],2,0),"")</f>
        <v/>
      </c>
      <c r="J1020" s="138" t="str">
        <f>+IFERROR(VLOOKUP(D1020,Conceptos_Analítica_contraloría[#All],3,0),"")</f>
        <v/>
      </c>
    </row>
    <row r="1021" spans="3:10" x14ac:dyDescent="0.35">
      <c r="C1021" s="144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s="138" t="str">
        <f>+IFERROR(VLOOKUP(Fact_Analitica[[#This Row],[Concepto Anterior]],Conceptos_Analítica_contraloría[#All],5,0),"")</f>
        <v/>
      </c>
      <c r="F1021" s="138" t="str">
        <f>+IFERROR(VLOOKUP(Fact_Analitica[[#This Row],[Concepto Anterior]],Conceptos_Analítica_contraloría[#All],7,0),"")</f>
        <v/>
      </c>
      <c r="I1021" s="138" t="str">
        <f>+IFERROR(VLOOKUP(D1021,Conceptos_Analítica_contraloría[#All],2,0),"")</f>
        <v/>
      </c>
      <c r="J1021" s="138" t="str">
        <f>+IFERROR(VLOOKUP(D1021,Conceptos_Analítica_contraloría[#All],3,0),"")</f>
        <v/>
      </c>
    </row>
    <row r="1022" spans="3:10" x14ac:dyDescent="0.35">
      <c r="C1022" s="144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s="138" t="str">
        <f>+IFERROR(VLOOKUP(Fact_Analitica[[#This Row],[Concepto Anterior]],Conceptos_Analítica_contraloría[#All],5,0),"")</f>
        <v/>
      </c>
      <c r="F1022" s="138" t="str">
        <f>+IFERROR(VLOOKUP(Fact_Analitica[[#This Row],[Concepto Anterior]],Conceptos_Analítica_contraloría[#All],7,0),"")</f>
        <v/>
      </c>
      <c r="I1022" s="138" t="str">
        <f>+IFERROR(VLOOKUP(D1022,Conceptos_Analítica_contraloría[#All],2,0),"")</f>
        <v/>
      </c>
      <c r="J1022" s="138" t="str">
        <f>+IFERROR(VLOOKUP(D1022,Conceptos_Analítica_contraloría[#All],3,0),"")</f>
        <v/>
      </c>
    </row>
    <row r="1023" spans="3:10" x14ac:dyDescent="0.35">
      <c r="C1023" s="144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s="138" t="str">
        <f>+IFERROR(VLOOKUP(Fact_Analitica[[#This Row],[Concepto Anterior]],Conceptos_Analítica_contraloría[#All],5,0),"")</f>
        <v/>
      </c>
      <c r="F1023" s="138" t="str">
        <f>+IFERROR(VLOOKUP(Fact_Analitica[[#This Row],[Concepto Anterior]],Conceptos_Analítica_contraloría[#All],7,0),"")</f>
        <v/>
      </c>
      <c r="I1023" s="138" t="str">
        <f>+IFERROR(VLOOKUP(D1023,Conceptos_Analítica_contraloría[#All],2,0),"")</f>
        <v/>
      </c>
      <c r="J1023" s="138" t="str">
        <f>+IFERROR(VLOOKUP(D1023,Conceptos_Analítica_contraloría[#All],3,0),"")</f>
        <v/>
      </c>
    </row>
    <row r="1024" spans="3:10" x14ac:dyDescent="0.35">
      <c r="C1024" s="144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s="138" t="str">
        <f>+IFERROR(VLOOKUP(Fact_Analitica[[#This Row],[Concepto Anterior]],Conceptos_Analítica_contraloría[#All],5,0),"")</f>
        <v/>
      </c>
      <c r="F1024" s="138" t="str">
        <f>+IFERROR(VLOOKUP(Fact_Analitica[[#This Row],[Concepto Anterior]],Conceptos_Analítica_contraloría[#All],7,0),"")</f>
        <v/>
      </c>
      <c r="I1024" s="138" t="str">
        <f>+IFERROR(VLOOKUP(D1024,Conceptos_Analítica_contraloría[#All],2,0),"")</f>
        <v/>
      </c>
      <c r="J1024" s="138" t="str">
        <f>+IFERROR(VLOOKUP(D1024,Conceptos_Analítica_contraloría[#All],3,0),"")</f>
        <v/>
      </c>
    </row>
    <row r="1025" spans="3:10" x14ac:dyDescent="0.35">
      <c r="C1025" s="144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s="138" t="str">
        <f>+IFERROR(VLOOKUP(Fact_Analitica[[#This Row],[Concepto Anterior]],Conceptos_Analítica_contraloría[#All],5,0),"")</f>
        <v/>
      </c>
      <c r="F1025" s="138" t="str">
        <f>+IFERROR(VLOOKUP(Fact_Analitica[[#This Row],[Concepto Anterior]],Conceptos_Analítica_contraloría[#All],7,0),"")</f>
        <v/>
      </c>
      <c r="I1025" s="138" t="str">
        <f>+IFERROR(VLOOKUP(D1025,Conceptos_Analítica_contraloría[#All],2,0),"")</f>
        <v/>
      </c>
      <c r="J1025" s="138" t="str">
        <f>+IFERROR(VLOOKUP(D1025,Conceptos_Analítica_contraloría[#All],3,0),"")</f>
        <v/>
      </c>
    </row>
    <row r="1026" spans="3:10" x14ac:dyDescent="0.35">
      <c r="C1026" s="144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s="138" t="str">
        <f>+IFERROR(VLOOKUP(Fact_Analitica[[#This Row],[Concepto Anterior]],Conceptos_Analítica_contraloría[#All],5,0),"")</f>
        <v/>
      </c>
      <c r="F1026" s="138" t="str">
        <f>+IFERROR(VLOOKUP(Fact_Analitica[[#This Row],[Concepto Anterior]],Conceptos_Analítica_contraloría[#All],7,0),"")</f>
        <v/>
      </c>
      <c r="I1026" s="138" t="str">
        <f>+IFERROR(VLOOKUP(D1026,Conceptos_Analítica_contraloría[#All],2,0),"")</f>
        <v/>
      </c>
      <c r="J1026" s="138" t="str">
        <f>+IFERROR(VLOOKUP(D1026,Conceptos_Analítica_contraloría[#All],3,0),"")</f>
        <v/>
      </c>
    </row>
    <row r="1027" spans="3:10" x14ac:dyDescent="0.35">
      <c r="C1027" s="144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s="138" t="str">
        <f>+IFERROR(VLOOKUP(Fact_Analitica[[#This Row],[Concepto Anterior]],Conceptos_Analítica_contraloría[#All],5,0),"")</f>
        <v/>
      </c>
      <c r="F1027" s="138" t="str">
        <f>+IFERROR(VLOOKUP(Fact_Analitica[[#This Row],[Concepto Anterior]],Conceptos_Analítica_contraloría[#All],7,0),"")</f>
        <v/>
      </c>
      <c r="I1027" s="138" t="str">
        <f>+IFERROR(VLOOKUP(D1027,Conceptos_Analítica_contraloría[#All],2,0),"")</f>
        <v/>
      </c>
      <c r="J1027" s="138" t="str">
        <f>+IFERROR(VLOOKUP(D1027,Conceptos_Analítica_contraloría[#All],3,0),"")</f>
        <v/>
      </c>
    </row>
    <row r="1028" spans="3:10" x14ac:dyDescent="0.35">
      <c r="C1028" s="144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s="138" t="str">
        <f>+IFERROR(VLOOKUP(Fact_Analitica[[#This Row],[Concepto Anterior]],Conceptos_Analítica_contraloría[#All],5,0),"")</f>
        <v/>
      </c>
      <c r="F1028" s="138" t="str">
        <f>+IFERROR(VLOOKUP(Fact_Analitica[[#This Row],[Concepto Anterior]],Conceptos_Analítica_contraloría[#All],7,0),"")</f>
        <v/>
      </c>
      <c r="I1028" s="138" t="str">
        <f>+IFERROR(VLOOKUP(D1028,Conceptos_Analítica_contraloría[#All],2,0),"")</f>
        <v/>
      </c>
      <c r="J1028" s="138" t="str">
        <f>+IFERROR(VLOOKUP(D1028,Conceptos_Analítica_contraloría[#All],3,0),"")</f>
        <v/>
      </c>
    </row>
    <row r="1029" spans="3:10" x14ac:dyDescent="0.35">
      <c r="C1029" s="144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s="138" t="str">
        <f>+IFERROR(VLOOKUP(Fact_Analitica[[#This Row],[Concepto Anterior]],Conceptos_Analítica_contraloría[#All],5,0),"")</f>
        <v/>
      </c>
      <c r="F1029" s="138" t="str">
        <f>+IFERROR(VLOOKUP(Fact_Analitica[[#This Row],[Concepto Anterior]],Conceptos_Analítica_contraloría[#All],7,0),"")</f>
        <v/>
      </c>
      <c r="I1029" s="138" t="str">
        <f>+IFERROR(VLOOKUP(D1029,Conceptos_Analítica_contraloría[#All],2,0),"")</f>
        <v/>
      </c>
      <c r="J1029" s="138" t="str">
        <f>+IFERROR(VLOOKUP(D1029,Conceptos_Analítica_contraloría[#All],3,0),"")</f>
        <v/>
      </c>
    </row>
    <row r="1030" spans="3:10" x14ac:dyDescent="0.35">
      <c r="C1030" s="144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s="138" t="str">
        <f>+IFERROR(VLOOKUP(Fact_Analitica[[#This Row],[Concepto Anterior]],Conceptos_Analítica_contraloría[#All],5,0),"")</f>
        <v/>
      </c>
      <c r="F1030" s="138" t="str">
        <f>+IFERROR(VLOOKUP(Fact_Analitica[[#This Row],[Concepto Anterior]],Conceptos_Analítica_contraloría[#All],7,0),"")</f>
        <v/>
      </c>
      <c r="I1030" s="138" t="str">
        <f>+IFERROR(VLOOKUP(D1030,Conceptos_Analítica_contraloría[#All],2,0),"")</f>
        <v/>
      </c>
      <c r="J1030" s="138" t="str">
        <f>+IFERROR(VLOOKUP(D1030,Conceptos_Analítica_contraloría[#All],3,0),"")</f>
        <v/>
      </c>
    </row>
    <row r="1031" spans="3:10" x14ac:dyDescent="0.35">
      <c r="C1031" s="144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s="138" t="str">
        <f>+IFERROR(VLOOKUP(Fact_Analitica[[#This Row],[Concepto Anterior]],Conceptos_Analítica_contraloría[#All],5,0),"")</f>
        <v/>
      </c>
      <c r="F1031" s="138" t="str">
        <f>+IFERROR(VLOOKUP(Fact_Analitica[[#This Row],[Concepto Anterior]],Conceptos_Analítica_contraloría[#All],7,0),"")</f>
        <v/>
      </c>
      <c r="I1031" s="138" t="str">
        <f>+IFERROR(VLOOKUP(D1031,Conceptos_Analítica_contraloría[#All],2,0),"")</f>
        <v/>
      </c>
      <c r="J1031" s="138" t="str">
        <f>+IFERROR(VLOOKUP(D1031,Conceptos_Analítica_contraloría[#All],3,0),"")</f>
        <v/>
      </c>
    </row>
    <row r="1032" spans="3:10" x14ac:dyDescent="0.35">
      <c r="C1032" s="144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s="138" t="str">
        <f>+IFERROR(VLOOKUP(Fact_Analitica[[#This Row],[Concepto Anterior]],Conceptos_Analítica_contraloría[#All],5,0),"")</f>
        <v/>
      </c>
      <c r="F1032" s="138" t="str">
        <f>+IFERROR(VLOOKUP(Fact_Analitica[[#This Row],[Concepto Anterior]],Conceptos_Analítica_contraloría[#All],7,0),"")</f>
        <v/>
      </c>
      <c r="I1032" s="138" t="str">
        <f>+IFERROR(VLOOKUP(D1032,Conceptos_Analítica_contraloría[#All],2,0),"")</f>
        <v/>
      </c>
      <c r="J1032" s="138" t="str">
        <f>+IFERROR(VLOOKUP(D1032,Conceptos_Analítica_contraloría[#All],3,0),"")</f>
        <v/>
      </c>
    </row>
    <row r="1033" spans="3:10" x14ac:dyDescent="0.35">
      <c r="C1033" s="144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s="138" t="str">
        <f>+IFERROR(VLOOKUP(Fact_Analitica[[#This Row],[Concepto Anterior]],Conceptos_Analítica_contraloría[#All],5,0),"")</f>
        <v/>
      </c>
      <c r="F1033" s="138" t="str">
        <f>+IFERROR(VLOOKUP(Fact_Analitica[[#This Row],[Concepto Anterior]],Conceptos_Analítica_contraloría[#All],7,0),"")</f>
        <v/>
      </c>
      <c r="I1033" s="138" t="str">
        <f>+IFERROR(VLOOKUP(D1033,Conceptos_Analítica_contraloría[#All],2,0),"")</f>
        <v/>
      </c>
      <c r="J1033" s="138" t="str">
        <f>+IFERROR(VLOOKUP(D1033,Conceptos_Analítica_contraloría[#All],3,0),"")</f>
        <v/>
      </c>
    </row>
    <row r="1034" spans="3:10" x14ac:dyDescent="0.35">
      <c r="C1034" s="144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s="138" t="str">
        <f>+IFERROR(VLOOKUP(Fact_Analitica[[#This Row],[Concepto Anterior]],Conceptos_Analítica_contraloría[#All],5,0),"")</f>
        <v/>
      </c>
      <c r="F1034" s="138" t="str">
        <f>+IFERROR(VLOOKUP(Fact_Analitica[[#This Row],[Concepto Anterior]],Conceptos_Analítica_contraloría[#All],7,0),"")</f>
        <v/>
      </c>
      <c r="I1034" s="138" t="str">
        <f>+IFERROR(VLOOKUP(D1034,Conceptos_Analítica_contraloría[#All],2,0),"")</f>
        <v/>
      </c>
      <c r="J1034" s="138" t="str">
        <f>+IFERROR(VLOOKUP(D1034,Conceptos_Analítica_contraloría[#All],3,0),"")</f>
        <v/>
      </c>
    </row>
    <row r="1035" spans="3:10" x14ac:dyDescent="0.35">
      <c r="C1035" s="144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s="138" t="str">
        <f>+IFERROR(VLOOKUP(Fact_Analitica[[#This Row],[Concepto Anterior]],Conceptos_Analítica_contraloría[#All],5,0),"")</f>
        <v/>
      </c>
      <c r="F1035" s="138" t="str">
        <f>+IFERROR(VLOOKUP(Fact_Analitica[[#This Row],[Concepto Anterior]],Conceptos_Analítica_contraloría[#All],7,0),"")</f>
        <v/>
      </c>
      <c r="I1035" s="138" t="str">
        <f>+IFERROR(VLOOKUP(D1035,Conceptos_Analítica_contraloría[#All],2,0),"")</f>
        <v/>
      </c>
      <c r="J1035" s="138" t="str">
        <f>+IFERROR(VLOOKUP(D1035,Conceptos_Analítica_contraloría[#All],3,0),"")</f>
        <v/>
      </c>
    </row>
    <row r="1036" spans="3:10" x14ac:dyDescent="0.35">
      <c r="C1036" s="144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s="138" t="str">
        <f>+IFERROR(VLOOKUP(Fact_Analitica[[#This Row],[Concepto Anterior]],Conceptos_Analítica_contraloría[#All],5,0),"")</f>
        <v/>
      </c>
      <c r="F1036" s="138" t="str">
        <f>+IFERROR(VLOOKUP(Fact_Analitica[[#This Row],[Concepto Anterior]],Conceptos_Analítica_contraloría[#All],7,0),"")</f>
        <v/>
      </c>
      <c r="I1036" s="138" t="str">
        <f>+IFERROR(VLOOKUP(D1036,Conceptos_Analítica_contraloría[#All],2,0),"")</f>
        <v/>
      </c>
      <c r="J1036" s="138" t="str">
        <f>+IFERROR(VLOOKUP(D1036,Conceptos_Analítica_contraloría[#All],3,0),"")</f>
        <v/>
      </c>
    </row>
    <row r="1037" spans="3:10" x14ac:dyDescent="0.35">
      <c r="C1037" s="144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s="138" t="str">
        <f>+IFERROR(VLOOKUP(Fact_Analitica[[#This Row],[Concepto Anterior]],Conceptos_Analítica_contraloría[#All],5,0),"")</f>
        <v/>
      </c>
      <c r="F1037" s="138" t="str">
        <f>+IFERROR(VLOOKUP(Fact_Analitica[[#This Row],[Concepto Anterior]],Conceptos_Analítica_contraloría[#All],7,0),"")</f>
        <v/>
      </c>
      <c r="I1037" s="138" t="str">
        <f>+IFERROR(VLOOKUP(D1037,Conceptos_Analítica_contraloría[#All],2,0),"")</f>
        <v/>
      </c>
      <c r="J1037" s="138" t="str">
        <f>+IFERROR(VLOOKUP(D1037,Conceptos_Analítica_contraloría[#All],3,0),"")</f>
        <v/>
      </c>
    </row>
    <row r="1038" spans="3:10" x14ac:dyDescent="0.35">
      <c r="C1038" s="144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s="138" t="str">
        <f>+IFERROR(VLOOKUP(Fact_Analitica[[#This Row],[Concepto Anterior]],Conceptos_Analítica_contraloría[#All],5,0),"")</f>
        <v/>
      </c>
      <c r="F1038" s="138" t="str">
        <f>+IFERROR(VLOOKUP(Fact_Analitica[[#This Row],[Concepto Anterior]],Conceptos_Analítica_contraloría[#All],7,0),"")</f>
        <v/>
      </c>
      <c r="I1038" s="138" t="str">
        <f>+IFERROR(VLOOKUP(D1038,Conceptos_Analítica_contraloría[#All],2,0),"")</f>
        <v/>
      </c>
      <c r="J1038" s="138" t="str">
        <f>+IFERROR(VLOOKUP(D1038,Conceptos_Analítica_contraloría[#All],3,0),"")</f>
        <v/>
      </c>
    </row>
    <row r="1039" spans="3:10" x14ac:dyDescent="0.35">
      <c r="C1039" s="144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s="138" t="str">
        <f>+IFERROR(VLOOKUP(Fact_Analitica[[#This Row],[Concepto Anterior]],Conceptos_Analítica_contraloría[#All],5,0),"")</f>
        <v/>
      </c>
      <c r="F1039" s="138" t="str">
        <f>+IFERROR(VLOOKUP(Fact_Analitica[[#This Row],[Concepto Anterior]],Conceptos_Analítica_contraloría[#All],7,0),"")</f>
        <v/>
      </c>
      <c r="I1039" s="138" t="str">
        <f>+IFERROR(VLOOKUP(D1039,Conceptos_Analítica_contraloría[#All],2,0),"")</f>
        <v/>
      </c>
      <c r="J1039" s="138" t="str">
        <f>+IFERROR(VLOOKUP(D1039,Conceptos_Analítica_contraloría[#All],3,0),"")</f>
        <v/>
      </c>
    </row>
    <row r="1040" spans="3:10" x14ac:dyDescent="0.35">
      <c r="C1040" s="144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s="138" t="str">
        <f>+IFERROR(VLOOKUP(Fact_Analitica[[#This Row],[Concepto Anterior]],Conceptos_Analítica_contraloría[#All],5,0),"")</f>
        <v/>
      </c>
      <c r="F1040" s="138" t="str">
        <f>+IFERROR(VLOOKUP(Fact_Analitica[[#This Row],[Concepto Anterior]],Conceptos_Analítica_contraloría[#All],7,0),"")</f>
        <v/>
      </c>
      <c r="I1040" s="138" t="str">
        <f>+IFERROR(VLOOKUP(D1040,Conceptos_Analítica_contraloría[#All],2,0),"")</f>
        <v/>
      </c>
      <c r="J1040" s="138" t="str">
        <f>+IFERROR(VLOOKUP(D1040,Conceptos_Analítica_contraloría[#All],3,0),"")</f>
        <v/>
      </c>
    </row>
    <row r="1041" spans="3:10" x14ac:dyDescent="0.35">
      <c r="C1041" s="144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s="138" t="str">
        <f>+IFERROR(VLOOKUP(Fact_Analitica[[#This Row],[Concepto Anterior]],Conceptos_Analítica_contraloría[#All],5,0),"")</f>
        <v/>
      </c>
      <c r="F1041" s="138" t="str">
        <f>+IFERROR(VLOOKUP(Fact_Analitica[[#This Row],[Concepto Anterior]],Conceptos_Analítica_contraloría[#All],7,0),"")</f>
        <v/>
      </c>
      <c r="I1041" s="138" t="str">
        <f>+IFERROR(VLOOKUP(D1041,Conceptos_Analítica_contraloría[#All],2,0),"")</f>
        <v/>
      </c>
      <c r="J1041" s="138" t="str">
        <f>+IFERROR(VLOOKUP(D1041,Conceptos_Analítica_contraloría[#All],3,0),"")</f>
        <v/>
      </c>
    </row>
    <row r="1042" spans="3:10" x14ac:dyDescent="0.35">
      <c r="C1042" s="144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s="138" t="str">
        <f>+IFERROR(VLOOKUP(Fact_Analitica[[#This Row],[Concepto Anterior]],Conceptos_Analítica_contraloría[#All],5,0),"")</f>
        <v/>
      </c>
      <c r="F1042" s="138" t="str">
        <f>+IFERROR(VLOOKUP(Fact_Analitica[[#This Row],[Concepto Anterior]],Conceptos_Analítica_contraloría[#All],7,0),"")</f>
        <v/>
      </c>
      <c r="I1042" s="138" t="str">
        <f>+IFERROR(VLOOKUP(D1042,Conceptos_Analítica_contraloría[#All],2,0),"")</f>
        <v/>
      </c>
      <c r="J1042" s="138" t="str">
        <f>+IFERROR(VLOOKUP(D1042,Conceptos_Analítica_contraloría[#All],3,0),"")</f>
        <v/>
      </c>
    </row>
    <row r="1043" spans="3:10" x14ac:dyDescent="0.35">
      <c r="C1043" s="144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s="138" t="str">
        <f>+IFERROR(VLOOKUP(Fact_Analitica[[#This Row],[Concepto Anterior]],Conceptos_Analítica_contraloría[#All],5,0),"")</f>
        <v/>
      </c>
      <c r="F1043" s="138" t="str">
        <f>+IFERROR(VLOOKUP(Fact_Analitica[[#This Row],[Concepto Anterior]],Conceptos_Analítica_contraloría[#All],7,0),"")</f>
        <v/>
      </c>
      <c r="I1043" s="138" t="str">
        <f>+IFERROR(VLOOKUP(D1043,Conceptos_Analítica_contraloría[#All],2,0),"")</f>
        <v/>
      </c>
      <c r="J1043" s="138" t="str">
        <f>+IFERROR(VLOOKUP(D1043,Conceptos_Analítica_contraloría[#All],3,0),"")</f>
        <v/>
      </c>
    </row>
    <row r="1044" spans="3:10" x14ac:dyDescent="0.35">
      <c r="C1044" s="144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s="138" t="str">
        <f>+IFERROR(VLOOKUP(Fact_Analitica[[#This Row],[Concepto Anterior]],Conceptos_Analítica_contraloría[#All],5,0),"")</f>
        <v/>
      </c>
      <c r="F1044" s="138" t="str">
        <f>+IFERROR(VLOOKUP(Fact_Analitica[[#This Row],[Concepto Anterior]],Conceptos_Analítica_contraloría[#All],7,0),"")</f>
        <v/>
      </c>
      <c r="I1044" s="138" t="str">
        <f>+IFERROR(VLOOKUP(D1044,Conceptos_Analítica_contraloría[#All],2,0),"")</f>
        <v/>
      </c>
      <c r="J1044" s="138" t="str">
        <f>+IFERROR(VLOOKUP(D1044,Conceptos_Analítica_contraloría[#All],3,0),"")</f>
        <v/>
      </c>
    </row>
    <row r="1045" spans="3:10" x14ac:dyDescent="0.35">
      <c r="C1045" s="144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s="138" t="str">
        <f>+IFERROR(VLOOKUP(Fact_Analitica[[#This Row],[Concepto Anterior]],Conceptos_Analítica_contraloría[#All],5,0),"")</f>
        <v/>
      </c>
      <c r="F1045" s="138" t="str">
        <f>+IFERROR(VLOOKUP(Fact_Analitica[[#This Row],[Concepto Anterior]],Conceptos_Analítica_contraloría[#All],7,0),"")</f>
        <v/>
      </c>
      <c r="I1045" s="138" t="str">
        <f>+IFERROR(VLOOKUP(D1045,Conceptos_Analítica_contraloría[#All],2,0),"")</f>
        <v/>
      </c>
      <c r="J1045" s="138" t="str">
        <f>+IFERROR(VLOOKUP(D1045,Conceptos_Analítica_contraloría[#All],3,0),"")</f>
        <v/>
      </c>
    </row>
    <row r="1046" spans="3:10" x14ac:dyDescent="0.35">
      <c r="C1046" s="144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s="138" t="str">
        <f>+IFERROR(VLOOKUP(Fact_Analitica[[#This Row],[Concepto Anterior]],Conceptos_Analítica_contraloría[#All],5,0),"")</f>
        <v/>
      </c>
      <c r="F1046" s="138" t="str">
        <f>+IFERROR(VLOOKUP(Fact_Analitica[[#This Row],[Concepto Anterior]],Conceptos_Analítica_contraloría[#All],7,0),"")</f>
        <v/>
      </c>
      <c r="I1046" s="138" t="str">
        <f>+IFERROR(VLOOKUP(D1046,Conceptos_Analítica_contraloría[#All],2,0),"")</f>
        <v/>
      </c>
      <c r="J1046" s="138" t="str">
        <f>+IFERROR(VLOOKUP(D1046,Conceptos_Analítica_contraloría[#All],3,0),"")</f>
        <v/>
      </c>
    </row>
    <row r="1047" spans="3:10" x14ac:dyDescent="0.35">
      <c r="C1047" s="144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s="138" t="str">
        <f>+IFERROR(VLOOKUP(Fact_Analitica[[#This Row],[Concepto Anterior]],Conceptos_Analítica_contraloría[#All],5,0),"")</f>
        <v/>
      </c>
      <c r="F1047" s="138" t="str">
        <f>+IFERROR(VLOOKUP(Fact_Analitica[[#This Row],[Concepto Anterior]],Conceptos_Analítica_contraloría[#All],7,0),"")</f>
        <v/>
      </c>
      <c r="I1047" s="138" t="str">
        <f>+IFERROR(VLOOKUP(D1047,Conceptos_Analítica_contraloría[#All],2,0),"")</f>
        <v/>
      </c>
      <c r="J1047" s="138" t="str">
        <f>+IFERROR(VLOOKUP(D1047,Conceptos_Analítica_contraloría[#All],3,0),"")</f>
        <v/>
      </c>
    </row>
    <row r="1048" spans="3:10" x14ac:dyDescent="0.35">
      <c r="C1048" s="144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s="138" t="str">
        <f>+IFERROR(VLOOKUP(Fact_Analitica[[#This Row],[Concepto Anterior]],Conceptos_Analítica_contraloría[#All],5,0),"")</f>
        <v/>
      </c>
      <c r="F1048" s="138" t="str">
        <f>+IFERROR(VLOOKUP(Fact_Analitica[[#This Row],[Concepto Anterior]],Conceptos_Analítica_contraloría[#All],7,0),"")</f>
        <v/>
      </c>
      <c r="I1048" s="138" t="str">
        <f>+IFERROR(VLOOKUP(D1048,Conceptos_Analítica_contraloría[#All],2,0),"")</f>
        <v/>
      </c>
      <c r="J1048" s="138" t="str">
        <f>+IFERROR(VLOOKUP(D1048,Conceptos_Analítica_contraloría[#All],3,0),"")</f>
        <v/>
      </c>
    </row>
    <row r="1049" spans="3:10" x14ac:dyDescent="0.35">
      <c r="C1049" s="144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s="138" t="str">
        <f>+IFERROR(VLOOKUP(Fact_Analitica[[#This Row],[Concepto Anterior]],Conceptos_Analítica_contraloría[#All],5,0),"")</f>
        <v/>
      </c>
      <c r="F1049" s="138" t="str">
        <f>+IFERROR(VLOOKUP(Fact_Analitica[[#This Row],[Concepto Anterior]],Conceptos_Analítica_contraloría[#All],7,0),"")</f>
        <v/>
      </c>
      <c r="I1049" s="138" t="str">
        <f>+IFERROR(VLOOKUP(D1049,Conceptos_Analítica_contraloría[#All],2,0),"")</f>
        <v/>
      </c>
      <c r="J1049" s="138" t="str">
        <f>+IFERROR(VLOOKUP(D1049,Conceptos_Analítica_contraloría[#All],3,0),"")</f>
        <v/>
      </c>
    </row>
    <row r="1050" spans="3:10" x14ac:dyDescent="0.35">
      <c r="C1050" s="144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s="138" t="str">
        <f>+IFERROR(VLOOKUP(Fact_Analitica[[#This Row],[Concepto Anterior]],Conceptos_Analítica_contraloría[#All],5,0),"")</f>
        <v/>
      </c>
      <c r="F1050" s="138" t="str">
        <f>+IFERROR(VLOOKUP(Fact_Analitica[[#This Row],[Concepto Anterior]],Conceptos_Analítica_contraloría[#All],7,0),"")</f>
        <v/>
      </c>
      <c r="I1050" s="138" t="str">
        <f>+IFERROR(VLOOKUP(D1050,Conceptos_Analítica_contraloría[#All],2,0),"")</f>
        <v/>
      </c>
      <c r="J1050" s="138" t="str">
        <f>+IFERROR(VLOOKUP(D1050,Conceptos_Analítica_contraloría[#All],3,0),"")</f>
        <v/>
      </c>
    </row>
    <row r="1051" spans="3:10" x14ac:dyDescent="0.35">
      <c r="C1051" s="144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s="138" t="str">
        <f>+IFERROR(VLOOKUP(Fact_Analitica[[#This Row],[Concepto Anterior]],Conceptos_Analítica_contraloría[#All],5,0),"")</f>
        <v/>
      </c>
      <c r="F1051" s="138" t="str">
        <f>+IFERROR(VLOOKUP(Fact_Analitica[[#This Row],[Concepto Anterior]],Conceptos_Analítica_contraloría[#All],7,0),"")</f>
        <v/>
      </c>
      <c r="I1051" s="138" t="str">
        <f>+IFERROR(VLOOKUP(D1051,Conceptos_Analítica_contraloría[#All],2,0),"")</f>
        <v/>
      </c>
      <c r="J1051" s="138" t="str">
        <f>+IFERROR(VLOOKUP(D1051,Conceptos_Analítica_contraloría[#All],3,0),"")</f>
        <v/>
      </c>
    </row>
    <row r="1052" spans="3:10" x14ac:dyDescent="0.35">
      <c r="C1052" s="144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s="138" t="str">
        <f>+IFERROR(VLOOKUP(Fact_Analitica[[#This Row],[Concepto Anterior]],Conceptos_Analítica_contraloría[#All],5,0),"")</f>
        <v/>
      </c>
      <c r="F1052" s="138" t="str">
        <f>+IFERROR(VLOOKUP(Fact_Analitica[[#This Row],[Concepto Anterior]],Conceptos_Analítica_contraloría[#All],7,0),"")</f>
        <v/>
      </c>
      <c r="I1052" s="138" t="str">
        <f>+IFERROR(VLOOKUP(D1052,Conceptos_Analítica_contraloría[#All],2,0),"")</f>
        <v/>
      </c>
      <c r="J1052" s="138" t="str">
        <f>+IFERROR(VLOOKUP(D1052,Conceptos_Analítica_contraloría[#All],3,0),"")</f>
        <v/>
      </c>
    </row>
    <row r="1053" spans="3:10" x14ac:dyDescent="0.35">
      <c r="C1053" s="144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s="138" t="str">
        <f>+IFERROR(VLOOKUP(Fact_Analitica[[#This Row],[Concepto Anterior]],Conceptos_Analítica_contraloría[#All],5,0),"")</f>
        <v/>
      </c>
      <c r="F1053" s="138" t="str">
        <f>+IFERROR(VLOOKUP(Fact_Analitica[[#This Row],[Concepto Anterior]],Conceptos_Analítica_contraloría[#All],7,0),"")</f>
        <v/>
      </c>
      <c r="I1053" s="138" t="str">
        <f>+IFERROR(VLOOKUP(D1053,Conceptos_Analítica_contraloría[#All],2,0),"")</f>
        <v/>
      </c>
      <c r="J1053" s="138" t="str">
        <f>+IFERROR(VLOOKUP(D1053,Conceptos_Analítica_contraloría[#All],3,0),"")</f>
        <v/>
      </c>
    </row>
    <row r="1054" spans="3:10" x14ac:dyDescent="0.35">
      <c r="C1054" s="144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s="138" t="str">
        <f>+IFERROR(VLOOKUP(Fact_Analitica[[#This Row],[Concepto Anterior]],Conceptos_Analítica_contraloría[#All],5,0),"")</f>
        <v/>
      </c>
      <c r="F1054" s="138" t="str">
        <f>+IFERROR(VLOOKUP(Fact_Analitica[[#This Row],[Concepto Anterior]],Conceptos_Analítica_contraloría[#All],7,0),"")</f>
        <v/>
      </c>
      <c r="I1054" s="138" t="str">
        <f>+IFERROR(VLOOKUP(D1054,Conceptos_Analítica_contraloría[#All],2,0),"")</f>
        <v/>
      </c>
      <c r="J1054" s="138" t="str">
        <f>+IFERROR(VLOOKUP(D1054,Conceptos_Analítica_contraloría[#All],3,0),"")</f>
        <v/>
      </c>
    </row>
    <row r="1055" spans="3:10" x14ac:dyDescent="0.35">
      <c r="C1055" s="144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s="138" t="str">
        <f>+IFERROR(VLOOKUP(Fact_Analitica[[#This Row],[Concepto Anterior]],Conceptos_Analítica_contraloría[#All],5,0),"")</f>
        <v/>
      </c>
      <c r="F1055" s="138" t="str">
        <f>+IFERROR(VLOOKUP(Fact_Analitica[[#This Row],[Concepto Anterior]],Conceptos_Analítica_contraloría[#All],7,0),"")</f>
        <v/>
      </c>
      <c r="I1055" s="138" t="str">
        <f>+IFERROR(VLOOKUP(D1055,Conceptos_Analítica_contraloría[#All],2,0),"")</f>
        <v/>
      </c>
      <c r="J1055" s="138" t="str">
        <f>+IFERROR(VLOOKUP(D1055,Conceptos_Analítica_contraloría[#All],3,0),"")</f>
        <v/>
      </c>
    </row>
    <row r="1056" spans="3:10" x14ac:dyDescent="0.35">
      <c r="C1056" s="144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s="138" t="str">
        <f>+IFERROR(VLOOKUP(Fact_Analitica[[#This Row],[Concepto Anterior]],Conceptos_Analítica_contraloría[#All],5,0),"")</f>
        <v/>
      </c>
      <c r="F1056" s="138" t="str">
        <f>+IFERROR(VLOOKUP(Fact_Analitica[[#This Row],[Concepto Anterior]],Conceptos_Analítica_contraloría[#All],7,0),"")</f>
        <v/>
      </c>
      <c r="I1056" s="138" t="str">
        <f>+IFERROR(VLOOKUP(D1056,Conceptos_Analítica_contraloría[#All],2,0),"")</f>
        <v/>
      </c>
      <c r="J1056" s="138" t="str">
        <f>+IFERROR(VLOOKUP(D1056,Conceptos_Analítica_contraloría[#All],3,0),"")</f>
        <v/>
      </c>
    </row>
    <row r="1057" spans="3:10" x14ac:dyDescent="0.35">
      <c r="C1057" s="144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s="138" t="str">
        <f>+IFERROR(VLOOKUP(Fact_Analitica[[#This Row],[Concepto Anterior]],Conceptos_Analítica_contraloría[#All],5,0),"")</f>
        <v/>
      </c>
      <c r="F1057" s="138" t="str">
        <f>+IFERROR(VLOOKUP(Fact_Analitica[[#This Row],[Concepto Anterior]],Conceptos_Analítica_contraloría[#All],7,0),"")</f>
        <v/>
      </c>
      <c r="I1057" s="138" t="str">
        <f>+IFERROR(VLOOKUP(D1057,Conceptos_Analítica_contraloría[#All],2,0),"")</f>
        <v/>
      </c>
      <c r="J1057" s="138" t="str">
        <f>+IFERROR(VLOOKUP(D1057,Conceptos_Analítica_contraloría[#All],3,0),"")</f>
        <v/>
      </c>
    </row>
    <row r="1058" spans="3:10" x14ac:dyDescent="0.35">
      <c r="C1058" s="144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s="138" t="str">
        <f>+IFERROR(VLOOKUP(Fact_Analitica[[#This Row],[Concepto Anterior]],Conceptos_Analítica_contraloría[#All],5,0),"")</f>
        <v/>
      </c>
      <c r="F1058" s="138" t="str">
        <f>+IFERROR(VLOOKUP(Fact_Analitica[[#This Row],[Concepto Anterior]],Conceptos_Analítica_contraloría[#All],7,0),"")</f>
        <v/>
      </c>
      <c r="I1058" s="138" t="str">
        <f>+IFERROR(VLOOKUP(D1058,Conceptos_Analítica_contraloría[#All],2,0),"")</f>
        <v/>
      </c>
      <c r="J1058" s="138" t="str">
        <f>+IFERROR(VLOOKUP(D1058,Conceptos_Analítica_contraloría[#All],3,0),"")</f>
        <v/>
      </c>
    </row>
    <row r="1059" spans="3:10" x14ac:dyDescent="0.35">
      <c r="C1059" s="144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s="138" t="str">
        <f>+IFERROR(VLOOKUP(Fact_Analitica[[#This Row],[Concepto Anterior]],Conceptos_Analítica_contraloría[#All],5,0),"")</f>
        <v/>
      </c>
      <c r="F1059" s="138" t="str">
        <f>+IFERROR(VLOOKUP(Fact_Analitica[[#This Row],[Concepto Anterior]],Conceptos_Analítica_contraloría[#All],7,0),"")</f>
        <v/>
      </c>
      <c r="I1059" s="138" t="str">
        <f>+IFERROR(VLOOKUP(D1059,Conceptos_Analítica_contraloría[#All],2,0),"")</f>
        <v/>
      </c>
      <c r="J1059" s="138" t="str">
        <f>+IFERROR(VLOOKUP(D1059,Conceptos_Analítica_contraloría[#All],3,0),"")</f>
        <v/>
      </c>
    </row>
    <row r="1060" spans="3:10" x14ac:dyDescent="0.35">
      <c r="C1060" s="144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s="138" t="str">
        <f>+IFERROR(VLOOKUP(Fact_Analitica[[#This Row],[Concepto Anterior]],Conceptos_Analítica_contraloría[#All],5,0),"")</f>
        <v/>
      </c>
      <c r="F1060" s="138" t="str">
        <f>+IFERROR(VLOOKUP(Fact_Analitica[[#This Row],[Concepto Anterior]],Conceptos_Analítica_contraloría[#All],7,0),"")</f>
        <v/>
      </c>
      <c r="I1060" s="138" t="str">
        <f>+IFERROR(VLOOKUP(D1060,Conceptos_Analítica_contraloría[#All],2,0),"")</f>
        <v/>
      </c>
      <c r="J1060" s="138" t="str">
        <f>+IFERROR(VLOOKUP(D1060,Conceptos_Analítica_contraloría[#All],3,0),"")</f>
        <v/>
      </c>
    </row>
    <row r="1061" spans="3:10" x14ac:dyDescent="0.35">
      <c r="C1061" s="144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s="138" t="str">
        <f>+IFERROR(VLOOKUP(Fact_Analitica[[#This Row],[Concepto Anterior]],Conceptos_Analítica_contraloría[#All],5,0),"")</f>
        <v/>
      </c>
      <c r="F1061" s="138" t="str">
        <f>+IFERROR(VLOOKUP(Fact_Analitica[[#This Row],[Concepto Anterior]],Conceptos_Analítica_contraloría[#All],7,0),"")</f>
        <v/>
      </c>
      <c r="I1061" s="138" t="str">
        <f>+IFERROR(VLOOKUP(D1061,Conceptos_Analítica_contraloría[#All],2,0),"")</f>
        <v/>
      </c>
      <c r="J1061" s="138" t="str">
        <f>+IFERROR(VLOOKUP(D1061,Conceptos_Analítica_contraloría[#All],3,0),"")</f>
        <v/>
      </c>
    </row>
    <row r="1062" spans="3:10" x14ac:dyDescent="0.35">
      <c r="C1062" s="144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s="138" t="str">
        <f>+IFERROR(VLOOKUP(Fact_Analitica[[#This Row],[Concepto Anterior]],Conceptos_Analítica_contraloría[#All],5,0),"")</f>
        <v/>
      </c>
      <c r="F1062" s="138" t="str">
        <f>+IFERROR(VLOOKUP(Fact_Analitica[[#This Row],[Concepto Anterior]],Conceptos_Analítica_contraloría[#All],7,0),"")</f>
        <v/>
      </c>
      <c r="I1062" s="138" t="str">
        <f>+IFERROR(VLOOKUP(D1062,Conceptos_Analítica_contraloría[#All],2,0),"")</f>
        <v/>
      </c>
      <c r="J1062" s="138" t="str">
        <f>+IFERROR(VLOOKUP(D1062,Conceptos_Analítica_contraloría[#All],3,0),"")</f>
        <v/>
      </c>
    </row>
    <row r="1063" spans="3:10" x14ac:dyDescent="0.35">
      <c r="C1063" s="144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s="138" t="str">
        <f>+IFERROR(VLOOKUP(Fact_Analitica[[#This Row],[Concepto Anterior]],Conceptos_Analítica_contraloría[#All],5,0),"")</f>
        <v/>
      </c>
      <c r="F1063" s="138" t="str">
        <f>+IFERROR(VLOOKUP(Fact_Analitica[[#This Row],[Concepto Anterior]],Conceptos_Analítica_contraloría[#All],7,0),"")</f>
        <v/>
      </c>
      <c r="I1063" s="138" t="str">
        <f>+IFERROR(VLOOKUP(D1063,Conceptos_Analítica_contraloría[#All],2,0),"")</f>
        <v/>
      </c>
      <c r="J1063" s="138" t="str">
        <f>+IFERROR(VLOOKUP(D1063,Conceptos_Analítica_contraloría[#All],3,0),"")</f>
        <v/>
      </c>
    </row>
    <row r="1064" spans="3:10" x14ac:dyDescent="0.35">
      <c r="C1064" s="144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s="138" t="str">
        <f>+IFERROR(VLOOKUP(Fact_Analitica[[#This Row],[Concepto Anterior]],Conceptos_Analítica_contraloría[#All],5,0),"")</f>
        <v/>
      </c>
      <c r="F1064" s="138" t="str">
        <f>+IFERROR(VLOOKUP(Fact_Analitica[[#This Row],[Concepto Anterior]],Conceptos_Analítica_contraloría[#All],7,0),"")</f>
        <v/>
      </c>
      <c r="I1064" s="138" t="str">
        <f>+IFERROR(VLOOKUP(D1064,Conceptos_Analítica_contraloría[#All],2,0),"")</f>
        <v/>
      </c>
      <c r="J1064" s="138" t="str">
        <f>+IFERROR(VLOOKUP(D1064,Conceptos_Analítica_contraloría[#All],3,0),"")</f>
        <v/>
      </c>
    </row>
    <row r="1065" spans="3:10" x14ac:dyDescent="0.35">
      <c r="C1065" s="144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s="138" t="str">
        <f>+IFERROR(VLOOKUP(Fact_Analitica[[#This Row],[Concepto Anterior]],Conceptos_Analítica_contraloría[#All],5,0),"")</f>
        <v/>
      </c>
      <c r="F1065" s="138" t="str">
        <f>+IFERROR(VLOOKUP(Fact_Analitica[[#This Row],[Concepto Anterior]],Conceptos_Analítica_contraloría[#All],7,0),"")</f>
        <v/>
      </c>
      <c r="I1065" s="138" t="str">
        <f>+IFERROR(VLOOKUP(D1065,Conceptos_Analítica_contraloría[#All],2,0),"")</f>
        <v/>
      </c>
      <c r="J1065" s="138" t="str">
        <f>+IFERROR(VLOOKUP(D1065,Conceptos_Analítica_contraloría[#All],3,0),"")</f>
        <v/>
      </c>
    </row>
    <row r="1066" spans="3:10" x14ac:dyDescent="0.35">
      <c r="C1066" s="144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s="138" t="str">
        <f>+IFERROR(VLOOKUP(Fact_Analitica[[#This Row],[Concepto Anterior]],Conceptos_Analítica_contraloría[#All],5,0),"")</f>
        <v/>
      </c>
      <c r="F1066" s="138" t="str">
        <f>+IFERROR(VLOOKUP(Fact_Analitica[[#This Row],[Concepto Anterior]],Conceptos_Analítica_contraloría[#All],7,0),"")</f>
        <v/>
      </c>
      <c r="I1066" s="138" t="str">
        <f>+IFERROR(VLOOKUP(D1066,Conceptos_Analítica_contraloría[#All],2,0),"")</f>
        <v/>
      </c>
      <c r="J1066" s="138" t="str">
        <f>+IFERROR(VLOOKUP(D1066,Conceptos_Analítica_contraloría[#All],3,0),"")</f>
        <v/>
      </c>
    </row>
    <row r="1067" spans="3:10" x14ac:dyDescent="0.35">
      <c r="C1067" s="144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s="138" t="str">
        <f>+IFERROR(VLOOKUP(Fact_Analitica[[#This Row],[Concepto Anterior]],Conceptos_Analítica_contraloría[#All],5,0),"")</f>
        <v/>
      </c>
      <c r="F1067" s="138" t="str">
        <f>+IFERROR(VLOOKUP(Fact_Analitica[[#This Row],[Concepto Anterior]],Conceptos_Analítica_contraloría[#All],7,0),"")</f>
        <v/>
      </c>
      <c r="I1067" s="138" t="str">
        <f>+IFERROR(VLOOKUP(D1067,Conceptos_Analítica_contraloría[#All],2,0),"")</f>
        <v/>
      </c>
      <c r="J1067" s="138" t="str">
        <f>+IFERROR(VLOOKUP(D1067,Conceptos_Analítica_contraloría[#All],3,0),"")</f>
        <v/>
      </c>
    </row>
    <row r="1068" spans="3:10" x14ac:dyDescent="0.35">
      <c r="C1068" s="144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s="138" t="str">
        <f>+IFERROR(VLOOKUP(Fact_Analitica[[#This Row],[Concepto Anterior]],Conceptos_Analítica_contraloría[#All],5,0),"")</f>
        <v/>
      </c>
      <c r="F1068" s="138" t="str">
        <f>+IFERROR(VLOOKUP(Fact_Analitica[[#This Row],[Concepto Anterior]],Conceptos_Analítica_contraloría[#All],7,0),"")</f>
        <v/>
      </c>
      <c r="I1068" s="138" t="str">
        <f>+IFERROR(VLOOKUP(D1068,Conceptos_Analítica_contraloría[#All],2,0),"")</f>
        <v/>
      </c>
      <c r="J1068" s="138" t="str">
        <f>+IFERROR(VLOOKUP(D1068,Conceptos_Analítica_contraloría[#All],3,0),"")</f>
        <v/>
      </c>
    </row>
    <row r="1069" spans="3:10" x14ac:dyDescent="0.35">
      <c r="C1069" s="144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s="138" t="str">
        <f>+IFERROR(VLOOKUP(Fact_Analitica[[#This Row],[Concepto Anterior]],Conceptos_Analítica_contraloría[#All],5,0),"")</f>
        <v/>
      </c>
      <c r="F1069" s="138" t="str">
        <f>+IFERROR(VLOOKUP(Fact_Analitica[[#This Row],[Concepto Anterior]],Conceptos_Analítica_contraloría[#All],7,0),"")</f>
        <v/>
      </c>
      <c r="I1069" s="138" t="str">
        <f>+IFERROR(VLOOKUP(D1069,Conceptos_Analítica_contraloría[#All],2,0),"")</f>
        <v/>
      </c>
      <c r="J1069" s="138" t="str">
        <f>+IFERROR(VLOOKUP(D1069,Conceptos_Analítica_contraloría[#All],3,0),"")</f>
        <v/>
      </c>
    </row>
    <row r="1070" spans="3:10" x14ac:dyDescent="0.35">
      <c r="C1070" s="144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s="138" t="str">
        <f>+IFERROR(VLOOKUP(Fact_Analitica[[#This Row],[Concepto Anterior]],Conceptos_Analítica_contraloría[#All],5,0),"")</f>
        <v/>
      </c>
      <c r="F1070" s="138" t="str">
        <f>+IFERROR(VLOOKUP(Fact_Analitica[[#This Row],[Concepto Anterior]],Conceptos_Analítica_contraloría[#All],7,0),"")</f>
        <v/>
      </c>
      <c r="I1070" s="138" t="str">
        <f>+IFERROR(VLOOKUP(D1070,Conceptos_Analítica_contraloría[#All],2,0),"")</f>
        <v/>
      </c>
      <c r="J1070" s="138" t="str">
        <f>+IFERROR(VLOOKUP(D1070,Conceptos_Analítica_contraloría[#All],3,0),"")</f>
        <v/>
      </c>
    </row>
    <row r="1071" spans="3:10" x14ac:dyDescent="0.35">
      <c r="C1071" s="144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s="138" t="str">
        <f>+IFERROR(VLOOKUP(Fact_Analitica[[#This Row],[Concepto Anterior]],Conceptos_Analítica_contraloría[#All],5,0),"")</f>
        <v/>
      </c>
      <c r="F1071" s="138" t="str">
        <f>+IFERROR(VLOOKUP(Fact_Analitica[[#This Row],[Concepto Anterior]],Conceptos_Analítica_contraloría[#All],7,0),"")</f>
        <v/>
      </c>
      <c r="I1071" s="138" t="str">
        <f>+IFERROR(VLOOKUP(D1071,Conceptos_Analítica_contraloría[#All],2,0),"")</f>
        <v/>
      </c>
      <c r="J1071" s="138" t="str">
        <f>+IFERROR(VLOOKUP(D1071,Conceptos_Analítica_contraloría[#All],3,0),"")</f>
        <v/>
      </c>
    </row>
    <row r="1072" spans="3:10" x14ac:dyDescent="0.35">
      <c r="C1072" s="144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s="138" t="str">
        <f>+IFERROR(VLOOKUP(Fact_Analitica[[#This Row],[Concepto Anterior]],Conceptos_Analítica_contraloría[#All],5,0),"")</f>
        <v/>
      </c>
      <c r="F1072" s="138" t="str">
        <f>+IFERROR(VLOOKUP(Fact_Analitica[[#This Row],[Concepto Anterior]],Conceptos_Analítica_contraloría[#All],7,0),"")</f>
        <v/>
      </c>
      <c r="I1072" s="138" t="str">
        <f>+IFERROR(VLOOKUP(D1072,Conceptos_Analítica_contraloría[#All],2,0),"")</f>
        <v/>
      </c>
      <c r="J1072" s="138" t="str">
        <f>+IFERROR(VLOOKUP(D1072,Conceptos_Analítica_contraloría[#All],3,0),"")</f>
        <v/>
      </c>
    </row>
    <row r="1073" spans="3:10" x14ac:dyDescent="0.35">
      <c r="C1073" s="144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s="138" t="str">
        <f>+IFERROR(VLOOKUP(Fact_Analitica[[#This Row],[Concepto Anterior]],Conceptos_Analítica_contraloría[#All],5,0),"")</f>
        <v/>
      </c>
      <c r="F1073" s="138" t="str">
        <f>+IFERROR(VLOOKUP(Fact_Analitica[[#This Row],[Concepto Anterior]],Conceptos_Analítica_contraloría[#All],7,0),"")</f>
        <v/>
      </c>
      <c r="I1073" s="138" t="str">
        <f>+IFERROR(VLOOKUP(D1073,Conceptos_Analítica_contraloría[#All],2,0),"")</f>
        <v/>
      </c>
      <c r="J1073" s="138" t="str">
        <f>+IFERROR(VLOOKUP(D1073,Conceptos_Analítica_contraloría[#All],3,0),"")</f>
        <v/>
      </c>
    </row>
    <row r="1074" spans="3:10" x14ac:dyDescent="0.35">
      <c r="C1074" s="144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s="138" t="str">
        <f>+IFERROR(VLOOKUP(Fact_Analitica[[#This Row],[Concepto Anterior]],Conceptos_Analítica_contraloría[#All],5,0),"")</f>
        <v/>
      </c>
      <c r="F1074" s="138" t="str">
        <f>+IFERROR(VLOOKUP(Fact_Analitica[[#This Row],[Concepto Anterior]],Conceptos_Analítica_contraloría[#All],7,0),"")</f>
        <v/>
      </c>
      <c r="I1074" s="138" t="str">
        <f>+IFERROR(VLOOKUP(D1074,Conceptos_Analítica_contraloría[#All],2,0),"")</f>
        <v/>
      </c>
      <c r="J1074" s="138" t="str">
        <f>+IFERROR(VLOOKUP(D1074,Conceptos_Analítica_contraloría[#All],3,0),"")</f>
        <v/>
      </c>
    </row>
    <row r="1075" spans="3:10" x14ac:dyDescent="0.35">
      <c r="C1075" s="144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s="138" t="str">
        <f>+IFERROR(VLOOKUP(Fact_Analitica[[#This Row],[Concepto Anterior]],Conceptos_Analítica_contraloría[#All],5,0),"")</f>
        <v/>
      </c>
      <c r="F1075" s="138" t="str">
        <f>+IFERROR(VLOOKUP(Fact_Analitica[[#This Row],[Concepto Anterior]],Conceptos_Analítica_contraloría[#All],7,0),"")</f>
        <v/>
      </c>
      <c r="I1075" s="138" t="str">
        <f>+IFERROR(VLOOKUP(D1075,Conceptos_Analítica_contraloría[#All],2,0),"")</f>
        <v/>
      </c>
      <c r="J1075" s="138" t="str">
        <f>+IFERROR(VLOOKUP(D1075,Conceptos_Analítica_contraloría[#All],3,0),"")</f>
        <v/>
      </c>
    </row>
    <row r="1076" spans="3:10" x14ac:dyDescent="0.35">
      <c r="C1076" s="144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s="138" t="str">
        <f>+IFERROR(VLOOKUP(Fact_Analitica[[#This Row],[Concepto Anterior]],Conceptos_Analítica_contraloría[#All],5,0),"")</f>
        <v/>
      </c>
      <c r="F1076" s="138" t="str">
        <f>+IFERROR(VLOOKUP(Fact_Analitica[[#This Row],[Concepto Anterior]],Conceptos_Analítica_contraloría[#All],7,0),"")</f>
        <v/>
      </c>
      <c r="I1076" s="138" t="str">
        <f>+IFERROR(VLOOKUP(D1076,Conceptos_Analítica_contraloría[#All],2,0),"")</f>
        <v/>
      </c>
      <c r="J1076" s="138" t="str">
        <f>+IFERROR(VLOOKUP(D1076,Conceptos_Analítica_contraloría[#All],3,0),"")</f>
        <v/>
      </c>
    </row>
    <row r="1077" spans="3:10" x14ac:dyDescent="0.35">
      <c r="C1077" s="144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s="138" t="str">
        <f>+IFERROR(VLOOKUP(Fact_Analitica[[#This Row],[Concepto Anterior]],Conceptos_Analítica_contraloría[#All],5,0),"")</f>
        <v/>
      </c>
      <c r="F1077" s="138" t="str">
        <f>+IFERROR(VLOOKUP(Fact_Analitica[[#This Row],[Concepto Anterior]],Conceptos_Analítica_contraloría[#All],7,0),"")</f>
        <v/>
      </c>
      <c r="I1077" s="138" t="str">
        <f>+IFERROR(VLOOKUP(D1077,Conceptos_Analítica_contraloría[#All],2,0),"")</f>
        <v/>
      </c>
      <c r="J1077" s="138" t="str">
        <f>+IFERROR(VLOOKUP(D1077,Conceptos_Analítica_contraloría[#All],3,0),"")</f>
        <v/>
      </c>
    </row>
    <row r="1078" spans="3:10" x14ac:dyDescent="0.35">
      <c r="C1078" s="144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s="138" t="str">
        <f>+IFERROR(VLOOKUP(Fact_Analitica[[#This Row],[Concepto Anterior]],Conceptos_Analítica_contraloría[#All],5,0),"")</f>
        <v/>
      </c>
      <c r="F1078" s="138" t="str">
        <f>+IFERROR(VLOOKUP(Fact_Analitica[[#This Row],[Concepto Anterior]],Conceptos_Analítica_contraloría[#All],7,0),"")</f>
        <v/>
      </c>
      <c r="I1078" s="138" t="str">
        <f>+IFERROR(VLOOKUP(D1078,Conceptos_Analítica_contraloría[#All],2,0),"")</f>
        <v/>
      </c>
      <c r="J1078" s="138" t="str">
        <f>+IFERROR(VLOOKUP(D1078,Conceptos_Analítica_contraloría[#All],3,0),"")</f>
        <v/>
      </c>
    </row>
    <row r="1079" spans="3:10" x14ac:dyDescent="0.35">
      <c r="C1079" s="144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s="138" t="str">
        <f>+IFERROR(VLOOKUP(Fact_Analitica[[#This Row],[Concepto Anterior]],Conceptos_Analítica_contraloría[#All],5,0),"")</f>
        <v/>
      </c>
      <c r="F1079" s="138" t="str">
        <f>+IFERROR(VLOOKUP(Fact_Analitica[[#This Row],[Concepto Anterior]],Conceptos_Analítica_contraloría[#All],7,0),"")</f>
        <v/>
      </c>
      <c r="I1079" s="138" t="str">
        <f>+IFERROR(VLOOKUP(D1079,Conceptos_Analítica_contraloría[#All],2,0),"")</f>
        <v/>
      </c>
      <c r="J1079" s="138" t="str">
        <f>+IFERROR(VLOOKUP(D1079,Conceptos_Analítica_contraloría[#All],3,0),"")</f>
        <v/>
      </c>
    </row>
    <row r="1080" spans="3:10" x14ac:dyDescent="0.35">
      <c r="C1080" s="144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s="138" t="str">
        <f>+IFERROR(VLOOKUP(Fact_Analitica[[#This Row],[Concepto Anterior]],Conceptos_Analítica_contraloría[#All],5,0),"")</f>
        <v/>
      </c>
      <c r="F1080" s="138" t="str">
        <f>+IFERROR(VLOOKUP(Fact_Analitica[[#This Row],[Concepto Anterior]],Conceptos_Analítica_contraloría[#All],7,0),"")</f>
        <v/>
      </c>
      <c r="I1080" s="138" t="str">
        <f>+IFERROR(VLOOKUP(D1080,Conceptos_Analítica_contraloría[#All],2,0),"")</f>
        <v/>
      </c>
      <c r="J1080" s="138" t="str">
        <f>+IFERROR(VLOOKUP(D1080,Conceptos_Analítica_contraloría[#All],3,0),"")</f>
        <v/>
      </c>
    </row>
    <row r="1081" spans="3:10" x14ac:dyDescent="0.35">
      <c r="C1081" s="144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s="138" t="str">
        <f>+IFERROR(VLOOKUP(Fact_Analitica[[#This Row],[Concepto Anterior]],Conceptos_Analítica_contraloría[#All],5,0),"")</f>
        <v/>
      </c>
      <c r="F1081" s="138" t="str">
        <f>+IFERROR(VLOOKUP(Fact_Analitica[[#This Row],[Concepto Anterior]],Conceptos_Analítica_contraloría[#All],7,0),"")</f>
        <v/>
      </c>
      <c r="I1081" s="138" t="str">
        <f>+IFERROR(VLOOKUP(D1081,Conceptos_Analítica_contraloría[#All],2,0),"")</f>
        <v/>
      </c>
      <c r="J1081" s="138" t="str">
        <f>+IFERROR(VLOOKUP(D1081,Conceptos_Analítica_contraloría[#All],3,0),"")</f>
        <v/>
      </c>
    </row>
    <row r="1082" spans="3:10" x14ac:dyDescent="0.35">
      <c r="C1082" s="144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s="138" t="str">
        <f>+IFERROR(VLOOKUP(Fact_Analitica[[#This Row],[Concepto Anterior]],Conceptos_Analítica_contraloría[#All],5,0),"")</f>
        <v/>
      </c>
      <c r="F1082" s="138" t="str">
        <f>+IFERROR(VLOOKUP(Fact_Analitica[[#This Row],[Concepto Anterior]],Conceptos_Analítica_contraloría[#All],7,0),"")</f>
        <v/>
      </c>
      <c r="I1082" s="138" t="str">
        <f>+IFERROR(VLOOKUP(D1082,Conceptos_Analítica_contraloría[#All],2,0),"")</f>
        <v/>
      </c>
      <c r="J1082" s="138" t="str">
        <f>+IFERROR(VLOOKUP(D1082,Conceptos_Analítica_contraloría[#All],3,0),"")</f>
        <v/>
      </c>
    </row>
    <row r="1083" spans="3:10" x14ac:dyDescent="0.35">
      <c r="C1083" s="144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s="138" t="str">
        <f>+IFERROR(VLOOKUP(Fact_Analitica[[#This Row],[Concepto Anterior]],Conceptos_Analítica_contraloría[#All],5,0),"")</f>
        <v/>
      </c>
      <c r="F1083" s="138" t="str">
        <f>+IFERROR(VLOOKUP(Fact_Analitica[[#This Row],[Concepto Anterior]],Conceptos_Analítica_contraloría[#All],7,0),"")</f>
        <v/>
      </c>
      <c r="I1083" s="138" t="str">
        <f>+IFERROR(VLOOKUP(D1083,Conceptos_Analítica_contraloría[#All],2,0),"")</f>
        <v/>
      </c>
      <c r="J1083" s="138" t="str">
        <f>+IFERROR(VLOOKUP(D1083,Conceptos_Analítica_contraloría[#All],3,0),"")</f>
        <v/>
      </c>
    </row>
    <row r="1084" spans="3:10" x14ac:dyDescent="0.35">
      <c r="C1084" s="144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s="138" t="str">
        <f>+IFERROR(VLOOKUP(Fact_Analitica[[#This Row],[Concepto Anterior]],Conceptos_Analítica_contraloría[#All],5,0),"")</f>
        <v/>
      </c>
      <c r="F1084" s="138" t="str">
        <f>+IFERROR(VLOOKUP(Fact_Analitica[[#This Row],[Concepto Anterior]],Conceptos_Analítica_contraloría[#All],7,0),"")</f>
        <v/>
      </c>
      <c r="I1084" s="138" t="str">
        <f>+IFERROR(VLOOKUP(D1084,Conceptos_Analítica_contraloría[#All],2,0),"")</f>
        <v/>
      </c>
      <c r="J1084" s="138" t="str">
        <f>+IFERROR(VLOOKUP(D1084,Conceptos_Analítica_contraloría[#All],3,0),"")</f>
        <v/>
      </c>
    </row>
    <row r="1085" spans="3:10" x14ac:dyDescent="0.35">
      <c r="C1085" s="144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s="138" t="str">
        <f>+IFERROR(VLOOKUP(Fact_Analitica[[#This Row],[Concepto Anterior]],Conceptos_Analítica_contraloría[#All],5,0),"")</f>
        <v/>
      </c>
      <c r="F1085" s="138" t="str">
        <f>+IFERROR(VLOOKUP(Fact_Analitica[[#This Row],[Concepto Anterior]],Conceptos_Analítica_contraloría[#All],7,0),"")</f>
        <v/>
      </c>
      <c r="I1085" s="138" t="str">
        <f>+IFERROR(VLOOKUP(D1085,Conceptos_Analítica_contraloría[#All],2,0),"")</f>
        <v/>
      </c>
      <c r="J1085" s="138" t="str">
        <f>+IFERROR(VLOOKUP(D1085,Conceptos_Analítica_contraloría[#All],3,0),"")</f>
        <v/>
      </c>
    </row>
    <row r="1086" spans="3:10" x14ac:dyDescent="0.35">
      <c r="C1086" s="144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s="138" t="str">
        <f>+IFERROR(VLOOKUP(Fact_Analitica[[#This Row],[Concepto Anterior]],Conceptos_Analítica_contraloría[#All],5,0),"")</f>
        <v/>
      </c>
      <c r="F1086" s="138" t="str">
        <f>+IFERROR(VLOOKUP(Fact_Analitica[[#This Row],[Concepto Anterior]],Conceptos_Analítica_contraloría[#All],7,0),"")</f>
        <v/>
      </c>
      <c r="I1086" s="138" t="str">
        <f>+IFERROR(VLOOKUP(D1086,Conceptos_Analítica_contraloría[#All],2,0),"")</f>
        <v/>
      </c>
      <c r="J1086" s="138" t="str">
        <f>+IFERROR(VLOOKUP(D1086,Conceptos_Analítica_contraloría[#All],3,0),"")</f>
        <v/>
      </c>
    </row>
    <row r="1087" spans="3:10" x14ac:dyDescent="0.35">
      <c r="C1087" s="144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s="138" t="str">
        <f>+IFERROR(VLOOKUP(Fact_Analitica[[#This Row],[Concepto Anterior]],Conceptos_Analítica_contraloría[#All],5,0),"")</f>
        <v/>
      </c>
      <c r="F1087" s="138" t="str">
        <f>+IFERROR(VLOOKUP(Fact_Analitica[[#This Row],[Concepto Anterior]],Conceptos_Analítica_contraloría[#All],7,0),"")</f>
        <v/>
      </c>
      <c r="I1087" s="138" t="str">
        <f>+IFERROR(VLOOKUP(D1087,Conceptos_Analítica_contraloría[#All],2,0),"")</f>
        <v/>
      </c>
      <c r="J1087" s="138" t="str">
        <f>+IFERROR(VLOOKUP(D1087,Conceptos_Analítica_contraloría[#All],3,0),"")</f>
        <v/>
      </c>
    </row>
    <row r="1088" spans="3:10" x14ac:dyDescent="0.35">
      <c r="C1088" s="144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s="138" t="str">
        <f>+IFERROR(VLOOKUP(Fact_Analitica[[#This Row],[Concepto Anterior]],Conceptos_Analítica_contraloría[#All],5,0),"")</f>
        <v/>
      </c>
      <c r="F1088" s="138" t="str">
        <f>+IFERROR(VLOOKUP(Fact_Analitica[[#This Row],[Concepto Anterior]],Conceptos_Analítica_contraloría[#All],7,0),"")</f>
        <v/>
      </c>
      <c r="I1088" s="138" t="str">
        <f>+IFERROR(VLOOKUP(D1088,Conceptos_Analítica_contraloría[#All],2,0),"")</f>
        <v/>
      </c>
      <c r="J1088" s="138" t="str">
        <f>+IFERROR(VLOOKUP(D1088,Conceptos_Analítica_contraloría[#All],3,0),"")</f>
        <v/>
      </c>
    </row>
    <row r="1089" spans="3:10" x14ac:dyDescent="0.35">
      <c r="C1089" s="144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s="138" t="str">
        <f>+IFERROR(VLOOKUP(Fact_Analitica[[#This Row],[Concepto Anterior]],Conceptos_Analítica_contraloría[#All],5,0),"")</f>
        <v/>
      </c>
      <c r="F1089" s="138" t="str">
        <f>+IFERROR(VLOOKUP(Fact_Analitica[[#This Row],[Concepto Anterior]],Conceptos_Analítica_contraloría[#All],7,0),"")</f>
        <v/>
      </c>
      <c r="I1089" s="138" t="str">
        <f>+IFERROR(VLOOKUP(D1089,Conceptos_Analítica_contraloría[#All],2,0),"")</f>
        <v/>
      </c>
      <c r="J1089" s="138" t="str">
        <f>+IFERROR(VLOOKUP(D1089,Conceptos_Analítica_contraloría[#All],3,0),"")</f>
        <v/>
      </c>
    </row>
    <row r="1090" spans="3:10" x14ac:dyDescent="0.35">
      <c r="C1090" s="144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s="138" t="str">
        <f>+IFERROR(VLOOKUP(Fact_Analitica[[#This Row],[Concepto Anterior]],Conceptos_Analítica_contraloría[#All],5,0),"")</f>
        <v/>
      </c>
      <c r="F1090" s="138" t="str">
        <f>+IFERROR(VLOOKUP(Fact_Analitica[[#This Row],[Concepto Anterior]],Conceptos_Analítica_contraloría[#All],7,0),"")</f>
        <v/>
      </c>
      <c r="I1090" s="138" t="str">
        <f>+IFERROR(VLOOKUP(D1090,Conceptos_Analítica_contraloría[#All],2,0),"")</f>
        <v/>
      </c>
      <c r="J1090" s="138" t="str">
        <f>+IFERROR(VLOOKUP(D1090,Conceptos_Analítica_contraloría[#All],3,0),"")</f>
        <v/>
      </c>
    </row>
    <row r="1091" spans="3:10" x14ac:dyDescent="0.35">
      <c r="C1091" s="144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s="138" t="str">
        <f>+IFERROR(VLOOKUP(Fact_Analitica[[#This Row],[Concepto Anterior]],Conceptos_Analítica_contraloría[#All],5,0),"")</f>
        <v/>
      </c>
      <c r="F1091" s="138" t="str">
        <f>+IFERROR(VLOOKUP(Fact_Analitica[[#This Row],[Concepto Anterior]],Conceptos_Analítica_contraloría[#All],7,0),"")</f>
        <v/>
      </c>
      <c r="I1091" s="138" t="str">
        <f>+IFERROR(VLOOKUP(D1091,Conceptos_Analítica_contraloría[#All],2,0),"")</f>
        <v/>
      </c>
      <c r="J1091" s="138" t="str">
        <f>+IFERROR(VLOOKUP(D1091,Conceptos_Analítica_contraloría[#All],3,0),"")</f>
        <v/>
      </c>
    </row>
    <row r="1092" spans="3:10" x14ac:dyDescent="0.35">
      <c r="C1092" s="144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s="138" t="str">
        <f>+IFERROR(VLOOKUP(Fact_Analitica[[#This Row],[Concepto Anterior]],Conceptos_Analítica_contraloría[#All],5,0),"")</f>
        <v/>
      </c>
      <c r="F1092" s="138" t="str">
        <f>+IFERROR(VLOOKUP(Fact_Analitica[[#This Row],[Concepto Anterior]],Conceptos_Analítica_contraloría[#All],7,0),"")</f>
        <v/>
      </c>
      <c r="I1092" s="138" t="str">
        <f>+IFERROR(VLOOKUP(D1092,Conceptos_Analítica_contraloría[#All],2,0),"")</f>
        <v/>
      </c>
      <c r="J1092" s="138" t="str">
        <f>+IFERROR(VLOOKUP(D1092,Conceptos_Analítica_contraloría[#All],3,0),"")</f>
        <v/>
      </c>
    </row>
    <row r="1093" spans="3:10" x14ac:dyDescent="0.35">
      <c r="C1093" s="144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s="138" t="str">
        <f>+IFERROR(VLOOKUP(Fact_Analitica[[#This Row],[Concepto Anterior]],Conceptos_Analítica_contraloría[#All],5,0),"")</f>
        <v/>
      </c>
      <c r="F1093" s="138" t="str">
        <f>+IFERROR(VLOOKUP(Fact_Analitica[[#This Row],[Concepto Anterior]],Conceptos_Analítica_contraloría[#All],7,0),"")</f>
        <v/>
      </c>
      <c r="I1093" s="138" t="str">
        <f>+IFERROR(VLOOKUP(D1093,Conceptos_Analítica_contraloría[#All],2,0),"")</f>
        <v/>
      </c>
      <c r="J1093" s="138" t="str">
        <f>+IFERROR(VLOOKUP(D1093,Conceptos_Analítica_contraloría[#All],3,0),"")</f>
        <v/>
      </c>
    </row>
    <row r="1094" spans="3:10" x14ac:dyDescent="0.35">
      <c r="C1094" s="144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s="138" t="str">
        <f>+IFERROR(VLOOKUP(Fact_Analitica[[#This Row],[Concepto Anterior]],Conceptos_Analítica_contraloría[#All],5,0),"")</f>
        <v/>
      </c>
      <c r="F1094" s="138" t="str">
        <f>+IFERROR(VLOOKUP(Fact_Analitica[[#This Row],[Concepto Anterior]],Conceptos_Analítica_contraloría[#All],7,0),"")</f>
        <v/>
      </c>
      <c r="I1094" s="138" t="str">
        <f>+IFERROR(VLOOKUP(D1094,Conceptos_Analítica_contraloría[#All],2,0),"")</f>
        <v/>
      </c>
      <c r="J1094" s="138" t="str">
        <f>+IFERROR(VLOOKUP(D1094,Conceptos_Analítica_contraloría[#All],3,0),"")</f>
        <v/>
      </c>
    </row>
    <row r="1095" spans="3:10" x14ac:dyDescent="0.35">
      <c r="C1095" s="144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s="138" t="str">
        <f>+IFERROR(VLOOKUP(Fact_Analitica[[#This Row],[Concepto Anterior]],Conceptos_Analítica_contraloría[#All],5,0),"")</f>
        <v/>
      </c>
      <c r="F1095" s="138" t="str">
        <f>+IFERROR(VLOOKUP(Fact_Analitica[[#This Row],[Concepto Anterior]],Conceptos_Analítica_contraloría[#All],7,0),"")</f>
        <v/>
      </c>
      <c r="I1095" s="138" t="str">
        <f>+IFERROR(VLOOKUP(D1095,Conceptos_Analítica_contraloría[#All],2,0),"")</f>
        <v/>
      </c>
      <c r="J1095" s="138" t="str">
        <f>+IFERROR(VLOOKUP(D1095,Conceptos_Analítica_contraloría[#All],3,0),"")</f>
        <v/>
      </c>
    </row>
    <row r="1096" spans="3:10" x14ac:dyDescent="0.35">
      <c r="C1096" s="144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s="138" t="str">
        <f>+IFERROR(VLOOKUP(Fact_Analitica[[#This Row],[Concepto Anterior]],Conceptos_Analítica_contraloría[#All],5,0),"")</f>
        <v/>
      </c>
      <c r="F1096" s="138" t="str">
        <f>+IFERROR(VLOOKUP(Fact_Analitica[[#This Row],[Concepto Anterior]],Conceptos_Analítica_contraloría[#All],7,0),"")</f>
        <v/>
      </c>
      <c r="I1096" s="138" t="str">
        <f>+IFERROR(VLOOKUP(D1096,Conceptos_Analítica_contraloría[#All],2,0),"")</f>
        <v/>
      </c>
      <c r="J1096" s="138" t="str">
        <f>+IFERROR(VLOOKUP(D1096,Conceptos_Analítica_contraloría[#All],3,0),"")</f>
        <v/>
      </c>
    </row>
    <row r="1097" spans="3:10" x14ac:dyDescent="0.35">
      <c r="C1097" s="144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s="138" t="str">
        <f>+IFERROR(VLOOKUP(Fact_Analitica[[#This Row],[Concepto Anterior]],Conceptos_Analítica_contraloría[#All],5,0),"")</f>
        <v/>
      </c>
      <c r="F1097" s="138" t="str">
        <f>+IFERROR(VLOOKUP(Fact_Analitica[[#This Row],[Concepto Anterior]],Conceptos_Analítica_contraloría[#All],7,0),"")</f>
        <v/>
      </c>
      <c r="I1097" s="138" t="str">
        <f>+IFERROR(VLOOKUP(D1097,Conceptos_Analítica_contraloría[#All],2,0),"")</f>
        <v/>
      </c>
      <c r="J1097" s="138" t="str">
        <f>+IFERROR(VLOOKUP(D1097,Conceptos_Analítica_contraloría[#All],3,0),"")</f>
        <v/>
      </c>
    </row>
    <row r="1098" spans="3:10" x14ac:dyDescent="0.35">
      <c r="C1098" s="144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s="138" t="str">
        <f>+IFERROR(VLOOKUP(Fact_Analitica[[#This Row],[Concepto Anterior]],Conceptos_Analítica_contraloría[#All],5,0),"")</f>
        <v/>
      </c>
      <c r="F1098" s="138" t="str">
        <f>+IFERROR(VLOOKUP(Fact_Analitica[[#This Row],[Concepto Anterior]],Conceptos_Analítica_contraloría[#All],7,0),"")</f>
        <v/>
      </c>
      <c r="I1098" s="138" t="str">
        <f>+IFERROR(VLOOKUP(D1098,Conceptos_Analítica_contraloría[#All],2,0),"")</f>
        <v/>
      </c>
      <c r="J1098" s="138" t="str">
        <f>+IFERROR(VLOOKUP(D1098,Conceptos_Analítica_contraloría[#All],3,0),"")</f>
        <v/>
      </c>
    </row>
    <row r="1099" spans="3:10" x14ac:dyDescent="0.35">
      <c r="C1099" s="144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s="138" t="str">
        <f>+IFERROR(VLOOKUP(Fact_Analitica[[#This Row],[Concepto Anterior]],Conceptos_Analítica_contraloría[#All],5,0),"")</f>
        <v/>
      </c>
      <c r="F1099" s="138" t="str">
        <f>+IFERROR(VLOOKUP(Fact_Analitica[[#This Row],[Concepto Anterior]],Conceptos_Analítica_contraloría[#All],7,0),"")</f>
        <v/>
      </c>
      <c r="I1099" s="138" t="str">
        <f>+IFERROR(VLOOKUP(D1099,Conceptos_Analítica_contraloría[#All],2,0),"")</f>
        <v/>
      </c>
      <c r="J1099" s="138" t="str">
        <f>+IFERROR(VLOOKUP(D1099,Conceptos_Analítica_contraloría[#All],3,0),"")</f>
        <v/>
      </c>
    </row>
    <row r="1100" spans="3:10" x14ac:dyDescent="0.35">
      <c r="C1100" s="144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s="138" t="str">
        <f>+IFERROR(VLOOKUP(Fact_Analitica[[#This Row],[Concepto Anterior]],Conceptos_Analítica_contraloría[#All],5,0),"")</f>
        <v/>
      </c>
      <c r="F1100" s="138" t="str">
        <f>+IFERROR(VLOOKUP(Fact_Analitica[[#This Row],[Concepto Anterior]],Conceptos_Analítica_contraloría[#All],7,0),"")</f>
        <v/>
      </c>
      <c r="I1100" s="138" t="str">
        <f>+IFERROR(VLOOKUP(D1100,Conceptos_Analítica_contraloría[#All],2,0),"")</f>
        <v/>
      </c>
      <c r="J1100" s="138" t="str">
        <f>+IFERROR(VLOOKUP(D1100,Conceptos_Analítica_contraloría[#All],3,0),"")</f>
        <v/>
      </c>
    </row>
    <row r="1101" spans="3:10" x14ac:dyDescent="0.35">
      <c r="C1101" s="144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s="138" t="str">
        <f>+IFERROR(VLOOKUP(Fact_Analitica[[#This Row],[Concepto Anterior]],Conceptos_Analítica_contraloría[#All],5,0),"")</f>
        <v/>
      </c>
      <c r="F1101" s="138" t="str">
        <f>+IFERROR(VLOOKUP(Fact_Analitica[[#This Row],[Concepto Anterior]],Conceptos_Analítica_contraloría[#All],7,0),"")</f>
        <v/>
      </c>
      <c r="I1101" s="138" t="str">
        <f>+IFERROR(VLOOKUP(D1101,Conceptos_Analítica_contraloría[#All],2,0),"")</f>
        <v/>
      </c>
      <c r="J1101" s="138" t="str">
        <f>+IFERROR(VLOOKUP(D1101,Conceptos_Analítica_contraloría[#All],3,0),"")</f>
        <v/>
      </c>
    </row>
    <row r="1102" spans="3:10" x14ac:dyDescent="0.35">
      <c r="C1102" s="144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s="138" t="str">
        <f>+IFERROR(VLOOKUP(Fact_Analitica[[#This Row],[Concepto Anterior]],Conceptos_Analítica_contraloría[#All],5,0),"")</f>
        <v/>
      </c>
      <c r="F1102" s="138" t="str">
        <f>+IFERROR(VLOOKUP(Fact_Analitica[[#This Row],[Concepto Anterior]],Conceptos_Analítica_contraloría[#All],7,0),"")</f>
        <v/>
      </c>
      <c r="I1102" s="138" t="str">
        <f>+IFERROR(VLOOKUP(D1102,Conceptos_Analítica_contraloría[#All],2,0),"")</f>
        <v/>
      </c>
      <c r="J1102" s="138" t="str">
        <f>+IFERROR(VLOOKUP(D1102,Conceptos_Analítica_contraloría[#All],3,0),"")</f>
        <v/>
      </c>
    </row>
    <row r="1103" spans="3:10" x14ac:dyDescent="0.35">
      <c r="C1103" s="144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s="138" t="str">
        <f>+IFERROR(VLOOKUP(Fact_Analitica[[#This Row],[Concepto Anterior]],Conceptos_Analítica_contraloría[#All],5,0),"")</f>
        <v/>
      </c>
      <c r="F1103" s="138" t="str">
        <f>+IFERROR(VLOOKUP(Fact_Analitica[[#This Row],[Concepto Anterior]],Conceptos_Analítica_contraloría[#All],7,0),"")</f>
        <v/>
      </c>
      <c r="I1103" s="138" t="str">
        <f>+IFERROR(VLOOKUP(D1103,Conceptos_Analítica_contraloría[#All],2,0),"")</f>
        <v/>
      </c>
      <c r="J1103" s="138" t="str">
        <f>+IFERROR(VLOOKUP(D1103,Conceptos_Analítica_contraloría[#All],3,0),"")</f>
        <v/>
      </c>
    </row>
    <row r="1104" spans="3:10" x14ac:dyDescent="0.35">
      <c r="C1104" s="144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s="138" t="str">
        <f>+IFERROR(VLOOKUP(Fact_Analitica[[#This Row],[Concepto Anterior]],Conceptos_Analítica_contraloría[#All],5,0),"")</f>
        <v/>
      </c>
      <c r="F1104" s="138" t="str">
        <f>+IFERROR(VLOOKUP(Fact_Analitica[[#This Row],[Concepto Anterior]],Conceptos_Analítica_contraloría[#All],7,0),"")</f>
        <v/>
      </c>
      <c r="I1104" s="138" t="str">
        <f>+IFERROR(VLOOKUP(D1104,Conceptos_Analítica_contraloría[#All],2,0),"")</f>
        <v/>
      </c>
      <c r="J1104" s="138" t="str">
        <f>+IFERROR(VLOOKUP(D1104,Conceptos_Analítica_contraloría[#All],3,0),"")</f>
        <v/>
      </c>
    </row>
    <row r="1105" spans="3:10" x14ac:dyDescent="0.35">
      <c r="C1105" s="144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s="138" t="str">
        <f>+IFERROR(VLOOKUP(Fact_Analitica[[#This Row],[Concepto Anterior]],Conceptos_Analítica_contraloría[#All],5,0),"")</f>
        <v/>
      </c>
      <c r="F1105" s="138" t="str">
        <f>+IFERROR(VLOOKUP(Fact_Analitica[[#This Row],[Concepto Anterior]],Conceptos_Analítica_contraloría[#All],7,0),"")</f>
        <v/>
      </c>
      <c r="I1105" s="138" t="str">
        <f>+IFERROR(VLOOKUP(D1105,Conceptos_Analítica_contraloría[#All],2,0),"")</f>
        <v/>
      </c>
      <c r="J1105" s="138" t="str">
        <f>+IFERROR(VLOOKUP(D1105,Conceptos_Analítica_contraloría[#All],3,0),"")</f>
        <v/>
      </c>
    </row>
    <row r="1106" spans="3:10" x14ac:dyDescent="0.35">
      <c r="C1106" s="144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s="138" t="str">
        <f>+IFERROR(VLOOKUP(Fact_Analitica[[#This Row],[Concepto Anterior]],Conceptos_Analítica_contraloría[#All],5,0),"")</f>
        <v/>
      </c>
      <c r="F1106" s="138" t="str">
        <f>+IFERROR(VLOOKUP(Fact_Analitica[[#This Row],[Concepto Anterior]],Conceptos_Analítica_contraloría[#All],7,0),"")</f>
        <v/>
      </c>
      <c r="I1106" s="138" t="str">
        <f>+IFERROR(VLOOKUP(D1106,Conceptos_Analítica_contraloría[#All],2,0),"")</f>
        <v/>
      </c>
      <c r="J1106" s="138" t="str">
        <f>+IFERROR(VLOOKUP(D1106,Conceptos_Analítica_contraloría[#All],3,0),"")</f>
        <v/>
      </c>
    </row>
    <row r="1107" spans="3:10" x14ac:dyDescent="0.35">
      <c r="C1107" s="144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s="138" t="str">
        <f>+IFERROR(VLOOKUP(Fact_Analitica[[#This Row],[Concepto Anterior]],Conceptos_Analítica_contraloría[#All],5,0),"")</f>
        <v/>
      </c>
      <c r="F1107" s="138" t="str">
        <f>+IFERROR(VLOOKUP(Fact_Analitica[[#This Row],[Concepto Anterior]],Conceptos_Analítica_contraloría[#All],7,0),"")</f>
        <v/>
      </c>
      <c r="I1107" s="138" t="str">
        <f>+IFERROR(VLOOKUP(D1107,Conceptos_Analítica_contraloría[#All],2,0),"")</f>
        <v/>
      </c>
      <c r="J1107" s="138" t="str">
        <f>+IFERROR(VLOOKUP(D1107,Conceptos_Analítica_contraloría[#All],3,0),"")</f>
        <v/>
      </c>
    </row>
    <row r="1108" spans="3:10" x14ac:dyDescent="0.35">
      <c r="C1108" s="144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s="138" t="str">
        <f>+IFERROR(VLOOKUP(Fact_Analitica[[#This Row],[Concepto Anterior]],Conceptos_Analítica_contraloría[#All],5,0),"")</f>
        <v/>
      </c>
      <c r="F1108" s="138" t="str">
        <f>+IFERROR(VLOOKUP(Fact_Analitica[[#This Row],[Concepto Anterior]],Conceptos_Analítica_contraloría[#All],7,0),"")</f>
        <v/>
      </c>
      <c r="I1108" s="138" t="str">
        <f>+IFERROR(VLOOKUP(D1108,Conceptos_Analítica_contraloría[#All],2,0),"")</f>
        <v/>
      </c>
      <c r="J1108" s="138" t="str">
        <f>+IFERROR(VLOOKUP(D1108,Conceptos_Analítica_contraloría[#All],3,0),"")</f>
        <v/>
      </c>
    </row>
    <row r="1109" spans="3:10" x14ac:dyDescent="0.35">
      <c r="C1109" s="144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s="138" t="str">
        <f>+IFERROR(VLOOKUP(Fact_Analitica[[#This Row],[Concepto Anterior]],Conceptos_Analítica_contraloría[#All],5,0),"")</f>
        <v/>
      </c>
      <c r="F1109" s="138" t="str">
        <f>+IFERROR(VLOOKUP(Fact_Analitica[[#This Row],[Concepto Anterior]],Conceptos_Analítica_contraloría[#All],7,0),"")</f>
        <v/>
      </c>
      <c r="I1109" s="138" t="str">
        <f>+IFERROR(VLOOKUP(D1109,Conceptos_Analítica_contraloría[#All],2,0),"")</f>
        <v/>
      </c>
      <c r="J1109" s="138" t="str">
        <f>+IFERROR(VLOOKUP(D1109,Conceptos_Analítica_contraloría[#All],3,0),"")</f>
        <v/>
      </c>
    </row>
    <row r="1110" spans="3:10" x14ac:dyDescent="0.35">
      <c r="C1110" s="144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s="138" t="str">
        <f>+IFERROR(VLOOKUP(Fact_Analitica[[#This Row],[Concepto Anterior]],Conceptos_Analítica_contraloría[#All],5,0),"")</f>
        <v/>
      </c>
      <c r="F1110" s="138" t="str">
        <f>+IFERROR(VLOOKUP(Fact_Analitica[[#This Row],[Concepto Anterior]],Conceptos_Analítica_contraloría[#All],7,0),"")</f>
        <v/>
      </c>
      <c r="I1110" s="138" t="str">
        <f>+IFERROR(VLOOKUP(D1110,Conceptos_Analítica_contraloría[#All],2,0),"")</f>
        <v/>
      </c>
      <c r="J1110" s="138" t="str">
        <f>+IFERROR(VLOOKUP(D1110,Conceptos_Analítica_contraloría[#All],3,0),"")</f>
        <v/>
      </c>
    </row>
    <row r="1111" spans="3:10" x14ac:dyDescent="0.35">
      <c r="C1111" s="144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s="138" t="str">
        <f>+IFERROR(VLOOKUP(Fact_Analitica[[#This Row],[Concepto Anterior]],Conceptos_Analítica_contraloría[#All],5,0),"")</f>
        <v/>
      </c>
      <c r="F1111" s="138" t="str">
        <f>+IFERROR(VLOOKUP(Fact_Analitica[[#This Row],[Concepto Anterior]],Conceptos_Analítica_contraloría[#All],7,0),"")</f>
        <v/>
      </c>
      <c r="I1111" s="138" t="str">
        <f>+IFERROR(VLOOKUP(D1111,Conceptos_Analítica_contraloría[#All],2,0),"")</f>
        <v/>
      </c>
      <c r="J1111" s="138" t="str">
        <f>+IFERROR(VLOOKUP(D1111,Conceptos_Analítica_contraloría[#All],3,0),"")</f>
        <v/>
      </c>
    </row>
    <row r="1112" spans="3:10" x14ac:dyDescent="0.35">
      <c r="C1112" s="144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s="138" t="str">
        <f>+IFERROR(VLOOKUP(Fact_Analitica[[#This Row],[Concepto Anterior]],Conceptos_Analítica_contraloría[#All],5,0),"")</f>
        <v/>
      </c>
      <c r="F1112" s="138" t="str">
        <f>+IFERROR(VLOOKUP(Fact_Analitica[[#This Row],[Concepto Anterior]],Conceptos_Analítica_contraloría[#All],7,0),"")</f>
        <v/>
      </c>
      <c r="I1112" s="138" t="str">
        <f>+IFERROR(VLOOKUP(D1112,Conceptos_Analítica_contraloría[#All],2,0),"")</f>
        <v/>
      </c>
      <c r="J1112" s="138" t="str">
        <f>+IFERROR(VLOOKUP(D1112,Conceptos_Analítica_contraloría[#All],3,0),"")</f>
        <v/>
      </c>
    </row>
    <row r="1113" spans="3:10" x14ac:dyDescent="0.35">
      <c r="C1113" s="144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s="138" t="str">
        <f>+IFERROR(VLOOKUP(Fact_Analitica[[#This Row],[Concepto Anterior]],Conceptos_Analítica_contraloría[#All],5,0),"")</f>
        <v/>
      </c>
      <c r="F1113" s="138" t="str">
        <f>+IFERROR(VLOOKUP(Fact_Analitica[[#This Row],[Concepto Anterior]],Conceptos_Analítica_contraloría[#All],7,0),"")</f>
        <v/>
      </c>
      <c r="I1113" s="138" t="str">
        <f>+IFERROR(VLOOKUP(D1113,Conceptos_Analítica_contraloría[#All],2,0),"")</f>
        <v/>
      </c>
      <c r="J1113" s="138" t="str">
        <f>+IFERROR(VLOOKUP(D1113,Conceptos_Analítica_contraloría[#All],3,0),"")</f>
        <v/>
      </c>
    </row>
    <row r="1114" spans="3:10" x14ac:dyDescent="0.35">
      <c r="C1114" s="144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s="138" t="str">
        <f>+IFERROR(VLOOKUP(Fact_Analitica[[#This Row],[Concepto Anterior]],Conceptos_Analítica_contraloría[#All],5,0),"")</f>
        <v/>
      </c>
      <c r="F1114" s="138" t="str">
        <f>+IFERROR(VLOOKUP(Fact_Analitica[[#This Row],[Concepto Anterior]],Conceptos_Analítica_contraloría[#All],7,0),"")</f>
        <v/>
      </c>
      <c r="I1114" s="138" t="str">
        <f>+IFERROR(VLOOKUP(D1114,Conceptos_Analítica_contraloría[#All],2,0),"")</f>
        <v/>
      </c>
      <c r="J1114" s="138" t="str">
        <f>+IFERROR(VLOOKUP(D1114,Conceptos_Analítica_contraloría[#All],3,0),"")</f>
        <v/>
      </c>
    </row>
    <row r="1115" spans="3:10" x14ac:dyDescent="0.35">
      <c r="C1115" s="144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s="138" t="str">
        <f>+IFERROR(VLOOKUP(Fact_Analitica[[#This Row],[Concepto Anterior]],Conceptos_Analítica_contraloría[#All],5,0),"")</f>
        <v/>
      </c>
      <c r="F1115" s="138" t="str">
        <f>+IFERROR(VLOOKUP(Fact_Analitica[[#This Row],[Concepto Anterior]],Conceptos_Analítica_contraloría[#All],7,0),"")</f>
        <v/>
      </c>
      <c r="I1115" s="138" t="str">
        <f>+IFERROR(VLOOKUP(D1115,Conceptos_Analítica_contraloría[#All],2,0),"")</f>
        <v/>
      </c>
      <c r="J1115" s="138" t="str">
        <f>+IFERROR(VLOOKUP(D1115,Conceptos_Analítica_contraloría[#All],3,0),"")</f>
        <v/>
      </c>
    </row>
    <row r="1116" spans="3:10" x14ac:dyDescent="0.35">
      <c r="C1116" s="144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s="138" t="str">
        <f>+IFERROR(VLOOKUP(Fact_Analitica[[#This Row],[Concepto Anterior]],Conceptos_Analítica_contraloría[#All],5,0),"")</f>
        <v/>
      </c>
      <c r="F1116" s="138" t="str">
        <f>+IFERROR(VLOOKUP(Fact_Analitica[[#This Row],[Concepto Anterior]],Conceptos_Analítica_contraloría[#All],7,0),"")</f>
        <v/>
      </c>
      <c r="I1116" s="138" t="str">
        <f>+IFERROR(VLOOKUP(D1116,Conceptos_Analítica_contraloría[#All],2,0),"")</f>
        <v/>
      </c>
      <c r="J1116" s="138" t="str">
        <f>+IFERROR(VLOOKUP(D1116,Conceptos_Analítica_contraloría[#All],3,0),"")</f>
        <v/>
      </c>
    </row>
    <row r="1117" spans="3:10" x14ac:dyDescent="0.35">
      <c r="C1117" s="144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s="138" t="str">
        <f>+IFERROR(VLOOKUP(Fact_Analitica[[#This Row],[Concepto Anterior]],Conceptos_Analítica_contraloría[#All],5,0),"")</f>
        <v/>
      </c>
      <c r="F1117" s="138" t="str">
        <f>+IFERROR(VLOOKUP(Fact_Analitica[[#This Row],[Concepto Anterior]],Conceptos_Analítica_contraloría[#All],7,0),"")</f>
        <v/>
      </c>
      <c r="I1117" s="138" t="str">
        <f>+IFERROR(VLOOKUP(D1117,Conceptos_Analítica_contraloría[#All],2,0),"")</f>
        <v/>
      </c>
      <c r="J1117" s="138" t="str">
        <f>+IFERROR(VLOOKUP(D1117,Conceptos_Analítica_contraloría[#All],3,0),"")</f>
        <v/>
      </c>
    </row>
    <row r="1118" spans="3:10" x14ac:dyDescent="0.35">
      <c r="C1118" s="144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s="138" t="str">
        <f>+IFERROR(VLOOKUP(Fact_Analitica[[#This Row],[Concepto Anterior]],Conceptos_Analítica_contraloría[#All],5,0),"")</f>
        <v/>
      </c>
      <c r="F1118" s="138" t="str">
        <f>+IFERROR(VLOOKUP(Fact_Analitica[[#This Row],[Concepto Anterior]],Conceptos_Analítica_contraloría[#All],7,0),"")</f>
        <v/>
      </c>
      <c r="I1118" s="138" t="str">
        <f>+IFERROR(VLOOKUP(D1118,Conceptos_Analítica_contraloría[#All],2,0),"")</f>
        <v/>
      </c>
      <c r="J1118" s="138" t="str">
        <f>+IFERROR(VLOOKUP(D1118,Conceptos_Analítica_contraloría[#All],3,0),"")</f>
        <v/>
      </c>
    </row>
    <row r="1119" spans="3:10" x14ac:dyDescent="0.35">
      <c r="C1119" s="144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s="138" t="str">
        <f>+IFERROR(VLOOKUP(Fact_Analitica[[#This Row],[Concepto Anterior]],Conceptos_Analítica_contraloría[#All],5,0),"")</f>
        <v/>
      </c>
      <c r="F1119" s="138" t="str">
        <f>+IFERROR(VLOOKUP(Fact_Analitica[[#This Row],[Concepto Anterior]],Conceptos_Analítica_contraloría[#All],7,0),"")</f>
        <v/>
      </c>
      <c r="I1119" s="138" t="str">
        <f>+IFERROR(VLOOKUP(D1119,Conceptos_Analítica_contraloría[#All],2,0),"")</f>
        <v/>
      </c>
      <c r="J1119" s="138" t="str">
        <f>+IFERROR(VLOOKUP(D1119,Conceptos_Analítica_contraloría[#All],3,0),"")</f>
        <v/>
      </c>
    </row>
    <row r="1120" spans="3:10" x14ac:dyDescent="0.35">
      <c r="C1120" s="144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s="138" t="str">
        <f>+IFERROR(VLOOKUP(Fact_Analitica[[#This Row],[Concepto Anterior]],Conceptos_Analítica_contraloría[#All],5,0),"")</f>
        <v/>
      </c>
      <c r="F1120" s="138" t="str">
        <f>+IFERROR(VLOOKUP(Fact_Analitica[[#This Row],[Concepto Anterior]],Conceptos_Analítica_contraloría[#All],7,0),"")</f>
        <v/>
      </c>
      <c r="I1120" s="138" t="str">
        <f>+IFERROR(VLOOKUP(D1120,Conceptos_Analítica_contraloría[#All],2,0),"")</f>
        <v/>
      </c>
      <c r="J1120" s="138" t="str">
        <f>+IFERROR(VLOOKUP(D1120,Conceptos_Analítica_contraloría[#All],3,0),"")</f>
        <v/>
      </c>
    </row>
    <row r="1121" spans="3:10" x14ac:dyDescent="0.35">
      <c r="C1121" s="144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s="138" t="str">
        <f>+IFERROR(VLOOKUP(Fact_Analitica[[#This Row],[Concepto Anterior]],Conceptos_Analítica_contraloría[#All],5,0),"")</f>
        <v/>
      </c>
      <c r="F1121" s="138" t="str">
        <f>+IFERROR(VLOOKUP(Fact_Analitica[[#This Row],[Concepto Anterior]],Conceptos_Analítica_contraloría[#All],7,0),"")</f>
        <v/>
      </c>
      <c r="I1121" s="138" t="str">
        <f>+IFERROR(VLOOKUP(D1121,Conceptos_Analítica_contraloría[#All],2,0),"")</f>
        <v/>
      </c>
      <c r="J1121" s="138" t="str">
        <f>+IFERROR(VLOOKUP(D1121,Conceptos_Analítica_contraloría[#All],3,0),"")</f>
        <v/>
      </c>
    </row>
    <row r="1122" spans="3:10" x14ac:dyDescent="0.35">
      <c r="C1122" s="144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s="138" t="str">
        <f>+IFERROR(VLOOKUP(Fact_Analitica[[#This Row],[Concepto Anterior]],Conceptos_Analítica_contraloría[#All],5,0),"")</f>
        <v/>
      </c>
      <c r="F1122" s="138" t="str">
        <f>+IFERROR(VLOOKUP(Fact_Analitica[[#This Row],[Concepto Anterior]],Conceptos_Analítica_contraloría[#All],7,0),"")</f>
        <v/>
      </c>
      <c r="I1122" s="138" t="str">
        <f>+IFERROR(VLOOKUP(D1122,Conceptos_Analítica_contraloría[#All],2,0),"")</f>
        <v/>
      </c>
      <c r="J1122" s="138" t="str">
        <f>+IFERROR(VLOOKUP(D1122,Conceptos_Analítica_contraloría[#All],3,0),"")</f>
        <v/>
      </c>
    </row>
    <row r="1123" spans="3:10" x14ac:dyDescent="0.35">
      <c r="C1123" s="144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s="138" t="str">
        <f>+IFERROR(VLOOKUP(Fact_Analitica[[#This Row],[Concepto Anterior]],Conceptos_Analítica_contraloría[#All],5,0),"")</f>
        <v/>
      </c>
      <c r="F1123" s="138" t="str">
        <f>+IFERROR(VLOOKUP(Fact_Analitica[[#This Row],[Concepto Anterior]],Conceptos_Analítica_contraloría[#All],7,0),"")</f>
        <v/>
      </c>
      <c r="I1123" s="138" t="str">
        <f>+IFERROR(VLOOKUP(D1123,Conceptos_Analítica_contraloría[#All],2,0),"")</f>
        <v/>
      </c>
      <c r="J1123" s="138" t="str">
        <f>+IFERROR(VLOOKUP(D1123,Conceptos_Analítica_contraloría[#All],3,0),"")</f>
        <v/>
      </c>
    </row>
    <row r="1124" spans="3:10" x14ac:dyDescent="0.35">
      <c r="C1124" s="144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s="138" t="str">
        <f>+IFERROR(VLOOKUP(Fact_Analitica[[#This Row],[Concepto Anterior]],Conceptos_Analítica_contraloría[#All],5,0),"")</f>
        <v/>
      </c>
      <c r="F1124" s="138" t="str">
        <f>+IFERROR(VLOOKUP(Fact_Analitica[[#This Row],[Concepto Anterior]],Conceptos_Analítica_contraloría[#All],7,0),"")</f>
        <v/>
      </c>
      <c r="I1124" s="138" t="str">
        <f>+IFERROR(VLOOKUP(D1124,Conceptos_Analítica_contraloría[#All],2,0),"")</f>
        <v/>
      </c>
      <c r="J1124" s="138" t="str">
        <f>+IFERROR(VLOOKUP(D1124,Conceptos_Analítica_contraloría[#All],3,0),"")</f>
        <v/>
      </c>
    </row>
    <row r="1125" spans="3:10" x14ac:dyDescent="0.35">
      <c r="C1125" s="144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s="138" t="str">
        <f>+IFERROR(VLOOKUP(Fact_Analitica[[#This Row],[Concepto Anterior]],Conceptos_Analítica_contraloría[#All],5,0),"")</f>
        <v/>
      </c>
      <c r="F1125" s="138" t="str">
        <f>+IFERROR(VLOOKUP(Fact_Analitica[[#This Row],[Concepto Anterior]],Conceptos_Analítica_contraloría[#All],7,0),"")</f>
        <v/>
      </c>
      <c r="I1125" s="138" t="str">
        <f>+IFERROR(VLOOKUP(D1125,Conceptos_Analítica_contraloría[#All],2,0),"")</f>
        <v/>
      </c>
      <c r="J1125" s="138" t="str">
        <f>+IFERROR(VLOOKUP(D1125,Conceptos_Analítica_contraloría[#All],3,0),"")</f>
        <v/>
      </c>
    </row>
    <row r="1126" spans="3:10" x14ac:dyDescent="0.35">
      <c r="C1126" s="144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s="138" t="str">
        <f>+IFERROR(VLOOKUP(Fact_Analitica[[#This Row],[Concepto Anterior]],Conceptos_Analítica_contraloría[#All],5,0),"")</f>
        <v/>
      </c>
      <c r="F1126" s="138" t="str">
        <f>+IFERROR(VLOOKUP(Fact_Analitica[[#This Row],[Concepto Anterior]],Conceptos_Analítica_contraloría[#All],7,0),"")</f>
        <v/>
      </c>
      <c r="I1126" s="138" t="str">
        <f>+IFERROR(VLOOKUP(D1126,Conceptos_Analítica_contraloría[#All],2,0),"")</f>
        <v/>
      </c>
      <c r="J1126" s="138" t="str">
        <f>+IFERROR(VLOOKUP(D1126,Conceptos_Analítica_contraloría[#All],3,0),"")</f>
        <v/>
      </c>
    </row>
    <row r="1127" spans="3:10" x14ac:dyDescent="0.35">
      <c r="C1127" s="144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s="138" t="str">
        <f>+IFERROR(VLOOKUP(Fact_Analitica[[#This Row],[Concepto Anterior]],Conceptos_Analítica_contraloría[#All],5,0),"")</f>
        <v/>
      </c>
      <c r="F1127" s="138" t="str">
        <f>+IFERROR(VLOOKUP(Fact_Analitica[[#This Row],[Concepto Anterior]],Conceptos_Analítica_contraloría[#All],7,0),"")</f>
        <v/>
      </c>
      <c r="I1127" s="138" t="str">
        <f>+IFERROR(VLOOKUP(D1127,Conceptos_Analítica_contraloría[#All],2,0),"")</f>
        <v/>
      </c>
      <c r="J1127" s="138" t="str">
        <f>+IFERROR(VLOOKUP(D1127,Conceptos_Analítica_contraloría[#All],3,0),"")</f>
        <v/>
      </c>
    </row>
    <row r="1128" spans="3:10" x14ac:dyDescent="0.35">
      <c r="C1128" s="144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s="138" t="str">
        <f>+IFERROR(VLOOKUP(Fact_Analitica[[#This Row],[Concepto Anterior]],Conceptos_Analítica_contraloría[#All],5,0),"")</f>
        <v/>
      </c>
      <c r="F1128" s="138" t="str">
        <f>+IFERROR(VLOOKUP(Fact_Analitica[[#This Row],[Concepto Anterior]],Conceptos_Analítica_contraloría[#All],7,0),"")</f>
        <v/>
      </c>
      <c r="I1128" s="138" t="str">
        <f>+IFERROR(VLOOKUP(D1128,Conceptos_Analítica_contraloría[#All],2,0),"")</f>
        <v/>
      </c>
      <c r="J1128" s="138" t="str">
        <f>+IFERROR(VLOOKUP(D1128,Conceptos_Analítica_contraloría[#All],3,0),"")</f>
        <v/>
      </c>
    </row>
    <row r="1129" spans="3:10" x14ac:dyDescent="0.35">
      <c r="C1129" s="144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s="138" t="str">
        <f>+IFERROR(VLOOKUP(Fact_Analitica[[#This Row],[Concepto Anterior]],Conceptos_Analítica_contraloría[#All],5,0),"")</f>
        <v/>
      </c>
      <c r="F1129" s="138" t="str">
        <f>+IFERROR(VLOOKUP(Fact_Analitica[[#This Row],[Concepto Anterior]],Conceptos_Analítica_contraloría[#All],7,0),"")</f>
        <v/>
      </c>
      <c r="I1129" s="138" t="str">
        <f>+IFERROR(VLOOKUP(D1129,Conceptos_Analítica_contraloría[#All],2,0),"")</f>
        <v/>
      </c>
      <c r="J1129" s="138" t="str">
        <f>+IFERROR(VLOOKUP(D1129,Conceptos_Analítica_contraloría[#All],3,0),"")</f>
        <v/>
      </c>
    </row>
    <row r="1130" spans="3:10" x14ac:dyDescent="0.35">
      <c r="C1130" s="144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s="138" t="str">
        <f>+IFERROR(VLOOKUP(Fact_Analitica[[#This Row],[Concepto Anterior]],Conceptos_Analítica_contraloría[#All],5,0),"")</f>
        <v/>
      </c>
      <c r="F1130" s="138" t="str">
        <f>+IFERROR(VLOOKUP(Fact_Analitica[[#This Row],[Concepto Anterior]],Conceptos_Analítica_contraloría[#All],7,0),"")</f>
        <v/>
      </c>
      <c r="I1130" s="138" t="str">
        <f>+IFERROR(VLOOKUP(D1130,Conceptos_Analítica_contraloría[#All],2,0),"")</f>
        <v/>
      </c>
      <c r="J1130" s="138" t="str">
        <f>+IFERROR(VLOOKUP(D1130,Conceptos_Analítica_contraloría[#All],3,0),"")</f>
        <v/>
      </c>
    </row>
    <row r="1131" spans="3:10" x14ac:dyDescent="0.35">
      <c r="C1131" s="144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s="138" t="str">
        <f>+IFERROR(VLOOKUP(Fact_Analitica[[#This Row],[Concepto Anterior]],Conceptos_Analítica_contraloría[#All],5,0),"")</f>
        <v/>
      </c>
      <c r="F1131" s="138" t="str">
        <f>+IFERROR(VLOOKUP(Fact_Analitica[[#This Row],[Concepto Anterior]],Conceptos_Analítica_contraloría[#All],7,0),"")</f>
        <v/>
      </c>
      <c r="I1131" s="138" t="str">
        <f>+IFERROR(VLOOKUP(D1131,Conceptos_Analítica_contraloría[#All],2,0),"")</f>
        <v/>
      </c>
      <c r="J1131" s="138" t="str">
        <f>+IFERROR(VLOOKUP(D1131,Conceptos_Analítica_contraloría[#All],3,0),"")</f>
        <v/>
      </c>
    </row>
    <row r="1132" spans="3:10" x14ac:dyDescent="0.35">
      <c r="C1132" s="144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s="138" t="str">
        <f>+IFERROR(VLOOKUP(Fact_Analitica[[#This Row],[Concepto Anterior]],Conceptos_Analítica_contraloría[#All],5,0),"")</f>
        <v/>
      </c>
      <c r="F1132" s="138" t="str">
        <f>+IFERROR(VLOOKUP(Fact_Analitica[[#This Row],[Concepto Anterior]],Conceptos_Analítica_contraloría[#All],7,0),"")</f>
        <v/>
      </c>
      <c r="I1132" s="138" t="str">
        <f>+IFERROR(VLOOKUP(D1132,Conceptos_Analítica_contraloría[#All],2,0),"")</f>
        <v/>
      </c>
      <c r="J1132" s="138" t="str">
        <f>+IFERROR(VLOOKUP(D1132,Conceptos_Analítica_contraloría[#All],3,0),"")</f>
        <v/>
      </c>
    </row>
    <row r="1133" spans="3:10" x14ac:dyDescent="0.35">
      <c r="C1133" s="144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s="138" t="str">
        <f>+IFERROR(VLOOKUP(Fact_Analitica[[#This Row],[Concepto Anterior]],Conceptos_Analítica_contraloría[#All],5,0),"")</f>
        <v/>
      </c>
      <c r="F1133" s="138" t="str">
        <f>+IFERROR(VLOOKUP(Fact_Analitica[[#This Row],[Concepto Anterior]],Conceptos_Analítica_contraloría[#All],7,0),"")</f>
        <v/>
      </c>
      <c r="I1133" s="138" t="str">
        <f>+IFERROR(VLOOKUP(D1133,Conceptos_Analítica_contraloría[#All],2,0),"")</f>
        <v/>
      </c>
      <c r="J1133" s="138" t="str">
        <f>+IFERROR(VLOOKUP(D1133,Conceptos_Analítica_contraloría[#All],3,0),"")</f>
        <v/>
      </c>
    </row>
    <row r="1134" spans="3:10" x14ac:dyDescent="0.35">
      <c r="C1134" s="144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s="138" t="str">
        <f>+IFERROR(VLOOKUP(Fact_Analitica[[#This Row],[Concepto Anterior]],Conceptos_Analítica_contraloría[#All],5,0),"")</f>
        <v/>
      </c>
      <c r="F1134" s="138" t="str">
        <f>+IFERROR(VLOOKUP(Fact_Analitica[[#This Row],[Concepto Anterior]],Conceptos_Analítica_contraloría[#All],7,0),"")</f>
        <v/>
      </c>
      <c r="I1134" s="138" t="str">
        <f>+IFERROR(VLOOKUP(D1134,Conceptos_Analítica_contraloría[#All],2,0),"")</f>
        <v/>
      </c>
      <c r="J1134" s="138" t="str">
        <f>+IFERROR(VLOOKUP(D1134,Conceptos_Analítica_contraloría[#All],3,0),"")</f>
        <v/>
      </c>
    </row>
    <row r="1135" spans="3:10" x14ac:dyDescent="0.35">
      <c r="C1135" s="144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s="138" t="str">
        <f>+IFERROR(VLOOKUP(Fact_Analitica[[#This Row],[Concepto Anterior]],Conceptos_Analítica_contraloría[#All],5,0),"")</f>
        <v/>
      </c>
      <c r="F1135" s="138" t="str">
        <f>+IFERROR(VLOOKUP(Fact_Analitica[[#This Row],[Concepto Anterior]],Conceptos_Analítica_contraloría[#All],7,0),"")</f>
        <v/>
      </c>
      <c r="I1135" s="138" t="str">
        <f>+IFERROR(VLOOKUP(D1135,Conceptos_Analítica_contraloría[#All],2,0),"")</f>
        <v/>
      </c>
      <c r="J1135" s="138" t="str">
        <f>+IFERROR(VLOOKUP(D1135,Conceptos_Analítica_contraloría[#All],3,0),"")</f>
        <v/>
      </c>
    </row>
    <row r="1136" spans="3:10" x14ac:dyDescent="0.35">
      <c r="C1136" s="144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s="138" t="str">
        <f>+IFERROR(VLOOKUP(Fact_Analitica[[#This Row],[Concepto Anterior]],Conceptos_Analítica_contraloría[#All],5,0),"")</f>
        <v/>
      </c>
      <c r="F1136" s="138" t="str">
        <f>+IFERROR(VLOOKUP(Fact_Analitica[[#This Row],[Concepto Anterior]],Conceptos_Analítica_contraloría[#All],7,0),"")</f>
        <v/>
      </c>
      <c r="I1136" s="138" t="str">
        <f>+IFERROR(VLOOKUP(D1136,Conceptos_Analítica_contraloría[#All],2,0),"")</f>
        <v/>
      </c>
      <c r="J1136" s="138" t="str">
        <f>+IFERROR(VLOOKUP(D1136,Conceptos_Analítica_contraloría[#All],3,0),"")</f>
        <v/>
      </c>
    </row>
    <row r="1137" spans="3:10" x14ac:dyDescent="0.35">
      <c r="C1137" s="144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s="138" t="str">
        <f>+IFERROR(VLOOKUP(Fact_Analitica[[#This Row],[Concepto Anterior]],Conceptos_Analítica_contraloría[#All],5,0),"")</f>
        <v/>
      </c>
      <c r="F1137" s="138" t="str">
        <f>+IFERROR(VLOOKUP(Fact_Analitica[[#This Row],[Concepto Anterior]],Conceptos_Analítica_contraloría[#All],7,0),"")</f>
        <v/>
      </c>
      <c r="I1137" s="138" t="str">
        <f>+IFERROR(VLOOKUP(D1137,Conceptos_Analítica_contraloría[#All],2,0),"")</f>
        <v/>
      </c>
      <c r="J1137" s="138" t="str">
        <f>+IFERROR(VLOOKUP(D1137,Conceptos_Analítica_contraloría[#All],3,0),"")</f>
        <v/>
      </c>
    </row>
    <row r="1138" spans="3:10" x14ac:dyDescent="0.35">
      <c r="C1138" s="144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s="138" t="str">
        <f>+IFERROR(VLOOKUP(Fact_Analitica[[#This Row],[Concepto Anterior]],Conceptos_Analítica_contraloría[#All],5,0),"")</f>
        <v/>
      </c>
      <c r="F1138" s="138" t="str">
        <f>+IFERROR(VLOOKUP(Fact_Analitica[[#This Row],[Concepto Anterior]],Conceptos_Analítica_contraloría[#All],7,0),"")</f>
        <v/>
      </c>
      <c r="I1138" s="138" t="str">
        <f>+IFERROR(VLOOKUP(D1138,Conceptos_Analítica_contraloría[#All],2,0),"")</f>
        <v/>
      </c>
      <c r="J1138" s="138" t="str">
        <f>+IFERROR(VLOOKUP(D1138,Conceptos_Analítica_contraloría[#All],3,0),"")</f>
        <v/>
      </c>
    </row>
    <row r="1139" spans="3:10" x14ac:dyDescent="0.35">
      <c r="C1139" s="144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s="138" t="str">
        <f>+IFERROR(VLOOKUP(Fact_Analitica[[#This Row],[Concepto Anterior]],Conceptos_Analítica_contraloría[#All],5,0),"")</f>
        <v/>
      </c>
      <c r="F1139" s="138" t="str">
        <f>+IFERROR(VLOOKUP(Fact_Analitica[[#This Row],[Concepto Anterior]],Conceptos_Analítica_contraloría[#All],7,0),"")</f>
        <v/>
      </c>
      <c r="I1139" s="138" t="str">
        <f>+IFERROR(VLOOKUP(D1139,Conceptos_Analítica_contraloría[#All],2,0),"")</f>
        <v/>
      </c>
      <c r="J1139" s="138" t="str">
        <f>+IFERROR(VLOOKUP(D1139,Conceptos_Analítica_contraloría[#All],3,0),"")</f>
        <v/>
      </c>
    </row>
    <row r="1140" spans="3:10" x14ac:dyDescent="0.35">
      <c r="C1140" s="144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s="138" t="str">
        <f>+IFERROR(VLOOKUP(Fact_Analitica[[#This Row],[Concepto Anterior]],Conceptos_Analítica_contraloría[#All],5,0),"")</f>
        <v/>
      </c>
      <c r="F1140" s="138" t="str">
        <f>+IFERROR(VLOOKUP(Fact_Analitica[[#This Row],[Concepto Anterior]],Conceptos_Analítica_contraloría[#All],7,0),"")</f>
        <v/>
      </c>
      <c r="I1140" s="138" t="str">
        <f>+IFERROR(VLOOKUP(D1140,Conceptos_Analítica_contraloría[#All],2,0),"")</f>
        <v/>
      </c>
      <c r="J1140" s="138" t="str">
        <f>+IFERROR(VLOOKUP(D1140,Conceptos_Analítica_contraloría[#All],3,0),"")</f>
        <v/>
      </c>
    </row>
    <row r="1141" spans="3:10" x14ac:dyDescent="0.35">
      <c r="C1141" s="144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s="138" t="str">
        <f>+IFERROR(VLOOKUP(Fact_Analitica[[#This Row],[Concepto Anterior]],Conceptos_Analítica_contraloría[#All],5,0),"")</f>
        <v/>
      </c>
      <c r="F1141" s="138" t="str">
        <f>+IFERROR(VLOOKUP(Fact_Analitica[[#This Row],[Concepto Anterior]],Conceptos_Analítica_contraloría[#All],7,0),"")</f>
        <v/>
      </c>
      <c r="I1141" s="138" t="str">
        <f>+IFERROR(VLOOKUP(D1141,Conceptos_Analítica_contraloría[#All],2,0),"")</f>
        <v/>
      </c>
      <c r="J1141" s="138" t="str">
        <f>+IFERROR(VLOOKUP(D1141,Conceptos_Analítica_contraloría[#All],3,0),"")</f>
        <v/>
      </c>
    </row>
    <row r="1142" spans="3:10" x14ac:dyDescent="0.35">
      <c r="C1142" s="144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s="138" t="str">
        <f>+IFERROR(VLOOKUP(Fact_Analitica[[#This Row],[Concepto Anterior]],Conceptos_Analítica_contraloría[#All],5,0),"")</f>
        <v/>
      </c>
      <c r="F1142" s="138" t="str">
        <f>+IFERROR(VLOOKUP(Fact_Analitica[[#This Row],[Concepto Anterior]],Conceptos_Analítica_contraloría[#All],7,0),"")</f>
        <v/>
      </c>
      <c r="I1142" s="138" t="str">
        <f>+IFERROR(VLOOKUP(D1142,Conceptos_Analítica_contraloría[#All],2,0),"")</f>
        <v/>
      </c>
      <c r="J1142" s="138" t="str">
        <f>+IFERROR(VLOOKUP(D1142,Conceptos_Analítica_contraloría[#All],3,0),"")</f>
        <v/>
      </c>
    </row>
    <row r="1143" spans="3:10" x14ac:dyDescent="0.35">
      <c r="C1143" s="144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s="138" t="str">
        <f>+IFERROR(VLOOKUP(Fact_Analitica[[#This Row],[Concepto Anterior]],Conceptos_Analítica_contraloría[#All],5,0),"")</f>
        <v/>
      </c>
      <c r="F1143" s="138" t="str">
        <f>+IFERROR(VLOOKUP(Fact_Analitica[[#This Row],[Concepto Anterior]],Conceptos_Analítica_contraloría[#All],7,0),"")</f>
        <v/>
      </c>
      <c r="I1143" s="138" t="str">
        <f>+IFERROR(VLOOKUP(D1143,Conceptos_Analítica_contraloría[#All],2,0),"")</f>
        <v/>
      </c>
      <c r="J1143" s="138" t="str">
        <f>+IFERROR(VLOOKUP(D1143,Conceptos_Analítica_contraloría[#All],3,0),"")</f>
        <v/>
      </c>
    </row>
    <row r="1144" spans="3:10" x14ac:dyDescent="0.35">
      <c r="C1144" s="144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s="138" t="str">
        <f>+IFERROR(VLOOKUP(Fact_Analitica[[#This Row],[Concepto Anterior]],Conceptos_Analítica_contraloría[#All],5,0),"")</f>
        <v/>
      </c>
      <c r="F1144" s="138" t="str">
        <f>+IFERROR(VLOOKUP(Fact_Analitica[[#This Row],[Concepto Anterior]],Conceptos_Analítica_contraloría[#All],7,0),"")</f>
        <v/>
      </c>
      <c r="I1144" s="138" t="str">
        <f>+IFERROR(VLOOKUP(D1144,Conceptos_Analítica_contraloría[#All],2,0),"")</f>
        <v/>
      </c>
      <c r="J1144" s="138" t="str">
        <f>+IFERROR(VLOOKUP(D1144,Conceptos_Analítica_contraloría[#All],3,0),"")</f>
        <v/>
      </c>
    </row>
    <row r="1145" spans="3:10" x14ac:dyDescent="0.35">
      <c r="C1145" s="144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s="138" t="str">
        <f>+IFERROR(VLOOKUP(Fact_Analitica[[#This Row],[Concepto Anterior]],Conceptos_Analítica_contraloría[#All],5,0),"")</f>
        <v/>
      </c>
      <c r="F1145" s="138" t="str">
        <f>+IFERROR(VLOOKUP(Fact_Analitica[[#This Row],[Concepto Anterior]],Conceptos_Analítica_contraloría[#All],7,0),"")</f>
        <v/>
      </c>
      <c r="I1145" s="138" t="str">
        <f>+IFERROR(VLOOKUP(D1145,Conceptos_Analítica_contraloría[#All],2,0),"")</f>
        <v/>
      </c>
      <c r="J1145" s="138" t="str">
        <f>+IFERROR(VLOOKUP(D1145,Conceptos_Analítica_contraloría[#All],3,0),"")</f>
        <v/>
      </c>
    </row>
    <row r="1146" spans="3:10" x14ac:dyDescent="0.35">
      <c r="C1146" s="144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s="138" t="str">
        <f>+IFERROR(VLOOKUP(Fact_Analitica[[#This Row],[Concepto Anterior]],Conceptos_Analítica_contraloría[#All],5,0),"")</f>
        <v/>
      </c>
      <c r="F1146" s="138" t="str">
        <f>+IFERROR(VLOOKUP(Fact_Analitica[[#This Row],[Concepto Anterior]],Conceptos_Analítica_contraloría[#All],7,0),"")</f>
        <v/>
      </c>
      <c r="I1146" s="138" t="str">
        <f>+IFERROR(VLOOKUP(D1146,Conceptos_Analítica_contraloría[#All],2,0),"")</f>
        <v/>
      </c>
      <c r="J1146" s="138" t="str">
        <f>+IFERROR(VLOOKUP(D1146,Conceptos_Analítica_contraloría[#All],3,0),"")</f>
        <v/>
      </c>
    </row>
    <row r="1147" spans="3:10" x14ac:dyDescent="0.35">
      <c r="C1147" s="144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s="138" t="str">
        <f>+IFERROR(VLOOKUP(Fact_Analitica[[#This Row],[Concepto Anterior]],Conceptos_Analítica_contraloría[#All],5,0),"")</f>
        <v/>
      </c>
      <c r="F1147" s="138" t="str">
        <f>+IFERROR(VLOOKUP(Fact_Analitica[[#This Row],[Concepto Anterior]],Conceptos_Analítica_contraloría[#All],7,0),"")</f>
        <v/>
      </c>
      <c r="I1147" s="138" t="str">
        <f>+IFERROR(VLOOKUP(D1147,Conceptos_Analítica_contraloría[#All],2,0),"")</f>
        <v/>
      </c>
      <c r="J1147" s="138" t="str">
        <f>+IFERROR(VLOOKUP(D1147,Conceptos_Analítica_contraloría[#All],3,0),"")</f>
        <v/>
      </c>
    </row>
    <row r="1148" spans="3:10" x14ac:dyDescent="0.35">
      <c r="C1148" s="144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s="138" t="str">
        <f>+IFERROR(VLOOKUP(Fact_Analitica[[#This Row],[Concepto Anterior]],Conceptos_Analítica_contraloría[#All],5,0),"")</f>
        <v/>
      </c>
      <c r="F1148" s="138" t="str">
        <f>+IFERROR(VLOOKUP(Fact_Analitica[[#This Row],[Concepto Anterior]],Conceptos_Analítica_contraloría[#All],7,0),"")</f>
        <v/>
      </c>
      <c r="I1148" s="138" t="str">
        <f>+IFERROR(VLOOKUP(D1148,Conceptos_Analítica_contraloría[#All],2,0),"")</f>
        <v/>
      </c>
      <c r="J1148" s="138" t="str">
        <f>+IFERROR(VLOOKUP(D1148,Conceptos_Analítica_contraloría[#All],3,0),"")</f>
        <v/>
      </c>
    </row>
    <row r="1149" spans="3:10" x14ac:dyDescent="0.35">
      <c r="C1149" s="144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s="138" t="str">
        <f>+IFERROR(VLOOKUP(Fact_Analitica[[#This Row],[Concepto Anterior]],Conceptos_Analítica_contraloría[#All],5,0),"")</f>
        <v/>
      </c>
      <c r="F1149" s="138" t="str">
        <f>+IFERROR(VLOOKUP(Fact_Analitica[[#This Row],[Concepto Anterior]],Conceptos_Analítica_contraloría[#All],7,0),"")</f>
        <v/>
      </c>
      <c r="I1149" s="138" t="str">
        <f>+IFERROR(VLOOKUP(D1149,Conceptos_Analítica_contraloría[#All],2,0),"")</f>
        <v/>
      </c>
      <c r="J1149" s="138" t="str">
        <f>+IFERROR(VLOOKUP(D1149,Conceptos_Analítica_contraloría[#All],3,0),"")</f>
        <v/>
      </c>
    </row>
    <row r="1150" spans="3:10" x14ac:dyDescent="0.35">
      <c r="C1150" s="144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s="138" t="str">
        <f>+IFERROR(VLOOKUP(Fact_Analitica[[#This Row],[Concepto Anterior]],Conceptos_Analítica_contraloría[#All],5,0),"")</f>
        <v/>
      </c>
      <c r="F1150" s="138" t="str">
        <f>+IFERROR(VLOOKUP(Fact_Analitica[[#This Row],[Concepto Anterior]],Conceptos_Analítica_contraloría[#All],7,0),"")</f>
        <v/>
      </c>
      <c r="I1150" s="138" t="str">
        <f>+IFERROR(VLOOKUP(D1150,Conceptos_Analítica_contraloría[#All],2,0),"")</f>
        <v/>
      </c>
      <c r="J1150" s="138" t="str">
        <f>+IFERROR(VLOOKUP(D1150,Conceptos_Analítica_contraloría[#All],3,0),"")</f>
        <v/>
      </c>
    </row>
    <row r="1151" spans="3:10" x14ac:dyDescent="0.35">
      <c r="C1151" s="144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s="138" t="str">
        <f>+IFERROR(VLOOKUP(Fact_Analitica[[#This Row],[Concepto Anterior]],Conceptos_Analítica_contraloría[#All],5,0),"")</f>
        <v/>
      </c>
      <c r="F1151" s="138" t="str">
        <f>+IFERROR(VLOOKUP(Fact_Analitica[[#This Row],[Concepto Anterior]],Conceptos_Analítica_contraloría[#All],7,0),"")</f>
        <v/>
      </c>
      <c r="I1151" s="138" t="str">
        <f>+IFERROR(VLOOKUP(D1151,Conceptos_Analítica_contraloría[#All],2,0),"")</f>
        <v/>
      </c>
      <c r="J1151" s="138" t="str">
        <f>+IFERROR(VLOOKUP(D1151,Conceptos_Analítica_contraloría[#All],3,0),"")</f>
        <v/>
      </c>
    </row>
    <row r="1152" spans="3:10" x14ac:dyDescent="0.35">
      <c r="C1152" s="144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s="138" t="str">
        <f>+IFERROR(VLOOKUP(Fact_Analitica[[#This Row],[Concepto Anterior]],Conceptos_Analítica_contraloría[#All],5,0),"")</f>
        <v/>
      </c>
      <c r="F1152" s="138" t="str">
        <f>+IFERROR(VLOOKUP(Fact_Analitica[[#This Row],[Concepto Anterior]],Conceptos_Analítica_contraloría[#All],7,0),"")</f>
        <v/>
      </c>
      <c r="I1152" s="138" t="str">
        <f>+IFERROR(VLOOKUP(D1152,Conceptos_Analítica_contraloría[#All],2,0),"")</f>
        <v/>
      </c>
      <c r="J1152" s="138" t="str">
        <f>+IFERROR(VLOOKUP(D1152,Conceptos_Analítica_contraloría[#All],3,0),"")</f>
        <v/>
      </c>
    </row>
    <row r="1153" spans="3:10" x14ac:dyDescent="0.35">
      <c r="C1153" s="144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s="138" t="str">
        <f>+IFERROR(VLOOKUP(Fact_Analitica[[#This Row],[Concepto Anterior]],Conceptos_Analítica_contraloría[#All],5,0),"")</f>
        <v/>
      </c>
      <c r="F1153" s="138" t="str">
        <f>+IFERROR(VLOOKUP(Fact_Analitica[[#This Row],[Concepto Anterior]],Conceptos_Analítica_contraloría[#All],7,0),"")</f>
        <v/>
      </c>
      <c r="I1153" s="138" t="str">
        <f>+IFERROR(VLOOKUP(D1153,Conceptos_Analítica_contraloría[#All],2,0),"")</f>
        <v/>
      </c>
      <c r="J1153" s="138" t="str">
        <f>+IFERROR(VLOOKUP(D1153,Conceptos_Analítica_contraloría[#All],3,0),"")</f>
        <v/>
      </c>
    </row>
    <row r="1154" spans="3:10" x14ac:dyDescent="0.35">
      <c r="C1154" s="144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s="138" t="str">
        <f>+IFERROR(VLOOKUP(Fact_Analitica[[#This Row],[Concepto Anterior]],Conceptos_Analítica_contraloría[#All],5,0),"")</f>
        <v/>
      </c>
      <c r="F1154" s="138" t="str">
        <f>+IFERROR(VLOOKUP(Fact_Analitica[[#This Row],[Concepto Anterior]],Conceptos_Analítica_contraloría[#All],7,0),"")</f>
        <v/>
      </c>
      <c r="I1154" s="138" t="str">
        <f>+IFERROR(VLOOKUP(D1154,Conceptos_Analítica_contraloría[#All],2,0),"")</f>
        <v/>
      </c>
      <c r="J1154" s="138" t="str">
        <f>+IFERROR(VLOOKUP(D1154,Conceptos_Analítica_contraloría[#All],3,0),"")</f>
        <v/>
      </c>
    </row>
    <row r="1155" spans="3:10" x14ac:dyDescent="0.35">
      <c r="C1155" s="144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s="138" t="str">
        <f>+IFERROR(VLOOKUP(Fact_Analitica[[#This Row],[Concepto Anterior]],Conceptos_Analítica_contraloría[#All],5,0),"")</f>
        <v/>
      </c>
      <c r="F1155" s="138" t="str">
        <f>+IFERROR(VLOOKUP(Fact_Analitica[[#This Row],[Concepto Anterior]],Conceptos_Analítica_contraloría[#All],7,0),"")</f>
        <v/>
      </c>
      <c r="I1155" s="138" t="str">
        <f>+IFERROR(VLOOKUP(D1155,Conceptos_Analítica_contraloría[#All],2,0),"")</f>
        <v/>
      </c>
      <c r="J1155" s="138" t="str">
        <f>+IFERROR(VLOOKUP(D1155,Conceptos_Analítica_contraloría[#All],3,0),"")</f>
        <v/>
      </c>
    </row>
    <row r="1156" spans="3:10" x14ac:dyDescent="0.35">
      <c r="C1156" s="144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s="138" t="str">
        <f>+IFERROR(VLOOKUP(Fact_Analitica[[#This Row],[Concepto Anterior]],Conceptos_Analítica_contraloría[#All],5,0),"")</f>
        <v/>
      </c>
      <c r="F1156" s="138" t="str">
        <f>+IFERROR(VLOOKUP(Fact_Analitica[[#This Row],[Concepto Anterior]],Conceptos_Analítica_contraloría[#All],7,0),"")</f>
        <v/>
      </c>
      <c r="I1156" s="138" t="str">
        <f>+IFERROR(VLOOKUP(D1156,Conceptos_Analítica_contraloría[#All],2,0),"")</f>
        <v/>
      </c>
      <c r="J1156" s="138" t="str">
        <f>+IFERROR(VLOOKUP(D1156,Conceptos_Analítica_contraloría[#All],3,0),"")</f>
        <v/>
      </c>
    </row>
    <row r="1157" spans="3:10" x14ac:dyDescent="0.35">
      <c r="C1157" s="144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s="138" t="str">
        <f>+IFERROR(VLOOKUP(Fact_Analitica[[#This Row],[Concepto Anterior]],Conceptos_Analítica_contraloría[#All],5,0),"")</f>
        <v/>
      </c>
      <c r="F1157" s="138" t="str">
        <f>+IFERROR(VLOOKUP(Fact_Analitica[[#This Row],[Concepto Anterior]],Conceptos_Analítica_contraloría[#All],7,0),"")</f>
        <v/>
      </c>
      <c r="I1157" s="138" t="str">
        <f>+IFERROR(VLOOKUP(D1157,Conceptos_Analítica_contraloría[#All],2,0),"")</f>
        <v/>
      </c>
      <c r="J1157" s="138" t="str">
        <f>+IFERROR(VLOOKUP(D1157,Conceptos_Analítica_contraloría[#All],3,0),"")</f>
        <v/>
      </c>
    </row>
    <row r="1158" spans="3:10" x14ac:dyDescent="0.35">
      <c r="C1158" s="144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s="138" t="str">
        <f>+IFERROR(VLOOKUP(Fact_Analitica[[#This Row],[Concepto Anterior]],Conceptos_Analítica_contraloría[#All],5,0),"")</f>
        <v/>
      </c>
      <c r="F1158" s="138" t="str">
        <f>+IFERROR(VLOOKUP(Fact_Analitica[[#This Row],[Concepto Anterior]],Conceptos_Analítica_contraloría[#All],7,0),"")</f>
        <v/>
      </c>
      <c r="I1158" s="138" t="str">
        <f>+IFERROR(VLOOKUP(D1158,Conceptos_Analítica_contraloría[#All],2,0),"")</f>
        <v/>
      </c>
      <c r="J1158" s="138" t="str">
        <f>+IFERROR(VLOOKUP(D1158,Conceptos_Analítica_contraloría[#All],3,0),"")</f>
        <v/>
      </c>
    </row>
    <row r="1159" spans="3:10" x14ac:dyDescent="0.35">
      <c r="C1159" s="144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s="138" t="str">
        <f>+IFERROR(VLOOKUP(Fact_Analitica[[#This Row],[Concepto Anterior]],Conceptos_Analítica_contraloría[#All],5,0),"")</f>
        <v/>
      </c>
      <c r="F1159" s="138" t="str">
        <f>+IFERROR(VLOOKUP(Fact_Analitica[[#This Row],[Concepto Anterior]],Conceptos_Analítica_contraloría[#All],7,0),"")</f>
        <v/>
      </c>
      <c r="I1159" s="138" t="str">
        <f>+IFERROR(VLOOKUP(D1159,Conceptos_Analítica_contraloría[#All],2,0),"")</f>
        <v/>
      </c>
      <c r="J1159" s="138" t="str">
        <f>+IFERROR(VLOOKUP(D1159,Conceptos_Analítica_contraloría[#All],3,0),"")</f>
        <v/>
      </c>
    </row>
    <row r="1160" spans="3:10" x14ac:dyDescent="0.35">
      <c r="C1160" s="144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s="138" t="str">
        <f>+IFERROR(VLOOKUP(Fact_Analitica[[#This Row],[Concepto Anterior]],Conceptos_Analítica_contraloría[#All],5,0),"")</f>
        <v/>
      </c>
      <c r="F1160" s="138" t="str">
        <f>+IFERROR(VLOOKUP(Fact_Analitica[[#This Row],[Concepto Anterior]],Conceptos_Analítica_contraloría[#All],7,0),"")</f>
        <v/>
      </c>
      <c r="I1160" s="138" t="str">
        <f>+IFERROR(VLOOKUP(D1160,Conceptos_Analítica_contraloría[#All],2,0),"")</f>
        <v/>
      </c>
      <c r="J1160" s="138" t="str">
        <f>+IFERROR(VLOOKUP(D1160,Conceptos_Analítica_contraloría[#All],3,0),"")</f>
        <v/>
      </c>
    </row>
    <row r="1161" spans="3:10" x14ac:dyDescent="0.35">
      <c r="C1161" s="144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s="138" t="str">
        <f>+IFERROR(VLOOKUP(Fact_Analitica[[#This Row],[Concepto Anterior]],Conceptos_Analítica_contraloría[#All],5,0),"")</f>
        <v/>
      </c>
      <c r="F1161" s="138" t="str">
        <f>+IFERROR(VLOOKUP(Fact_Analitica[[#This Row],[Concepto Anterior]],Conceptos_Analítica_contraloría[#All],7,0),"")</f>
        <v/>
      </c>
      <c r="I1161" s="138" t="str">
        <f>+IFERROR(VLOOKUP(D1161,Conceptos_Analítica_contraloría[#All],2,0),"")</f>
        <v/>
      </c>
      <c r="J1161" s="138" t="str">
        <f>+IFERROR(VLOOKUP(D1161,Conceptos_Analítica_contraloría[#All],3,0),"")</f>
        <v/>
      </c>
    </row>
    <row r="1162" spans="3:10" x14ac:dyDescent="0.35">
      <c r="C1162" s="144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s="138" t="str">
        <f>+IFERROR(VLOOKUP(Fact_Analitica[[#This Row],[Concepto Anterior]],Conceptos_Analítica_contraloría[#All],5,0),"")</f>
        <v/>
      </c>
      <c r="F1162" s="138" t="str">
        <f>+IFERROR(VLOOKUP(Fact_Analitica[[#This Row],[Concepto Anterior]],Conceptos_Analítica_contraloría[#All],7,0),"")</f>
        <v/>
      </c>
      <c r="I1162" s="138" t="str">
        <f>+IFERROR(VLOOKUP(D1162,Conceptos_Analítica_contraloría[#All],2,0),"")</f>
        <v/>
      </c>
      <c r="J1162" s="138" t="str">
        <f>+IFERROR(VLOOKUP(D1162,Conceptos_Analítica_contraloría[#All],3,0),"")</f>
        <v/>
      </c>
    </row>
    <row r="1163" spans="3:10" x14ac:dyDescent="0.35">
      <c r="C1163" s="144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s="138" t="str">
        <f>+IFERROR(VLOOKUP(Fact_Analitica[[#This Row],[Concepto Anterior]],Conceptos_Analítica_contraloría[#All],5,0),"")</f>
        <v/>
      </c>
      <c r="F1163" s="138" t="str">
        <f>+IFERROR(VLOOKUP(Fact_Analitica[[#This Row],[Concepto Anterior]],Conceptos_Analítica_contraloría[#All],7,0),"")</f>
        <v/>
      </c>
      <c r="I1163" s="138" t="str">
        <f>+IFERROR(VLOOKUP(D1163,Conceptos_Analítica_contraloría[#All],2,0),"")</f>
        <v/>
      </c>
      <c r="J1163" s="138" t="str">
        <f>+IFERROR(VLOOKUP(D1163,Conceptos_Analítica_contraloría[#All],3,0),"")</f>
        <v/>
      </c>
    </row>
    <row r="1164" spans="3:10" x14ac:dyDescent="0.35">
      <c r="C1164" s="144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s="138" t="str">
        <f>+IFERROR(VLOOKUP(Fact_Analitica[[#This Row],[Concepto Anterior]],Conceptos_Analítica_contraloría[#All],5,0),"")</f>
        <v/>
      </c>
      <c r="F1164" s="138" t="str">
        <f>+IFERROR(VLOOKUP(Fact_Analitica[[#This Row],[Concepto Anterior]],Conceptos_Analítica_contraloría[#All],7,0),"")</f>
        <v/>
      </c>
      <c r="I1164" s="138" t="str">
        <f>+IFERROR(VLOOKUP(D1164,Conceptos_Analítica_contraloría[#All],2,0),"")</f>
        <v/>
      </c>
      <c r="J1164" s="138" t="str">
        <f>+IFERROR(VLOOKUP(D1164,Conceptos_Analítica_contraloría[#All],3,0),"")</f>
        <v/>
      </c>
    </row>
    <row r="1165" spans="3:10" x14ac:dyDescent="0.35">
      <c r="C1165" s="144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s="138" t="str">
        <f>+IFERROR(VLOOKUP(Fact_Analitica[[#This Row],[Concepto Anterior]],Conceptos_Analítica_contraloría[#All],5,0),"")</f>
        <v/>
      </c>
      <c r="F1165" s="138" t="str">
        <f>+IFERROR(VLOOKUP(Fact_Analitica[[#This Row],[Concepto Anterior]],Conceptos_Analítica_contraloría[#All],7,0),"")</f>
        <v/>
      </c>
      <c r="I1165" s="138" t="str">
        <f>+IFERROR(VLOOKUP(D1165,Conceptos_Analítica_contraloría[#All],2,0),"")</f>
        <v/>
      </c>
      <c r="J1165" s="138" t="str">
        <f>+IFERROR(VLOOKUP(D1165,Conceptos_Analítica_contraloría[#All],3,0),"")</f>
        <v/>
      </c>
    </row>
    <row r="1166" spans="3:10" x14ac:dyDescent="0.35">
      <c r="C1166" s="144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s="138" t="str">
        <f>+IFERROR(VLOOKUP(Fact_Analitica[[#This Row],[Concepto Anterior]],Conceptos_Analítica_contraloría[#All],5,0),"")</f>
        <v/>
      </c>
      <c r="F1166" s="138" t="str">
        <f>+IFERROR(VLOOKUP(Fact_Analitica[[#This Row],[Concepto Anterior]],Conceptos_Analítica_contraloría[#All],7,0),"")</f>
        <v/>
      </c>
      <c r="I1166" s="138" t="str">
        <f>+IFERROR(VLOOKUP(D1166,Conceptos_Analítica_contraloría[#All],2,0),"")</f>
        <v/>
      </c>
      <c r="J1166" s="138" t="str">
        <f>+IFERROR(VLOOKUP(D1166,Conceptos_Analítica_contraloría[#All],3,0),"")</f>
        <v/>
      </c>
    </row>
    <row r="1167" spans="3:10" x14ac:dyDescent="0.35">
      <c r="C1167" s="144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s="138" t="str">
        <f>+IFERROR(VLOOKUP(Fact_Analitica[[#This Row],[Concepto Anterior]],Conceptos_Analítica_contraloría[#All],5,0),"")</f>
        <v/>
      </c>
      <c r="F1167" s="138" t="str">
        <f>+IFERROR(VLOOKUP(Fact_Analitica[[#This Row],[Concepto Anterior]],Conceptos_Analítica_contraloría[#All],7,0),"")</f>
        <v/>
      </c>
      <c r="I1167" s="138" t="str">
        <f>+IFERROR(VLOOKUP(D1167,Conceptos_Analítica_contraloría[#All],2,0),"")</f>
        <v/>
      </c>
      <c r="J1167" s="138" t="str">
        <f>+IFERROR(VLOOKUP(D1167,Conceptos_Analítica_contraloría[#All],3,0),"")</f>
        <v/>
      </c>
    </row>
    <row r="1168" spans="3:10" x14ac:dyDescent="0.35">
      <c r="C1168" s="144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s="138" t="str">
        <f>+IFERROR(VLOOKUP(Fact_Analitica[[#This Row],[Concepto Anterior]],Conceptos_Analítica_contraloría[#All],5,0),"")</f>
        <v/>
      </c>
      <c r="F1168" s="138" t="str">
        <f>+IFERROR(VLOOKUP(Fact_Analitica[[#This Row],[Concepto Anterior]],Conceptos_Analítica_contraloría[#All],7,0),"")</f>
        <v/>
      </c>
      <c r="I1168" s="138" t="str">
        <f>+IFERROR(VLOOKUP(D1168,Conceptos_Analítica_contraloría[#All],2,0),"")</f>
        <v/>
      </c>
      <c r="J1168" s="138" t="str">
        <f>+IFERROR(VLOOKUP(D1168,Conceptos_Analítica_contraloría[#All],3,0),"")</f>
        <v/>
      </c>
    </row>
    <row r="1169" spans="3:10" x14ac:dyDescent="0.35">
      <c r="C1169" s="144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s="138" t="str">
        <f>+IFERROR(VLOOKUP(Fact_Analitica[[#This Row],[Concepto Anterior]],Conceptos_Analítica_contraloría[#All],5,0),"")</f>
        <v/>
      </c>
      <c r="F1169" s="138" t="str">
        <f>+IFERROR(VLOOKUP(Fact_Analitica[[#This Row],[Concepto Anterior]],Conceptos_Analítica_contraloría[#All],7,0),"")</f>
        <v/>
      </c>
      <c r="I1169" s="138" t="str">
        <f>+IFERROR(VLOOKUP(D1169,Conceptos_Analítica_contraloría[#All],2,0),"")</f>
        <v/>
      </c>
      <c r="J1169" s="138" t="str">
        <f>+IFERROR(VLOOKUP(D1169,Conceptos_Analítica_contraloría[#All],3,0),"")</f>
        <v/>
      </c>
    </row>
    <row r="1170" spans="3:10" x14ac:dyDescent="0.35">
      <c r="C1170" s="144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s="138" t="str">
        <f>+IFERROR(VLOOKUP(Fact_Analitica[[#This Row],[Concepto Anterior]],Conceptos_Analítica_contraloría[#All],5,0),"")</f>
        <v/>
      </c>
      <c r="F1170" s="138" t="str">
        <f>+IFERROR(VLOOKUP(Fact_Analitica[[#This Row],[Concepto Anterior]],Conceptos_Analítica_contraloría[#All],7,0),"")</f>
        <v/>
      </c>
      <c r="I1170" s="138" t="str">
        <f>+IFERROR(VLOOKUP(D1170,Conceptos_Analítica_contraloría[#All],2,0),"")</f>
        <v/>
      </c>
      <c r="J1170" s="138" t="str">
        <f>+IFERROR(VLOOKUP(D1170,Conceptos_Analítica_contraloría[#All],3,0),"")</f>
        <v/>
      </c>
    </row>
    <row r="1171" spans="3:10" x14ac:dyDescent="0.35">
      <c r="C1171" s="144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s="138" t="str">
        <f>+IFERROR(VLOOKUP(Fact_Analitica[[#This Row],[Concepto Anterior]],Conceptos_Analítica_contraloría[#All],5,0),"")</f>
        <v/>
      </c>
      <c r="F1171" s="138" t="str">
        <f>+IFERROR(VLOOKUP(Fact_Analitica[[#This Row],[Concepto Anterior]],Conceptos_Analítica_contraloría[#All],7,0),"")</f>
        <v/>
      </c>
      <c r="I1171" s="138" t="str">
        <f>+IFERROR(VLOOKUP(D1171,Conceptos_Analítica_contraloría[#All],2,0),"")</f>
        <v/>
      </c>
      <c r="J1171" s="138" t="str">
        <f>+IFERROR(VLOOKUP(D1171,Conceptos_Analítica_contraloría[#All],3,0),"")</f>
        <v/>
      </c>
    </row>
    <row r="1172" spans="3:10" x14ac:dyDescent="0.35">
      <c r="C1172" s="144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s="138" t="str">
        <f>+IFERROR(VLOOKUP(Fact_Analitica[[#This Row],[Concepto Anterior]],Conceptos_Analítica_contraloría[#All],5,0),"")</f>
        <v/>
      </c>
      <c r="F1172" s="138" t="str">
        <f>+IFERROR(VLOOKUP(Fact_Analitica[[#This Row],[Concepto Anterior]],Conceptos_Analítica_contraloría[#All],7,0),"")</f>
        <v/>
      </c>
      <c r="I1172" s="138" t="str">
        <f>+IFERROR(VLOOKUP(D1172,Conceptos_Analítica_contraloría[#All],2,0),"")</f>
        <v/>
      </c>
      <c r="J1172" s="138" t="str">
        <f>+IFERROR(VLOOKUP(D1172,Conceptos_Analítica_contraloría[#All],3,0),"")</f>
        <v/>
      </c>
    </row>
    <row r="1173" spans="3:10" x14ac:dyDescent="0.35">
      <c r="C1173" s="144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s="138" t="str">
        <f>+IFERROR(VLOOKUP(Fact_Analitica[[#This Row],[Concepto Anterior]],Conceptos_Analítica_contraloría[#All],5,0),"")</f>
        <v/>
      </c>
      <c r="F1173" s="138" t="str">
        <f>+IFERROR(VLOOKUP(Fact_Analitica[[#This Row],[Concepto Anterior]],Conceptos_Analítica_contraloría[#All],7,0),"")</f>
        <v/>
      </c>
      <c r="I1173" s="138" t="str">
        <f>+IFERROR(VLOOKUP(D1173,Conceptos_Analítica_contraloría[#All],2,0),"")</f>
        <v/>
      </c>
      <c r="J1173" s="138" t="str">
        <f>+IFERROR(VLOOKUP(D1173,Conceptos_Analítica_contraloría[#All],3,0),"")</f>
        <v/>
      </c>
    </row>
    <row r="1174" spans="3:10" x14ac:dyDescent="0.35">
      <c r="C1174" s="144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s="138" t="str">
        <f>+IFERROR(VLOOKUP(Fact_Analitica[[#This Row],[Concepto Anterior]],Conceptos_Analítica_contraloría[#All],5,0),"")</f>
        <v/>
      </c>
      <c r="F1174" s="138" t="str">
        <f>+IFERROR(VLOOKUP(Fact_Analitica[[#This Row],[Concepto Anterior]],Conceptos_Analítica_contraloría[#All],7,0),"")</f>
        <v/>
      </c>
      <c r="I1174" s="138" t="str">
        <f>+IFERROR(VLOOKUP(D1174,Conceptos_Analítica_contraloría[#All],2,0),"")</f>
        <v/>
      </c>
      <c r="J1174" s="138" t="str">
        <f>+IFERROR(VLOOKUP(D1174,Conceptos_Analítica_contraloría[#All],3,0),"")</f>
        <v/>
      </c>
    </row>
    <row r="1175" spans="3:10" x14ac:dyDescent="0.35">
      <c r="C1175" s="144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s="138" t="str">
        <f>+IFERROR(VLOOKUP(Fact_Analitica[[#This Row],[Concepto Anterior]],Conceptos_Analítica_contraloría[#All],5,0),"")</f>
        <v/>
      </c>
      <c r="F1175" s="138" t="str">
        <f>+IFERROR(VLOOKUP(Fact_Analitica[[#This Row],[Concepto Anterior]],Conceptos_Analítica_contraloría[#All],7,0),"")</f>
        <v/>
      </c>
      <c r="I1175" s="138" t="str">
        <f>+IFERROR(VLOOKUP(D1175,Conceptos_Analítica_contraloría[#All],2,0),"")</f>
        <v/>
      </c>
      <c r="J1175" s="138" t="str">
        <f>+IFERROR(VLOOKUP(D1175,Conceptos_Analítica_contraloría[#All],3,0),"")</f>
        <v/>
      </c>
    </row>
    <row r="1176" spans="3:10" x14ac:dyDescent="0.35">
      <c r="C1176" s="144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s="138" t="str">
        <f>+IFERROR(VLOOKUP(Fact_Analitica[[#This Row],[Concepto Anterior]],Conceptos_Analítica_contraloría[#All],5,0),"")</f>
        <v/>
      </c>
      <c r="F1176" s="138" t="str">
        <f>+IFERROR(VLOOKUP(Fact_Analitica[[#This Row],[Concepto Anterior]],Conceptos_Analítica_contraloría[#All],7,0),"")</f>
        <v/>
      </c>
      <c r="I1176" s="138" t="str">
        <f>+IFERROR(VLOOKUP(D1176,Conceptos_Analítica_contraloría[#All],2,0),"")</f>
        <v/>
      </c>
      <c r="J1176" s="138" t="str">
        <f>+IFERROR(VLOOKUP(D1176,Conceptos_Analítica_contraloría[#All],3,0),"")</f>
        <v/>
      </c>
    </row>
    <row r="1177" spans="3:10" x14ac:dyDescent="0.35">
      <c r="C1177" s="144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s="138" t="str">
        <f>+IFERROR(VLOOKUP(Fact_Analitica[[#This Row],[Concepto Anterior]],Conceptos_Analítica_contraloría[#All],5,0),"")</f>
        <v/>
      </c>
      <c r="F1177" s="138" t="str">
        <f>+IFERROR(VLOOKUP(Fact_Analitica[[#This Row],[Concepto Anterior]],Conceptos_Analítica_contraloría[#All],7,0),"")</f>
        <v/>
      </c>
      <c r="I1177" s="138" t="str">
        <f>+IFERROR(VLOOKUP(D1177,Conceptos_Analítica_contraloría[#All],2,0),"")</f>
        <v/>
      </c>
      <c r="J1177" s="138" t="str">
        <f>+IFERROR(VLOOKUP(D1177,Conceptos_Analítica_contraloría[#All],3,0),"")</f>
        <v/>
      </c>
    </row>
    <row r="1178" spans="3:10" x14ac:dyDescent="0.35">
      <c r="C1178" s="144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s="138" t="str">
        <f>+IFERROR(VLOOKUP(Fact_Analitica[[#This Row],[Concepto Anterior]],Conceptos_Analítica_contraloría[#All],5,0),"")</f>
        <v/>
      </c>
      <c r="F1178" s="138" t="str">
        <f>+IFERROR(VLOOKUP(Fact_Analitica[[#This Row],[Concepto Anterior]],Conceptos_Analítica_contraloría[#All],7,0),"")</f>
        <v/>
      </c>
      <c r="I1178" s="138" t="str">
        <f>+IFERROR(VLOOKUP(D1178,Conceptos_Analítica_contraloría[#All],2,0),"")</f>
        <v/>
      </c>
      <c r="J1178" s="138" t="str">
        <f>+IFERROR(VLOOKUP(D1178,Conceptos_Analítica_contraloría[#All],3,0),"")</f>
        <v/>
      </c>
    </row>
    <row r="1179" spans="3:10" x14ac:dyDescent="0.35">
      <c r="C1179" s="144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s="138" t="str">
        <f>+IFERROR(VLOOKUP(Fact_Analitica[[#This Row],[Concepto Anterior]],Conceptos_Analítica_contraloría[#All],5,0),"")</f>
        <v/>
      </c>
      <c r="F1179" s="138" t="str">
        <f>+IFERROR(VLOOKUP(Fact_Analitica[[#This Row],[Concepto Anterior]],Conceptos_Analítica_contraloría[#All],7,0),"")</f>
        <v/>
      </c>
      <c r="I1179" s="138" t="str">
        <f>+IFERROR(VLOOKUP(D1179,Conceptos_Analítica_contraloría[#All],2,0),"")</f>
        <v/>
      </c>
      <c r="J1179" s="138" t="str">
        <f>+IFERROR(VLOOKUP(D1179,Conceptos_Analítica_contraloría[#All],3,0),"")</f>
        <v/>
      </c>
    </row>
    <row r="1180" spans="3:10" x14ac:dyDescent="0.35">
      <c r="C1180" s="144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s="138" t="str">
        <f>+IFERROR(VLOOKUP(Fact_Analitica[[#This Row],[Concepto Anterior]],Conceptos_Analítica_contraloría[#All],5,0),"")</f>
        <v/>
      </c>
      <c r="F1180" s="138" t="str">
        <f>+IFERROR(VLOOKUP(Fact_Analitica[[#This Row],[Concepto Anterior]],Conceptos_Analítica_contraloría[#All],7,0),"")</f>
        <v/>
      </c>
      <c r="I1180" s="138" t="str">
        <f>+IFERROR(VLOOKUP(D1180,Conceptos_Analítica_contraloría[#All],2,0),"")</f>
        <v/>
      </c>
      <c r="J1180" s="138" t="str">
        <f>+IFERROR(VLOOKUP(D1180,Conceptos_Analítica_contraloría[#All],3,0),"")</f>
        <v/>
      </c>
    </row>
    <row r="1181" spans="3:10" x14ac:dyDescent="0.35">
      <c r="C1181" s="144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s="138" t="str">
        <f>+IFERROR(VLOOKUP(Fact_Analitica[[#This Row],[Concepto Anterior]],Conceptos_Analítica_contraloría[#All],5,0),"")</f>
        <v/>
      </c>
      <c r="F1181" s="138" t="str">
        <f>+IFERROR(VLOOKUP(Fact_Analitica[[#This Row],[Concepto Anterior]],Conceptos_Analítica_contraloría[#All],7,0),"")</f>
        <v/>
      </c>
      <c r="I1181" s="138" t="str">
        <f>+IFERROR(VLOOKUP(D1181,Conceptos_Analítica_contraloría[#All],2,0),"")</f>
        <v/>
      </c>
      <c r="J1181" s="138" t="str">
        <f>+IFERROR(VLOOKUP(D1181,Conceptos_Analítica_contraloría[#All],3,0),"")</f>
        <v/>
      </c>
    </row>
    <row r="1182" spans="3:10" x14ac:dyDescent="0.35">
      <c r="C1182" s="144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s="138" t="str">
        <f>+IFERROR(VLOOKUP(Fact_Analitica[[#This Row],[Concepto Anterior]],Conceptos_Analítica_contraloría[#All],5,0),"")</f>
        <v/>
      </c>
      <c r="F1182" s="138" t="str">
        <f>+IFERROR(VLOOKUP(Fact_Analitica[[#This Row],[Concepto Anterior]],Conceptos_Analítica_contraloría[#All],7,0),"")</f>
        <v/>
      </c>
      <c r="I1182" s="138" t="str">
        <f>+IFERROR(VLOOKUP(D1182,Conceptos_Analítica_contraloría[#All],2,0),"")</f>
        <v/>
      </c>
      <c r="J1182" s="138" t="str">
        <f>+IFERROR(VLOOKUP(D1182,Conceptos_Analítica_contraloría[#All],3,0),"")</f>
        <v/>
      </c>
    </row>
    <row r="1183" spans="3:10" x14ac:dyDescent="0.35">
      <c r="C1183" s="144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s="138" t="str">
        <f>+IFERROR(VLOOKUP(Fact_Analitica[[#This Row],[Concepto Anterior]],Conceptos_Analítica_contraloría[#All],5,0),"")</f>
        <v/>
      </c>
      <c r="F1183" s="138" t="str">
        <f>+IFERROR(VLOOKUP(Fact_Analitica[[#This Row],[Concepto Anterior]],Conceptos_Analítica_contraloría[#All],7,0),"")</f>
        <v/>
      </c>
      <c r="I1183" s="138" t="str">
        <f>+IFERROR(VLOOKUP(D1183,Conceptos_Analítica_contraloría[#All],2,0),"")</f>
        <v/>
      </c>
      <c r="J1183" s="138" t="str">
        <f>+IFERROR(VLOOKUP(D1183,Conceptos_Analítica_contraloría[#All],3,0),"")</f>
        <v/>
      </c>
    </row>
    <row r="1184" spans="3:10" x14ac:dyDescent="0.35">
      <c r="C1184" s="144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s="138" t="str">
        <f>+IFERROR(VLOOKUP(Fact_Analitica[[#This Row],[Concepto Anterior]],Conceptos_Analítica_contraloría[#All],5,0),"")</f>
        <v/>
      </c>
      <c r="F1184" s="138" t="str">
        <f>+IFERROR(VLOOKUP(Fact_Analitica[[#This Row],[Concepto Anterior]],Conceptos_Analítica_contraloría[#All],7,0),"")</f>
        <v/>
      </c>
      <c r="I1184" s="138" t="str">
        <f>+IFERROR(VLOOKUP(D1184,Conceptos_Analítica_contraloría[#All],2,0),"")</f>
        <v/>
      </c>
      <c r="J1184" s="138" t="str">
        <f>+IFERROR(VLOOKUP(D1184,Conceptos_Analítica_contraloría[#All],3,0),"")</f>
        <v/>
      </c>
    </row>
    <row r="1185" spans="3:10" x14ac:dyDescent="0.35">
      <c r="C1185" s="144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s="138" t="str">
        <f>+IFERROR(VLOOKUP(Fact_Analitica[[#This Row],[Concepto Anterior]],Conceptos_Analítica_contraloría[#All],5,0),"")</f>
        <v/>
      </c>
      <c r="F1185" s="138" t="str">
        <f>+IFERROR(VLOOKUP(Fact_Analitica[[#This Row],[Concepto Anterior]],Conceptos_Analítica_contraloría[#All],7,0),"")</f>
        <v/>
      </c>
      <c r="I1185" s="138" t="str">
        <f>+IFERROR(VLOOKUP(D1185,Conceptos_Analítica_contraloría[#All],2,0),"")</f>
        <v/>
      </c>
      <c r="J1185" s="138" t="str">
        <f>+IFERROR(VLOOKUP(D1185,Conceptos_Analítica_contraloría[#All],3,0),"")</f>
        <v/>
      </c>
    </row>
    <row r="1186" spans="3:10" x14ac:dyDescent="0.35">
      <c r="C1186" s="144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s="138" t="str">
        <f>+IFERROR(VLOOKUP(Fact_Analitica[[#This Row],[Concepto Anterior]],Conceptos_Analítica_contraloría[#All],5,0),"")</f>
        <v/>
      </c>
      <c r="F1186" s="138" t="str">
        <f>+IFERROR(VLOOKUP(Fact_Analitica[[#This Row],[Concepto Anterior]],Conceptos_Analítica_contraloría[#All],7,0),"")</f>
        <v/>
      </c>
      <c r="I1186" s="138" t="str">
        <f>+IFERROR(VLOOKUP(D1186,Conceptos_Analítica_contraloría[#All],2,0),"")</f>
        <v/>
      </c>
      <c r="J1186" s="138" t="str">
        <f>+IFERROR(VLOOKUP(D1186,Conceptos_Analítica_contraloría[#All],3,0),"")</f>
        <v/>
      </c>
    </row>
    <row r="1187" spans="3:10" x14ac:dyDescent="0.35">
      <c r="C1187" s="144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s="138" t="str">
        <f>+IFERROR(VLOOKUP(Fact_Analitica[[#This Row],[Concepto Anterior]],Conceptos_Analítica_contraloría[#All],5,0),"")</f>
        <v/>
      </c>
      <c r="F1187" s="138" t="str">
        <f>+IFERROR(VLOOKUP(Fact_Analitica[[#This Row],[Concepto Anterior]],Conceptos_Analítica_contraloría[#All],7,0),"")</f>
        <v/>
      </c>
      <c r="I1187" s="138" t="str">
        <f>+IFERROR(VLOOKUP(D1187,Conceptos_Analítica_contraloría[#All],2,0),"")</f>
        <v/>
      </c>
      <c r="J1187" s="138" t="str">
        <f>+IFERROR(VLOOKUP(D1187,Conceptos_Analítica_contraloría[#All],3,0),"")</f>
        <v/>
      </c>
    </row>
    <row r="1188" spans="3:10" x14ac:dyDescent="0.35">
      <c r="C1188" s="144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s="138" t="str">
        <f>+IFERROR(VLOOKUP(Fact_Analitica[[#This Row],[Concepto Anterior]],Conceptos_Analítica_contraloría[#All],5,0),"")</f>
        <v/>
      </c>
      <c r="F1188" s="138" t="str">
        <f>+IFERROR(VLOOKUP(Fact_Analitica[[#This Row],[Concepto Anterior]],Conceptos_Analítica_contraloría[#All],7,0),"")</f>
        <v/>
      </c>
      <c r="I1188" s="138" t="str">
        <f>+IFERROR(VLOOKUP(D1188,Conceptos_Analítica_contraloría[#All],2,0),"")</f>
        <v/>
      </c>
      <c r="J1188" s="138" t="str">
        <f>+IFERROR(VLOOKUP(D1188,Conceptos_Analítica_contraloría[#All],3,0),"")</f>
        <v/>
      </c>
    </row>
    <row r="1189" spans="3:10" x14ac:dyDescent="0.35">
      <c r="C1189" s="144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s="138" t="str">
        <f>+IFERROR(VLOOKUP(Fact_Analitica[[#This Row],[Concepto Anterior]],Conceptos_Analítica_contraloría[#All],5,0),"")</f>
        <v/>
      </c>
      <c r="F1189" s="138" t="str">
        <f>+IFERROR(VLOOKUP(Fact_Analitica[[#This Row],[Concepto Anterior]],Conceptos_Analítica_contraloría[#All],7,0),"")</f>
        <v/>
      </c>
      <c r="I1189" s="138" t="str">
        <f>+IFERROR(VLOOKUP(D1189,Conceptos_Analítica_contraloría[#All],2,0),"")</f>
        <v/>
      </c>
      <c r="J1189" s="138" t="str">
        <f>+IFERROR(VLOOKUP(D1189,Conceptos_Analítica_contraloría[#All],3,0),"")</f>
        <v/>
      </c>
    </row>
    <row r="1190" spans="3:10" x14ac:dyDescent="0.35">
      <c r="C1190" s="144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s="138" t="str">
        <f>+IFERROR(VLOOKUP(Fact_Analitica[[#This Row],[Concepto Anterior]],Conceptos_Analítica_contraloría[#All],5,0),"")</f>
        <v/>
      </c>
      <c r="F1190" s="138" t="str">
        <f>+IFERROR(VLOOKUP(Fact_Analitica[[#This Row],[Concepto Anterior]],Conceptos_Analítica_contraloría[#All],7,0),"")</f>
        <v/>
      </c>
      <c r="I1190" s="138" t="str">
        <f>+IFERROR(VLOOKUP(D1190,Conceptos_Analítica_contraloría[#All],2,0),"")</f>
        <v/>
      </c>
      <c r="J1190" s="138" t="str">
        <f>+IFERROR(VLOOKUP(D1190,Conceptos_Analítica_contraloría[#All],3,0),"")</f>
        <v/>
      </c>
    </row>
    <row r="1191" spans="3:10" x14ac:dyDescent="0.35">
      <c r="C1191" s="144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s="138" t="str">
        <f>+IFERROR(VLOOKUP(Fact_Analitica[[#This Row],[Concepto Anterior]],Conceptos_Analítica_contraloría[#All],5,0),"")</f>
        <v/>
      </c>
      <c r="F1191" s="138" t="str">
        <f>+IFERROR(VLOOKUP(Fact_Analitica[[#This Row],[Concepto Anterior]],Conceptos_Analítica_contraloría[#All],7,0),"")</f>
        <v/>
      </c>
      <c r="I1191" s="138" t="str">
        <f>+IFERROR(VLOOKUP(D1191,Conceptos_Analítica_contraloría[#All],2,0),"")</f>
        <v/>
      </c>
      <c r="J1191" s="138" t="str">
        <f>+IFERROR(VLOOKUP(D1191,Conceptos_Analítica_contraloría[#All],3,0),"")</f>
        <v/>
      </c>
    </row>
    <row r="1192" spans="3:10" x14ac:dyDescent="0.35">
      <c r="C1192" s="144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s="138" t="str">
        <f>+IFERROR(VLOOKUP(Fact_Analitica[[#This Row],[Concepto Anterior]],Conceptos_Analítica_contraloría[#All],5,0),"")</f>
        <v/>
      </c>
      <c r="F1192" s="138" t="str">
        <f>+IFERROR(VLOOKUP(Fact_Analitica[[#This Row],[Concepto Anterior]],Conceptos_Analítica_contraloría[#All],7,0),"")</f>
        <v/>
      </c>
      <c r="I1192" s="138" t="str">
        <f>+IFERROR(VLOOKUP(D1192,Conceptos_Analítica_contraloría[#All],2,0),"")</f>
        <v/>
      </c>
      <c r="J1192" s="138" t="str">
        <f>+IFERROR(VLOOKUP(D1192,Conceptos_Analítica_contraloría[#All],3,0),"")</f>
        <v/>
      </c>
    </row>
    <row r="1193" spans="3:10" x14ac:dyDescent="0.35">
      <c r="C1193" s="144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s="138" t="str">
        <f>+IFERROR(VLOOKUP(Fact_Analitica[[#This Row],[Concepto Anterior]],Conceptos_Analítica_contraloría[#All],5,0),"")</f>
        <v/>
      </c>
      <c r="F1193" s="138" t="str">
        <f>+IFERROR(VLOOKUP(Fact_Analitica[[#This Row],[Concepto Anterior]],Conceptos_Analítica_contraloría[#All],7,0),"")</f>
        <v/>
      </c>
      <c r="I1193" s="138" t="str">
        <f>+IFERROR(VLOOKUP(D1193,Conceptos_Analítica_contraloría[#All],2,0),"")</f>
        <v/>
      </c>
      <c r="J1193" s="138" t="str">
        <f>+IFERROR(VLOOKUP(D1193,Conceptos_Analítica_contraloría[#All],3,0),"")</f>
        <v/>
      </c>
    </row>
    <row r="1194" spans="3:10" x14ac:dyDescent="0.35">
      <c r="C1194" s="144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s="138" t="str">
        <f>+IFERROR(VLOOKUP(Fact_Analitica[[#This Row],[Concepto Anterior]],Conceptos_Analítica_contraloría[#All],5,0),"")</f>
        <v/>
      </c>
      <c r="F1194" s="138" t="str">
        <f>+IFERROR(VLOOKUP(Fact_Analitica[[#This Row],[Concepto Anterior]],Conceptos_Analítica_contraloría[#All],7,0),"")</f>
        <v/>
      </c>
      <c r="I1194" s="138" t="str">
        <f>+IFERROR(VLOOKUP(D1194,Conceptos_Analítica_contraloría[#All],2,0),"")</f>
        <v/>
      </c>
      <c r="J1194" s="138" t="str">
        <f>+IFERROR(VLOOKUP(D1194,Conceptos_Analítica_contraloría[#All],3,0),"")</f>
        <v/>
      </c>
    </row>
    <row r="1195" spans="3:10" x14ac:dyDescent="0.35">
      <c r="C1195" s="144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s="138" t="str">
        <f>+IFERROR(VLOOKUP(Fact_Analitica[[#This Row],[Concepto Anterior]],Conceptos_Analítica_contraloría[#All],5,0),"")</f>
        <v/>
      </c>
      <c r="F1195" s="138" t="str">
        <f>+IFERROR(VLOOKUP(Fact_Analitica[[#This Row],[Concepto Anterior]],Conceptos_Analítica_contraloría[#All],7,0),"")</f>
        <v/>
      </c>
      <c r="I1195" s="138" t="str">
        <f>+IFERROR(VLOOKUP(D1195,Conceptos_Analítica_contraloría[#All],2,0),"")</f>
        <v/>
      </c>
      <c r="J1195" s="138" t="str">
        <f>+IFERROR(VLOOKUP(D1195,Conceptos_Analítica_contraloría[#All],3,0),"")</f>
        <v/>
      </c>
    </row>
    <row r="1196" spans="3:10" x14ac:dyDescent="0.35">
      <c r="C1196" s="144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s="138" t="str">
        <f>+IFERROR(VLOOKUP(Fact_Analitica[[#This Row],[Concepto Anterior]],Conceptos_Analítica_contraloría[#All],5,0),"")</f>
        <v/>
      </c>
      <c r="F1196" s="138" t="str">
        <f>+IFERROR(VLOOKUP(Fact_Analitica[[#This Row],[Concepto Anterior]],Conceptos_Analítica_contraloría[#All],7,0),"")</f>
        <v/>
      </c>
      <c r="I1196" s="138" t="str">
        <f>+IFERROR(VLOOKUP(D1196,Conceptos_Analítica_contraloría[#All],2,0),"")</f>
        <v/>
      </c>
      <c r="J1196" s="138" t="str">
        <f>+IFERROR(VLOOKUP(D1196,Conceptos_Analítica_contraloría[#All],3,0),"")</f>
        <v/>
      </c>
    </row>
    <row r="1197" spans="3:10" x14ac:dyDescent="0.35">
      <c r="C1197" s="144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s="138" t="str">
        <f>+IFERROR(VLOOKUP(Fact_Analitica[[#This Row],[Concepto Anterior]],Conceptos_Analítica_contraloría[#All],5,0),"")</f>
        <v/>
      </c>
      <c r="F1197" s="138" t="str">
        <f>+IFERROR(VLOOKUP(Fact_Analitica[[#This Row],[Concepto Anterior]],Conceptos_Analítica_contraloría[#All],7,0),"")</f>
        <v/>
      </c>
      <c r="I1197" s="138" t="str">
        <f>+IFERROR(VLOOKUP(D1197,Conceptos_Analítica_contraloría[#All],2,0),"")</f>
        <v/>
      </c>
      <c r="J1197" s="138" t="str">
        <f>+IFERROR(VLOOKUP(D1197,Conceptos_Analítica_contraloría[#All],3,0),"")</f>
        <v/>
      </c>
    </row>
    <row r="1198" spans="3:10" x14ac:dyDescent="0.35">
      <c r="C1198" s="144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s="138" t="str">
        <f>+IFERROR(VLOOKUP(Fact_Analitica[[#This Row],[Concepto Anterior]],Conceptos_Analítica_contraloría[#All],5,0),"")</f>
        <v/>
      </c>
      <c r="F1198" s="138" t="str">
        <f>+IFERROR(VLOOKUP(Fact_Analitica[[#This Row],[Concepto Anterior]],Conceptos_Analítica_contraloría[#All],7,0),"")</f>
        <v/>
      </c>
      <c r="I1198" s="138" t="str">
        <f>+IFERROR(VLOOKUP(D1198,Conceptos_Analítica_contraloría[#All],2,0),"")</f>
        <v/>
      </c>
      <c r="J1198" s="138" t="str">
        <f>+IFERROR(VLOOKUP(D1198,Conceptos_Analítica_contraloría[#All],3,0),"")</f>
        <v/>
      </c>
    </row>
    <row r="1199" spans="3:10" x14ac:dyDescent="0.35">
      <c r="C1199" s="144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s="138" t="str">
        <f>+IFERROR(VLOOKUP(Fact_Analitica[[#This Row],[Concepto Anterior]],Conceptos_Analítica_contraloría[#All],5,0),"")</f>
        <v/>
      </c>
      <c r="F1199" s="138" t="str">
        <f>+IFERROR(VLOOKUP(Fact_Analitica[[#This Row],[Concepto Anterior]],Conceptos_Analítica_contraloría[#All],7,0),"")</f>
        <v/>
      </c>
      <c r="I1199" s="138" t="str">
        <f>+IFERROR(VLOOKUP(D1199,Conceptos_Analítica_contraloría[#All],2,0),"")</f>
        <v/>
      </c>
      <c r="J1199" s="138" t="str">
        <f>+IFERROR(VLOOKUP(D1199,Conceptos_Analítica_contraloría[#All],3,0),"")</f>
        <v/>
      </c>
    </row>
    <row r="1200" spans="3:10" x14ac:dyDescent="0.35">
      <c r="C1200" s="144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s="138" t="str">
        <f>+IFERROR(VLOOKUP(Fact_Analitica[[#This Row],[Concepto Anterior]],Conceptos_Analítica_contraloría[#All],5,0),"")</f>
        <v/>
      </c>
      <c r="F1200" s="138" t="str">
        <f>+IFERROR(VLOOKUP(Fact_Analitica[[#This Row],[Concepto Anterior]],Conceptos_Analítica_contraloría[#All],7,0),"")</f>
        <v/>
      </c>
      <c r="I1200" s="138" t="str">
        <f>+IFERROR(VLOOKUP(D1200,Conceptos_Analítica_contraloría[#All],2,0),"")</f>
        <v/>
      </c>
      <c r="J1200" s="138" t="str">
        <f>+IFERROR(VLOOKUP(D1200,Conceptos_Analítica_contraloría[#All],3,0),"")</f>
        <v/>
      </c>
    </row>
    <row r="1201" spans="3:10" x14ac:dyDescent="0.35">
      <c r="C1201" s="144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s="138" t="str">
        <f>+IFERROR(VLOOKUP(Fact_Analitica[[#This Row],[Concepto Anterior]],Conceptos_Analítica_contraloría[#All],5,0),"")</f>
        <v/>
      </c>
      <c r="F1201" s="138" t="str">
        <f>+IFERROR(VLOOKUP(Fact_Analitica[[#This Row],[Concepto Anterior]],Conceptos_Analítica_contraloría[#All],7,0),"")</f>
        <v/>
      </c>
      <c r="I1201" s="138" t="str">
        <f>+IFERROR(VLOOKUP(D1201,Conceptos_Analítica_contraloría[#All],2,0),"")</f>
        <v/>
      </c>
      <c r="J1201" s="138" t="str">
        <f>+IFERROR(VLOOKUP(D1201,Conceptos_Analítica_contraloría[#All],3,0),"")</f>
        <v/>
      </c>
    </row>
    <row r="1202" spans="3:10" x14ac:dyDescent="0.35">
      <c r="C1202" s="144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s="138" t="str">
        <f>+IFERROR(VLOOKUP(Fact_Analitica[[#This Row],[Concepto Anterior]],Conceptos_Analítica_contraloría[#All],5,0),"")</f>
        <v/>
      </c>
      <c r="F1202" s="138" t="str">
        <f>+IFERROR(VLOOKUP(Fact_Analitica[[#This Row],[Concepto Anterior]],Conceptos_Analítica_contraloría[#All],7,0),"")</f>
        <v/>
      </c>
      <c r="I1202" s="138" t="str">
        <f>+IFERROR(VLOOKUP(D1202,Conceptos_Analítica_contraloría[#All],2,0),"")</f>
        <v/>
      </c>
      <c r="J1202" s="138" t="str">
        <f>+IFERROR(VLOOKUP(D1202,Conceptos_Analítica_contraloría[#All],3,0),"")</f>
        <v/>
      </c>
    </row>
    <row r="1203" spans="3:10" x14ac:dyDescent="0.35">
      <c r="C1203" s="144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s="138" t="str">
        <f>+IFERROR(VLOOKUP(Fact_Analitica[[#This Row],[Concepto Anterior]],Conceptos_Analítica_contraloría[#All],5,0),"")</f>
        <v/>
      </c>
      <c r="F1203" s="138" t="str">
        <f>+IFERROR(VLOOKUP(Fact_Analitica[[#This Row],[Concepto Anterior]],Conceptos_Analítica_contraloría[#All],7,0),"")</f>
        <v/>
      </c>
      <c r="I1203" s="138" t="str">
        <f>+IFERROR(VLOOKUP(D1203,Conceptos_Analítica_contraloría[#All],2,0),"")</f>
        <v/>
      </c>
      <c r="J1203" s="138" t="str">
        <f>+IFERROR(VLOOKUP(D1203,Conceptos_Analítica_contraloría[#All],3,0),"")</f>
        <v/>
      </c>
    </row>
    <row r="1204" spans="3:10" x14ac:dyDescent="0.35">
      <c r="C1204" s="144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s="138" t="str">
        <f>+IFERROR(VLOOKUP(Fact_Analitica[[#This Row],[Concepto Anterior]],Conceptos_Analítica_contraloría[#All],5,0),"")</f>
        <v/>
      </c>
      <c r="F1204" s="138" t="str">
        <f>+IFERROR(VLOOKUP(Fact_Analitica[[#This Row],[Concepto Anterior]],Conceptos_Analítica_contraloría[#All],7,0),"")</f>
        <v/>
      </c>
      <c r="I1204" s="138" t="str">
        <f>+IFERROR(VLOOKUP(D1204,Conceptos_Analítica_contraloría[#All],2,0),"")</f>
        <v/>
      </c>
      <c r="J1204" s="138" t="str">
        <f>+IFERROR(VLOOKUP(D1204,Conceptos_Analítica_contraloría[#All],3,0),"")</f>
        <v/>
      </c>
    </row>
    <row r="1205" spans="3:10" x14ac:dyDescent="0.35">
      <c r="C1205" s="144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s="138" t="str">
        <f>+IFERROR(VLOOKUP(Fact_Analitica[[#This Row],[Concepto Anterior]],Conceptos_Analítica_contraloría[#All],5,0),"")</f>
        <v/>
      </c>
      <c r="F1205" s="138" t="str">
        <f>+IFERROR(VLOOKUP(Fact_Analitica[[#This Row],[Concepto Anterior]],Conceptos_Analítica_contraloría[#All],7,0),"")</f>
        <v/>
      </c>
      <c r="I1205" s="138" t="str">
        <f>+IFERROR(VLOOKUP(D1205,Conceptos_Analítica_contraloría[#All],2,0),"")</f>
        <v/>
      </c>
      <c r="J1205" s="138" t="str">
        <f>+IFERROR(VLOOKUP(D1205,Conceptos_Analítica_contraloría[#All],3,0),"")</f>
        <v/>
      </c>
    </row>
    <row r="1206" spans="3:10" x14ac:dyDescent="0.35">
      <c r="C1206" s="144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s="138" t="str">
        <f>+IFERROR(VLOOKUP(Fact_Analitica[[#This Row],[Concepto Anterior]],Conceptos_Analítica_contraloría[#All],5,0),"")</f>
        <v/>
      </c>
      <c r="F1206" s="138" t="str">
        <f>+IFERROR(VLOOKUP(Fact_Analitica[[#This Row],[Concepto Anterior]],Conceptos_Analítica_contraloría[#All],7,0),"")</f>
        <v/>
      </c>
      <c r="I1206" s="138" t="str">
        <f>+IFERROR(VLOOKUP(D1206,Conceptos_Analítica_contraloría[#All],2,0),"")</f>
        <v/>
      </c>
      <c r="J1206" s="138" t="str">
        <f>+IFERROR(VLOOKUP(D1206,Conceptos_Analítica_contraloría[#All],3,0),"")</f>
        <v/>
      </c>
    </row>
    <row r="1207" spans="3:10" x14ac:dyDescent="0.35">
      <c r="C1207" s="144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s="138" t="str">
        <f>+IFERROR(VLOOKUP(Fact_Analitica[[#This Row],[Concepto Anterior]],Conceptos_Analítica_contraloría[#All],5,0),"")</f>
        <v/>
      </c>
      <c r="F1207" s="138" t="str">
        <f>+IFERROR(VLOOKUP(Fact_Analitica[[#This Row],[Concepto Anterior]],Conceptos_Analítica_contraloría[#All],7,0),"")</f>
        <v/>
      </c>
      <c r="I1207" s="138" t="str">
        <f>+IFERROR(VLOOKUP(D1207,Conceptos_Analítica_contraloría[#All],2,0),"")</f>
        <v/>
      </c>
      <c r="J1207" s="138" t="str">
        <f>+IFERROR(VLOOKUP(D1207,Conceptos_Analítica_contraloría[#All],3,0),"")</f>
        <v/>
      </c>
    </row>
    <row r="1208" spans="3:10" x14ac:dyDescent="0.35">
      <c r="C1208" s="144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s="138" t="str">
        <f>+IFERROR(VLOOKUP(Fact_Analitica[[#This Row],[Concepto Anterior]],Conceptos_Analítica_contraloría[#All],5,0),"")</f>
        <v/>
      </c>
      <c r="F1208" s="138" t="str">
        <f>+IFERROR(VLOOKUP(Fact_Analitica[[#This Row],[Concepto Anterior]],Conceptos_Analítica_contraloría[#All],7,0),"")</f>
        <v/>
      </c>
      <c r="I1208" s="138" t="str">
        <f>+IFERROR(VLOOKUP(D1208,Conceptos_Analítica_contraloría[#All],2,0),"")</f>
        <v/>
      </c>
      <c r="J1208" s="138" t="str">
        <f>+IFERROR(VLOOKUP(D1208,Conceptos_Analítica_contraloría[#All],3,0),"")</f>
        <v/>
      </c>
    </row>
    <row r="1209" spans="3:10" x14ac:dyDescent="0.35">
      <c r="C1209" s="144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s="138" t="str">
        <f>+IFERROR(VLOOKUP(Fact_Analitica[[#This Row],[Concepto Anterior]],Conceptos_Analítica_contraloría[#All],5,0),"")</f>
        <v/>
      </c>
      <c r="F1209" s="138" t="str">
        <f>+IFERROR(VLOOKUP(Fact_Analitica[[#This Row],[Concepto Anterior]],Conceptos_Analítica_contraloría[#All],7,0),"")</f>
        <v/>
      </c>
      <c r="I1209" s="138" t="str">
        <f>+IFERROR(VLOOKUP(D1209,Conceptos_Analítica_contraloría[#All],2,0),"")</f>
        <v/>
      </c>
      <c r="J1209" s="138" t="str">
        <f>+IFERROR(VLOOKUP(D1209,Conceptos_Analítica_contraloría[#All],3,0),"")</f>
        <v/>
      </c>
    </row>
    <row r="1210" spans="3:10" x14ac:dyDescent="0.35">
      <c r="C1210" s="144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s="138" t="str">
        <f>+IFERROR(VLOOKUP(Fact_Analitica[[#This Row],[Concepto Anterior]],Conceptos_Analítica_contraloría[#All],5,0),"")</f>
        <v/>
      </c>
      <c r="F1210" s="138" t="str">
        <f>+IFERROR(VLOOKUP(Fact_Analitica[[#This Row],[Concepto Anterior]],Conceptos_Analítica_contraloría[#All],7,0),"")</f>
        <v/>
      </c>
      <c r="I1210" s="138" t="str">
        <f>+IFERROR(VLOOKUP(D1210,Conceptos_Analítica_contraloría[#All],2,0),"")</f>
        <v/>
      </c>
      <c r="J1210" s="138" t="str">
        <f>+IFERROR(VLOOKUP(D1210,Conceptos_Analítica_contraloría[#All],3,0),"")</f>
        <v/>
      </c>
    </row>
    <row r="1211" spans="3:10" x14ac:dyDescent="0.35">
      <c r="C1211" s="144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s="138" t="str">
        <f>+IFERROR(VLOOKUP(Fact_Analitica[[#This Row],[Concepto Anterior]],Conceptos_Analítica_contraloría[#All],5,0),"")</f>
        <v/>
      </c>
      <c r="F1211" s="138" t="str">
        <f>+IFERROR(VLOOKUP(Fact_Analitica[[#This Row],[Concepto Anterior]],Conceptos_Analítica_contraloría[#All],7,0),"")</f>
        <v/>
      </c>
      <c r="I1211" s="138" t="str">
        <f>+IFERROR(VLOOKUP(D1211,Conceptos_Analítica_contraloría[#All],2,0),"")</f>
        <v/>
      </c>
      <c r="J1211" s="138" t="str">
        <f>+IFERROR(VLOOKUP(D1211,Conceptos_Analítica_contraloría[#All],3,0),"")</f>
        <v/>
      </c>
    </row>
    <row r="1212" spans="3:10" x14ac:dyDescent="0.35">
      <c r="C1212" s="144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s="138" t="str">
        <f>+IFERROR(VLOOKUP(Fact_Analitica[[#This Row],[Concepto Anterior]],Conceptos_Analítica_contraloría[#All],5,0),"")</f>
        <v/>
      </c>
      <c r="F1212" s="138" t="str">
        <f>+IFERROR(VLOOKUP(Fact_Analitica[[#This Row],[Concepto Anterior]],Conceptos_Analítica_contraloría[#All],7,0),"")</f>
        <v/>
      </c>
      <c r="I1212" s="138" t="str">
        <f>+IFERROR(VLOOKUP(D1212,Conceptos_Analítica_contraloría[#All],2,0),"")</f>
        <v/>
      </c>
      <c r="J1212" s="138" t="str">
        <f>+IFERROR(VLOOKUP(D1212,Conceptos_Analítica_contraloría[#All],3,0),"")</f>
        <v/>
      </c>
    </row>
    <row r="1213" spans="3:10" x14ac:dyDescent="0.35">
      <c r="C1213" s="144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s="138" t="str">
        <f>+IFERROR(VLOOKUP(Fact_Analitica[[#This Row],[Concepto Anterior]],Conceptos_Analítica_contraloría[#All],5,0),"")</f>
        <v/>
      </c>
      <c r="F1213" s="138" t="str">
        <f>+IFERROR(VLOOKUP(Fact_Analitica[[#This Row],[Concepto Anterior]],Conceptos_Analítica_contraloría[#All],7,0),"")</f>
        <v/>
      </c>
      <c r="I1213" s="138" t="str">
        <f>+IFERROR(VLOOKUP(D1213,Conceptos_Analítica_contraloría[#All],2,0),"")</f>
        <v/>
      </c>
      <c r="J1213" s="138" t="str">
        <f>+IFERROR(VLOOKUP(D1213,Conceptos_Analítica_contraloría[#All],3,0),"")</f>
        <v/>
      </c>
    </row>
    <row r="1214" spans="3:10" x14ac:dyDescent="0.35">
      <c r="C1214" s="144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s="138" t="str">
        <f>+IFERROR(VLOOKUP(Fact_Analitica[[#This Row],[Concepto Anterior]],Conceptos_Analítica_contraloría[#All],5,0),"")</f>
        <v/>
      </c>
      <c r="F1214" s="138" t="str">
        <f>+IFERROR(VLOOKUP(Fact_Analitica[[#This Row],[Concepto Anterior]],Conceptos_Analítica_contraloría[#All],7,0),"")</f>
        <v/>
      </c>
      <c r="I1214" s="138" t="str">
        <f>+IFERROR(VLOOKUP(D1214,Conceptos_Analítica_contraloría[#All],2,0),"")</f>
        <v/>
      </c>
      <c r="J1214" s="138" t="str">
        <f>+IFERROR(VLOOKUP(D1214,Conceptos_Analítica_contraloría[#All],3,0),"")</f>
        <v/>
      </c>
    </row>
    <row r="1215" spans="3:10" x14ac:dyDescent="0.35">
      <c r="C1215" s="144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s="138" t="str">
        <f>+IFERROR(VLOOKUP(Fact_Analitica[[#This Row],[Concepto Anterior]],Conceptos_Analítica_contraloría[#All],5,0),"")</f>
        <v/>
      </c>
      <c r="F1215" s="138" t="str">
        <f>+IFERROR(VLOOKUP(Fact_Analitica[[#This Row],[Concepto Anterior]],Conceptos_Analítica_contraloría[#All],7,0),"")</f>
        <v/>
      </c>
      <c r="I1215" s="138" t="str">
        <f>+IFERROR(VLOOKUP(D1215,Conceptos_Analítica_contraloría[#All],2,0),"")</f>
        <v/>
      </c>
      <c r="J1215" s="138" t="str">
        <f>+IFERROR(VLOOKUP(D1215,Conceptos_Analítica_contraloría[#All],3,0),"")</f>
        <v/>
      </c>
    </row>
    <row r="1216" spans="3:10" x14ac:dyDescent="0.35">
      <c r="C1216" s="144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s="138" t="str">
        <f>+IFERROR(VLOOKUP(Fact_Analitica[[#This Row],[Concepto Anterior]],Conceptos_Analítica_contraloría[#All],5,0),"")</f>
        <v/>
      </c>
      <c r="F1216" s="138" t="str">
        <f>+IFERROR(VLOOKUP(Fact_Analitica[[#This Row],[Concepto Anterior]],Conceptos_Analítica_contraloría[#All],7,0),"")</f>
        <v/>
      </c>
      <c r="I1216" s="138" t="str">
        <f>+IFERROR(VLOOKUP(D1216,Conceptos_Analítica_contraloría[#All],2,0),"")</f>
        <v/>
      </c>
      <c r="J1216" s="138" t="str">
        <f>+IFERROR(VLOOKUP(D1216,Conceptos_Analítica_contraloría[#All],3,0),"")</f>
        <v/>
      </c>
    </row>
    <row r="1217" spans="3:10" x14ac:dyDescent="0.35">
      <c r="C1217" s="144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s="138" t="str">
        <f>+IFERROR(VLOOKUP(Fact_Analitica[[#This Row],[Concepto Anterior]],Conceptos_Analítica_contraloría[#All],5,0),"")</f>
        <v/>
      </c>
      <c r="F1217" s="138" t="str">
        <f>+IFERROR(VLOOKUP(Fact_Analitica[[#This Row],[Concepto Anterior]],Conceptos_Analítica_contraloría[#All],7,0),"")</f>
        <v/>
      </c>
      <c r="I1217" s="138" t="str">
        <f>+IFERROR(VLOOKUP(D1217,Conceptos_Analítica_contraloría[#All],2,0),"")</f>
        <v/>
      </c>
      <c r="J1217" s="138" t="str">
        <f>+IFERROR(VLOOKUP(D1217,Conceptos_Analítica_contraloría[#All],3,0),"")</f>
        <v/>
      </c>
    </row>
    <row r="1218" spans="3:10" x14ac:dyDescent="0.35">
      <c r="C1218" s="144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s="138" t="str">
        <f>+IFERROR(VLOOKUP(Fact_Analitica[[#This Row],[Concepto Anterior]],Conceptos_Analítica_contraloría[#All],5,0),"")</f>
        <v/>
      </c>
      <c r="F1218" s="138" t="str">
        <f>+IFERROR(VLOOKUP(Fact_Analitica[[#This Row],[Concepto Anterior]],Conceptos_Analítica_contraloría[#All],7,0),"")</f>
        <v/>
      </c>
      <c r="I1218" s="138" t="str">
        <f>+IFERROR(VLOOKUP(D1218,Conceptos_Analítica_contraloría[#All],2,0),"")</f>
        <v/>
      </c>
      <c r="J1218" s="138" t="str">
        <f>+IFERROR(VLOOKUP(D1218,Conceptos_Analítica_contraloría[#All],3,0),"")</f>
        <v/>
      </c>
    </row>
    <row r="1219" spans="3:10" x14ac:dyDescent="0.35">
      <c r="C1219" s="144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s="138" t="str">
        <f>+IFERROR(VLOOKUP(Fact_Analitica[[#This Row],[Concepto Anterior]],Conceptos_Analítica_contraloría[#All],5,0),"")</f>
        <v/>
      </c>
      <c r="F1219" s="138" t="str">
        <f>+IFERROR(VLOOKUP(Fact_Analitica[[#This Row],[Concepto Anterior]],Conceptos_Analítica_contraloría[#All],7,0),"")</f>
        <v/>
      </c>
      <c r="I1219" s="138" t="str">
        <f>+IFERROR(VLOOKUP(D1219,Conceptos_Analítica_contraloría[#All],2,0),"")</f>
        <v/>
      </c>
      <c r="J1219" s="138" t="str">
        <f>+IFERROR(VLOOKUP(D1219,Conceptos_Analítica_contraloría[#All],3,0),"")</f>
        <v/>
      </c>
    </row>
    <row r="1220" spans="3:10" x14ac:dyDescent="0.35">
      <c r="C1220" s="144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s="138" t="str">
        <f>+IFERROR(VLOOKUP(Fact_Analitica[[#This Row],[Concepto Anterior]],Conceptos_Analítica_contraloría[#All],5,0),"")</f>
        <v/>
      </c>
      <c r="F1220" s="138" t="str">
        <f>+IFERROR(VLOOKUP(Fact_Analitica[[#This Row],[Concepto Anterior]],Conceptos_Analítica_contraloría[#All],7,0),"")</f>
        <v/>
      </c>
      <c r="I1220" s="138" t="str">
        <f>+IFERROR(VLOOKUP(D1220,Conceptos_Analítica_contraloría[#All],2,0),"")</f>
        <v/>
      </c>
      <c r="J1220" s="138" t="str">
        <f>+IFERROR(VLOOKUP(D1220,Conceptos_Analítica_contraloría[#All],3,0),"")</f>
        <v/>
      </c>
    </row>
    <row r="1221" spans="3:10" x14ac:dyDescent="0.35">
      <c r="C1221" s="144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s="138" t="str">
        <f>+IFERROR(VLOOKUP(Fact_Analitica[[#This Row],[Concepto Anterior]],Conceptos_Analítica_contraloría[#All],5,0),"")</f>
        <v/>
      </c>
      <c r="F1221" s="138" t="str">
        <f>+IFERROR(VLOOKUP(Fact_Analitica[[#This Row],[Concepto Anterior]],Conceptos_Analítica_contraloría[#All],7,0),"")</f>
        <v/>
      </c>
      <c r="I1221" s="138" t="str">
        <f>+IFERROR(VLOOKUP(D1221,Conceptos_Analítica_contraloría[#All],2,0),"")</f>
        <v/>
      </c>
      <c r="J1221" s="138" t="str">
        <f>+IFERROR(VLOOKUP(D1221,Conceptos_Analítica_contraloría[#All],3,0),"")</f>
        <v/>
      </c>
    </row>
    <row r="1222" spans="3:10" x14ac:dyDescent="0.35">
      <c r="C1222" s="144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s="138" t="str">
        <f>+IFERROR(VLOOKUP(Fact_Analitica[[#This Row],[Concepto Anterior]],Conceptos_Analítica_contraloría[#All],5,0),"")</f>
        <v/>
      </c>
      <c r="F1222" s="138" t="str">
        <f>+IFERROR(VLOOKUP(Fact_Analitica[[#This Row],[Concepto Anterior]],Conceptos_Analítica_contraloría[#All],7,0),"")</f>
        <v/>
      </c>
      <c r="I1222" s="138" t="str">
        <f>+IFERROR(VLOOKUP(D1222,Conceptos_Analítica_contraloría[#All],2,0),"")</f>
        <v/>
      </c>
      <c r="J1222" s="138" t="str">
        <f>+IFERROR(VLOOKUP(D1222,Conceptos_Analítica_contraloría[#All],3,0),"")</f>
        <v/>
      </c>
    </row>
    <row r="1223" spans="3:10" x14ac:dyDescent="0.35">
      <c r="C1223" s="144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s="138" t="str">
        <f>+IFERROR(VLOOKUP(Fact_Analitica[[#This Row],[Concepto Anterior]],Conceptos_Analítica_contraloría[#All],5,0),"")</f>
        <v/>
      </c>
      <c r="F1223" s="138" t="str">
        <f>+IFERROR(VLOOKUP(Fact_Analitica[[#This Row],[Concepto Anterior]],Conceptos_Analítica_contraloría[#All],7,0),"")</f>
        <v/>
      </c>
      <c r="I1223" s="138" t="str">
        <f>+IFERROR(VLOOKUP(D1223,Conceptos_Analítica_contraloría[#All],2,0),"")</f>
        <v/>
      </c>
      <c r="J1223" s="138" t="str">
        <f>+IFERROR(VLOOKUP(D1223,Conceptos_Analítica_contraloría[#All],3,0),"")</f>
        <v/>
      </c>
    </row>
    <row r="1224" spans="3:10" x14ac:dyDescent="0.35">
      <c r="C1224" s="144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s="138" t="str">
        <f>+IFERROR(VLOOKUP(Fact_Analitica[[#This Row],[Concepto Anterior]],Conceptos_Analítica_contraloría[#All],5,0),"")</f>
        <v/>
      </c>
      <c r="F1224" s="138" t="str">
        <f>+IFERROR(VLOOKUP(Fact_Analitica[[#This Row],[Concepto Anterior]],Conceptos_Analítica_contraloría[#All],7,0),"")</f>
        <v/>
      </c>
      <c r="I1224" s="138" t="str">
        <f>+IFERROR(VLOOKUP(D1224,Conceptos_Analítica_contraloría[#All],2,0),"")</f>
        <v/>
      </c>
      <c r="J1224" s="138" t="str">
        <f>+IFERROR(VLOOKUP(D1224,Conceptos_Analítica_contraloría[#All],3,0),"")</f>
        <v/>
      </c>
    </row>
    <row r="1225" spans="3:10" x14ac:dyDescent="0.35">
      <c r="C1225" s="144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s="138" t="str">
        <f>+IFERROR(VLOOKUP(Fact_Analitica[[#This Row],[Concepto Anterior]],Conceptos_Analítica_contraloría[#All],5,0),"")</f>
        <v/>
      </c>
      <c r="F1225" s="138" t="str">
        <f>+IFERROR(VLOOKUP(Fact_Analitica[[#This Row],[Concepto Anterior]],Conceptos_Analítica_contraloría[#All],7,0),"")</f>
        <v/>
      </c>
      <c r="I1225" s="138" t="str">
        <f>+IFERROR(VLOOKUP(D1225,Conceptos_Analítica_contraloría[#All],2,0),"")</f>
        <v/>
      </c>
      <c r="J1225" s="138" t="str">
        <f>+IFERROR(VLOOKUP(D1225,Conceptos_Analítica_contraloría[#All],3,0),"")</f>
        <v/>
      </c>
    </row>
    <row r="1226" spans="3:10" x14ac:dyDescent="0.35">
      <c r="C1226" s="144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s="138" t="str">
        <f>+IFERROR(VLOOKUP(Fact_Analitica[[#This Row],[Concepto Anterior]],Conceptos_Analítica_contraloría[#All],5,0),"")</f>
        <v/>
      </c>
      <c r="F1226" s="138" t="str">
        <f>+IFERROR(VLOOKUP(Fact_Analitica[[#This Row],[Concepto Anterior]],Conceptos_Analítica_contraloría[#All],7,0),"")</f>
        <v/>
      </c>
      <c r="I1226" s="138" t="str">
        <f>+IFERROR(VLOOKUP(D1226,Conceptos_Analítica_contraloría[#All],2,0),"")</f>
        <v/>
      </c>
      <c r="J1226" s="138" t="str">
        <f>+IFERROR(VLOOKUP(D1226,Conceptos_Analítica_contraloría[#All],3,0),"")</f>
        <v/>
      </c>
    </row>
    <row r="1227" spans="3:10" x14ac:dyDescent="0.35">
      <c r="C1227" s="144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s="138" t="str">
        <f>+IFERROR(VLOOKUP(Fact_Analitica[[#This Row],[Concepto Anterior]],Conceptos_Analítica_contraloría[#All],5,0),"")</f>
        <v/>
      </c>
      <c r="F1227" s="138" t="str">
        <f>+IFERROR(VLOOKUP(Fact_Analitica[[#This Row],[Concepto Anterior]],Conceptos_Analítica_contraloría[#All],7,0),"")</f>
        <v/>
      </c>
      <c r="I1227" s="138" t="str">
        <f>+IFERROR(VLOOKUP(D1227,Conceptos_Analítica_contraloría[#All],2,0),"")</f>
        <v/>
      </c>
      <c r="J1227" s="138" t="str">
        <f>+IFERROR(VLOOKUP(D1227,Conceptos_Analítica_contraloría[#All],3,0),"")</f>
        <v/>
      </c>
    </row>
    <row r="1228" spans="3:10" x14ac:dyDescent="0.35">
      <c r="C1228" s="144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s="138" t="str">
        <f>+IFERROR(VLOOKUP(Fact_Analitica[[#This Row],[Concepto Anterior]],Conceptos_Analítica_contraloría[#All],5,0),"")</f>
        <v/>
      </c>
      <c r="F1228" s="138" t="str">
        <f>+IFERROR(VLOOKUP(Fact_Analitica[[#This Row],[Concepto Anterior]],Conceptos_Analítica_contraloría[#All],7,0),"")</f>
        <v/>
      </c>
      <c r="I1228" s="138" t="str">
        <f>+IFERROR(VLOOKUP(D1228,Conceptos_Analítica_contraloría[#All],2,0),"")</f>
        <v/>
      </c>
      <c r="J1228" s="138" t="str">
        <f>+IFERROR(VLOOKUP(D1228,Conceptos_Analítica_contraloría[#All],3,0),"")</f>
        <v/>
      </c>
    </row>
    <row r="1229" spans="3:10" x14ac:dyDescent="0.35">
      <c r="C1229" s="144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s="138" t="str">
        <f>+IFERROR(VLOOKUP(Fact_Analitica[[#This Row],[Concepto Anterior]],Conceptos_Analítica_contraloría[#All],5,0),"")</f>
        <v/>
      </c>
      <c r="F1229" s="138" t="str">
        <f>+IFERROR(VLOOKUP(Fact_Analitica[[#This Row],[Concepto Anterior]],Conceptos_Analítica_contraloría[#All],7,0),"")</f>
        <v/>
      </c>
      <c r="I1229" s="138" t="str">
        <f>+IFERROR(VLOOKUP(D1229,Conceptos_Analítica_contraloría[#All],2,0),"")</f>
        <v/>
      </c>
      <c r="J1229" s="138" t="str">
        <f>+IFERROR(VLOOKUP(D1229,Conceptos_Analítica_contraloría[#All],3,0),"")</f>
        <v/>
      </c>
    </row>
    <row r="1230" spans="3:10" x14ac:dyDescent="0.35">
      <c r="C1230" s="144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s="138" t="str">
        <f>+IFERROR(VLOOKUP(Fact_Analitica[[#This Row],[Concepto Anterior]],Conceptos_Analítica_contraloría[#All],5,0),"")</f>
        <v/>
      </c>
      <c r="F1230" s="138" t="str">
        <f>+IFERROR(VLOOKUP(Fact_Analitica[[#This Row],[Concepto Anterior]],Conceptos_Analítica_contraloría[#All],7,0),"")</f>
        <v/>
      </c>
      <c r="I1230" s="138" t="str">
        <f>+IFERROR(VLOOKUP(D1230,Conceptos_Analítica_contraloría[#All],2,0),"")</f>
        <v/>
      </c>
      <c r="J1230" s="138" t="str">
        <f>+IFERROR(VLOOKUP(D1230,Conceptos_Analítica_contraloría[#All],3,0),"")</f>
        <v/>
      </c>
    </row>
    <row r="1231" spans="3:10" x14ac:dyDescent="0.35">
      <c r="C1231" s="144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s="138" t="str">
        <f>+IFERROR(VLOOKUP(Fact_Analitica[[#This Row],[Concepto Anterior]],Conceptos_Analítica_contraloría[#All],5,0),"")</f>
        <v/>
      </c>
      <c r="F1231" s="138" t="str">
        <f>+IFERROR(VLOOKUP(Fact_Analitica[[#This Row],[Concepto Anterior]],Conceptos_Analítica_contraloría[#All],7,0),"")</f>
        <v/>
      </c>
      <c r="I1231" s="138" t="str">
        <f>+IFERROR(VLOOKUP(D1231,Conceptos_Analítica_contraloría[#All],2,0),"")</f>
        <v/>
      </c>
      <c r="J1231" s="138" t="str">
        <f>+IFERROR(VLOOKUP(D1231,Conceptos_Analítica_contraloría[#All],3,0),"")</f>
        <v/>
      </c>
    </row>
    <row r="1232" spans="3:10" x14ac:dyDescent="0.35">
      <c r="C1232" s="144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s="138" t="str">
        <f>+IFERROR(VLOOKUP(Fact_Analitica[[#This Row],[Concepto Anterior]],Conceptos_Analítica_contraloría[#All],5,0),"")</f>
        <v/>
      </c>
      <c r="F1232" s="138" t="str">
        <f>+IFERROR(VLOOKUP(Fact_Analitica[[#This Row],[Concepto Anterior]],Conceptos_Analítica_contraloría[#All],7,0),"")</f>
        <v/>
      </c>
      <c r="I1232" s="138" t="str">
        <f>+IFERROR(VLOOKUP(D1232,Conceptos_Analítica_contraloría[#All],2,0),"")</f>
        <v/>
      </c>
      <c r="J1232" s="138" t="str">
        <f>+IFERROR(VLOOKUP(D1232,Conceptos_Analítica_contraloría[#All],3,0),"")</f>
        <v/>
      </c>
    </row>
    <row r="1233" spans="3:10" x14ac:dyDescent="0.35">
      <c r="C1233" s="144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s="138" t="str">
        <f>+IFERROR(VLOOKUP(Fact_Analitica[[#This Row],[Concepto Anterior]],Conceptos_Analítica_contraloría[#All],5,0),"")</f>
        <v/>
      </c>
      <c r="F1233" s="138" t="str">
        <f>+IFERROR(VLOOKUP(Fact_Analitica[[#This Row],[Concepto Anterior]],Conceptos_Analítica_contraloría[#All],7,0),"")</f>
        <v/>
      </c>
      <c r="I1233" s="138" t="str">
        <f>+IFERROR(VLOOKUP(D1233,Conceptos_Analítica_contraloría[#All],2,0),"")</f>
        <v/>
      </c>
      <c r="J1233" s="138" t="str">
        <f>+IFERROR(VLOOKUP(D1233,Conceptos_Analítica_contraloría[#All],3,0),"")</f>
        <v/>
      </c>
    </row>
    <row r="1234" spans="3:10" x14ac:dyDescent="0.35">
      <c r="C1234" s="144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s="138" t="str">
        <f>+IFERROR(VLOOKUP(Fact_Analitica[[#This Row],[Concepto Anterior]],Conceptos_Analítica_contraloría[#All],5,0),"")</f>
        <v/>
      </c>
      <c r="F1234" s="138" t="str">
        <f>+IFERROR(VLOOKUP(Fact_Analitica[[#This Row],[Concepto Anterior]],Conceptos_Analítica_contraloría[#All],7,0),"")</f>
        <v/>
      </c>
      <c r="I1234" s="138" t="str">
        <f>+IFERROR(VLOOKUP(D1234,Conceptos_Analítica_contraloría[#All],2,0),"")</f>
        <v/>
      </c>
      <c r="J1234" s="138" t="str">
        <f>+IFERROR(VLOOKUP(D1234,Conceptos_Analítica_contraloría[#All],3,0),"")</f>
        <v/>
      </c>
    </row>
    <row r="1235" spans="3:10" x14ac:dyDescent="0.35">
      <c r="C1235" s="144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s="138" t="str">
        <f>+IFERROR(VLOOKUP(Fact_Analitica[[#This Row],[Concepto Anterior]],Conceptos_Analítica_contraloría[#All],5,0),"")</f>
        <v/>
      </c>
      <c r="F1235" s="138" t="str">
        <f>+IFERROR(VLOOKUP(Fact_Analitica[[#This Row],[Concepto Anterior]],Conceptos_Analítica_contraloría[#All],7,0),"")</f>
        <v/>
      </c>
      <c r="I1235" s="138" t="str">
        <f>+IFERROR(VLOOKUP(D1235,Conceptos_Analítica_contraloría[#All],2,0),"")</f>
        <v/>
      </c>
      <c r="J1235" s="138" t="str">
        <f>+IFERROR(VLOOKUP(D1235,Conceptos_Analítica_contraloría[#All],3,0),"")</f>
        <v/>
      </c>
    </row>
    <row r="1236" spans="3:10" x14ac:dyDescent="0.35">
      <c r="C1236" s="144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s="138" t="str">
        <f>+IFERROR(VLOOKUP(Fact_Analitica[[#This Row],[Concepto Anterior]],Conceptos_Analítica_contraloría[#All],5,0),"")</f>
        <v/>
      </c>
      <c r="F1236" s="138" t="str">
        <f>+IFERROR(VLOOKUP(Fact_Analitica[[#This Row],[Concepto Anterior]],Conceptos_Analítica_contraloría[#All],7,0),"")</f>
        <v/>
      </c>
      <c r="I1236" s="138" t="str">
        <f>+IFERROR(VLOOKUP(D1236,Conceptos_Analítica_contraloría[#All],2,0),"")</f>
        <v/>
      </c>
      <c r="J1236" s="138" t="str">
        <f>+IFERROR(VLOOKUP(D1236,Conceptos_Analítica_contraloría[#All],3,0),"")</f>
        <v/>
      </c>
    </row>
    <row r="1237" spans="3:10" x14ac:dyDescent="0.35">
      <c r="C1237" s="144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s="138" t="str">
        <f>+IFERROR(VLOOKUP(Fact_Analitica[[#This Row],[Concepto Anterior]],Conceptos_Analítica_contraloría[#All],5,0),"")</f>
        <v/>
      </c>
      <c r="F1237" s="138" t="str">
        <f>+IFERROR(VLOOKUP(Fact_Analitica[[#This Row],[Concepto Anterior]],Conceptos_Analítica_contraloría[#All],7,0),"")</f>
        <v/>
      </c>
      <c r="I1237" s="138" t="str">
        <f>+IFERROR(VLOOKUP(D1237,Conceptos_Analítica_contraloría[#All],2,0),"")</f>
        <v/>
      </c>
      <c r="J1237" s="138" t="str">
        <f>+IFERROR(VLOOKUP(D1237,Conceptos_Analítica_contraloría[#All],3,0),"")</f>
        <v/>
      </c>
    </row>
    <row r="1238" spans="3:10" x14ac:dyDescent="0.35">
      <c r="C1238" s="144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s="138" t="str">
        <f>+IFERROR(VLOOKUP(Fact_Analitica[[#This Row],[Concepto Anterior]],Conceptos_Analítica_contraloría[#All],5,0),"")</f>
        <v/>
      </c>
      <c r="F1238" s="138" t="str">
        <f>+IFERROR(VLOOKUP(Fact_Analitica[[#This Row],[Concepto Anterior]],Conceptos_Analítica_contraloría[#All],7,0),"")</f>
        <v/>
      </c>
      <c r="I1238" s="138" t="str">
        <f>+IFERROR(VLOOKUP(D1238,Conceptos_Analítica_contraloría[#All],2,0),"")</f>
        <v/>
      </c>
      <c r="J1238" s="138" t="str">
        <f>+IFERROR(VLOOKUP(D1238,Conceptos_Analítica_contraloría[#All],3,0),"")</f>
        <v/>
      </c>
    </row>
    <row r="1239" spans="3:10" x14ac:dyDescent="0.35">
      <c r="C1239" s="144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s="138" t="str">
        <f>+IFERROR(VLOOKUP(Fact_Analitica[[#This Row],[Concepto Anterior]],Conceptos_Analítica_contraloría[#All],5,0),"")</f>
        <v/>
      </c>
      <c r="F1239" s="138" t="str">
        <f>+IFERROR(VLOOKUP(Fact_Analitica[[#This Row],[Concepto Anterior]],Conceptos_Analítica_contraloría[#All],7,0),"")</f>
        <v/>
      </c>
      <c r="I1239" s="138" t="str">
        <f>+IFERROR(VLOOKUP(D1239,Conceptos_Analítica_contraloría[#All],2,0),"")</f>
        <v/>
      </c>
      <c r="J1239" s="138" t="str">
        <f>+IFERROR(VLOOKUP(D1239,Conceptos_Analítica_contraloría[#All],3,0),"")</f>
        <v/>
      </c>
    </row>
    <row r="1240" spans="3:10" x14ac:dyDescent="0.35">
      <c r="C1240" s="144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s="138" t="str">
        <f>+IFERROR(VLOOKUP(Fact_Analitica[[#This Row],[Concepto Anterior]],Conceptos_Analítica_contraloría[#All],5,0),"")</f>
        <v/>
      </c>
      <c r="F1240" s="138" t="str">
        <f>+IFERROR(VLOOKUP(Fact_Analitica[[#This Row],[Concepto Anterior]],Conceptos_Analítica_contraloría[#All],7,0),"")</f>
        <v/>
      </c>
      <c r="I1240" s="138" t="str">
        <f>+IFERROR(VLOOKUP(D1240,Conceptos_Analítica_contraloría[#All],2,0),"")</f>
        <v/>
      </c>
      <c r="J1240" s="138" t="str">
        <f>+IFERROR(VLOOKUP(D1240,Conceptos_Analítica_contraloría[#All],3,0),"")</f>
        <v/>
      </c>
    </row>
    <row r="1241" spans="3:10" x14ac:dyDescent="0.35">
      <c r="C1241" s="144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s="138" t="str">
        <f>+IFERROR(VLOOKUP(Fact_Analitica[[#This Row],[Concepto Anterior]],Conceptos_Analítica_contraloría[#All],5,0),"")</f>
        <v/>
      </c>
      <c r="F1241" s="138" t="str">
        <f>+IFERROR(VLOOKUP(Fact_Analitica[[#This Row],[Concepto Anterior]],Conceptos_Analítica_contraloría[#All],7,0),"")</f>
        <v/>
      </c>
      <c r="I1241" s="138" t="str">
        <f>+IFERROR(VLOOKUP(D1241,Conceptos_Analítica_contraloría[#All],2,0),"")</f>
        <v/>
      </c>
      <c r="J1241" s="138" t="str">
        <f>+IFERROR(VLOOKUP(D1241,Conceptos_Analítica_contraloría[#All],3,0),"")</f>
        <v/>
      </c>
    </row>
    <row r="1242" spans="3:10" x14ac:dyDescent="0.35">
      <c r="C1242" s="144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s="138" t="str">
        <f>+IFERROR(VLOOKUP(Fact_Analitica[[#This Row],[Concepto Anterior]],Conceptos_Analítica_contraloría[#All],5,0),"")</f>
        <v/>
      </c>
      <c r="F1242" s="138" t="str">
        <f>+IFERROR(VLOOKUP(Fact_Analitica[[#This Row],[Concepto Anterior]],Conceptos_Analítica_contraloría[#All],7,0),"")</f>
        <v/>
      </c>
      <c r="I1242" s="138" t="str">
        <f>+IFERROR(VLOOKUP(D1242,Conceptos_Analítica_contraloría[#All],2,0),"")</f>
        <v/>
      </c>
      <c r="J1242" s="138" t="str">
        <f>+IFERROR(VLOOKUP(D1242,Conceptos_Analítica_contraloría[#All],3,0),"")</f>
        <v/>
      </c>
    </row>
    <row r="1243" spans="3:10" x14ac:dyDescent="0.35">
      <c r="C1243" s="144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s="138" t="str">
        <f>+IFERROR(VLOOKUP(Fact_Analitica[[#This Row],[Concepto Anterior]],Conceptos_Analítica_contraloría[#All],5,0),"")</f>
        <v/>
      </c>
      <c r="F1243" s="138" t="str">
        <f>+IFERROR(VLOOKUP(Fact_Analitica[[#This Row],[Concepto Anterior]],Conceptos_Analítica_contraloría[#All],7,0),"")</f>
        <v/>
      </c>
      <c r="I1243" s="138" t="str">
        <f>+IFERROR(VLOOKUP(D1243,Conceptos_Analítica_contraloría[#All],2,0),"")</f>
        <v/>
      </c>
      <c r="J1243" s="138" t="str">
        <f>+IFERROR(VLOOKUP(D1243,Conceptos_Analítica_contraloría[#All],3,0),"")</f>
        <v/>
      </c>
    </row>
    <row r="1244" spans="3:10" x14ac:dyDescent="0.35">
      <c r="C1244" s="144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s="138" t="str">
        <f>+IFERROR(VLOOKUP(Fact_Analitica[[#This Row],[Concepto Anterior]],Conceptos_Analítica_contraloría[#All],5,0),"")</f>
        <v/>
      </c>
      <c r="F1244" s="138" t="str">
        <f>+IFERROR(VLOOKUP(Fact_Analitica[[#This Row],[Concepto Anterior]],Conceptos_Analítica_contraloría[#All],7,0),"")</f>
        <v/>
      </c>
      <c r="I1244" s="138" t="str">
        <f>+IFERROR(VLOOKUP(D1244,Conceptos_Analítica_contraloría[#All],2,0),"")</f>
        <v/>
      </c>
      <c r="J1244" s="138" t="str">
        <f>+IFERROR(VLOOKUP(D1244,Conceptos_Analítica_contraloría[#All],3,0),"")</f>
        <v/>
      </c>
    </row>
    <row r="1245" spans="3:10" x14ac:dyDescent="0.35">
      <c r="C1245" s="144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s="138" t="str">
        <f>+IFERROR(VLOOKUP(Fact_Analitica[[#This Row],[Concepto Anterior]],Conceptos_Analítica_contraloría[#All],5,0),"")</f>
        <v/>
      </c>
      <c r="F1245" s="138" t="str">
        <f>+IFERROR(VLOOKUP(Fact_Analitica[[#This Row],[Concepto Anterior]],Conceptos_Analítica_contraloría[#All],7,0),"")</f>
        <v/>
      </c>
      <c r="I1245" s="138" t="str">
        <f>+IFERROR(VLOOKUP(D1245,Conceptos_Analítica_contraloría[#All],2,0),"")</f>
        <v/>
      </c>
      <c r="J1245" s="138" t="str">
        <f>+IFERROR(VLOOKUP(D1245,Conceptos_Analítica_contraloría[#All],3,0),"")</f>
        <v/>
      </c>
    </row>
    <row r="1246" spans="3:10" x14ac:dyDescent="0.35">
      <c r="C1246" s="144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s="138" t="str">
        <f>+IFERROR(VLOOKUP(Fact_Analitica[[#This Row],[Concepto Anterior]],Conceptos_Analítica_contraloría[#All],5,0),"")</f>
        <v/>
      </c>
      <c r="F1246" s="138" t="str">
        <f>+IFERROR(VLOOKUP(Fact_Analitica[[#This Row],[Concepto Anterior]],Conceptos_Analítica_contraloría[#All],7,0),"")</f>
        <v/>
      </c>
      <c r="I1246" s="138" t="str">
        <f>+IFERROR(VLOOKUP(D1246,Conceptos_Analítica_contraloría[#All],2,0),"")</f>
        <v/>
      </c>
      <c r="J1246" s="138" t="str">
        <f>+IFERROR(VLOOKUP(D1246,Conceptos_Analítica_contraloría[#All],3,0),"")</f>
        <v/>
      </c>
    </row>
    <row r="1247" spans="3:10" x14ac:dyDescent="0.35">
      <c r="C1247" s="144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s="138" t="str">
        <f>+IFERROR(VLOOKUP(Fact_Analitica[[#This Row],[Concepto Anterior]],Conceptos_Analítica_contraloría[#All],5,0),"")</f>
        <v/>
      </c>
      <c r="F1247" s="138" t="str">
        <f>+IFERROR(VLOOKUP(Fact_Analitica[[#This Row],[Concepto Anterior]],Conceptos_Analítica_contraloría[#All],7,0),"")</f>
        <v/>
      </c>
      <c r="I1247" s="138" t="str">
        <f>+IFERROR(VLOOKUP(D1247,Conceptos_Analítica_contraloría[#All],2,0),"")</f>
        <v/>
      </c>
      <c r="J1247" s="138" t="str">
        <f>+IFERROR(VLOOKUP(D1247,Conceptos_Analítica_contraloría[#All],3,0),"")</f>
        <v/>
      </c>
    </row>
    <row r="1248" spans="3:10" x14ac:dyDescent="0.35">
      <c r="C1248" s="144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s="138" t="str">
        <f>+IFERROR(VLOOKUP(Fact_Analitica[[#This Row],[Concepto Anterior]],Conceptos_Analítica_contraloría[#All],5,0),"")</f>
        <v/>
      </c>
      <c r="F1248" s="138" t="str">
        <f>+IFERROR(VLOOKUP(Fact_Analitica[[#This Row],[Concepto Anterior]],Conceptos_Analítica_contraloría[#All],7,0),"")</f>
        <v/>
      </c>
      <c r="I1248" s="138" t="str">
        <f>+IFERROR(VLOOKUP(D1248,Conceptos_Analítica_contraloría[#All],2,0),"")</f>
        <v/>
      </c>
      <c r="J1248" s="138" t="str">
        <f>+IFERROR(VLOOKUP(D1248,Conceptos_Analítica_contraloría[#All],3,0),"")</f>
        <v/>
      </c>
    </row>
    <row r="1249" spans="3:10" x14ac:dyDescent="0.35">
      <c r="C1249" s="144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s="138" t="str">
        <f>+IFERROR(VLOOKUP(Fact_Analitica[[#This Row],[Concepto Anterior]],Conceptos_Analítica_contraloría[#All],5,0),"")</f>
        <v/>
      </c>
      <c r="F1249" s="138" t="str">
        <f>+IFERROR(VLOOKUP(Fact_Analitica[[#This Row],[Concepto Anterior]],Conceptos_Analítica_contraloría[#All],7,0),"")</f>
        <v/>
      </c>
      <c r="I1249" s="138" t="str">
        <f>+IFERROR(VLOOKUP(D1249,Conceptos_Analítica_contraloría[#All],2,0),"")</f>
        <v/>
      </c>
      <c r="J1249" s="138" t="str">
        <f>+IFERROR(VLOOKUP(D1249,Conceptos_Analítica_contraloría[#All],3,0),"")</f>
        <v/>
      </c>
    </row>
    <row r="1250" spans="3:10" x14ac:dyDescent="0.35">
      <c r="C1250" s="144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s="138" t="str">
        <f>+IFERROR(VLOOKUP(Fact_Analitica[[#This Row],[Concepto Anterior]],Conceptos_Analítica_contraloría[#All],5,0),"")</f>
        <v/>
      </c>
      <c r="F1250" s="138" t="str">
        <f>+IFERROR(VLOOKUP(Fact_Analitica[[#This Row],[Concepto Anterior]],Conceptos_Analítica_contraloría[#All],7,0),"")</f>
        <v/>
      </c>
      <c r="I1250" s="138" t="str">
        <f>+IFERROR(VLOOKUP(D1250,Conceptos_Analítica_contraloría[#All],2,0),"")</f>
        <v/>
      </c>
      <c r="J1250" s="138" t="str">
        <f>+IFERROR(VLOOKUP(D1250,Conceptos_Analítica_contraloría[#All],3,0),"")</f>
        <v/>
      </c>
    </row>
    <row r="1251" spans="3:10" x14ac:dyDescent="0.35">
      <c r="C1251" s="144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s="138" t="str">
        <f>+IFERROR(VLOOKUP(Fact_Analitica[[#This Row],[Concepto Anterior]],Conceptos_Analítica_contraloría[#All],5,0),"")</f>
        <v/>
      </c>
      <c r="F1251" s="138" t="str">
        <f>+IFERROR(VLOOKUP(Fact_Analitica[[#This Row],[Concepto Anterior]],Conceptos_Analítica_contraloría[#All],7,0),"")</f>
        <v/>
      </c>
      <c r="I1251" s="138" t="str">
        <f>+IFERROR(VLOOKUP(D1251,Conceptos_Analítica_contraloría[#All],2,0),"")</f>
        <v/>
      </c>
      <c r="J1251" s="138" t="str">
        <f>+IFERROR(VLOOKUP(D1251,Conceptos_Analítica_contraloría[#All],3,0),"")</f>
        <v/>
      </c>
    </row>
    <row r="1252" spans="3:10" x14ac:dyDescent="0.35">
      <c r="C1252" s="144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s="138" t="str">
        <f>+IFERROR(VLOOKUP(Fact_Analitica[[#This Row],[Concepto Anterior]],Conceptos_Analítica_contraloría[#All],5,0),"")</f>
        <v/>
      </c>
      <c r="F1252" s="138" t="str">
        <f>+IFERROR(VLOOKUP(Fact_Analitica[[#This Row],[Concepto Anterior]],Conceptos_Analítica_contraloría[#All],7,0),"")</f>
        <v/>
      </c>
      <c r="I1252" s="138" t="str">
        <f>+IFERROR(VLOOKUP(D1252,Conceptos_Analítica_contraloría[#All],2,0),"")</f>
        <v/>
      </c>
      <c r="J1252" s="138" t="str">
        <f>+IFERROR(VLOOKUP(D1252,Conceptos_Analítica_contraloría[#All],3,0),"")</f>
        <v/>
      </c>
    </row>
    <row r="1253" spans="3:10" x14ac:dyDescent="0.35">
      <c r="C1253" s="144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s="138" t="str">
        <f>+IFERROR(VLOOKUP(Fact_Analitica[[#This Row],[Concepto Anterior]],Conceptos_Analítica_contraloría[#All],5,0),"")</f>
        <v/>
      </c>
      <c r="F1253" s="138" t="str">
        <f>+IFERROR(VLOOKUP(Fact_Analitica[[#This Row],[Concepto Anterior]],Conceptos_Analítica_contraloría[#All],7,0),"")</f>
        <v/>
      </c>
      <c r="I1253" s="138" t="str">
        <f>+IFERROR(VLOOKUP(D1253,Conceptos_Analítica_contraloría[#All],2,0),"")</f>
        <v/>
      </c>
      <c r="J1253" s="138" t="str">
        <f>+IFERROR(VLOOKUP(D1253,Conceptos_Analítica_contraloría[#All],3,0),"")</f>
        <v/>
      </c>
    </row>
    <row r="1254" spans="3:10" x14ac:dyDescent="0.35">
      <c r="C1254" s="144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s="138" t="str">
        <f>+IFERROR(VLOOKUP(Fact_Analitica[[#This Row],[Concepto Anterior]],Conceptos_Analítica_contraloría[#All],5,0),"")</f>
        <v/>
      </c>
      <c r="F1254" s="138" t="str">
        <f>+IFERROR(VLOOKUP(Fact_Analitica[[#This Row],[Concepto Anterior]],Conceptos_Analítica_contraloría[#All],7,0),"")</f>
        <v/>
      </c>
      <c r="I1254" s="138" t="str">
        <f>+IFERROR(VLOOKUP(D1254,Conceptos_Analítica_contraloría[#All],2,0),"")</f>
        <v/>
      </c>
      <c r="J1254" s="138" t="str">
        <f>+IFERROR(VLOOKUP(D1254,Conceptos_Analítica_contraloría[#All],3,0),"")</f>
        <v/>
      </c>
    </row>
    <row r="1255" spans="3:10" x14ac:dyDescent="0.35">
      <c r="C1255" s="144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s="138" t="str">
        <f>+IFERROR(VLOOKUP(Fact_Analitica[[#This Row],[Concepto Anterior]],Conceptos_Analítica_contraloría[#All],5,0),"")</f>
        <v/>
      </c>
      <c r="F1255" s="138" t="str">
        <f>+IFERROR(VLOOKUP(Fact_Analitica[[#This Row],[Concepto Anterior]],Conceptos_Analítica_contraloría[#All],7,0),"")</f>
        <v/>
      </c>
      <c r="I1255" s="138" t="str">
        <f>+IFERROR(VLOOKUP(D1255,Conceptos_Analítica_contraloría[#All],2,0),"")</f>
        <v/>
      </c>
      <c r="J1255" s="138" t="str">
        <f>+IFERROR(VLOOKUP(D1255,Conceptos_Analítica_contraloría[#All],3,0),"")</f>
        <v/>
      </c>
    </row>
    <row r="1256" spans="3:10" x14ac:dyDescent="0.35">
      <c r="C1256" s="144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s="138" t="str">
        <f>+IFERROR(VLOOKUP(Fact_Analitica[[#This Row],[Concepto Anterior]],Conceptos_Analítica_contraloría[#All],5,0),"")</f>
        <v/>
      </c>
      <c r="F1256" s="138" t="str">
        <f>+IFERROR(VLOOKUP(Fact_Analitica[[#This Row],[Concepto Anterior]],Conceptos_Analítica_contraloría[#All],7,0),"")</f>
        <v/>
      </c>
      <c r="I1256" s="138" t="str">
        <f>+IFERROR(VLOOKUP(D1256,Conceptos_Analítica_contraloría[#All],2,0),"")</f>
        <v/>
      </c>
      <c r="J1256" s="138" t="str">
        <f>+IFERROR(VLOOKUP(D1256,Conceptos_Analítica_contraloría[#All],3,0),"")</f>
        <v/>
      </c>
    </row>
    <row r="1257" spans="3:10" x14ac:dyDescent="0.35">
      <c r="C1257" s="144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s="138" t="str">
        <f>+IFERROR(VLOOKUP(Fact_Analitica[[#This Row],[Concepto Anterior]],Conceptos_Analítica_contraloría[#All],5,0),"")</f>
        <v/>
      </c>
      <c r="F1257" s="138" t="str">
        <f>+IFERROR(VLOOKUP(Fact_Analitica[[#This Row],[Concepto Anterior]],Conceptos_Analítica_contraloría[#All],7,0),"")</f>
        <v/>
      </c>
      <c r="I1257" s="138" t="str">
        <f>+IFERROR(VLOOKUP(D1257,Conceptos_Analítica_contraloría[#All],2,0),"")</f>
        <v/>
      </c>
      <c r="J1257" s="138" t="str">
        <f>+IFERROR(VLOOKUP(D1257,Conceptos_Analítica_contraloría[#All],3,0),"")</f>
        <v/>
      </c>
    </row>
    <row r="1258" spans="3:10" x14ac:dyDescent="0.35">
      <c r="C1258" s="144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s="138" t="str">
        <f>+IFERROR(VLOOKUP(Fact_Analitica[[#This Row],[Concepto Anterior]],Conceptos_Analítica_contraloría[#All],5,0),"")</f>
        <v/>
      </c>
      <c r="F1258" s="138" t="str">
        <f>+IFERROR(VLOOKUP(Fact_Analitica[[#This Row],[Concepto Anterior]],Conceptos_Analítica_contraloría[#All],7,0),"")</f>
        <v/>
      </c>
      <c r="I1258" s="138" t="str">
        <f>+IFERROR(VLOOKUP(D1258,Conceptos_Analítica_contraloría[#All],2,0),"")</f>
        <v/>
      </c>
      <c r="J1258" s="138" t="str">
        <f>+IFERROR(VLOOKUP(D1258,Conceptos_Analítica_contraloría[#All],3,0),"")</f>
        <v/>
      </c>
    </row>
    <row r="1259" spans="3:10" x14ac:dyDescent="0.35">
      <c r="C1259" s="144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s="138" t="str">
        <f>+IFERROR(VLOOKUP(Fact_Analitica[[#This Row],[Concepto Anterior]],Conceptos_Analítica_contraloría[#All],5,0),"")</f>
        <v/>
      </c>
      <c r="F1259" s="138" t="str">
        <f>+IFERROR(VLOOKUP(Fact_Analitica[[#This Row],[Concepto Anterior]],Conceptos_Analítica_contraloría[#All],7,0),"")</f>
        <v/>
      </c>
      <c r="I1259" s="138" t="str">
        <f>+IFERROR(VLOOKUP(D1259,Conceptos_Analítica_contraloría[#All],2,0),"")</f>
        <v/>
      </c>
      <c r="J1259" s="138" t="str">
        <f>+IFERROR(VLOOKUP(D1259,Conceptos_Analítica_contraloría[#All],3,0),"")</f>
        <v/>
      </c>
    </row>
    <row r="1260" spans="3:10" x14ac:dyDescent="0.35">
      <c r="C1260" s="144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s="138" t="str">
        <f>+IFERROR(VLOOKUP(Fact_Analitica[[#This Row],[Concepto Anterior]],Conceptos_Analítica_contraloría[#All],5,0),"")</f>
        <v/>
      </c>
      <c r="F1260" s="138" t="str">
        <f>+IFERROR(VLOOKUP(Fact_Analitica[[#This Row],[Concepto Anterior]],Conceptos_Analítica_contraloría[#All],7,0),"")</f>
        <v/>
      </c>
      <c r="I1260" s="138" t="str">
        <f>+IFERROR(VLOOKUP(D1260,Conceptos_Analítica_contraloría[#All],2,0),"")</f>
        <v/>
      </c>
      <c r="J1260" s="138" t="str">
        <f>+IFERROR(VLOOKUP(D1260,Conceptos_Analítica_contraloría[#All],3,0),"")</f>
        <v/>
      </c>
    </row>
    <row r="1261" spans="3:10" x14ac:dyDescent="0.35">
      <c r="C1261" s="144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s="138" t="str">
        <f>+IFERROR(VLOOKUP(Fact_Analitica[[#This Row],[Concepto Anterior]],Conceptos_Analítica_contraloría[#All],5,0),"")</f>
        <v/>
      </c>
      <c r="F1261" s="138" t="str">
        <f>+IFERROR(VLOOKUP(Fact_Analitica[[#This Row],[Concepto Anterior]],Conceptos_Analítica_contraloría[#All],7,0),"")</f>
        <v/>
      </c>
      <c r="I1261" s="138" t="str">
        <f>+IFERROR(VLOOKUP(D1261,Conceptos_Analítica_contraloría[#All],2,0),"")</f>
        <v/>
      </c>
      <c r="J1261" s="138" t="str">
        <f>+IFERROR(VLOOKUP(D1261,Conceptos_Analítica_contraloría[#All],3,0),"")</f>
        <v/>
      </c>
    </row>
    <row r="1262" spans="3:10" x14ac:dyDescent="0.35">
      <c r="C1262" s="144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s="138" t="str">
        <f>+IFERROR(VLOOKUP(Fact_Analitica[[#This Row],[Concepto Anterior]],Conceptos_Analítica_contraloría[#All],5,0),"")</f>
        <v/>
      </c>
      <c r="F1262" s="138" t="str">
        <f>+IFERROR(VLOOKUP(Fact_Analitica[[#This Row],[Concepto Anterior]],Conceptos_Analítica_contraloría[#All],7,0),"")</f>
        <v/>
      </c>
      <c r="I1262" s="138" t="str">
        <f>+IFERROR(VLOOKUP(D1262,Conceptos_Analítica_contraloría[#All],2,0),"")</f>
        <v/>
      </c>
      <c r="J1262" s="138" t="str">
        <f>+IFERROR(VLOOKUP(D1262,Conceptos_Analítica_contraloría[#All],3,0),"")</f>
        <v/>
      </c>
    </row>
    <row r="1263" spans="3:10" x14ac:dyDescent="0.35">
      <c r="C1263" s="144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s="138" t="str">
        <f>+IFERROR(VLOOKUP(Fact_Analitica[[#This Row],[Concepto Anterior]],Conceptos_Analítica_contraloría[#All],5,0),"")</f>
        <v/>
      </c>
      <c r="F1263" s="138" t="str">
        <f>+IFERROR(VLOOKUP(Fact_Analitica[[#This Row],[Concepto Anterior]],Conceptos_Analítica_contraloría[#All],7,0),"")</f>
        <v/>
      </c>
      <c r="I1263" s="138" t="str">
        <f>+IFERROR(VLOOKUP(D1263,Conceptos_Analítica_contraloría[#All],2,0),"")</f>
        <v/>
      </c>
      <c r="J1263" s="138" t="str">
        <f>+IFERROR(VLOOKUP(D1263,Conceptos_Analítica_contraloría[#All],3,0),"")</f>
        <v/>
      </c>
    </row>
    <row r="1264" spans="3:10" x14ac:dyDescent="0.35">
      <c r="C1264" s="144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s="138" t="str">
        <f>+IFERROR(VLOOKUP(Fact_Analitica[[#This Row],[Concepto Anterior]],Conceptos_Analítica_contraloría[#All],5,0),"")</f>
        <v/>
      </c>
      <c r="F1264" s="138" t="str">
        <f>+IFERROR(VLOOKUP(Fact_Analitica[[#This Row],[Concepto Anterior]],Conceptos_Analítica_contraloría[#All],7,0),"")</f>
        <v/>
      </c>
      <c r="I1264" s="138" t="str">
        <f>+IFERROR(VLOOKUP(D1264,Conceptos_Analítica_contraloría[#All],2,0),"")</f>
        <v/>
      </c>
      <c r="J1264" s="138" t="str">
        <f>+IFERROR(VLOOKUP(D1264,Conceptos_Analítica_contraloría[#All],3,0),"")</f>
        <v/>
      </c>
    </row>
    <row r="1265" spans="3:10" x14ac:dyDescent="0.35">
      <c r="C1265" s="144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s="138" t="str">
        <f>+IFERROR(VLOOKUP(Fact_Analitica[[#This Row],[Concepto Anterior]],Conceptos_Analítica_contraloría[#All],5,0),"")</f>
        <v/>
      </c>
      <c r="F1265" s="138" t="str">
        <f>+IFERROR(VLOOKUP(Fact_Analitica[[#This Row],[Concepto Anterior]],Conceptos_Analítica_contraloría[#All],7,0),"")</f>
        <v/>
      </c>
      <c r="I1265" s="138" t="str">
        <f>+IFERROR(VLOOKUP(D1265,Conceptos_Analítica_contraloría[#All],2,0),"")</f>
        <v/>
      </c>
      <c r="J1265" s="138" t="str">
        <f>+IFERROR(VLOOKUP(D1265,Conceptos_Analítica_contraloría[#All],3,0),"")</f>
        <v/>
      </c>
    </row>
    <row r="1266" spans="3:10" x14ac:dyDescent="0.35">
      <c r="C1266" s="144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s="138" t="str">
        <f>+IFERROR(VLOOKUP(Fact_Analitica[[#This Row],[Concepto Anterior]],Conceptos_Analítica_contraloría[#All],5,0),"")</f>
        <v/>
      </c>
      <c r="F1266" s="138" t="str">
        <f>+IFERROR(VLOOKUP(Fact_Analitica[[#This Row],[Concepto Anterior]],Conceptos_Analítica_contraloría[#All],7,0),"")</f>
        <v/>
      </c>
      <c r="I1266" s="138" t="str">
        <f>+IFERROR(VLOOKUP(D1266,Conceptos_Analítica_contraloría[#All],2,0),"")</f>
        <v/>
      </c>
      <c r="J1266" s="138" t="str">
        <f>+IFERROR(VLOOKUP(D1266,Conceptos_Analítica_contraloría[#All],3,0),"")</f>
        <v/>
      </c>
    </row>
    <row r="1267" spans="3:10" x14ac:dyDescent="0.35">
      <c r="C1267" s="144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s="138" t="str">
        <f>+IFERROR(VLOOKUP(Fact_Analitica[[#This Row],[Concepto Anterior]],Conceptos_Analítica_contraloría[#All],5,0),"")</f>
        <v/>
      </c>
      <c r="F1267" s="138" t="str">
        <f>+IFERROR(VLOOKUP(Fact_Analitica[[#This Row],[Concepto Anterior]],Conceptos_Analítica_contraloría[#All],7,0),"")</f>
        <v/>
      </c>
      <c r="I1267" s="138" t="str">
        <f>+IFERROR(VLOOKUP(D1267,Conceptos_Analítica_contraloría[#All],2,0),"")</f>
        <v/>
      </c>
      <c r="J1267" s="138" t="str">
        <f>+IFERROR(VLOOKUP(D1267,Conceptos_Analítica_contraloría[#All],3,0),"")</f>
        <v/>
      </c>
    </row>
    <row r="1268" spans="3:10" x14ac:dyDescent="0.35">
      <c r="C1268" s="144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s="138" t="str">
        <f>+IFERROR(VLOOKUP(Fact_Analitica[[#This Row],[Concepto Anterior]],Conceptos_Analítica_contraloría[#All],5,0),"")</f>
        <v/>
      </c>
      <c r="F1268" s="138" t="str">
        <f>+IFERROR(VLOOKUP(Fact_Analitica[[#This Row],[Concepto Anterior]],Conceptos_Analítica_contraloría[#All],7,0),"")</f>
        <v/>
      </c>
      <c r="I1268" s="138" t="str">
        <f>+IFERROR(VLOOKUP(D1268,Conceptos_Analítica_contraloría[#All],2,0),"")</f>
        <v/>
      </c>
      <c r="J1268" s="138" t="str">
        <f>+IFERROR(VLOOKUP(D1268,Conceptos_Analítica_contraloría[#All],3,0),"")</f>
        <v/>
      </c>
    </row>
    <row r="1269" spans="3:10" x14ac:dyDescent="0.35">
      <c r="C1269" s="144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s="138" t="str">
        <f>+IFERROR(VLOOKUP(Fact_Analitica[[#This Row],[Concepto Anterior]],Conceptos_Analítica_contraloría[#All],5,0),"")</f>
        <v/>
      </c>
      <c r="F1269" s="138" t="str">
        <f>+IFERROR(VLOOKUP(Fact_Analitica[[#This Row],[Concepto Anterior]],Conceptos_Analítica_contraloría[#All],7,0),"")</f>
        <v/>
      </c>
      <c r="I1269" s="138" t="str">
        <f>+IFERROR(VLOOKUP(D1269,Conceptos_Analítica_contraloría[#All],2,0),"")</f>
        <v/>
      </c>
      <c r="J1269" s="138" t="str">
        <f>+IFERROR(VLOOKUP(D1269,Conceptos_Analítica_contraloría[#All],3,0),"")</f>
        <v/>
      </c>
    </row>
    <row r="1270" spans="3:10" x14ac:dyDescent="0.35">
      <c r="C1270" s="144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s="138" t="str">
        <f>+IFERROR(VLOOKUP(Fact_Analitica[[#This Row],[Concepto Anterior]],Conceptos_Analítica_contraloría[#All],5,0),"")</f>
        <v/>
      </c>
      <c r="F1270" s="138" t="str">
        <f>+IFERROR(VLOOKUP(Fact_Analitica[[#This Row],[Concepto Anterior]],Conceptos_Analítica_contraloría[#All],7,0),"")</f>
        <v/>
      </c>
      <c r="I1270" s="138" t="str">
        <f>+IFERROR(VLOOKUP(D1270,Conceptos_Analítica_contraloría[#All],2,0),"")</f>
        <v/>
      </c>
      <c r="J1270" s="138" t="str">
        <f>+IFERROR(VLOOKUP(D1270,Conceptos_Analítica_contraloría[#All],3,0),"")</f>
        <v/>
      </c>
    </row>
    <row r="1271" spans="3:10" x14ac:dyDescent="0.35">
      <c r="C1271" s="144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s="138" t="str">
        <f>+IFERROR(VLOOKUP(Fact_Analitica[[#This Row],[Concepto Anterior]],Conceptos_Analítica_contraloría[#All],5,0),"")</f>
        <v/>
      </c>
      <c r="F1271" s="138" t="str">
        <f>+IFERROR(VLOOKUP(Fact_Analitica[[#This Row],[Concepto Anterior]],Conceptos_Analítica_contraloría[#All],7,0),"")</f>
        <v/>
      </c>
      <c r="I1271" s="138" t="str">
        <f>+IFERROR(VLOOKUP(D1271,Conceptos_Analítica_contraloría[#All],2,0),"")</f>
        <v/>
      </c>
      <c r="J1271" s="138" t="str">
        <f>+IFERROR(VLOOKUP(D1271,Conceptos_Analítica_contraloría[#All],3,0),"")</f>
        <v/>
      </c>
    </row>
    <row r="1272" spans="3:10" x14ac:dyDescent="0.35">
      <c r="C1272" s="144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s="138" t="str">
        <f>+IFERROR(VLOOKUP(Fact_Analitica[[#This Row],[Concepto Anterior]],Conceptos_Analítica_contraloría[#All],5,0),"")</f>
        <v/>
      </c>
      <c r="F1272" s="138" t="str">
        <f>+IFERROR(VLOOKUP(Fact_Analitica[[#This Row],[Concepto Anterior]],Conceptos_Analítica_contraloría[#All],7,0),"")</f>
        <v/>
      </c>
      <c r="I1272" s="138" t="str">
        <f>+IFERROR(VLOOKUP(D1272,Conceptos_Analítica_contraloría[#All],2,0),"")</f>
        <v/>
      </c>
      <c r="J1272" s="138" t="str">
        <f>+IFERROR(VLOOKUP(D1272,Conceptos_Analítica_contraloría[#All],3,0),"")</f>
        <v/>
      </c>
    </row>
    <row r="1273" spans="3:10" x14ac:dyDescent="0.35">
      <c r="C1273" s="144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s="138" t="str">
        <f>+IFERROR(VLOOKUP(Fact_Analitica[[#This Row],[Concepto Anterior]],Conceptos_Analítica_contraloría[#All],5,0),"")</f>
        <v/>
      </c>
      <c r="F1273" s="138" t="str">
        <f>+IFERROR(VLOOKUP(Fact_Analitica[[#This Row],[Concepto Anterior]],Conceptos_Analítica_contraloría[#All],7,0),"")</f>
        <v/>
      </c>
      <c r="I1273" s="138" t="str">
        <f>+IFERROR(VLOOKUP(D1273,Conceptos_Analítica_contraloría[#All],2,0),"")</f>
        <v/>
      </c>
      <c r="J1273" s="138" t="str">
        <f>+IFERROR(VLOOKUP(D1273,Conceptos_Analítica_contraloría[#All],3,0),"")</f>
        <v/>
      </c>
    </row>
    <row r="1274" spans="3:10" x14ac:dyDescent="0.35">
      <c r="C1274" s="144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s="138" t="str">
        <f>+IFERROR(VLOOKUP(Fact_Analitica[[#This Row],[Concepto Anterior]],Conceptos_Analítica_contraloría[#All],5,0),"")</f>
        <v/>
      </c>
      <c r="F1274" s="138" t="str">
        <f>+IFERROR(VLOOKUP(Fact_Analitica[[#This Row],[Concepto Anterior]],Conceptos_Analítica_contraloría[#All],7,0),"")</f>
        <v/>
      </c>
      <c r="I1274" s="138" t="str">
        <f>+IFERROR(VLOOKUP(D1274,Conceptos_Analítica_contraloría[#All],2,0),"")</f>
        <v/>
      </c>
      <c r="J1274" s="138" t="str">
        <f>+IFERROR(VLOOKUP(D1274,Conceptos_Analítica_contraloría[#All],3,0),"")</f>
        <v/>
      </c>
    </row>
    <row r="1275" spans="3:10" x14ac:dyDescent="0.35">
      <c r="C1275" s="144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s="138" t="str">
        <f>+IFERROR(VLOOKUP(Fact_Analitica[[#This Row],[Concepto Anterior]],Conceptos_Analítica_contraloría[#All],5,0),"")</f>
        <v/>
      </c>
      <c r="F1275" s="138" t="str">
        <f>+IFERROR(VLOOKUP(Fact_Analitica[[#This Row],[Concepto Anterior]],Conceptos_Analítica_contraloría[#All],7,0),"")</f>
        <v/>
      </c>
      <c r="I1275" s="138" t="str">
        <f>+IFERROR(VLOOKUP(D1275,Conceptos_Analítica_contraloría[#All],2,0),"")</f>
        <v/>
      </c>
      <c r="J1275" s="138" t="str">
        <f>+IFERROR(VLOOKUP(D1275,Conceptos_Analítica_contraloría[#All],3,0),"")</f>
        <v/>
      </c>
    </row>
    <row r="1276" spans="3:10" x14ac:dyDescent="0.35">
      <c r="C1276" s="144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s="138" t="str">
        <f>+IFERROR(VLOOKUP(Fact_Analitica[[#This Row],[Concepto Anterior]],Conceptos_Analítica_contraloría[#All],5,0),"")</f>
        <v/>
      </c>
      <c r="F1276" s="138" t="str">
        <f>+IFERROR(VLOOKUP(Fact_Analitica[[#This Row],[Concepto Anterior]],Conceptos_Analítica_contraloría[#All],7,0),"")</f>
        <v/>
      </c>
      <c r="I1276" s="138" t="str">
        <f>+IFERROR(VLOOKUP(D1276,Conceptos_Analítica_contraloría[#All],2,0),"")</f>
        <v/>
      </c>
      <c r="J1276" s="138" t="str">
        <f>+IFERROR(VLOOKUP(D1276,Conceptos_Analítica_contraloría[#All],3,0),"")</f>
        <v/>
      </c>
    </row>
    <row r="1277" spans="3:10" x14ac:dyDescent="0.35">
      <c r="C1277" s="144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s="138" t="str">
        <f>+IFERROR(VLOOKUP(Fact_Analitica[[#This Row],[Concepto Anterior]],Conceptos_Analítica_contraloría[#All],5,0),"")</f>
        <v/>
      </c>
      <c r="F1277" s="138" t="str">
        <f>+IFERROR(VLOOKUP(Fact_Analitica[[#This Row],[Concepto Anterior]],Conceptos_Analítica_contraloría[#All],7,0),"")</f>
        <v/>
      </c>
      <c r="I1277" s="138" t="str">
        <f>+IFERROR(VLOOKUP(D1277,Conceptos_Analítica_contraloría[#All],2,0),"")</f>
        <v/>
      </c>
      <c r="J1277" s="138" t="str">
        <f>+IFERROR(VLOOKUP(D1277,Conceptos_Analítica_contraloría[#All],3,0),"")</f>
        <v/>
      </c>
    </row>
    <row r="1278" spans="3:10" x14ac:dyDescent="0.35">
      <c r="C1278" s="144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s="138" t="str">
        <f>+IFERROR(VLOOKUP(Fact_Analitica[[#This Row],[Concepto Anterior]],Conceptos_Analítica_contraloría[#All],5,0),"")</f>
        <v/>
      </c>
      <c r="F1278" s="138" t="str">
        <f>+IFERROR(VLOOKUP(Fact_Analitica[[#This Row],[Concepto Anterior]],Conceptos_Analítica_contraloría[#All],7,0),"")</f>
        <v/>
      </c>
      <c r="I1278" s="138" t="str">
        <f>+IFERROR(VLOOKUP(D1278,Conceptos_Analítica_contraloría[#All],2,0),"")</f>
        <v/>
      </c>
      <c r="J1278" s="138" t="str">
        <f>+IFERROR(VLOOKUP(D1278,Conceptos_Analítica_contraloría[#All],3,0),"")</f>
        <v/>
      </c>
    </row>
    <row r="1279" spans="3:10" x14ac:dyDescent="0.35">
      <c r="C1279" s="144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s="138" t="str">
        <f>+IFERROR(VLOOKUP(Fact_Analitica[[#This Row],[Concepto Anterior]],Conceptos_Analítica_contraloría[#All],5,0),"")</f>
        <v/>
      </c>
      <c r="F1279" s="138" t="str">
        <f>+IFERROR(VLOOKUP(Fact_Analitica[[#This Row],[Concepto Anterior]],Conceptos_Analítica_contraloría[#All],7,0),"")</f>
        <v/>
      </c>
      <c r="I1279" s="138" t="str">
        <f>+IFERROR(VLOOKUP(D1279,Conceptos_Analítica_contraloría[#All],2,0),"")</f>
        <v/>
      </c>
      <c r="J1279" s="138" t="str">
        <f>+IFERROR(VLOOKUP(D1279,Conceptos_Analítica_contraloría[#All],3,0),"")</f>
        <v/>
      </c>
    </row>
    <row r="1280" spans="3:10" x14ac:dyDescent="0.35">
      <c r="C1280" s="144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s="138" t="str">
        <f>+IFERROR(VLOOKUP(Fact_Analitica[[#This Row],[Concepto Anterior]],Conceptos_Analítica_contraloría[#All],5,0),"")</f>
        <v/>
      </c>
      <c r="F1280" s="138" t="str">
        <f>+IFERROR(VLOOKUP(Fact_Analitica[[#This Row],[Concepto Anterior]],Conceptos_Analítica_contraloría[#All],7,0),"")</f>
        <v/>
      </c>
      <c r="I1280" s="138" t="str">
        <f>+IFERROR(VLOOKUP(D1280,Conceptos_Analítica_contraloría[#All],2,0),"")</f>
        <v/>
      </c>
      <c r="J1280" s="138" t="str">
        <f>+IFERROR(VLOOKUP(D1280,Conceptos_Analítica_contraloría[#All],3,0),"")</f>
        <v/>
      </c>
    </row>
    <row r="1281" spans="3:10" x14ac:dyDescent="0.35">
      <c r="C1281" s="144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s="138" t="str">
        <f>+IFERROR(VLOOKUP(Fact_Analitica[[#This Row],[Concepto Anterior]],Conceptos_Analítica_contraloría[#All],5,0),"")</f>
        <v/>
      </c>
      <c r="F1281" s="138" t="str">
        <f>+IFERROR(VLOOKUP(Fact_Analitica[[#This Row],[Concepto Anterior]],Conceptos_Analítica_contraloría[#All],7,0),"")</f>
        <v/>
      </c>
      <c r="I1281" s="138" t="str">
        <f>+IFERROR(VLOOKUP(D1281,Conceptos_Analítica_contraloría[#All],2,0),"")</f>
        <v/>
      </c>
      <c r="J1281" s="138" t="str">
        <f>+IFERROR(VLOOKUP(D1281,Conceptos_Analítica_contraloría[#All],3,0),"")</f>
        <v/>
      </c>
    </row>
    <row r="1282" spans="3:10" x14ac:dyDescent="0.35">
      <c r="C1282" s="144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s="138" t="str">
        <f>+IFERROR(VLOOKUP(Fact_Analitica[[#This Row],[Concepto Anterior]],Conceptos_Analítica_contraloría[#All],5,0),"")</f>
        <v/>
      </c>
      <c r="F1282" s="138" t="str">
        <f>+IFERROR(VLOOKUP(Fact_Analitica[[#This Row],[Concepto Anterior]],Conceptos_Analítica_contraloría[#All],7,0),"")</f>
        <v/>
      </c>
      <c r="I1282" s="138" t="str">
        <f>+IFERROR(VLOOKUP(D1282,Conceptos_Analítica_contraloría[#All],2,0),"")</f>
        <v/>
      </c>
      <c r="J1282" s="138" t="str">
        <f>+IFERROR(VLOOKUP(D1282,Conceptos_Analítica_contraloría[#All],3,0),"")</f>
        <v/>
      </c>
    </row>
    <row r="1283" spans="3:10" x14ac:dyDescent="0.35">
      <c r="C1283" s="144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s="138" t="str">
        <f>+IFERROR(VLOOKUP(Fact_Analitica[[#This Row],[Concepto Anterior]],Conceptos_Analítica_contraloría[#All],5,0),"")</f>
        <v/>
      </c>
      <c r="F1283" s="138" t="str">
        <f>+IFERROR(VLOOKUP(Fact_Analitica[[#This Row],[Concepto Anterior]],Conceptos_Analítica_contraloría[#All],7,0),"")</f>
        <v/>
      </c>
      <c r="I1283" s="138" t="str">
        <f>+IFERROR(VLOOKUP(D1283,Conceptos_Analítica_contraloría[#All],2,0),"")</f>
        <v/>
      </c>
      <c r="J1283" s="138" t="str">
        <f>+IFERROR(VLOOKUP(D1283,Conceptos_Analítica_contraloría[#All],3,0),"")</f>
        <v/>
      </c>
    </row>
    <row r="1284" spans="3:10" x14ac:dyDescent="0.35">
      <c r="C1284" s="144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s="138" t="str">
        <f>+IFERROR(VLOOKUP(Fact_Analitica[[#This Row],[Concepto Anterior]],Conceptos_Analítica_contraloría[#All],5,0),"")</f>
        <v/>
      </c>
      <c r="F1284" s="138" t="str">
        <f>+IFERROR(VLOOKUP(Fact_Analitica[[#This Row],[Concepto Anterior]],Conceptos_Analítica_contraloría[#All],7,0),"")</f>
        <v/>
      </c>
      <c r="I1284" s="138" t="str">
        <f>+IFERROR(VLOOKUP(D1284,Conceptos_Analítica_contraloría[#All],2,0),"")</f>
        <v/>
      </c>
      <c r="J1284" s="138" t="str">
        <f>+IFERROR(VLOOKUP(D1284,Conceptos_Analítica_contraloría[#All],3,0),"")</f>
        <v/>
      </c>
    </row>
    <row r="1285" spans="3:10" x14ac:dyDescent="0.35">
      <c r="C1285" s="144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s="138" t="str">
        <f>+IFERROR(VLOOKUP(Fact_Analitica[[#This Row],[Concepto Anterior]],Conceptos_Analítica_contraloría[#All],5,0),"")</f>
        <v/>
      </c>
      <c r="F1285" s="138" t="str">
        <f>+IFERROR(VLOOKUP(Fact_Analitica[[#This Row],[Concepto Anterior]],Conceptos_Analítica_contraloría[#All],7,0),"")</f>
        <v/>
      </c>
      <c r="I1285" s="138" t="str">
        <f>+IFERROR(VLOOKUP(D1285,Conceptos_Analítica_contraloría[#All],2,0),"")</f>
        <v/>
      </c>
      <c r="J1285" s="138" t="str">
        <f>+IFERROR(VLOOKUP(D1285,Conceptos_Analítica_contraloría[#All],3,0),"")</f>
        <v/>
      </c>
    </row>
    <row r="1286" spans="3:10" x14ac:dyDescent="0.35">
      <c r="C1286" s="144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s="138" t="str">
        <f>+IFERROR(VLOOKUP(Fact_Analitica[[#This Row],[Concepto Anterior]],Conceptos_Analítica_contraloría[#All],5,0),"")</f>
        <v/>
      </c>
      <c r="F1286" s="138" t="str">
        <f>+IFERROR(VLOOKUP(Fact_Analitica[[#This Row],[Concepto Anterior]],Conceptos_Analítica_contraloría[#All],7,0),"")</f>
        <v/>
      </c>
      <c r="I1286" s="138" t="str">
        <f>+IFERROR(VLOOKUP(D1286,Conceptos_Analítica_contraloría[#All],2,0),"")</f>
        <v/>
      </c>
      <c r="J1286" s="138" t="str">
        <f>+IFERROR(VLOOKUP(D1286,Conceptos_Analítica_contraloría[#All],3,0),"")</f>
        <v/>
      </c>
    </row>
    <row r="1287" spans="3:10" x14ac:dyDescent="0.35">
      <c r="C1287" s="144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s="138" t="str">
        <f>+IFERROR(VLOOKUP(Fact_Analitica[[#This Row],[Concepto Anterior]],Conceptos_Analítica_contraloría[#All],5,0),"")</f>
        <v/>
      </c>
      <c r="F1287" s="138" t="str">
        <f>+IFERROR(VLOOKUP(Fact_Analitica[[#This Row],[Concepto Anterior]],Conceptos_Analítica_contraloría[#All],7,0),"")</f>
        <v/>
      </c>
      <c r="I1287" s="138" t="str">
        <f>+IFERROR(VLOOKUP(D1287,Conceptos_Analítica_contraloría[#All],2,0),"")</f>
        <v/>
      </c>
      <c r="J1287" s="138" t="str">
        <f>+IFERROR(VLOOKUP(D1287,Conceptos_Analítica_contraloría[#All],3,0),"")</f>
        <v/>
      </c>
    </row>
    <row r="1288" spans="3:10" x14ac:dyDescent="0.35">
      <c r="C1288" s="144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s="138" t="str">
        <f>+IFERROR(VLOOKUP(Fact_Analitica[[#This Row],[Concepto Anterior]],Conceptos_Analítica_contraloría[#All],5,0),"")</f>
        <v/>
      </c>
      <c r="F1288" s="138" t="str">
        <f>+IFERROR(VLOOKUP(Fact_Analitica[[#This Row],[Concepto Anterior]],Conceptos_Analítica_contraloría[#All],7,0),"")</f>
        <v/>
      </c>
      <c r="I1288" s="138" t="str">
        <f>+IFERROR(VLOOKUP(D1288,Conceptos_Analítica_contraloría[#All],2,0),"")</f>
        <v/>
      </c>
      <c r="J1288" s="138" t="str">
        <f>+IFERROR(VLOOKUP(D1288,Conceptos_Analítica_contraloría[#All],3,0),"")</f>
        <v/>
      </c>
    </row>
    <row r="1289" spans="3:10" x14ac:dyDescent="0.35">
      <c r="C1289" s="144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s="138" t="str">
        <f>+IFERROR(VLOOKUP(Fact_Analitica[[#This Row],[Concepto Anterior]],Conceptos_Analítica_contraloría[#All],5,0),"")</f>
        <v/>
      </c>
      <c r="F1289" s="138" t="str">
        <f>+IFERROR(VLOOKUP(Fact_Analitica[[#This Row],[Concepto Anterior]],Conceptos_Analítica_contraloría[#All],7,0),"")</f>
        <v/>
      </c>
      <c r="I1289" s="138" t="str">
        <f>+IFERROR(VLOOKUP(D1289,Conceptos_Analítica_contraloría[#All],2,0),"")</f>
        <v/>
      </c>
      <c r="J1289" s="138" t="str">
        <f>+IFERROR(VLOOKUP(D1289,Conceptos_Analítica_contraloría[#All],3,0),"")</f>
        <v/>
      </c>
    </row>
    <row r="1290" spans="3:10" x14ac:dyDescent="0.35">
      <c r="C1290" s="144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s="138" t="str">
        <f>+IFERROR(VLOOKUP(Fact_Analitica[[#This Row],[Concepto Anterior]],Conceptos_Analítica_contraloría[#All],5,0),"")</f>
        <v/>
      </c>
      <c r="F1290" s="138" t="str">
        <f>+IFERROR(VLOOKUP(Fact_Analitica[[#This Row],[Concepto Anterior]],Conceptos_Analítica_contraloría[#All],7,0),"")</f>
        <v/>
      </c>
      <c r="I1290" s="138" t="str">
        <f>+IFERROR(VLOOKUP(D1290,Conceptos_Analítica_contraloría[#All],2,0),"")</f>
        <v/>
      </c>
      <c r="J1290" s="138" t="str">
        <f>+IFERROR(VLOOKUP(D1290,Conceptos_Analítica_contraloría[#All],3,0),"")</f>
        <v/>
      </c>
    </row>
    <row r="1291" spans="3:10" x14ac:dyDescent="0.35">
      <c r="C1291" s="144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s="138" t="str">
        <f>+IFERROR(VLOOKUP(Fact_Analitica[[#This Row],[Concepto Anterior]],Conceptos_Analítica_contraloría[#All],5,0),"")</f>
        <v/>
      </c>
      <c r="F1291" s="138" t="str">
        <f>+IFERROR(VLOOKUP(Fact_Analitica[[#This Row],[Concepto Anterior]],Conceptos_Analítica_contraloría[#All],7,0),"")</f>
        <v/>
      </c>
      <c r="I1291" s="138" t="str">
        <f>+IFERROR(VLOOKUP(D1291,Conceptos_Analítica_contraloría[#All],2,0),"")</f>
        <v/>
      </c>
      <c r="J1291" s="138" t="str">
        <f>+IFERROR(VLOOKUP(D1291,Conceptos_Analítica_contraloría[#All],3,0),"")</f>
        <v/>
      </c>
    </row>
    <row r="1292" spans="3:10" x14ac:dyDescent="0.35">
      <c r="C1292" s="144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s="138" t="str">
        <f>+IFERROR(VLOOKUP(Fact_Analitica[[#This Row],[Concepto Anterior]],Conceptos_Analítica_contraloría[#All],5,0),"")</f>
        <v/>
      </c>
      <c r="F1292" s="138" t="str">
        <f>+IFERROR(VLOOKUP(Fact_Analitica[[#This Row],[Concepto Anterior]],Conceptos_Analítica_contraloría[#All],7,0),"")</f>
        <v/>
      </c>
      <c r="I1292" s="138" t="str">
        <f>+IFERROR(VLOOKUP(D1292,Conceptos_Analítica_contraloría[#All],2,0),"")</f>
        <v/>
      </c>
      <c r="J1292" s="138" t="str">
        <f>+IFERROR(VLOOKUP(D1292,Conceptos_Analítica_contraloría[#All],3,0),"")</f>
        <v/>
      </c>
    </row>
    <row r="1293" spans="3:10" x14ac:dyDescent="0.35">
      <c r="C1293" s="144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s="138" t="str">
        <f>+IFERROR(VLOOKUP(Fact_Analitica[[#This Row],[Concepto Anterior]],Conceptos_Analítica_contraloría[#All],5,0),"")</f>
        <v/>
      </c>
      <c r="F1293" s="138" t="str">
        <f>+IFERROR(VLOOKUP(Fact_Analitica[[#This Row],[Concepto Anterior]],Conceptos_Analítica_contraloría[#All],7,0),"")</f>
        <v/>
      </c>
      <c r="I1293" s="138" t="str">
        <f>+IFERROR(VLOOKUP(D1293,Conceptos_Analítica_contraloría[#All],2,0),"")</f>
        <v/>
      </c>
      <c r="J1293" s="138" t="str">
        <f>+IFERROR(VLOOKUP(D1293,Conceptos_Analítica_contraloría[#All],3,0),"")</f>
        <v/>
      </c>
    </row>
    <row r="1294" spans="3:10" x14ac:dyDescent="0.35">
      <c r="C1294" s="144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s="138" t="str">
        <f>+IFERROR(VLOOKUP(Fact_Analitica[[#This Row],[Concepto Anterior]],Conceptos_Analítica_contraloría[#All],5,0),"")</f>
        <v/>
      </c>
      <c r="F1294" s="138" t="str">
        <f>+IFERROR(VLOOKUP(Fact_Analitica[[#This Row],[Concepto Anterior]],Conceptos_Analítica_contraloría[#All],7,0),"")</f>
        <v/>
      </c>
      <c r="I1294" s="138" t="str">
        <f>+IFERROR(VLOOKUP(D1294,Conceptos_Analítica_contraloría[#All],2,0),"")</f>
        <v/>
      </c>
      <c r="J1294" s="138" t="str">
        <f>+IFERROR(VLOOKUP(D1294,Conceptos_Analítica_contraloría[#All],3,0),"")</f>
        <v/>
      </c>
    </row>
    <row r="1295" spans="3:10" x14ac:dyDescent="0.35">
      <c r="C1295" s="144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s="138" t="str">
        <f>+IFERROR(VLOOKUP(Fact_Analitica[[#This Row],[Concepto Anterior]],Conceptos_Analítica_contraloría[#All],5,0),"")</f>
        <v/>
      </c>
      <c r="F1295" s="138" t="str">
        <f>+IFERROR(VLOOKUP(Fact_Analitica[[#This Row],[Concepto Anterior]],Conceptos_Analítica_contraloría[#All],7,0),"")</f>
        <v/>
      </c>
      <c r="I1295" s="138" t="str">
        <f>+IFERROR(VLOOKUP(D1295,Conceptos_Analítica_contraloría[#All],2,0),"")</f>
        <v/>
      </c>
      <c r="J1295" s="138" t="str">
        <f>+IFERROR(VLOOKUP(D1295,Conceptos_Analítica_contraloría[#All],3,0),"")</f>
        <v/>
      </c>
    </row>
    <row r="1296" spans="3:10" x14ac:dyDescent="0.35">
      <c r="C1296" s="144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s="138" t="str">
        <f>+IFERROR(VLOOKUP(Fact_Analitica[[#This Row],[Concepto Anterior]],Conceptos_Analítica_contraloría[#All],5,0),"")</f>
        <v/>
      </c>
      <c r="F1296" s="138" t="str">
        <f>+IFERROR(VLOOKUP(Fact_Analitica[[#This Row],[Concepto Anterior]],Conceptos_Analítica_contraloría[#All],7,0),"")</f>
        <v/>
      </c>
      <c r="I1296" s="138" t="str">
        <f>+IFERROR(VLOOKUP(D1296,Conceptos_Analítica_contraloría[#All],2,0),"")</f>
        <v/>
      </c>
      <c r="J1296" s="138" t="str">
        <f>+IFERROR(VLOOKUP(D1296,Conceptos_Analítica_contraloría[#All],3,0),"")</f>
        <v/>
      </c>
    </row>
    <row r="1297" spans="3:10" x14ac:dyDescent="0.35">
      <c r="C1297" s="144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s="138" t="str">
        <f>+IFERROR(VLOOKUP(Fact_Analitica[[#This Row],[Concepto Anterior]],Conceptos_Analítica_contraloría[#All],5,0),"")</f>
        <v/>
      </c>
      <c r="F1297" s="138" t="str">
        <f>+IFERROR(VLOOKUP(Fact_Analitica[[#This Row],[Concepto Anterior]],Conceptos_Analítica_contraloría[#All],7,0),"")</f>
        <v/>
      </c>
      <c r="I1297" s="138" t="str">
        <f>+IFERROR(VLOOKUP(D1297,Conceptos_Analítica_contraloría[#All],2,0),"")</f>
        <v/>
      </c>
      <c r="J1297" s="138" t="str">
        <f>+IFERROR(VLOOKUP(D1297,Conceptos_Analítica_contraloría[#All],3,0),"")</f>
        <v/>
      </c>
    </row>
    <row r="1298" spans="3:10" x14ac:dyDescent="0.35">
      <c r="C1298" s="144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s="138" t="str">
        <f>+IFERROR(VLOOKUP(Fact_Analitica[[#This Row],[Concepto Anterior]],Conceptos_Analítica_contraloría[#All],5,0),"")</f>
        <v/>
      </c>
      <c r="F1298" s="138" t="str">
        <f>+IFERROR(VLOOKUP(Fact_Analitica[[#This Row],[Concepto Anterior]],Conceptos_Analítica_contraloría[#All],7,0),"")</f>
        <v/>
      </c>
      <c r="I1298" s="138" t="str">
        <f>+IFERROR(VLOOKUP(D1298,Conceptos_Analítica_contraloría[#All],2,0),"")</f>
        <v/>
      </c>
      <c r="J1298" s="138" t="str">
        <f>+IFERROR(VLOOKUP(D1298,Conceptos_Analítica_contraloría[#All],3,0),"")</f>
        <v/>
      </c>
    </row>
    <row r="1299" spans="3:10" x14ac:dyDescent="0.35">
      <c r="C1299" s="144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s="138" t="str">
        <f>+IFERROR(VLOOKUP(Fact_Analitica[[#This Row],[Concepto Anterior]],Conceptos_Analítica_contraloría[#All],5,0),"")</f>
        <v/>
      </c>
      <c r="F1299" s="138" t="str">
        <f>+IFERROR(VLOOKUP(Fact_Analitica[[#This Row],[Concepto Anterior]],Conceptos_Analítica_contraloría[#All],7,0),"")</f>
        <v/>
      </c>
      <c r="I1299" s="138" t="str">
        <f>+IFERROR(VLOOKUP(D1299,Conceptos_Analítica_contraloría[#All],2,0),"")</f>
        <v/>
      </c>
      <c r="J1299" s="138" t="str">
        <f>+IFERROR(VLOOKUP(D1299,Conceptos_Analítica_contraloría[#All],3,0),"")</f>
        <v/>
      </c>
    </row>
    <row r="1300" spans="3:10" x14ac:dyDescent="0.35">
      <c r="C1300" s="144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s="138" t="str">
        <f>+IFERROR(VLOOKUP(Fact_Analitica[[#This Row],[Concepto Anterior]],Conceptos_Analítica_contraloría[#All],5,0),"")</f>
        <v/>
      </c>
      <c r="F1300" s="138" t="str">
        <f>+IFERROR(VLOOKUP(Fact_Analitica[[#This Row],[Concepto Anterior]],Conceptos_Analítica_contraloría[#All],7,0),"")</f>
        <v/>
      </c>
      <c r="I1300" s="138" t="str">
        <f>+IFERROR(VLOOKUP(D1300,Conceptos_Analítica_contraloría[#All],2,0),"")</f>
        <v/>
      </c>
      <c r="J1300" s="138" t="str">
        <f>+IFERROR(VLOOKUP(D1300,Conceptos_Analítica_contraloría[#All],3,0),"")</f>
        <v/>
      </c>
    </row>
    <row r="1301" spans="3:10" x14ac:dyDescent="0.35">
      <c r="C1301" s="144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s="138" t="str">
        <f>+IFERROR(VLOOKUP(Fact_Analitica[[#This Row],[Concepto Anterior]],Conceptos_Analítica_contraloría[#All],5,0),"")</f>
        <v/>
      </c>
      <c r="F1301" s="138" t="str">
        <f>+IFERROR(VLOOKUP(Fact_Analitica[[#This Row],[Concepto Anterior]],Conceptos_Analítica_contraloría[#All],7,0),"")</f>
        <v/>
      </c>
      <c r="I1301" s="138" t="str">
        <f>+IFERROR(VLOOKUP(D1301,Conceptos_Analítica_contraloría[#All],2,0),"")</f>
        <v/>
      </c>
      <c r="J1301" s="138" t="str">
        <f>+IFERROR(VLOOKUP(D1301,Conceptos_Analítica_contraloría[#All],3,0),"")</f>
        <v/>
      </c>
    </row>
    <row r="1302" spans="3:10" x14ac:dyDescent="0.35">
      <c r="C1302" s="144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s="138" t="str">
        <f>+IFERROR(VLOOKUP(Fact_Analitica[[#This Row],[Concepto Anterior]],Conceptos_Analítica_contraloría[#All],5,0),"")</f>
        <v/>
      </c>
      <c r="F1302" s="138" t="str">
        <f>+IFERROR(VLOOKUP(Fact_Analitica[[#This Row],[Concepto Anterior]],Conceptos_Analítica_contraloría[#All],7,0),"")</f>
        <v/>
      </c>
      <c r="I1302" s="138" t="str">
        <f>+IFERROR(VLOOKUP(D1302,Conceptos_Analítica_contraloría[#All],2,0),"")</f>
        <v/>
      </c>
      <c r="J1302" s="138" t="str">
        <f>+IFERROR(VLOOKUP(D1302,Conceptos_Analítica_contraloría[#All],3,0),"")</f>
        <v/>
      </c>
    </row>
    <row r="1303" spans="3:10" x14ac:dyDescent="0.35">
      <c r="C1303" s="144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s="138" t="str">
        <f>+IFERROR(VLOOKUP(Fact_Analitica[[#This Row],[Concepto Anterior]],Conceptos_Analítica_contraloría[#All],5,0),"")</f>
        <v/>
      </c>
      <c r="F1303" s="138" t="str">
        <f>+IFERROR(VLOOKUP(Fact_Analitica[[#This Row],[Concepto Anterior]],Conceptos_Analítica_contraloría[#All],7,0),"")</f>
        <v/>
      </c>
      <c r="I1303" s="138" t="str">
        <f>+IFERROR(VLOOKUP(D1303,Conceptos_Analítica_contraloría[#All],2,0),"")</f>
        <v/>
      </c>
      <c r="J1303" s="138" t="str">
        <f>+IFERROR(VLOOKUP(D1303,Conceptos_Analítica_contraloría[#All],3,0),"")</f>
        <v/>
      </c>
    </row>
    <row r="1304" spans="3:10" x14ac:dyDescent="0.35">
      <c r="C1304" s="144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s="138" t="str">
        <f>+IFERROR(VLOOKUP(Fact_Analitica[[#This Row],[Concepto Anterior]],Conceptos_Analítica_contraloría[#All],5,0),"")</f>
        <v/>
      </c>
      <c r="F1304" s="138" t="str">
        <f>+IFERROR(VLOOKUP(Fact_Analitica[[#This Row],[Concepto Anterior]],Conceptos_Analítica_contraloría[#All],7,0),"")</f>
        <v/>
      </c>
      <c r="I1304" s="138" t="str">
        <f>+IFERROR(VLOOKUP(D1304,Conceptos_Analítica_contraloría[#All],2,0),"")</f>
        <v/>
      </c>
      <c r="J1304" s="138" t="str">
        <f>+IFERROR(VLOOKUP(D1304,Conceptos_Analítica_contraloría[#All],3,0),"")</f>
        <v/>
      </c>
    </row>
    <row r="1305" spans="3:10" x14ac:dyDescent="0.35">
      <c r="C1305" s="144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s="138" t="str">
        <f>+IFERROR(VLOOKUP(Fact_Analitica[[#This Row],[Concepto Anterior]],Conceptos_Analítica_contraloría[#All],5,0),"")</f>
        <v/>
      </c>
      <c r="F1305" s="138" t="str">
        <f>+IFERROR(VLOOKUP(Fact_Analitica[[#This Row],[Concepto Anterior]],Conceptos_Analítica_contraloría[#All],7,0),"")</f>
        <v/>
      </c>
      <c r="I1305" s="138" t="str">
        <f>+IFERROR(VLOOKUP(D1305,Conceptos_Analítica_contraloría[#All],2,0),"")</f>
        <v/>
      </c>
      <c r="J1305" s="138" t="str">
        <f>+IFERROR(VLOOKUP(D1305,Conceptos_Analítica_contraloría[#All],3,0),"")</f>
        <v/>
      </c>
    </row>
    <row r="1306" spans="3:10" x14ac:dyDescent="0.35">
      <c r="C1306" s="144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s="138" t="str">
        <f>+IFERROR(VLOOKUP(Fact_Analitica[[#This Row],[Concepto Anterior]],Conceptos_Analítica_contraloría[#All],5,0),"")</f>
        <v/>
      </c>
      <c r="F1306" s="138" t="str">
        <f>+IFERROR(VLOOKUP(Fact_Analitica[[#This Row],[Concepto Anterior]],Conceptos_Analítica_contraloría[#All],7,0),"")</f>
        <v/>
      </c>
      <c r="I1306" s="138" t="str">
        <f>+IFERROR(VLOOKUP(D1306,Conceptos_Analítica_contraloría[#All],2,0),"")</f>
        <v/>
      </c>
      <c r="J1306" s="138" t="str">
        <f>+IFERROR(VLOOKUP(D1306,Conceptos_Analítica_contraloría[#All],3,0),"")</f>
        <v/>
      </c>
    </row>
    <row r="1307" spans="3:10" x14ac:dyDescent="0.35">
      <c r="C1307" s="144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s="138" t="str">
        <f>+IFERROR(VLOOKUP(Fact_Analitica[[#This Row],[Concepto Anterior]],Conceptos_Analítica_contraloría[#All],5,0),"")</f>
        <v/>
      </c>
      <c r="F1307" s="138" t="str">
        <f>+IFERROR(VLOOKUP(Fact_Analitica[[#This Row],[Concepto Anterior]],Conceptos_Analítica_contraloría[#All],7,0),"")</f>
        <v/>
      </c>
      <c r="I1307" s="138" t="str">
        <f>+IFERROR(VLOOKUP(D1307,Conceptos_Analítica_contraloría[#All],2,0),"")</f>
        <v/>
      </c>
      <c r="J1307" s="138" t="str">
        <f>+IFERROR(VLOOKUP(D1307,Conceptos_Analítica_contraloría[#All],3,0),"")</f>
        <v/>
      </c>
    </row>
    <row r="1308" spans="3:10" x14ac:dyDescent="0.35">
      <c r="C1308" s="144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s="138" t="str">
        <f>+IFERROR(VLOOKUP(Fact_Analitica[[#This Row],[Concepto Anterior]],Conceptos_Analítica_contraloría[#All],5,0),"")</f>
        <v/>
      </c>
      <c r="F1308" s="138" t="str">
        <f>+IFERROR(VLOOKUP(Fact_Analitica[[#This Row],[Concepto Anterior]],Conceptos_Analítica_contraloría[#All],7,0),"")</f>
        <v/>
      </c>
      <c r="I1308" s="138" t="str">
        <f>+IFERROR(VLOOKUP(D1308,Conceptos_Analítica_contraloría[#All],2,0),"")</f>
        <v/>
      </c>
      <c r="J1308" s="138" t="str">
        <f>+IFERROR(VLOOKUP(D1308,Conceptos_Analítica_contraloría[#All],3,0),"")</f>
        <v/>
      </c>
    </row>
    <row r="1309" spans="3:10" x14ac:dyDescent="0.35">
      <c r="C1309" s="144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s="138" t="str">
        <f>+IFERROR(VLOOKUP(Fact_Analitica[[#This Row],[Concepto Anterior]],Conceptos_Analítica_contraloría[#All],5,0),"")</f>
        <v/>
      </c>
      <c r="F1309" s="138" t="str">
        <f>+IFERROR(VLOOKUP(Fact_Analitica[[#This Row],[Concepto Anterior]],Conceptos_Analítica_contraloría[#All],7,0),"")</f>
        <v/>
      </c>
      <c r="I1309" s="138" t="str">
        <f>+IFERROR(VLOOKUP(D1309,Conceptos_Analítica_contraloría[#All],2,0),"")</f>
        <v/>
      </c>
      <c r="J1309" s="138" t="str">
        <f>+IFERROR(VLOOKUP(D1309,Conceptos_Analítica_contraloría[#All],3,0),"")</f>
        <v/>
      </c>
    </row>
    <row r="1310" spans="3:10" x14ac:dyDescent="0.35">
      <c r="C1310" s="144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s="138" t="str">
        <f>+IFERROR(VLOOKUP(Fact_Analitica[[#This Row],[Concepto Anterior]],Conceptos_Analítica_contraloría[#All],5,0),"")</f>
        <v/>
      </c>
      <c r="F1310" s="138" t="str">
        <f>+IFERROR(VLOOKUP(Fact_Analitica[[#This Row],[Concepto Anterior]],Conceptos_Analítica_contraloría[#All],7,0),"")</f>
        <v/>
      </c>
      <c r="I1310" s="138" t="str">
        <f>+IFERROR(VLOOKUP(D1310,Conceptos_Analítica_contraloría[#All],2,0),"")</f>
        <v/>
      </c>
      <c r="J1310" s="138" t="str">
        <f>+IFERROR(VLOOKUP(D1310,Conceptos_Analítica_contraloría[#All],3,0),"")</f>
        <v/>
      </c>
    </row>
    <row r="1311" spans="3:10" x14ac:dyDescent="0.35">
      <c r="C1311" s="144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s="138" t="str">
        <f>+IFERROR(VLOOKUP(Fact_Analitica[[#This Row],[Concepto Anterior]],Conceptos_Analítica_contraloría[#All],5,0),"")</f>
        <v/>
      </c>
      <c r="F1311" s="138" t="str">
        <f>+IFERROR(VLOOKUP(Fact_Analitica[[#This Row],[Concepto Anterior]],Conceptos_Analítica_contraloría[#All],7,0),"")</f>
        <v/>
      </c>
      <c r="I1311" s="138" t="str">
        <f>+IFERROR(VLOOKUP(D1311,Conceptos_Analítica_contraloría[#All],2,0),"")</f>
        <v/>
      </c>
      <c r="J1311" s="138" t="str">
        <f>+IFERROR(VLOOKUP(D1311,Conceptos_Analítica_contraloría[#All],3,0),"")</f>
        <v/>
      </c>
    </row>
    <row r="1312" spans="3:10" x14ac:dyDescent="0.35">
      <c r="C1312" s="144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s="138" t="str">
        <f>+IFERROR(VLOOKUP(Fact_Analitica[[#This Row],[Concepto Anterior]],Conceptos_Analítica_contraloría[#All],5,0),"")</f>
        <v/>
      </c>
      <c r="F1312" s="138" t="str">
        <f>+IFERROR(VLOOKUP(Fact_Analitica[[#This Row],[Concepto Anterior]],Conceptos_Analítica_contraloría[#All],7,0),"")</f>
        <v/>
      </c>
      <c r="I1312" s="138" t="str">
        <f>+IFERROR(VLOOKUP(D1312,Conceptos_Analítica_contraloría[#All],2,0),"")</f>
        <v/>
      </c>
      <c r="J1312" s="138" t="str">
        <f>+IFERROR(VLOOKUP(D1312,Conceptos_Analítica_contraloría[#All],3,0),"")</f>
        <v/>
      </c>
    </row>
    <row r="1313" spans="3:10" x14ac:dyDescent="0.35">
      <c r="C1313" s="144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s="138" t="str">
        <f>+IFERROR(VLOOKUP(Fact_Analitica[[#This Row],[Concepto Anterior]],Conceptos_Analítica_contraloría[#All],5,0),"")</f>
        <v/>
      </c>
      <c r="F1313" s="138" t="str">
        <f>+IFERROR(VLOOKUP(Fact_Analitica[[#This Row],[Concepto Anterior]],Conceptos_Analítica_contraloría[#All],7,0),"")</f>
        <v/>
      </c>
      <c r="I1313" s="138" t="str">
        <f>+IFERROR(VLOOKUP(D1313,Conceptos_Analítica_contraloría[#All],2,0),"")</f>
        <v/>
      </c>
      <c r="J1313" s="138" t="str">
        <f>+IFERROR(VLOOKUP(D1313,Conceptos_Analítica_contraloría[#All],3,0),"")</f>
        <v/>
      </c>
    </row>
    <row r="1314" spans="3:10" x14ac:dyDescent="0.35">
      <c r="C1314" s="144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s="138" t="str">
        <f>+IFERROR(VLOOKUP(Fact_Analitica[[#This Row],[Concepto Anterior]],Conceptos_Analítica_contraloría[#All],5,0),"")</f>
        <v/>
      </c>
      <c r="F1314" s="138" t="str">
        <f>+IFERROR(VLOOKUP(Fact_Analitica[[#This Row],[Concepto Anterior]],Conceptos_Analítica_contraloría[#All],7,0),"")</f>
        <v/>
      </c>
      <c r="I1314" s="138" t="str">
        <f>+IFERROR(VLOOKUP(D1314,Conceptos_Analítica_contraloría[#All],2,0),"")</f>
        <v/>
      </c>
      <c r="J1314" s="138" t="str">
        <f>+IFERROR(VLOOKUP(D1314,Conceptos_Analítica_contraloría[#All],3,0),"")</f>
        <v/>
      </c>
    </row>
    <row r="1315" spans="3:10" x14ac:dyDescent="0.35">
      <c r="C1315" s="144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s="138" t="str">
        <f>+IFERROR(VLOOKUP(Fact_Analitica[[#This Row],[Concepto Anterior]],Conceptos_Analítica_contraloría[#All],5,0),"")</f>
        <v/>
      </c>
      <c r="F1315" s="138" t="str">
        <f>+IFERROR(VLOOKUP(Fact_Analitica[[#This Row],[Concepto Anterior]],Conceptos_Analítica_contraloría[#All],7,0),"")</f>
        <v/>
      </c>
      <c r="I1315" s="138" t="str">
        <f>+IFERROR(VLOOKUP(D1315,Conceptos_Analítica_contraloría[#All],2,0),"")</f>
        <v/>
      </c>
      <c r="J1315" s="138" t="str">
        <f>+IFERROR(VLOOKUP(D1315,Conceptos_Analítica_contraloría[#All],3,0),"")</f>
        <v/>
      </c>
    </row>
    <row r="1316" spans="3:10" x14ac:dyDescent="0.35">
      <c r="C1316" s="144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s="138" t="str">
        <f>+IFERROR(VLOOKUP(Fact_Analitica[[#This Row],[Concepto Anterior]],Conceptos_Analítica_contraloría[#All],5,0),"")</f>
        <v/>
      </c>
      <c r="F1316" s="138" t="str">
        <f>+IFERROR(VLOOKUP(Fact_Analitica[[#This Row],[Concepto Anterior]],Conceptos_Analítica_contraloría[#All],7,0),"")</f>
        <v/>
      </c>
      <c r="I1316" s="138" t="str">
        <f>+IFERROR(VLOOKUP(D1316,Conceptos_Analítica_contraloría[#All],2,0),"")</f>
        <v/>
      </c>
      <c r="J1316" s="138" t="str">
        <f>+IFERROR(VLOOKUP(D1316,Conceptos_Analítica_contraloría[#All],3,0),"")</f>
        <v/>
      </c>
    </row>
    <row r="1317" spans="3:10" x14ac:dyDescent="0.35">
      <c r="C1317" s="144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s="138" t="str">
        <f>+IFERROR(VLOOKUP(Fact_Analitica[[#This Row],[Concepto Anterior]],Conceptos_Analítica_contraloría[#All],5,0),"")</f>
        <v/>
      </c>
      <c r="F1317" s="138" t="str">
        <f>+IFERROR(VLOOKUP(Fact_Analitica[[#This Row],[Concepto Anterior]],Conceptos_Analítica_contraloría[#All],7,0),"")</f>
        <v/>
      </c>
      <c r="I1317" s="138" t="str">
        <f>+IFERROR(VLOOKUP(D1317,Conceptos_Analítica_contraloría[#All],2,0),"")</f>
        <v/>
      </c>
      <c r="J1317" s="138" t="str">
        <f>+IFERROR(VLOOKUP(D1317,Conceptos_Analítica_contraloría[#All],3,0),"")</f>
        <v/>
      </c>
    </row>
    <row r="1318" spans="3:10" x14ac:dyDescent="0.35">
      <c r="C1318" s="144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s="138" t="str">
        <f>+IFERROR(VLOOKUP(Fact_Analitica[[#This Row],[Concepto Anterior]],Conceptos_Analítica_contraloría[#All],5,0),"")</f>
        <v/>
      </c>
      <c r="F1318" s="138" t="str">
        <f>+IFERROR(VLOOKUP(Fact_Analitica[[#This Row],[Concepto Anterior]],Conceptos_Analítica_contraloría[#All],7,0),"")</f>
        <v/>
      </c>
      <c r="I1318" s="138" t="str">
        <f>+IFERROR(VLOOKUP(D1318,Conceptos_Analítica_contraloría[#All],2,0),"")</f>
        <v/>
      </c>
      <c r="J1318" s="138" t="str">
        <f>+IFERROR(VLOOKUP(D1318,Conceptos_Analítica_contraloría[#All],3,0),"")</f>
        <v/>
      </c>
    </row>
    <row r="1319" spans="3:10" x14ac:dyDescent="0.35">
      <c r="C1319" s="144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s="138" t="str">
        <f>+IFERROR(VLOOKUP(Fact_Analitica[[#This Row],[Concepto Anterior]],Conceptos_Analítica_contraloría[#All],5,0),"")</f>
        <v/>
      </c>
      <c r="F1319" s="138" t="str">
        <f>+IFERROR(VLOOKUP(Fact_Analitica[[#This Row],[Concepto Anterior]],Conceptos_Analítica_contraloría[#All],7,0),"")</f>
        <v/>
      </c>
      <c r="I1319" s="138" t="str">
        <f>+IFERROR(VLOOKUP(D1319,Conceptos_Analítica_contraloría[#All],2,0),"")</f>
        <v/>
      </c>
      <c r="J1319" s="138" t="str">
        <f>+IFERROR(VLOOKUP(D1319,Conceptos_Analítica_contraloría[#All],3,0),"")</f>
        <v/>
      </c>
    </row>
    <row r="1320" spans="3:10" x14ac:dyDescent="0.35">
      <c r="C1320" s="144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s="138" t="str">
        <f>+IFERROR(VLOOKUP(Fact_Analitica[[#This Row],[Concepto Anterior]],Conceptos_Analítica_contraloría[#All],5,0),"")</f>
        <v/>
      </c>
      <c r="F1320" s="138" t="str">
        <f>+IFERROR(VLOOKUP(Fact_Analitica[[#This Row],[Concepto Anterior]],Conceptos_Analítica_contraloría[#All],7,0),"")</f>
        <v/>
      </c>
      <c r="I1320" s="138" t="str">
        <f>+IFERROR(VLOOKUP(D1320,Conceptos_Analítica_contraloría[#All],2,0),"")</f>
        <v/>
      </c>
      <c r="J1320" s="138" t="str">
        <f>+IFERROR(VLOOKUP(D1320,Conceptos_Analítica_contraloría[#All],3,0),"")</f>
        <v/>
      </c>
    </row>
    <row r="1321" spans="3:10" x14ac:dyDescent="0.35">
      <c r="C1321" s="144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s="138" t="str">
        <f>+IFERROR(VLOOKUP(Fact_Analitica[[#This Row],[Concepto Anterior]],Conceptos_Analítica_contraloría[#All],5,0),"")</f>
        <v/>
      </c>
      <c r="F1321" s="138" t="str">
        <f>+IFERROR(VLOOKUP(Fact_Analitica[[#This Row],[Concepto Anterior]],Conceptos_Analítica_contraloría[#All],7,0),"")</f>
        <v/>
      </c>
      <c r="I1321" s="138" t="str">
        <f>+IFERROR(VLOOKUP(D1321,Conceptos_Analítica_contraloría[#All],2,0),"")</f>
        <v/>
      </c>
      <c r="J1321" s="138" t="str">
        <f>+IFERROR(VLOOKUP(D1321,Conceptos_Analítica_contraloría[#All],3,0),"")</f>
        <v/>
      </c>
    </row>
    <row r="1322" spans="3:10" x14ac:dyDescent="0.35">
      <c r="C1322" s="144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s="138" t="str">
        <f>+IFERROR(VLOOKUP(Fact_Analitica[[#This Row],[Concepto Anterior]],Conceptos_Analítica_contraloría[#All],5,0),"")</f>
        <v/>
      </c>
      <c r="F1322" s="138" t="str">
        <f>+IFERROR(VLOOKUP(Fact_Analitica[[#This Row],[Concepto Anterior]],Conceptos_Analítica_contraloría[#All],7,0),"")</f>
        <v/>
      </c>
      <c r="I1322" s="138" t="str">
        <f>+IFERROR(VLOOKUP(D1322,Conceptos_Analítica_contraloría[#All],2,0),"")</f>
        <v/>
      </c>
      <c r="J1322" s="138" t="str">
        <f>+IFERROR(VLOOKUP(D1322,Conceptos_Analítica_contraloría[#All],3,0),"")</f>
        <v/>
      </c>
    </row>
    <row r="1323" spans="3:10" x14ac:dyDescent="0.35">
      <c r="C1323" s="144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s="138" t="str">
        <f>+IFERROR(VLOOKUP(Fact_Analitica[[#This Row],[Concepto Anterior]],Conceptos_Analítica_contraloría[#All],5,0),"")</f>
        <v/>
      </c>
      <c r="F1323" s="138" t="str">
        <f>+IFERROR(VLOOKUP(Fact_Analitica[[#This Row],[Concepto Anterior]],Conceptos_Analítica_contraloría[#All],7,0),"")</f>
        <v/>
      </c>
      <c r="I1323" s="138" t="str">
        <f>+IFERROR(VLOOKUP(D1323,Conceptos_Analítica_contraloría[#All],2,0),"")</f>
        <v/>
      </c>
      <c r="J1323" s="138" t="str">
        <f>+IFERROR(VLOOKUP(D1323,Conceptos_Analítica_contraloría[#All],3,0),"")</f>
        <v/>
      </c>
    </row>
    <row r="1324" spans="3:10" x14ac:dyDescent="0.35">
      <c r="C1324" s="144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s="138" t="str">
        <f>+IFERROR(VLOOKUP(Fact_Analitica[[#This Row],[Concepto Anterior]],Conceptos_Analítica_contraloría[#All],5,0),"")</f>
        <v/>
      </c>
      <c r="F1324" s="138" t="str">
        <f>+IFERROR(VLOOKUP(Fact_Analitica[[#This Row],[Concepto Anterior]],Conceptos_Analítica_contraloría[#All],7,0),"")</f>
        <v/>
      </c>
      <c r="I1324" s="138" t="str">
        <f>+IFERROR(VLOOKUP(D1324,Conceptos_Analítica_contraloría[#All],2,0),"")</f>
        <v/>
      </c>
      <c r="J1324" s="138" t="str">
        <f>+IFERROR(VLOOKUP(D1324,Conceptos_Analítica_contraloría[#All],3,0),"")</f>
        <v/>
      </c>
    </row>
    <row r="1325" spans="3:10" x14ac:dyDescent="0.35">
      <c r="C1325" s="144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s="138" t="str">
        <f>+IFERROR(VLOOKUP(Fact_Analitica[[#This Row],[Concepto Anterior]],Conceptos_Analítica_contraloría[#All],5,0),"")</f>
        <v/>
      </c>
      <c r="F1325" s="138" t="str">
        <f>+IFERROR(VLOOKUP(Fact_Analitica[[#This Row],[Concepto Anterior]],Conceptos_Analítica_contraloría[#All],7,0),"")</f>
        <v/>
      </c>
      <c r="I1325" s="138" t="str">
        <f>+IFERROR(VLOOKUP(D1325,Conceptos_Analítica_contraloría[#All],2,0),"")</f>
        <v/>
      </c>
      <c r="J1325" s="138" t="str">
        <f>+IFERROR(VLOOKUP(D1325,Conceptos_Analítica_contraloría[#All],3,0),"")</f>
        <v/>
      </c>
    </row>
    <row r="1326" spans="3:10" x14ac:dyDescent="0.35">
      <c r="C1326" s="144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s="138" t="str">
        <f>+IFERROR(VLOOKUP(Fact_Analitica[[#This Row],[Concepto Anterior]],Conceptos_Analítica_contraloría[#All],5,0),"")</f>
        <v/>
      </c>
      <c r="F1326" s="138" t="str">
        <f>+IFERROR(VLOOKUP(Fact_Analitica[[#This Row],[Concepto Anterior]],Conceptos_Analítica_contraloría[#All],7,0),"")</f>
        <v/>
      </c>
      <c r="I1326" s="138" t="str">
        <f>+IFERROR(VLOOKUP(D1326,Conceptos_Analítica_contraloría[#All],2,0),"")</f>
        <v/>
      </c>
      <c r="J1326" s="138" t="str">
        <f>+IFERROR(VLOOKUP(D1326,Conceptos_Analítica_contraloría[#All],3,0),"")</f>
        <v/>
      </c>
    </row>
    <row r="1327" spans="3:10" x14ac:dyDescent="0.35">
      <c r="C1327" s="144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s="138" t="str">
        <f>+IFERROR(VLOOKUP(Fact_Analitica[[#This Row],[Concepto Anterior]],Conceptos_Analítica_contraloría[#All],5,0),"")</f>
        <v/>
      </c>
      <c r="F1327" s="138" t="str">
        <f>+IFERROR(VLOOKUP(Fact_Analitica[[#This Row],[Concepto Anterior]],Conceptos_Analítica_contraloría[#All],7,0),"")</f>
        <v/>
      </c>
      <c r="I1327" s="138" t="str">
        <f>+IFERROR(VLOOKUP(D1327,Conceptos_Analítica_contraloría[#All],2,0),"")</f>
        <v/>
      </c>
      <c r="J1327" s="138" t="str">
        <f>+IFERROR(VLOOKUP(D1327,Conceptos_Analítica_contraloría[#All],3,0),"")</f>
        <v/>
      </c>
    </row>
    <row r="1328" spans="3:10" x14ac:dyDescent="0.35">
      <c r="C1328" s="144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s="138" t="str">
        <f>+IFERROR(VLOOKUP(Fact_Analitica[[#This Row],[Concepto Anterior]],Conceptos_Analítica_contraloría[#All],5,0),"")</f>
        <v/>
      </c>
      <c r="F1328" s="138" t="str">
        <f>+IFERROR(VLOOKUP(Fact_Analitica[[#This Row],[Concepto Anterior]],Conceptos_Analítica_contraloría[#All],7,0),"")</f>
        <v/>
      </c>
      <c r="I1328" s="138" t="str">
        <f>+IFERROR(VLOOKUP(D1328,Conceptos_Analítica_contraloría[#All],2,0),"")</f>
        <v/>
      </c>
      <c r="J1328" s="138" t="str">
        <f>+IFERROR(VLOOKUP(D1328,Conceptos_Analítica_contraloría[#All],3,0),"")</f>
        <v/>
      </c>
    </row>
    <row r="1329" spans="3:10" x14ac:dyDescent="0.35">
      <c r="C1329" s="144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s="138" t="str">
        <f>+IFERROR(VLOOKUP(Fact_Analitica[[#This Row],[Concepto Anterior]],Conceptos_Analítica_contraloría[#All],5,0),"")</f>
        <v/>
      </c>
      <c r="F1329" s="138" t="str">
        <f>+IFERROR(VLOOKUP(Fact_Analitica[[#This Row],[Concepto Anterior]],Conceptos_Analítica_contraloría[#All],7,0),"")</f>
        <v/>
      </c>
      <c r="I1329" s="138" t="str">
        <f>+IFERROR(VLOOKUP(D1329,Conceptos_Analítica_contraloría[#All],2,0),"")</f>
        <v/>
      </c>
      <c r="J1329" s="138" t="str">
        <f>+IFERROR(VLOOKUP(D1329,Conceptos_Analítica_contraloría[#All],3,0),"")</f>
        <v/>
      </c>
    </row>
    <row r="1330" spans="3:10" x14ac:dyDescent="0.35">
      <c r="C1330" s="144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s="138" t="str">
        <f>+IFERROR(VLOOKUP(Fact_Analitica[[#This Row],[Concepto Anterior]],Conceptos_Analítica_contraloría[#All],5,0),"")</f>
        <v/>
      </c>
      <c r="F1330" s="138" t="str">
        <f>+IFERROR(VLOOKUP(Fact_Analitica[[#This Row],[Concepto Anterior]],Conceptos_Analítica_contraloría[#All],7,0),"")</f>
        <v/>
      </c>
      <c r="I1330" s="138" t="str">
        <f>+IFERROR(VLOOKUP(D1330,Conceptos_Analítica_contraloría[#All],2,0),"")</f>
        <v/>
      </c>
      <c r="J1330" s="138" t="str">
        <f>+IFERROR(VLOOKUP(D1330,Conceptos_Analítica_contraloría[#All],3,0),"")</f>
        <v/>
      </c>
    </row>
    <row r="1331" spans="3:10" x14ac:dyDescent="0.35">
      <c r="C1331" s="144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s="138" t="str">
        <f>+IFERROR(VLOOKUP(Fact_Analitica[[#This Row],[Concepto Anterior]],Conceptos_Analítica_contraloría[#All],5,0),"")</f>
        <v/>
      </c>
      <c r="F1331" s="138" t="str">
        <f>+IFERROR(VLOOKUP(Fact_Analitica[[#This Row],[Concepto Anterior]],Conceptos_Analítica_contraloría[#All],7,0),"")</f>
        <v/>
      </c>
      <c r="I1331" s="138" t="str">
        <f>+IFERROR(VLOOKUP(D1331,Conceptos_Analítica_contraloría[#All],2,0),"")</f>
        <v/>
      </c>
      <c r="J1331" s="138" t="str">
        <f>+IFERROR(VLOOKUP(D1331,Conceptos_Analítica_contraloría[#All],3,0),"")</f>
        <v/>
      </c>
    </row>
    <row r="1332" spans="3:10" x14ac:dyDescent="0.35">
      <c r="C1332" s="144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s="138" t="str">
        <f>+IFERROR(VLOOKUP(Fact_Analitica[[#This Row],[Concepto Anterior]],Conceptos_Analítica_contraloría[#All],5,0),"")</f>
        <v/>
      </c>
      <c r="F1332" s="138" t="str">
        <f>+IFERROR(VLOOKUP(Fact_Analitica[[#This Row],[Concepto Anterior]],Conceptos_Analítica_contraloría[#All],7,0),"")</f>
        <v/>
      </c>
      <c r="I1332" s="138" t="str">
        <f>+IFERROR(VLOOKUP(D1332,Conceptos_Analítica_contraloría[#All],2,0),"")</f>
        <v/>
      </c>
      <c r="J1332" s="138" t="str">
        <f>+IFERROR(VLOOKUP(D1332,Conceptos_Analítica_contraloría[#All],3,0),"")</f>
        <v/>
      </c>
    </row>
    <row r="1333" spans="3:10" x14ac:dyDescent="0.35">
      <c r="C1333" s="144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s="138" t="str">
        <f>+IFERROR(VLOOKUP(Fact_Analitica[[#This Row],[Concepto Anterior]],Conceptos_Analítica_contraloría[#All],5,0),"")</f>
        <v/>
      </c>
      <c r="F1333" s="138" t="str">
        <f>+IFERROR(VLOOKUP(Fact_Analitica[[#This Row],[Concepto Anterior]],Conceptos_Analítica_contraloría[#All],7,0),"")</f>
        <v/>
      </c>
      <c r="I1333" s="138" t="str">
        <f>+IFERROR(VLOOKUP(D1333,Conceptos_Analítica_contraloría[#All],2,0),"")</f>
        <v/>
      </c>
      <c r="J1333" s="138" t="str">
        <f>+IFERROR(VLOOKUP(D1333,Conceptos_Analítica_contraloría[#All],3,0),"")</f>
        <v/>
      </c>
    </row>
    <row r="1334" spans="3:10" x14ac:dyDescent="0.35">
      <c r="C1334" s="144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s="138" t="str">
        <f>+IFERROR(VLOOKUP(Fact_Analitica[[#This Row],[Concepto Anterior]],Conceptos_Analítica_contraloría[#All],5,0),"")</f>
        <v/>
      </c>
      <c r="F1334" s="138" t="str">
        <f>+IFERROR(VLOOKUP(Fact_Analitica[[#This Row],[Concepto Anterior]],Conceptos_Analítica_contraloría[#All],7,0),"")</f>
        <v/>
      </c>
      <c r="I1334" s="138" t="str">
        <f>+IFERROR(VLOOKUP(D1334,Conceptos_Analítica_contraloría[#All],2,0),"")</f>
        <v/>
      </c>
      <c r="J1334" s="138" t="str">
        <f>+IFERROR(VLOOKUP(D1334,Conceptos_Analítica_contraloría[#All],3,0),"")</f>
        <v/>
      </c>
    </row>
    <row r="1335" spans="3:10" x14ac:dyDescent="0.35">
      <c r="C1335" s="144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s="138" t="str">
        <f>+IFERROR(VLOOKUP(Fact_Analitica[[#This Row],[Concepto Anterior]],Conceptos_Analítica_contraloría[#All],5,0),"")</f>
        <v/>
      </c>
      <c r="F1335" s="138" t="str">
        <f>+IFERROR(VLOOKUP(Fact_Analitica[[#This Row],[Concepto Anterior]],Conceptos_Analítica_contraloría[#All],7,0),"")</f>
        <v/>
      </c>
      <c r="I1335" s="138" t="str">
        <f>+IFERROR(VLOOKUP(D1335,Conceptos_Analítica_contraloría[#All],2,0),"")</f>
        <v/>
      </c>
      <c r="J1335" s="138" t="str">
        <f>+IFERROR(VLOOKUP(D1335,Conceptos_Analítica_contraloría[#All],3,0),"")</f>
        <v/>
      </c>
    </row>
    <row r="1336" spans="3:10" x14ac:dyDescent="0.35">
      <c r="C1336" s="144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s="138" t="str">
        <f>+IFERROR(VLOOKUP(Fact_Analitica[[#This Row],[Concepto Anterior]],Conceptos_Analítica_contraloría[#All],5,0),"")</f>
        <v/>
      </c>
      <c r="F1336" s="138" t="str">
        <f>+IFERROR(VLOOKUP(Fact_Analitica[[#This Row],[Concepto Anterior]],Conceptos_Analítica_contraloría[#All],7,0),"")</f>
        <v/>
      </c>
      <c r="I1336" s="138" t="str">
        <f>+IFERROR(VLOOKUP(D1336,Conceptos_Analítica_contraloría[#All],2,0),"")</f>
        <v/>
      </c>
      <c r="J1336" s="138" t="str">
        <f>+IFERROR(VLOOKUP(D1336,Conceptos_Analítica_contraloría[#All],3,0),"")</f>
        <v/>
      </c>
    </row>
    <row r="1337" spans="3:10" x14ac:dyDescent="0.35">
      <c r="C1337" s="144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s="138" t="str">
        <f>+IFERROR(VLOOKUP(Fact_Analitica[[#This Row],[Concepto Anterior]],Conceptos_Analítica_contraloría[#All],5,0),"")</f>
        <v/>
      </c>
      <c r="F1337" s="138" t="str">
        <f>+IFERROR(VLOOKUP(Fact_Analitica[[#This Row],[Concepto Anterior]],Conceptos_Analítica_contraloría[#All],7,0),"")</f>
        <v/>
      </c>
      <c r="I1337" s="138" t="str">
        <f>+IFERROR(VLOOKUP(D1337,Conceptos_Analítica_contraloría[#All],2,0),"")</f>
        <v/>
      </c>
      <c r="J1337" s="138" t="str">
        <f>+IFERROR(VLOOKUP(D1337,Conceptos_Analítica_contraloría[#All],3,0),"")</f>
        <v/>
      </c>
    </row>
    <row r="1338" spans="3:10" x14ac:dyDescent="0.35">
      <c r="C1338" s="144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s="138" t="str">
        <f>+IFERROR(VLOOKUP(Fact_Analitica[[#This Row],[Concepto Anterior]],Conceptos_Analítica_contraloría[#All],5,0),"")</f>
        <v/>
      </c>
      <c r="F1338" s="138" t="str">
        <f>+IFERROR(VLOOKUP(Fact_Analitica[[#This Row],[Concepto Anterior]],Conceptos_Analítica_contraloría[#All],7,0),"")</f>
        <v/>
      </c>
      <c r="I1338" s="138" t="str">
        <f>+IFERROR(VLOOKUP(D1338,Conceptos_Analítica_contraloría[#All],2,0),"")</f>
        <v/>
      </c>
      <c r="J1338" s="138" t="str">
        <f>+IFERROR(VLOOKUP(D1338,Conceptos_Analítica_contraloría[#All],3,0),"")</f>
        <v/>
      </c>
    </row>
    <row r="1339" spans="3:10" x14ac:dyDescent="0.35">
      <c r="C1339" s="144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s="138" t="str">
        <f>+IFERROR(VLOOKUP(Fact_Analitica[[#This Row],[Concepto Anterior]],Conceptos_Analítica_contraloría[#All],5,0),"")</f>
        <v/>
      </c>
      <c r="F1339" s="138" t="str">
        <f>+IFERROR(VLOOKUP(Fact_Analitica[[#This Row],[Concepto Anterior]],Conceptos_Analítica_contraloría[#All],7,0),"")</f>
        <v/>
      </c>
      <c r="I1339" s="138" t="str">
        <f>+IFERROR(VLOOKUP(D1339,Conceptos_Analítica_contraloría[#All],2,0),"")</f>
        <v/>
      </c>
      <c r="J1339" s="138" t="str">
        <f>+IFERROR(VLOOKUP(D1339,Conceptos_Analítica_contraloría[#All],3,0),"")</f>
        <v/>
      </c>
    </row>
    <row r="1340" spans="3:10" x14ac:dyDescent="0.35">
      <c r="C1340" s="144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s="138" t="str">
        <f>+IFERROR(VLOOKUP(Fact_Analitica[[#This Row],[Concepto Anterior]],Conceptos_Analítica_contraloría[#All],5,0),"")</f>
        <v/>
      </c>
      <c r="F1340" s="138" t="str">
        <f>+IFERROR(VLOOKUP(Fact_Analitica[[#This Row],[Concepto Anterior]],Conceptos_Analítica_contraloría[#All],7,0),"")</f>
        <v/>
      </c>
      <c r="I1340" s="138" t="str">
        <f>+IFERROR(VLOOKUP(D1340,Conceptos_Analítica_contraloría[#All],2,0),"")</f>
        <v/>
      </c>
      <c r="J1340" s="138" t="str">
        <f>+IFERROR(VLOOKUP(D1340,Conceptos_Analítica_contraloría[#All],3,0),"")</f>
        <v/>
      </c>
    </row>
    <row r="1341" spans="3:10" x14ac:dyDescent="0.35">
      <c r="C1341" s="144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s="138" t="str">
        <f>+IFERROR(VLOOKUP(Fact_Analitica[[#This Row],[Concepto Anterior]],Conceptos_Analítica_contraloría[#All],5,0),"")</f>
        <v/>
      </c>
      <c r="F1341" s="138" t="str">
        <f>+IFERROR(VLOOKUP(Fact_Analitica[[#This Row],[Concepto Anterior]],Conceptos_Analítica_contraloría[#All],7,0),"")</f>
        <v/>
      </c>
      <c r="I1341" s="138" t="str">
        <f>+IFERROR(VLOOKUP(D1341,Conceptos_Analítica_contraloría[#All],2,0),"")</f>
        <v/>
      </c>
      <c r="J1341" s="138" t="str">
        <f>+IFERROR(VLOOKUP(D1341,Conceptos_Analítica_contraloría[#All],3,0),"")</f>
        <v/>
      </c>
    </row>
    <row r="1342" spans="3:10" x14ac:dyDescent="0.35">
      <c r="C1342" s="144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s="138" t="str">
        <f>+IFERROR(VLOOKUP(Fact_Analitica[[#This Row],[Concepto Anterior]],Conceptos_Analítica_contraloría[#All],5,0),"")</f>
        <v/>
      </c>
      <c r="F1342" s="138" t="str">
        <f>+IFERROR(VLOOKUP(Fact_Analitica[[#This Row],[Concepto Anterior]],Conceptos_Analítica_contraloría[#All],7,0),"")</f>
        <v/>
      </c>
      <c r="I1342" s="138" t="str">
        <f>+IFERROR(VLOOKUP(D1342,Conceptos_Analítica_contraloría[#All],2,0),"")</f>
        <v/>
      </c>
      <c r="J1342" s="138" t="str">
        <f>+IFERROR(VLOOKUP(D1342,Conceptos_Analítica_contraloría[#All],3,0),"")</f>
        <v/>
      </c>
    </row>
    <row r="1343" spans="3:10" x14ac:dyDescent="0.35">
      <c r="C1343" s="144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s="138" t="str">
        <f>+IFERROR(VLOOKUP(Fact_Analitica[[#This Row],[Concepto Anterior]],Conceptos_Analítica_contraloría[#All],5,0),"")</f>
        <v/>
      </c>
      <c r="F1343" s="138" t="str">
        <f>+IFERROR(VLOOKUP(Fact_Analitica[[#This Row],[Concepto Anterior]],Conceptos_Analítica_contraloría[#All],7,0),"")</f>
        <v/>
      </c>
      <c r="I1343" s="138" t="str">
        <f>+IFERROR(VLOOKUP(D1343,Conceptos_Analítica_contraloría[#All],2,0),"")</f>
        <v/>
      </c>
      <c r="J1343" s="138" t="str">
        <f>+IFERROR(VLOOKUP(D1343,Conceptos_Analítica_contraloría[#All],3,0),"")</f>
        <v/>
      </c>
    </row>
    <row r="1344" spans="3:10" x14ac:dyDescent="0.35">
      <c r="C1344" s="144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s="138" t="str">
        <f>+IFERROR(VLOOKUP(Fact_Analitica[[#This Row],[Concepto Anterior]],Conceptos_Analítica_contraloría[#All],5,0),"")</f>
        <v/>
      </c>
      <c r="F1344" s="138" t="str">
        <f>+IFERROR(VLOOKUP(Fact_Analitica[[#This Row],[Concepto Anterior]],Conceptos_Analítica_contraloría[#All],7,0),"")</f>
        <v/>
      </c>
      <c r="I1344" s="138" t="str">
        <f>+IFERROR(VLOOKUP(D1344,Conceptos_Analítica_contraloría[#All],2,0),"")</f>
        <v/>
      </c>
      <c r="J1344" s="138" t="str">
        <f>+IFERROR(VLOOKUP(D1344,Conceptos_Analítica_contraloría[#All],3,0),"")</f>
        <v/>
      </c>
    </row>
    <row r="1345" spans="3:10" x14ac:dyDescent="0.35">
      <c r="C1345" s="144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s="138" t="str">
        <f>+IFERROR(VLOOKUP(Fact_Analitica[[#This Row],[Concepto Anterior]],Conceptos_Analítica_contraloría[#All],5,0),"")</f>
        <v/>
      </c>
      <c r="F1345" s="138" t="str">
        <f>+IFERROR(VLOOKUP(Fact_Analitica[[#This Row],[Concepto Anterior]],Conceptos_Analítica_contraloría[#All],7,0),"")</f>
        <v/>
      </c>
      <c r="I1345" s="138" t="str">
        <f>+IFERROR(VLOOKUP(D1345,Conceptos_Analítica_contraloría[#All],2,0),"")</f>
        <v/>
      </c>
      <c r="J1345" s="138" t="str">
        <f>+IFERROR(VLOOKUP(D1345,Conceptos_Analítica_contraloría[#All],3,0),"")</f>
        <v/>
      </c>
    </row>
    <row r="1346" spans="3:10" x14ac:dyDescent="0.35">
      <c r="C1346" s="144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s="138" t="str">
        <f>+IFERROR(VLOOKUP(Fact_Analitica[[#This Row],[Concepto Anterior]],Conceptos_Analítica_contraloría[#All],5,0),"")</f>
        <v/>
      </c>
      <c r="F1346" s="138" t="str">
        <f>+IFERROR(VLOOKUP(Fact_Analitica[[#This Row],[Concepto Anterior]],Conceptos_Analítica_contraloría[#All],7,0),"")</f>
        <v/>
      </c>
      <c r="I1346" s="138" t="str">
        <f>+IFERROR(VLOOKUP(D1346,Conceptos_Analítica_contraloría[#All],2,0),"")</f>
        <v/>
      </c>
      <c r="J1346" s="138" t="str">
        <f>+IFERROR(VLOOKUP(D1346,Conceptos_Analítica_contraloría[#All],3,0),"")</f>
        <v/>
      </c>
    </row>
    <row r="1347" spans="3:10" x14ac:dyDescent="0.35">
      <c r="C1347" s="144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s="138" t="str">
        <f>+IFERROR(VLOOKUP(Fact_Analitica[[#This Row],[Concepto Anterior]],Conceptos_Analítica_contraloría[#All],5,0),"")</f>
        <v/>
      </c>
      <c r="F1347" s="138" t="str">
        <f>+IFERROR(VLOOKUP(Fact_Analitica[[#This Row],[Concepto Anterior]],Conceptos_Analítica_contraloría[#All],7,0),"")</f>
        <v/>
      </c>
      <c r="I1347" s="138" t="str">
        <f>+IFERROR(VLOOKUP(D1347,Conceptos_Analítica_contraloría[#All],2,0),"")</f>
        <v/>
      </c>
      <c r="J1347" s="138" t="str">
        <f>+IFERROR(VLOOKUP(D1347,Conceptos_Analítica_contraloría[#All],3,0),"")</f>
        <v/>
      </c>
    </row>
    <row r="1348" spans="3:10" x14ac:dyDescent="0.35">
      <c r="C1348" s="144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s="138" t="str">
        <f>+IFERROR(VLOOKUP(Fact_Analitica[[#This Row],[Concepto Anterior]],Conceptos_Analítica_contraloría[#All],5,0),"")</f>
        <v/>
      </c>
      <c r="F1348" s="138" t="str">
        <f>+IFERROR(VLOOKUP(Fact_Analitica[[#This Row],[Concepto Anterior]],Conceptos_Analítica_contraloría[#All],7,0),"")</f>
        <v/>
      </c>
      <c r="I1348" s="138" t="str">
        <f>+IFERROR(VLOOKUP(D1348,Conceptos_Analítica_contraloría[#All],2,0),"")</f>
        <v/>
      </c>
      <c r="J1348" s="138" t="str">
        <f>+IFERROR(VLOOKUP(D1348,Conceptos_Analítica_contraloría[#All],3,0),"")</f>
        <v/>
      </c>
    </row>
    <row r="1349" spans="3:10" x14ac:dyDescent="0.35">
      <c r="C1349" s="144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s="138" t="str">
        <f>+IFERROR(VLOOKUP(Fact_Analitica[[#This Row],[Concepto Anterior]],Conceptos_Analítica_contraloría[#All],5,0),"")</f>
        <v/>
      </c>
      <c r="F1349" s="138" t="str">
        <f>+IFERROR(VLOOKUP(Fact_Analitica[[#This Row],[Concepto Anterior]],Conceptos_Analítica_contraloría[#All],7,0),"")</f>
        <v/>
      </c>
      <c r="I1349" s="138" t="str">
        <f>+IFERROR(VLOOKUP(D1349,Conceptos_Analítica_contraloría[#All],2,0),"")</f>
        <v/>
      </c>
      <c r="J1349" s="138" t="str">
        <f>+IFERROR(VLOOKUP(D1349,Conceptos_Analítica_contraloría[#All],3,0),"")</f>
        <v/>
      </c>
    </row>
    <row r="1350" spans="3:10" x14ac:dyDescent="0.35">
      <c r="C1350" s="144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s="138" t="str">
        <f>+IFERROR(VLOOKUP(Fact_Analitica[[#This Row],[Concepto Anterior]],Conceptos_Analítica_contraloría[#All],5,0),"")</f>
        <v/>
      </c>
      <c r="F1350" s="138" t="str">
        <f>+IFERROR(VLOOKUP(Fact_Analitica[[#This Row],[Concepto Anterior]],Conceptos_Analítica_contraloría[#All],7,0),"")</f>
        <v/>
      </c>
      <c r="I1350" s="138" t="str">
        <f>+IFERROR(VLOOKUP(D1350,Conceptos_Analítica_contraloría[#All],2,0),"")</f>
        <v/>
      </c>
      <c r="J1350" s="138" t="str">
        <f>+IFERROR(VLOOKUP(D1350,Conceptos_Analítica_contraloría[#All],3,0),"")</f>
        <v/>
      </c>
    </row>
    <row r="1351" spans="3:10" x14ac:dyDescent="0.35">
      <c r="C1351" s="144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s="138" t="str">
        <f>+IFERROR(VLOOKUP(Fact_Analitica[[#This Row],[Concepto Anterior]],Conceptos_Analítica_contraloría[#All],5,0),"")</f>
        <v/>
      </c>
      <c r="F1351" s="138" t="str">
        <f>+IFERROR(VLOOKUP(Fact_Analitica[[#This Row],[Concepto Anterior]],Conceptos_Analítica_contraloría[#All],7,0),"")</f>
        <v/>
      </c>
      <c r="I1351" s="138" t="str">
        <f>+IFERROR(VLOOKUP(D1351,Conceptos_Analítica_contraloría[#All],2,0),"")</f>
        <v/>
      </c>
      <c r="J1351" s="138" t="str">
        <f>+IFERROR(VLOOKUP(D1351,Conceptos_Analítica_contraloría[#All],3,0),"")</f>
        <v/>
      </c>
    </row>
    <row r="1352" spans="3:10" x14ac:dyDescent="0.35">
      <c r="C1352" s="144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s="138" t="str">
        <f>+IFERROR(VLOOKUP(Fact_Analitica[[#This Row],[Concepto Anterior]],Conceptos_Analítica_contraloría[#All],5,0),"")</f>
        <v/>
      </c>
      <c r="F1352" s="138" t="str">
        <f>+IFERROR(VLOOKUP(Fact_Analitica[[#This Row],[Concepto Anterior]],Conceptos_Analítica_contraloría[#All],7,0),"")</f>
        <v/>
      </c>
      <c r="I1352" s="138" t="str">
        <f>+IFERROR(VLOOKUP(D1352,Conceptos_Analítica_contraloría[#All],2,0),"")</f>
        <v/>
      </c>
      <c r="J1352" s="138" t="str">
        <f>+IFERROR(VLOOKUP(D1352,Conceptos_Analítica_contraloría[#All],3,0),"")</f>
        <v/>
      </c>
    </row>
    <row r="1353" spans="3:10" x14ac:dyDescent="0.35">
      <c r="C1353" s="144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s="138" t="str">
        <f>+IFERROR(VLOOKUP(Fact_Analitica[[#This Row],[Concepto Anterior]],Conceptos_Analítica_contraloría[#All],5,0),"")</f>
        <v/>
      </c>
      <c r="F1353" s="138" t="str">
        <f>+IFERROR(VLOOKUP(Fact_Analitica[[#This Row],[Concepto Anterior]],Conceptos_Analítica_contraloría[#All],7,0),"")</f>
        <v/>
      </c>
      <c r="I1353" s="138" t="str">
        <f>+IFERROR(VLOOKUP(D1353,Conceptos_Analítica_contraloría[#All],2,0),"")</f>
        <v/>
      </c>
      <c r="J1353" s="138" t="str">
        <f>+IFERROR(VLOOKUP(D1353,Conceptos_Analítica_contraloría[#All],3,0),"")</f>
        <v/>
      </c>
    </row>
    <row r="1354" spans="3:10" x14ac:dyDescent="0.35">
      <c r="C1354" s="144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s="138" t="str">
        <f>+IFERROR(VLOOKUP(Fact_Analitica[[#This Row],[Concepto Anterior]],Conceptos_Analítica_contraloría[#All],5,0),"")</f>
        <v/>
      </c>
      <c r="F1354" s="138" t="str">
        <f>+IFERROR(VLOOKUP(Fact_Analitica[[#This Row],[Concepto Anterior]],Conceptos_Analítica_contraloría[#All],7,0),"")</f>
        <v/>
      </c>
      <c r="I1354" s="138" t="str">
        <f>+IFERROR(VLOOKUP(D1354,Conceptos_Analítica_contraloría[#All],2,0),"")</f>
        <v/>
      </c>
      <c r="J1354" s="138" t="str">
        <f>+IFERROR(VLOOKUP(D1354,Conceptos_Analítica_contraloría[#All],3,0),"")</f>
        <v/>
      </c>
    </row>
    <row r="1355" spans="3:10" x14ac:dyDescent="0.35">
      <c r="C1355" s="144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s="138" t="str">
        <f>+IFERROR(VLOOKUP(Fact_Analitica[[#This Row],[Concepto Anterior]],Conceptos_Analítica_contraloría[#All],5,0),"")</f>
        <v/>
      </c>
      <c r="F1355" s="138" t="str">
        <f>+IFERROR(VLOOKUP(Fact_Analitica[[#This Row],[Concepto Anterior]],Conceptos_Analítica_contraloría[#All],7,0),"")</f>
        <v/>
      </c>
      <c r="I1355" s="138" t="str">
        <f>+IFERROR(VLOOKUP(D1355,Conceptos_Analítica_contraloría[#All],2,0),"")</f>
        <v/>
      </c>
      <c r="J1355" s="138" t="str">
        <f>+IFERROR(VLOOKUP(D1355,Conceptos_Analítica_contraloría[#All],3,0),"")</f>
        <v/>
      </c>
    </row>
    <row r="1356" spans="3:10" x14ac:dyDescent="0.35">
      <c r="C1356" s="144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s="138" t="str">
        <f>+IFERROR(VLOOKUP(Fact_Analitica[[#This Row],[Concepto Anterior]],Conceptos_Analítica_contraloría[#All],5,0),"")</f>
        <v/>
      </c>
      <c r="F1356" s="138" t="str">
        <f>+IFERROR(VLOOKUP(Fact_Analitica[[#This Row],[Concepto Anterior]],Conceptos_Analítica_contraloría[#All],7,0),"")</f>
        <v/>
      </c>
      <c r="I1356" s="138" t="str">
        <f>+IFERROR(VLOOKUP(D1356,Conceptos_Analítica_contraloría[#All],2,0),"")</f>
        <v/>
      </c>
      <c r="J1356" s="138" t="str">
        <f>+IFERROR(VLOOKUP(D1356,Conceptos_Analítica_contraloría[#All],3,0),"")</f>
        <v/>
      </c>
    </row>
    <row r="1357" spans="3:10" x14ac:dyDescent="0.35">
      <c r="C1357" s="144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s="138" t="str">
        <f>+IFERROR(VLOOKUP(Fact_Analitica[[#This Row],[Concepto Anterior]],Conceptos_Analítica_contraloría[#All],5,0),"")</f>
        <v/>
      </c>
      <c r="F1357" s="138" t="str">
        <f>+IFERROR(VLOOKUP(Fact_Analitica[[#This Row],[Concepto Anterior]],Conceptos_Analítica_contraloría[#All],7,0),"")</f>
        <v/>
      </c>
      <c r="I1357" s="138" t="str">
        <f>+IFERROR(VLOOKUP(D1357,Conceptos_Analítica_contraloría[#All],2,0),"")</f>
        <v/>
      </c>
      <c r="J1357" s="138" t="str">
        <f>+IFERROR(VLOOKUP(D1357,Conceptos_Analítica_contraloría[#All],3,0),"")</f>
        <v/>
      </c>
    </row>
    <row r="1358" spans="3:10" x14ac:dyDescent="0.35">
      <c r="C1358" s="144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s="138" t="str">
        <f>+IFERROR(VLOOKUP(Fact_Analitica[[#This Row],[Concepto Anterior]],Conceptos_Analítica_contraloría[#All],5,0),"")</f>
        <v/>
      </c>
      <c r="F1358" s="138" t="str">
        <f>+IFERROR(VLOOKUP(Fact_Analitica[[#This Row],[Concepto Anterior]],Conceptos_Analítica_contraloría[#All],7,0),"")</f>
        <v/>
      </c>
      <c r="I1358" s="138" t="str">
        <f>+IFERROR(VLOOKUP(D1358,Conceptos_Analítica_contraloría[#All],2,0),"")</f>
        <v/>
      </c>
      <c r="J1358" s="138" t="str">
        <f>+IFERROR(VLOOKUP(D1358,Conceptos_Analítica_contraloría[#All],3,0),"")</f>
        <v/>
      </c>
    </row>
    <row r="1359" spans="3:10" x14ac:dyDescent="0.35">
      <c r="C1359" s="144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s="138" t="str">
        <f>+IFERROR(VLOOKUP(Fact_Analitica[[#This Row],[Concepto Anterior]],Conceptos_Analítica_contraloría[#All],5,0),"")</f>
        <v/>
      </c>
      <c r="F1359" s="138" t="str">
        <f>+IFERROR(VLOOKUP(Fact_Analitica[[#This Row],[Concepto Anterior]],Conceptos_Analítica_contraloría[#All],7,0),"")</f>
        <v/>
      </c>
      <c r="I1359" s="138" t="str">
        <f>+IFERROR(VLOOKUP(D1359,Conceptos_Analítica_contraloría[#All],2,0),"")</f>
        <v/>
      </c>
      <c r="J1359" s="138" t="str">
        <f>+IFERROR(VLOOKUP(D1359,Conceptos_Analítica_contraloría[#All],3,0),"")</f>
        <v/>
      </c>
    </row>
    <row r="1360" spans="3:10" x14ac:dyDescent="0.35">
      <c r="C1360" s="144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s="138" t="str">
        <f>+IFERROR(VLOOKUP(Fact_Analitica[[#This Row],[Concepto Anterior]],Conceptos_Analítica_contraloría[#All],5,0),"")</f>
        <v/>
      </c>
      <c r="F1360" s="138" t="str">
        <f>+IFERROR(VLOOKUP(Fact_Analitica[[#This Row],[Concepto Anterior]],Conceptos_Analítica_contraloría[#All],7,0),"")</f>
        <v/>
      </c>
      <c r="I1360" s="138" t="str">
        <f>+IFERROR(VLOOKUP(D1360,Conceptos_Analítica_contraloría[#All],2,0),"")</f>
        <v/>
      </c>
      <c r="J1360" s="138" t="str">
        <f>+IFERROR(VLOOKUP(D1360,Conceptos_Analítica_contraloría[#All],3,0),"")</f>
        <v/>
      </c>
    </row>
    <row r="1361" spans="3:10" x14ac:dyDescent="0.35">
      <c r="C1361" s="144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s="138" t="str">
        <f>+IFERROR(VLOOKUP(Fact_Analitica[[#This Row],[Concepto Anterior]],Conceptos_Analítica_contraloría[#All],5,0),"")</f>
        <v/>
      </c>
      <c r="F1361" s="138" t="str">
        <f>+IFERROR(VLOOKUP(Fact_Analitica[[#This Row],[Concepto Anterior]],Conceptos_Analítica_contraloría[#All],7,0),"")</f>
        <v/>
      </c>
      <c r="I1361" s="138" t="str">
        <f>+IFERROR(VLOOKUP(D1361,Conceptos_Analítica_contraloría[#All],2,0),"")</f>
        <v/>
      </c>
      <c r="J1361" s="138" t="str">
        <f>+IFERROR(VLOOKUP(D1361,Conceptos_Analítica_contraloría[#All],3,0),"")</f>
        <v/>
      </c>
    </row>
    <row r="1362" spans="3:10" x14ac:dyDescent="0.35">
      <c r="C1362" s="144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s="138" t="str">
        <f>+IFERROR(VLOOKUP(Fact_Analitica[[#This Row],[Concepto Anterior]],Conceptos_Analítica_contraloría[#All],5,0),"")</f>
        <v/>
      </c>
      <c r="F1362" s="138" t="str">
        <f>+IFERROR(VLOOKUP(Fact_Analitica[[#This Row],[Concepto Anterior]],Conceptos_Analítica_contraloría[#All],7,0),"")</f>
        <v/>
      </c>
      <c r="I1362" s="138" t="str">
        <f>+IFERROR(VLOOKUP(D1362,Conceptos_Analítica_contraloría[#All],2,0),"")</f>
        <v/>
      </c>
      <c r="J1362" s="138" t="str">
        <f>+IFERROR(VLOOKUP(D1362,Conceptos_Analítica_contraloría[#All],3,0),"")</f>
        <v/>
      </c>
    </row>
    <row r="1363" spans="3:10" x14ac:dyDescent="0.35">
      <c r="C1363" s="144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s="138" t="str">
        <f>+IFERROR(VLOOKUP(Fact_Analitica[[#This Row],[Concepto Anterior]],Conceptos_Analítica_contraloría[#All],5,0),"")</f>
        <v/>
      </c>
      <c r="F1363" s="138" t="str">
        <f>+IFERROR(VLOOKUP(Fact_Analitica[[#This Row],[Concepto Anterior]],Conceptos_Analítica_contraloría[#All],7,0),"")</f>
        <v/>
      </c>
      <c r="I1363" s="138" t="str">
        <f>+IFERROR(VLOOKUP(D1363,Conceptos_Analítica_contraloría[#All],2,0),"")</f>
        <v/>
      </c>
      <c r="J1363" s="138" t="str">
        <f>+IFERROR(VLOOKUP(D1363,Conceptos_Analítica_contraloría[#All],3,0),"")</f>
        <v/>
      </c>
    </row>
    <row r="1364" spans="3:10" x14ac:dyDescent="0.35">
      <c r="C1364" s="144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s="138" t="str">
        <f>+IFERROR(VLOOKUP(Fact_Analitica[[#This Row],[Concepto Anterior]],Conceptos_Analítica_contraloría[#All],5,0),"")</f>
        <v/>
      </c>
      <c r="F1364" s="138" t="str">
        <f>+IFERROR(VLOOKUP(Fact_Analitica[[#This Row],[Concepto Anterior]],Conceptos_Analítica_contraloría[#All],7,0),"")</f>
        <v/>
      </c>
      <c r="I1364" s="138" t="str">
        <f>+IFERROR(VLOOKUP(D1364,Conceptos_Analítica_contraloría[#All],2,0),"")</f>
        <v/>
      </c>
      <c r="J1364" s="138" t="str">
        <f>+IFERROR(VLOOKUP(D1364,Conceptos_Analítica_contraloría[#All],3,0),"")</f>
        <v/>
      </c>
    </row>
    <row r="1365" spans="3:10" x14ac:dyDescent="0.35">
      <c r="C1365" s="144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s="138" t="str">
        <f>+IFERROR(VLOOKUP(Fact_Analitica[[#This Row],[Concepto Anterior]],Conceptos_Analítica_contraloría[#All],5,0),"")</f>
        <v/>
      </c>
      <c r="F1365" s="138" t="str">
        <f>+IFERROR(VLOOKUP(Fact_Analitica[[#This Row],[Concepto Anterior]],Conceptos_Analítica_contraloría[#All],7,0),"")</f>
        <v/>
      </c>
      <c r="I1365" s="138" t="str">
        <f>+IFERROR(VLOOKUP(D1365,Conceptos_Analítica_contraloría[#All],2,0),"")</f>
        <v/>
      </c>
      <c r="J1365" s="138" t="str">
        <f>+IFERROR(VLOOKUP(D1365,Conceptos_Analítica_contraloría[#All],3,0),"")</f>
        <v/>
      </c>
    </row>
    <row r="1366" spans="3:10" x14ac:dyDescent="0.35">
      <c r="C1366" s="144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s="138" t="str">
        <f>+IFERROR(VLOOKUP(Fact_Analitica[[#This Row],[Concepto Anterior]],Conceptos_Analítica_contraloría[#All],5,0),"")</f>
        <v/>
      </c>
      <c r="F1366" s="138" t="str">
        <f>+IFERROR(VLOOKUP(Fact_Analitica[[#This Row],[Concepto Anterior]],Conceptos_Analítica_contraloría[#All],7,0),"")</f>
        <v/>
      </c>
      <c r="I1366" s="138" t="str">
        <f>+IFERROR(VLOOKUP(D1366,Conceptos_Analítica_contraloría[#All],2,0),"")</f>
        <v/>
      </c>
      <c r="J1366" s="138" t="str">
        <f>+IFERROR(VLOOKUP(D1366,Conceptos_Analítica_contraloría[#All],3,0),"")</f>
        <v/>
      </c>
    </row>
    <row r="1367" spans="3:10" x14ac:dyDescent="0.35">
      <c r="C1367" s="144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s="138" t="str">
        <f>+IFERROR(VLOOKUP(Fact_Analitica[[#This Row],[Concepto Anterior]],Conceptos_Analítica_contraloría[#All],5,0),"")</f>
        <v/>
      </c>
      <c r="F1367" s="138" t="str">
        <f>+IFERROR(VLOOKUP(Fact_Analitica[[#This Row],[Concepto Anterior]],Conceptos_Analítica_contraloría[#All],7,0),"")</f>
        <v/>
      </c>
      <c r="I1367" s="138" t="str">
        <f>+IFERROR(VLOOKUP(D1367,Conceptos_Analítica_contraloría[#All],2,0),"")</f>
        <v/>
      </c>
      <c r="J1367" s="138" t="str">
        <f>+IFERROR(VLOOKUP(D1367,Conceptos_Analítica_contraloría[#All],3,0),"")</f>
        <v/>
      </c>
    </row>
    <row r="1368" spans="3:10" x14ac:dyDescent="0.35">
      <c r="C1368" s="144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s="138" t="str">
        <f>+IFERROR(VLOOKUP(Fact_Analitica[[#This Row],[Concepto Anterior]],Conceptos_Analítica_contraloría[#All],5,0),"")</f>
        <v/>
      </c>
      <c r="F1368" s="138" t="str">
        <f>+IFERROR(VLOOKUP(Fact_Analitica[[#This Row],[Concepto Anterior]],Conceptos_Analítica_contraloría[#All],7,0),"")</f>
        <v/>
      </c>
      <c r="I1368" s="138" t="str">
        <f>+IFERROR(VLOOKUP(D1368,Conceptos_Analítica_contraloría[#All],2,0),"")</f>
        <v/>
      </c>
      <c r="J1368" s="138" t="str">
        <f>+IFERROR(VLOOKUP(D1368,Conceptos_Analítica_contraloría[#All],3,0),"")</f>
        <v/>
      </c>
    </row>
    <row r="1369" spans="3:10" x14ac:dyDescent="0.35">
      <c r="C1369" s="144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s="138" t="str">
        <f>+IFERROR(VLOOKUP(Fact_Analitica[[#This Row],[Concepto Anterior]],Conceptos_Analítica_contraloría[#All],5,0),"")</f>
        <v/>
      </c>
      <c r="F1369" s="138" t="str">
        <f>+IFERROR(VLOOKUP(Fact_Analitica[[#This Row],[Concepto Anterior]],Conceptos_Analítica_contraloría[#All],7,0),"")</f>
        <v/>
      </c>
      <c r="I1369" s="138" t="str">
        <f>+IFERROR(VLOOKUP(D1369,Conceptos_Analítica_contraloría[#All],2,0),"")</f>
        <v/>
      </c>
      <c r="J1369" s="138" t="str">
        <f>+IFERROR(VLOOKUP(D1369,Conceptos_Analítica_contraloría[#All],3,0),"")</f>
        <v/>
      </c>
    </row>
    <row r="1370" spans="3:10" x14ac:dyDescent="0.35">
      <c r="C1370" s="144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s="138" t="str">
        <f>+IFERROR(VLOOKUP(Fact_Analitica[[#This Row],[Concepto Anterior]],Conceptos_Analítica_contraloría[#All],5,0),"")</f>
        <v/>
      </c>
      <c r="F1370" s="138" t="str">
        <f>+IFERROR(VLOOKUP(Fact_Analitica[[#This Row],[Concepto Anterior]],Conceptos_Analítica_contraloría[#All],7,0),"")</f>
        <v/>
      </c>
      <c r="I1370" s="138" t="str">
        <f>+IFERROR(VLOOKUP(D1370,Conceptos_Analítica_contraloría[#All],2,0),"")</f>
        <v/>
      </c>
      <c r="J1370" s="138" t="str">
        <f>+IFERROR(VLOOKUP(D1370,Conceptos_Analítica_contraloría[#All],3,0),"")</f>
        <v/>
      </c>
    </row>
    <row r="1371" spans="3:10" x14ac:dyDescent="0.35">
      <c r="C1371" s="144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s="138" t="str">
        <f>+IFERROR(VLOOKUP(Fact_Analitica[[#This Row],[Concepto Anterior]],Conceptos_Analítica_contraloría[#All],5,0),"")</f>
        <v/>
      </c>
      <c r="F1371" s="138" t="str">
        <f>+IFERROR(VLOOKUP(Fact_Analitica[[#This Row],[Concepto Anterior]],Conceptos_Analítica_contraloría[#All],7,0),"")</f>
        <v/>
      </c>
      <c r="I1371" s="138" t="str">
        <f>+IFERROR(VLOOKUP(D1371,Conceptos_Analítica_contraloría[#All],2,0),"")</f>
        <v/>
      </c>
      <c r="J1371" s="138" t="str">
        <f>+IFERROR(VLOOKUP(D1371,Conceptos_Analítica_contraloría[#All],3,0),"")</f>
        <v/>
      </c>
    </row>
    <row r="1372" spans="3:10" x14ac:dyDescent="0.35">
      <c r="C1372" s="144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s="138" t="str">
        <f>+IFERROR(VLOOKUP(Fact_Analitica[[#This Row],[Concepto Anterior]],Conceptos_Analítica_contraloría[#All],5,0),"")</f>
        <v/>
      </c>
      <c r="F1372" s="138" t="str">
        <f>+IFERROR(VLOOKUP(Fact_Analitica[[#This Row],[Concepto Anterior]],Conceptos_Analítica_contraloría[#All],7,0),"")</f>
        <v/>
      </c>
      <c r="I1372" s="138" t="str">
        <f>+IFERROR(VLOOKUP(D1372,Conceptos_Analítica_contraloría[#All],2,0),"")</f>
        <v/>
      </c>
      <c r="J1372" s="138" t="str">
        <f>+IFERROR(VLOOKUP(D1372,Conceptos_Analítica_contraloría[#All],3,0),"")</f>
        <v/>
      </c>
    </row>
    <row r="1373" spans="3:10" x14ac:dyDescent="0.35">
      <c r="C1373" s="144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s="138" t="str">
        <f>+IFERROR(VLOOKUP(Fact_Analitica[[#This Row],[Concepto Anterior]],Conceptos_Analítica_contraloría[#All],5,0),"")</f>
        <v/>
      </c>
      <c r="F1373" s="138" t="str">
        <f>+IFERROR(VLOOKUP(Fact_Analitica[[#This Row],[Concepto Anterior]],Conceptos_Analítica_contraloría[#All],7,0),"")</f>
        <v/>
      </c>
      <c r="I1373" s="138" t="str">
        <f>+IFERROR(VLOOKUP(D1373,Conceptos_Analítica_contraloría[#All],2,0),"")</f>
        <v/>
      </c>
      <c r="J1373" s="138" t="str">
        <f>+IFERROR(VLOOKUP(D1373,Conceptos_Analítica_contraloría[#All],3,0),"")</f>
        <v/>
      </c>
    </row>
    <row r="1374" spans="3:10" x14ac:dyDescent="0.35">
      <c r="C1374" s="144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s="138" t="str">
        <f>+IFERROR(VLOOKUP(Fact_Analitica[[#This Row],[Concepto Anterior]],Conceptos_Analítica_contraloría[#All],5,0),"")</f>
        <v/>
      </c>
      <c r="F1374" s="138" t="str">
        <f>+IFERROR(VLOOKUP(Fact_Analitica[[#This Row],[Concepto Anterior]],Conceptos_Analítica_contraloría[#All],7,0),"")</f>
        <v/>
      </c>
      <c r="I1374" s="138" t="str">
        <f>+IFERROR(VLOOKUP(D1374,Conceptos_Analítica_contraloría[#All],2,0),"")</f>
        <v/>
      </c>
      <c r="J1374" s="138" t="str">
        <f>+IFERROR(VLOOKUP(D1374,Conceptos_Analítica_contraloría[#All],3,0),"")</f>
        <v/>
      </c>
    </row>
    <row r="1375" spans="3:10" x14ac:dyDescent="0.35">
      <c r="C1375" s="144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s="138" t="str">
        <f>+IFERROR(VLOOKUP(Fact_Analitica[[#This Row],[Concepto Anterior]],Conceptos_Analítica_contraloría[#All],5,0),"")</f>
        <v/>
      </c>
      <c r="F1375" s="138" t="str">
        <f>+IFERROR(VLOOKUP(Fact_Analitica[[#This Row],[Concepto Anterior]],Conceptos_Analítica_contraloría[#All],7,0),"")</f>
        <v/>
      </c>
      <c r="I1375" s="138" t="str">
        <f>+IFERROR(VLOOKUP(D1375,Conceptos_Analítica_contraloría[#All],2,0),"")</f>
        <v/>
      </c>
      <c r="J1375" s="138" t="str">
        <f>+IFERROR(VLOOKUP(D1375,Conceptos_Analítica_contraloría[#All],3,0),"")</f>
        <v/>
      </c>
    </row>
    <row r="1376" spans="3:10" x14ac:dyDescent="0.35">
      <c r="C1376" s="144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s="138" t="str">
        <f>+IFERROR(VLOOKUP(Fact_Analitica[[#This Row],[Concepto Anterior]],Conceptos_Analítica_contraloría[#All],5,0),"")</f>
        <v/>
      </c>
      <c r="F1376" s="138" t="str">
        <f>+IFERROR(VLOOKUP(Fact_Analitica[[#This Row],[Concepto Anterior]],Conceptos_Analítica_contraloría[#All],7,0),"")</f>
        <v/>
      </c>
      <c r="I1376" s="138" t="str">
        <f>+IFERROR(VLOOKUP(D1376,Conceptos_Analítica_contraloría[#All],2,0),"")</f>
        <v/>
      </c>
      <c r="J1376" s="138" t="str">
        <f>+IFERROR(VLOOKUP(D1376,Conceptos_Analítica_contraloría[#All],3,0),"")</f>
        <v/>
      </c>
    </row>
    <row r="1377" spans="3:10" x14ac:dyDescent="0.35">
      <c r="C1377" s="144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s="138" t="str">
        <f>+IFERROR(VLOOKUP(Fact_Analitica[[#This Row],[Concepto Anterior]],Conceptos_Analítica_contraloría[#All],5,0),"")</f>
        <v/>
      </c>
      <c r="F1377" s="138" t="str">
        <f>+IFERROR(VLOOKUP(Fact_Analitica[[#This Row],[Concepto Anterior]],Conceptos_Analítica_contraloría[#All],7,0),"")</f>
        <v/>
      </c>
      <c r="I1377" s="138" t="str">
        <f>+IFERROR(VLOOKUP(D1377,Conceptos_Analítica_contraloría[#All],2,0),"")</f>
        <v/>
      </c>
      <c r="J1377" s="138" t="str">
        <f>+IFERROR(VLOOKUP(D1377,Conceptos_Analítica_contraloría[#All],3,0),"")</f>
        <v/>
      </c>
    </row>
    <row r="1378" spans="3:10" x14ac:dyDescent="0.35">
      <c r="C1378" s="144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s="138" t="str">
        <f>+IFERROR(VLOOKUP(Fact_Analitica[[#This Row],[Concepto Anterior]],Conceptos_Analítica_contraloría[#All],5,0),"")</f>
        <v/>
      </c>
      <c r="F1378" s="138" t="str">
        <f>+IFERROR(VLOOKUP(Fact_Analitica[[#This Row],[Concepto Anterior]],Conceptos_Analítica_contraloría[#All],7,0),"")</f>
        <v/>
      </c>
      <c r="I1378" s="138" t="str">
        <f>+IFERROR(VLOOKUP(D1378,Conceptos_Analítica_contraloría[#All],2,0),"")</f>
        <v/>
      </c>
      <c r="J1378" s="138" t="str">
        <f>+IFERROR(VLOOKUP(D1378,Conceptos_Analítica_contraloría[#All],3,0),"")</f>
        <v/>
      </c>
    </row>
    <row r="1379" spans="3:10" x14ac:dyDescent="0.35">
      <c r="C1379" s="144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s="138" t="str">
        <f>+IFERROR(VLOOKUP(Fact_Analitica[[#This Row],[Concepto Anterior]],Conceptos_Analítica_contraloría[#All],5,0),"")</f>
        <v/>
      </c>
      <c r="F1379" s="138" t="str">
        <f>+IFERROR(VLOOKUP(Fact_Analitica[[#This Row],[Concepto Anterior]],Conceptos_Analítica_contraloría[#All],7,0),"")</f>
        <v/>
      </c>
      <c r="I1379" s="138" t="str">
        <f>+IFERROR(VLOOKUP(D1379,Conceptos_Analítica_contraloría[#All],2,0),"")</f>
        <v/>
      </c>
      <c r="J1379" s="138" t="str">
        <f>+IFERROR(VLOOKUP(D1379,Conceptos_Analítica_contraloría[#All],3,0),"")</f>
        <v/>
      </c>
    </row>
    <row r="1380" spans="3:10" x14ac:dyDescent="0.35">
      <c r="C1380" s="144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s="138" t="str">
        <f>+IFERROR(VLOOKUP(Fact_Analitica[[#This Row],[Concepto Anterior]],Conceptos_Analítica_contraloría[#All],5,0),"")</f>
        <v/>
      </c>
      <c r="F1380" s="138" t="str">
        <f>+IFERROR(VLOOKUP(Fact_Analitica[[#This Row],[Concepto Anterior]],Conceptos_Analítica_contraloría[#All],7,0),"")</f>
        <v/>
      </c>
      <c r="I1380" s="138" t="str">
        <f>+IFERROR(VLOOKUP(D1380,Conceptos_Analítica_contraloría[#All],2,0),"")</f>
        <v/>
      </c>
      <c r="J1380" s="138" t="str">
        <f>+IFERROR(VLOOKUP(D1380,Conceptos_Analítica_contraloría[#All],3,0),"")</f>
        <v/>
      </c>
    </row>
    <row r="1381" spans="3:10" x14ac:dyDescent="0.35">
      <c r="C1381" s="144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s="138" t="str">
        <f>+IFERROR(VLOOKUP(Fact_Analitica[[#This Row],[Concepto Anterior]],Conceptos_Analítica_contraloría[#All],5,0),"")</f>
        <v/>
      </c>
      <c r="F1381" s="138" t="str">
        <f>+IFERROR(VLOOKUP(Fact_Analitica[[#This Row],[Concepto Anterior]],Conceptos_Analítica_contraloría[#All],7,0),"")</f>
        <v/>
      </c>
      <c r="I1381" s="138" t="str">
        <f>+IFERROR(VLOOKUP(D1381,Conceptos_Analítica_contraloría[#All],2,0),"")</f>
        <v/>
      </c>
      <c r="J1381" s="138" t="str">
        <f>+IFERROR(VLOOKUP(D1381,Conceptos_Analítica_contraloría[#All],3,0),"")</f>
        <v/>
      </c>
    </row>
    <row r="1382" spans="3:10" x14ac:dyDescent="0.35">
      <c r="C1382" s="144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s="138" t="str">
        <f>+IFERROR(VLOOKUP(Fact_Analitica[[#This Row],[Concepto Anterior]],Conceptos_Analítica_contraloría[#All],5,0),"")</f>
        <v/>
      </c>
      <c r="F1382" s="138" t="str">
        <f>+IFERROR(VLOOKUP(Fact_Analitica[[#This Row],[Concepto Anterior]],Conceptos_Analítica_contraloría[#All],7,0),"")</f>
        <v/>
      </c>
      <c r="I1382" s="138" t="str">
        <f>+IFERROR(VLOOKUP(D1382,Conceptos_Analítica_contraloría[#All],2,0),"")</f>
        <v/>
      </c>
      <c r="J1382" s="138" t="str">
        <f>+IFERROR(VLOOKUP(D1382,Conceptos_Analítica_contraloría[#All],3,0),"")</f>
        <v/>
      </c>
    </row>
    <row r="1383" spans="3:10" x14ac:dyDescent="0.35">
      <c r="C1383" s="144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s="138" t="str">
        <f>+IFERROR(VLOOKUP(Fact_Analitica[[#This Row],[Concepto Anterior]],Conceptos_Analítica_contraloría[#All],5,0),"")</f>
        <v/>
      </c>
      <c r="F1383" s="138" t="str">
        <f>+IFERROR(VLOOKUP(Fact_Analitica[[#This Row],[Concepto Anterior]],Conceptos_Analítica_contraloría[#All],7,0),"")</f>
        <v/>
      </c>
      <c r="I1383" s="138" t="str">
        <f>+IFERROR(VLOOKUP(D1383,Conceptos_Analítica_contraloría[#All],2,0),"")</f>
        <v/>
      </c>
      <c r="J1383" s="138" t="str">
        <f>+IFERROR(VLOOKUP(D1383,Conceptos_Analítica_contraloría[#All],3,0),"")</f>
        <v/>
      </c>
    </row>
    <row r="1384" spans="3:10" x14ac:dyDescent="0.35">
      <c r="C1384" s="144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s="138" t="str">
        <f>+IFERROR(VLOOKUP(Fact_Analitica[[#This Row],[Concepto Anterior]],Conceptos_Analítica_contraloría[#All],5,0),"")</f>
        <v/>
      </c>
      <c r="F1384" s="138" t="str">
        <f>+IFERROR(VLOOKUP(Fact_Analitica[[#This Row],[Concepto Anterior]],Conceptos_Analítica_contraloría[#All],7,0),"")</f>
        <v/>
      </c>
      <c r="I1384" s="138" t="str">
        <f>+IFERROR(VLOOKUP(D1384,Conceptos_Analítica_contraloría[#All],2,0),"")</f>
        <v/>
      </c>
      <c r="J1384" s="138" t="str">
        <f>+IFERROR(VLOOKUP(D1384,Conceptos_Analítica_contraloría[#All],3,0),"")</f>
        <v/>
      </c>
    </row>
    <row r="1385" spans="3:10" x14ac:dyDescent="0.35">
      <c r="C1385" s="144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s="138" t="str">
        <f>+IFERROR(VLOOKUP(Fact_Analitica[[#This Row],[Concepto Anterior]],Conceptos_Analítica_contraloría[#All],5,0),"")</f>
        <v/>
      </c>
      <c r="F1385" s="138" t="str">
        <f>+IFERROR(VLOOKUP(Fact_Analitica[[#This Row],[Concepto Anterior]],Conceptos_Analítica_contraloría[#All],7,0),"")</f>
        <v/>
      </c>
      <c r="I1385" s="138" t="str">
        <f>+IFERROR(VLOOKUP(D1385,Conceptos_Analítica_contraloría[#All],2,0),"")</f>
        <v/>
      </c>
      <c r="J1385" s="138" t="str">
        <f>+IFERROR(VLOOKUP(D1385,Conceptos_Analítica_contraloría[#All],3,0),"")</f>
        <v/>
      </c>
    </row>
    <row r="1386" spans="3:10" x14ac:dyDescent="0.35">
      <c r="C1386" s="144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s="138" t="str">
        <f>+IFERROR(VLOOKUP(Fact_Analitica[[#This Row],[Concepto Anterior]],Conceptos_Analítica_contraloría[#All],5,0),"")</f>
        <v/>
      </c>
      <c r="F1386" s="138" t="str">
        <f>+IFERROR(VLOOKUP(Fact_Analitica[[#This Row],[Concepto Anterior]],Conceptos_Analítica_contraloría[#All],7,0),"")</f>
        <v/>
      </c>
      <c r="I1386" s="138" t="str">
        <f>+IFERROR(VLOOKUP(D1386,Conceptos_Analítica_contraloría[#All],2,0),"")</f>
        <v/>
      </c>
      <c r="J1386" s="138" t="str">
        <f>+IFERROR(VLOOKUP(D1386,Conceptos_Analítica_contraloría[#All],3,0),"")</f>
        <v/>
      </c>
    </row>
    <row r="1387" spans="3:10" x14ac:dyDescent="0.35">
      <c r="C1387" s="144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s="138" t="str">
        <f>+IFERROR(VLOOKUP(Fact_Analitica[[#This Row],[Concepto Anterior]],Conceptos_Analítica_contraloría[#All],5,0),"")</f>
        <v/>
      </c>
      <c r="F1387" s="138" t="str">
        <f>+IFERROR(VLOOKUP(Fact_Analitica[[#This Row],[Concepto Anterior]],Conceptos_Analítica_contraloría[#All],7,0),"")</f>
        <v/>
      </c>
      <c r="I1387" s="138" t="str">
        <f>+IFERROR(VLOOKUP(D1387,Conceptos_Analítica_contraloría[#All],2,0),"")</f>
        <v/>
      </c>
      <c r="J1387" s="138" t="str">
        <f>+IFERROR(VLOOKUP(D1387,Conceptos_Analítica_contraloría[#All],3,0),"")</f>
        <v/>
      </c>
    </row>
    <row r="1388" spans="3:10" x14ac:dyDescent="0.35">
      <c r="C1388" s="144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s="138" t="str">
        <f>+IFERROR(VLOOKUP(Fact_Analitica[[#This Row],[Concepto Anterior]],Conceptos_Analítica_contraloría[#All],5,0),"")</f>
        <v/>
      </c>
      <c r="F1388" s="138" t="str">
        <f>+IFERROR(VLOOKUP(Fact_Analitica[[#This Row],[Concepto Anterior]],Conceptos_Analítica_contraloría[#All],7,0),"")</f>
        <v/>
      </c>
      <c r="I1388" s="138" t="str">
        <f>+IFERROR(VLOOKUP(D1388,Conceptos_Analítica_contraloría[#All],2,0),"")</f>
        <v/>
      </c>
      <c r="J1388" s="138" t="str">
        <f>+IFERROR(VLOOKUP(D1388,Conceptos_Analítica_contraloría[#All],3,0),"")</f>
        <v/>
      </c>
    </row>
    <row r="1389" spans="3:10" x14ac:dyDescent="0.35">
      <c r="C1389" s="144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s="138" t="str">
        <f>+IFERROR(VLOOKUP(Fact_Analitica[[#This Row],[Concepto Anterior]],Conceptos_Analítica_contraloría[#All],5,0),"")</f>
        <v/>
      </c>
      <c r="F1389" s="138" t="str">
        <f>+IFERROR(VLOOKUP(Fact_Analitica[[#This Row],[Concepto Anterior]],Conceptos_Analítica_contraloría[#All],7,0),"")</f>
        <v/>
      </c>
      <c r="I1389" s="138" t="str">
        <f>+IFERROR(VLOOKUP(D1389,Conceptos_Analítica_contraloría[#All],2,0),"")</f>
        <v/>
      </c>
      <c r="J1389" s="138" t="str">
        <f>+IFERROR(VLOOKUP(D1389,Conceptos_Analítica_contraloría[#All],3,0),"")</f>
        <v/>
      </c>
    </row>
    <row r="1390" spans="3:10" x14ac:dyDescent="0.35">
      <c r="C1390" s="144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s="138" t="str">
        <f>+IFERROR(VLOOKUP(Fact_Analitica[[#This Row],[Concepto Anterior]],Conceptos_Analítica_contraloría[#All],5,0),"")</f>
        <v/>
      </c>
      <c r="F1390" s="138" t="str">
        <f>+IFERROR(VLOOKUP(Fact_Analitica[[#This Row],[Concepto Anterior]],Conceptos_Analítica_contraloría[#All],7,0),"")</f>
        <v/>
      </c>
      <c r="I1390" s="138" t="str">
        <f>+IFERROR(VLOOKUP(D1390,Conceptos_Analítica_contraloría[#All],2,0),"")</f>
        <v/>
      </c>
      <c r="J1390" s="138" t="str">
        <f>+IFERROR(VLOOKUP(D1390,Conceptos_Analítica_contraloría[#All],3,0),"")</f>
        <v/>
      </c>
    </row>
    <row r="1391" spans="3:10" x14ac:dyDescent="0.35">
      <c r="C1391" s="144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s="138" t="str">
        <f>+IFERROR(VLOOKUP(Fact_Analitica[[#This Row],[Concepto Anterior]],Conceptos_Analítica_contraloría[#All],5,0),"")</f>
        <v/>
      </c>
      <c r="F1391" s="138" t="str">
        <f>+IFERROR(VLOOKUP(Fact_Analitica[[#This Row],[Concepto Anterior]],Conceptos_Analítica_contraloría[#All],7,0),"")</f>
        <v/>
      </c>
      <c r="I1391" s="138" t="str">
        <f>+IFERROR(VLOOKUP(D1391,Conceptos_Analítica_contraloría[#All],2,0),"")</f>
        <v/>
      </c>
      <c r="J1391" s="138" t="str">
        <f>+IFERROR(VLOOKUP(D1391,Conceptos_Analítica_contraloría[#All],3,0),"")</f>
        <v/>
      </c>
    </row>
    <row r="1392" spans="3:10" x14ac:dyDescent="0.35">
      <c r="C1392" s="144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s="138" t="str">
        <f>+IFERROR(VLOOKUP(Fact_Analitica[[#This Row],[Concepto Anterior]],Conceptos_Analítica_contraloría[#All],5,0),"")</f>
        <v/>
      </c>
      <c r="F1392" s="138" t="str">
        <f>+IFERROR(VLOOKUP(Fact_Analitica[[#This Row],[Concepto Anterior]],Conceptos_Analítica_contraloría[#All],7,0),"")</f>
        <v/>
      </c>
      <c r="I1392" s="138" t="str">
        <f>+IFERROR(VLOOKUP(D1392,Conceptos_Analítica_contraloría[#All],2,0),"")</f>
        <v/>
      </c>
      <c r="J1392" s="138" t="str">
        <f>+IFERROR(VLOOKUP(D1392,Conceptos_Analítica_contraloría[#All],3,0),"")</f>
        <v/>
      </c>
    </row>
    <row r="1393" spans="3:10" x14ac:dyDescent="0.35">
      <c r="C1393" s="144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s="138" t="str">
        <f>+IFERROR(VLOOKUP(Fact_Analitica[[#This Row],[Concepto Anterior]],Conceptos_Analítica_contraloría[#All],5,0),"")</f>
        <v/>
      </c>
      <c r="F1393" s="138" t="str">
        <f>+IFERROR(VLOOKUP(Fact_Analitica[[#This Row],[Concepto Anterior]],Conceptos_Analítica_contraloría[#All],7,0),"")</f>
        <v/>
      </c>
      <c r="I1393" s="138" t="str">
        <f>+IFERROR(VLOOKUP(D1393,Conceptos_Analítica_contraloría[#All],2,0),"")</f>
        <v/>
      </c>
      <c r="J1393" s="138" t="str">
        <f>+IFERROR(VLOOKUP(D1393,Conceptos_Analítica_contraloría[#All],3,0),"")</f>
        <v/>
      </c>
    </row>
    <row r="1394" spans="3:10" x14ac:dyDescent="0.35">
      <c r="C1394" s="144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s="138" t="str">
        <f>+IFERROR(VLOOKUP(Fact_Analitica[[#This Row],[Concepto Anterior]],Conceptos_Analítica_contraloría[#All],5,0),"")</f>
        <v/>
      </c>
      <c r="F1394" s="138" t="str">
        <f>+IFERROR(VLOOKUP(Fact_Analitica[[#This Row],[Concepto Anterior]],Conceptos_Analítica_contraloría[#All],7,0),"")</f>
        <v/>
      </c>
      <c r="I1394" s="138" t="str">
        <f>+IFERROR(VLOOKUP(D1394,Conceptos_Analítica_contraloría[#All],2,0),"")</f>
        <v/>
      </c>
      <c r="J1394" s="138" t="str">
        <f>+IFERROR(VLOOKUP(D1394,Conceptos_Analítica_contraloría[#All],3,0),"")</f>
        <v/>
      </c>
    </row>
    <row r="1395" spans="3:10" x14ac:dyDescent="0.35">
      <c r="C1395" s="144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s="138" t="str">
        <f>+IFERROR(VLOOKUP(Fact_Analitica[[#This Row],[Concepto Anterior]],Conceptos_Analítica_contraloría[#All],5,0),"")</f>
        <v/>
      </c>
      <c r="F1395" s="138" t="str">
        <f>+IFERROR(VLOOKUP(Fact_Analitica[[#This Row],[Concepto Anterior]],Conceptos_Analítica_contraloría[#All],7,0),"")</f>
        <v/>
      </c>
      <c r="I1395" s="138" t="str">
        <f>+IFERROR(VLOOKUP(D1395,Conceptos_Analítica_contraloría[#All],2,0),"")</f>
        <v/>
      </c>
      <c r="J1395" s="138" t="str">
        <f>+IFERROR(VLOOKUP(D1395,Conceptos_Analítica_contraloría[#All],3,0),"")</f>
        <v/>
      </c>
    </row>
    <row r="1396" spans="3:10" x14ac:dyDescent="0.35">
      <c r="C1396" s="144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s="138" t="str">
        <f>+IFERROR(VLOOKUP(Fact_Analitica[[#This Row],[Concepto Anterior]],Conceptos_Analítica_contraloría[#All],5,0),"")</f>
        <v/>
      </c>
      <c r="F1396" s="138" t="str">
        <f>+IFERROR(VLOOKUP(Fact_Analitica[[#This Row],[Concepto Anterior]],Conceptos_Analítica_contraloría[#All],7,0),"")</f>
        <v/>
      </c>
      <c r="I1396" s="138" t="str">
        <f>+IFERROR(VLOOKUP(D1396,Conceptos_Analítica_contraloría[#All],2,0),"")</f>
        <v/>
      </c>
      <c r="J1396" s="138" t="str">
        <f>+IFERROR(VLOOKUP(D1396,Conceptos_Analítica_contraloría[#All],3,0),"")</f>
        <v/>
      </c>
    </row>
    <row r="1397" spans="3:10" x14ac:dyDescent="0.35">
      <c r="C1397" s="144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s="138" t="str">
        <f>+IFERROR(VLOOKUP(Fact_Analitica[[#This Row],[Concepto Anterior]],Conceptos_Analítica_contraloría[#All],5,0),"")</f>
        <v/>
      </c>
      <c r="F1397" s="138" t="str">
        <f>+IFERROR(VLOOKUP(Fact_Analitica[[#This Row],[Concepto Anterior]],Conceptos_Analítica_contraloría[#All],7,0),"")</f>
        <v/>
      </c>
      <c r="I1397" s="138" t="str">
        <f>+IFERROR(VLOOKUP(D1397,Conceptos_Analítica_contraloría[#All],2,0),"")</f>
        <v/>
      </c>
      <c r="J1397" s="138" t="str">
        <f>+IFERROR(VLOOKUP(D1397,Conceptos_Analítica_contraloría[#All],3,0),"")</f>
        <v/>
      </c>
    </row>
    <row r="1398" spans="3:10" x14ac:dyDescent="0.35">
      <c r="C1398" s="144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s="138" t="str">
        <f>+IFERROR(VLOOKUP(Fact_Analitica[[#This Row],[Concepto Anterior]],Conceptos_Analítica_contraloría[#All],5,0),"")</f>
        <v/>
      </c>
      <c r="F1398" s="138" t="str">
        <f>+IFERROR(VLOOKUP(Fact_Analitica[[#This Row],[Concepto Anterior]],Conceptos_Analítica_contraloría[#All],7,0),"")</f>
        <v/>
      </c>
      <c r="I1398" s="138" t="str">
        <f>+IFERROR(VLOOKUP(D1398,Conceptos_Analítica_contraloría[#All],2,0),"")</f>
        <v/>
      </c>
      <c r="J1398" s="138" t="str">
        <f>+IFERROR(VLOOKUP(D1398,Conceptos_Analítica_contraloría[#All],3,0),"")</f>
        <v/>
      </c>
    </row>
    <row r="1399" spans="3:10" x14ac:dyDescent="0.35">
      <c r="C1399" s="144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s="138" t="str">
        <f>+IFERROR(VLOOKUP(Fact_Analitica[[#This Row],[Concepto Anterior]],Conceptos_Analítica_contraloría[#All],5,0),"")</f>
        <v/>
      </c>
      <c r="F1399" s="138" t="str">
        <f>+IFERROR(VLOOKUP(Fact_Analitica[[#This Row],[Concepto Anterior]],Conceptos_Analítica_contraloría[#All],7,0),"")</f>
        <v/>
      </c>
      <c r="I1399" s="138" t="str">
        <f>+IFERROR(VLOOKUP(D1399,Conceptos_Analítica_contraloría[#All],2,0),"")</f>
        <v/>
      </c>
      <c r="J1399" s="138" t="str">
        <f>+IFERROR(VLOOKUP(D1399,Conceptos_Analítica_contraloría[#All],3,0),"")</f>
        <v/>
      </c>
    </row>
    <row r="1400" spans="3:10" x14ac:dyDescent="0.35">
      <c r="C1400" s="144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s="138" t="str">
        <f>+IFERROR(VLOOKUP(Fact_Analitica[[#This Row],[Concepto Anterior]],Conceptos_Analítica_contraloría[#All],5,0),"")</f>
        <v/>
      </c>
      <c r="F1400" s="138" t="str">
        <f>+IFERROR(VLOOKUP(Fact_Analitica[[#This Row],[Concepto Anterior]],Conceptos_Analítica_contraloría[#All],7,0),"")</f>
        <v/>
      </c>
      <c r="I1400" s="138" t="str">
        <f>+IFERROR(VLOOKUP(D1400,Conceptos_Analítica_contraloría[#All],2,0),"")</f>
        <v/>
      </c>
      <c r="J1400" s="138" t="str">
        <f>+IFERROR(VLOOKUP(D1400,Conceptos_Analítica_contraloría[#All],3,0),"")</f>
        <v/>
      </c>
    </row>
    <row r="1401" spans="3:10" x14ac:dyDescent="0.35">
      <c r="C1401" s="144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s="138" t="str">
        <f>+IFERROR(VLOOKUP(Fact_Analitica[[#This Row],[Concepto Anterior]],Conceptos_Analítica_contraloría[#All],5,0),"")</f>
        <v/>
      </c>
      <c r="F1401" s="138" t="str">
        <f>+IFERROR(VLOOKUP(Fact_Analitica[[#This Row],[Concepto Anterior]],Conceptos_Analítica_contraloría[#All],7,0),"")</f>
        <v/>
      </c>
      <c r="I1401" s="138" t="str">
        <f>+IFERROR(VLOOKUP(D1401,Conceptos_Analítica_contraloría[#All],2,0),"")</f>
        <v/>
      </c>
      <c r="J1401" s="138" t="str">
        <f>+IFERROR(VLOOKUP(D1401,Conceptos_Analítica_contraloría[#All],3,0),"")</f>
        <v/>
      </c>
    </row>
    <row r="1402" spans="3:10" x14ac:dyDescent="0.35">
      <c r="C1402" s="144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s="138" t="str">
        <f>+IFERROR(VLOOKUP(Fact_Analitica[[#This Row],[Concepto Anterior]],Conceptos_Analítica_contraloría[#All],5,0),"")</f>
        <v/>
      </c>
      <c r="F1402" s="138" t="str">
        <f>+IFERROR(VLOOKUP(Fact_Analitica[[#This Row],[Concepto Anterior]],Conceptos_Analítica_contraloría[#All],7,0),"")</f>
        <v/>
      </c>
      <c r="I1402" s="138" t="str">
        <f>+IFERROR(VLOOKUP(D1402,Conceptos_Analítica_contraloría[#All],2,0),"")</f>
        <v/>
      </c>
      <c r="J1402" s="138" t="str">
        <f>+IFERROR(VLOOKUP(D1402,Conceptos_Analítica_contraloría[#All],3,0),"")</f>
        <v/>
      </c>
    </row>
    <row r="1403" spans="3:10" x14ac:dyDescent="0.35">
      <c r="C1403" s="144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s="138" t="str">
        <f>+IFERROR(VLOOKUP(Fact_Analitica[[#This Row],[Concepto Anterior]],Conceptos_Analítica_contraloría[#All],5,0),"")</f>
        <v/>
      </c>
      <c r="F1403" s="138" t="str">
        <f>+IFERROR(VLOOKUP(Fact_Analitica[[#This Row],[Concepto Anterior]],Conceptos_Analítica_contraloría[#All],7,0),"")</f>
        <v/>
      </c>
      <c r="I1403" s="138" t="str">
        <f>+IFERROR(VLOOKUP(D1403,Conceptos_Analítica_contraloría[#All],2,0),"")</f>
        <v/>
      </c>
      <c r="J1403" s="138" t="str">
        <f>+IFERROR(VLOOKUP(D1403,Conceptos_Analítica_contraloría[#All],3,0),"")</f>
        <v/>
      </c>
    </row>
    <row r="1404" spans="3:10" x14ac:dyDescent="0.35">
      <c r="C1404" s="144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s="138" t="str">
        <f>+IFERROR(VLOOKUP(Fact_Analitica[[#This Row],[Concepto Anterior]],Conceptos_Analítica_contraloría[#All],5,0),"")</f>
        <v/>
      </c>
      <c r="F1404" s="138" t="str">
        <f>+IFERROR(VLOOKUP(Fact_Analitica[[#This Row],[Concepto Anterior]],Conceptos_Analítica_contraloría[#All],7,0),"")</f>
        <v/>
      </c>
      <c r="I1404" s="138" t="str">
        <f>+IFERROR(VLOOKUP(D1404,Conceptos_Analítica_contraloría[#All],2,0),"")</f>
        <v/>
      </c>
      <c r="J1404" s="138" t="str">
        <f>+IFERROR(VLOOKUP(D1404,Conceptos_Analítica_contraloría[#All],3,0),"")</f>
        <v/>
      </c>
    </row>
    <row r="1405" spans="3:10" x14ac:dyDescent="0.35">
      <c r="C1405" s="144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s="138" t="str">
        <f>+IFERROR(VLOOKUP(Fact_Analitica[[#This Row],[Concepto Anterior]],Conceptos_Analítica_contraloría[#All],5,0),"")</f>
        <v/>
      </c>
      <c r="F1405" s="138" t="str">
        <f>+IFERROR(VLOOKUP(Fact_Analitica[[#This Row],[Concepto Anterior]],Conceptos_Analítica_contraloría[#All],7,0),"")</f>
        <v/>
      </c>
      <c r="I1405" s="138" t="str">
        <f>+IFERROR(VLOOKUP(D1405,Conceptos_Analítica_contraloría[#All],2,0),"")</f>
        <v/>
      </c>
      <c r="J1405" s="138" t="str">
        <f>+IFERROR(VLOOKUP(D1405,Conceptos_Analítica_contraloría[#All],3,0),"")</f>
        <v/>
      </c>
    </row>
    <row r="1406" spans="3:10" x14ac:dyDescent="0.35">
      <c r="C1406" s="144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s="138" t="str">
        <f>+IFERROR(VLOOKUP(Fact_Analitica[[#This Row],[Concepto Anterior]],Conceptos_Analítica_contraloría[#All],5,0),"")</f>
        <v/>
      </c>
      <c r="F1406" s="138" t="str">
        <f>+IFERROR(VLOOKUP(Fact_Analitica[[#This Row],[Concepto Anterior]],Conceptos_Analítica_contraloría[#All],7,0),"")</f>
        <v/>
      </c>
      <c r="I1406" s="138" t="str">
        <f>+IFERROR(VLOOKUP(D1406,Conceptos_Analítica_contraloría[#All],2,0),"")</f>
        <v/>
      </c>
      <c r="J1406" s="138" t="str">
        <f>+IFERROR(VLOOKUP(D1406,Conceptos_Analítica_contraloría[#All],3,0),"")</f>
        <v/>
      </c>
    </row>
    <row r="1407" spans="3:10" x14ac:dyDescent="0.35">
      <c r="C1407" s="144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s="138" t="str">
        <f>+IFERROR(VLOOKUP(Fact_Analitica[[#This Row],[Concepto Anterior]],Conceptos_Analítica_contraloría[#All],5,0),"")</f>
        <v/>
      </c>
      <c r="F1407" s="138" t="str">
        <f>+IFERROR(VLOOKUP(Fact_Analitica[[#This Row],[Concepto Anterior]],Conceptos_Analítica_contraloría[#All],7,0),"")</f>
        <v/>
      </c>
      <c r="I1407" s="138" t="str">
        <f>+IFERROR(VLOOKUP(D1407,Conceptos_Analítica_contraloría[#All],2,0),"")</f>
        <v/>
      </c>
      <c r="J1407" s="138" t="str">
        <f>+IFERROR(VLOOKUP(D1407,Conceptos_Analítica_contraloría[#All],3,0),"")</f>
        <v/>
      </c>
    </row>
    <row r="1408" spans="3:10" x14ac:dyDescent="0.35">
      <c r="C1408" s="144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s="138" t="str">
        <f>+IFERROR(VLOOKUP(Fact_Analitica[[#This Row],[Concepto Anterior]],Conceptos_Analítica_contraloría[#All],5,0),"")</f>
        <v/>
      </c>
      <c r="F1408" s="138" t="str">
        <f>+IFERROR(VLOOKUP(Fact_Analitica[[#This Row],[Concepto Anterior]],Conceptos_Analítica_contraloría[#All],7,0),"")</f>
        <v/>
      </c>
      <c r="I1408" s="138" t="str">
        <f>+IFERROR(VLOOKUP(D1408,Conceptos_Analítica_contraloría[#All],2,0),"")</f>
        <v/>
      </c>
      <c r="J1408" s="138" t="str">
        <f>+IFERROR(VLOOKUP(D1408,Conceptos_Analítica_contraloría[#All],3,0),"")</f>
        <v/>
      </c>
    </row>
    <row r="1409" spans="3:10" x14ac:dyDescent="0.35">
      <c r="C1409" s="144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s="138" t="str">
        <f>+IFERROR(VLOOKUP(Fact_Analitica[[#This Row],[Concepto Anterior]],Conceptos_Analítica_contraloría[#All],5,0),"")</f>
        <v/>
      </c>
      <c r="F1409" s="138" t="str">
        <f>+IFERROR(VLOOKUP(Fact_Analitica[[#This Row],[Concepto Anterior]],Conceptos_Analítica_contraloría[#All],7,0),"")</f>
        <v/>
      </c>
      <c r="I1409" s="138" t="str">
        <f>+IFERROR(VLOOKUP(D1409,Conceptos_Analítica_contraloría[#All],2,0),"")</f>
        <v/>
      </c>
      <c r="J1409" s="138" t="str">
        <f>+IFERROR(VLOOKUP(D1409,Conceptos_Analítica_contraloría[#All],3,0),"")</f>
        <v/>
      </c>
    </row>
    <row r="1410" spans="3:10" x14ac:dyDescent="0.35">
      <c r="C1410" s="144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s="138" t="str">
        <f>+IFERROR(VLOOKUP(Fact_Analitica[[#This Row],[Concepto Anterior]],Conceptos_Analítica_contraloría[#All],5,0),"")</f>
        <v/>
      </c>
      <c r="F1410" s="138" t="str">
        <f>+IFERROR(VLOOKUP(Fact_Analitica[[#This Row],[Concepto Anterior]],Conceptos_Analítica_contraloría[#All],7,0),"")</f>
        <v/>
      </c>
      <c r="I1410" s="138" t="str">
        <f>+IFERROR(VLOOKUP(D1410,Conceptos_Analítica_contraloría[#All],2,0),"")</f>
        <v/>
      </c>
      <c r="J1410" s="138" t="str">
        <f>+IFERROR(VLOOKUP(D1410,Conceptos_Analítica_contraloría[#All],3,0),"")</f>
        <v/>
      </c>
    </row>
    <row r="1411" spans="3:10" x14ac:dyDescent="0.35">
      <c r="C1411" s="144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s="138" t="str">
        <f>+IFERROR(VLOOKUP(Fact_Analitica[[#This Row],[Concepto Anterior]],Conceptos_Analítica_contraloría[#All],5,0),"")</f>
        <v/>
      </c>
      <c r="F1411" s="138" t="str">
        <f>+IFERROR(VLOOKUP(Fact_Analitica[[#This Row],[Concepto Anterior]],Conceptos_Analítica_contraloría[#All],7,0),"")</f>
        <v/>
      </c>
      <c r="I1411" s="138" t="str">
        <f>+IFERROR(VLOOKUP(D1411,Conceptos_Analítica_contraloría[#All],2,0),"")</f>
        <v/>
      </c>
      <c r="J1411" s="138" t="str">
        <f>+IFERROR(VLOOKUP(D1411,Conceptos_Analítica_contraloría[#All],3,0),"")</f>
        <v/>
      </c>
    </row>
    <row r="1412" spans="3:10" x14ac:dyDescent="0.35">
      <c r="C1412" s="144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s="138" t="str">
        <f>+IFERROR(VLOOKUP(Fact_Analitica[[#This Row],[Concepto Anterior]],Conceptos_Analítica_contraloría[#All],5,0),"")</f>
        <v/>
      </c>
      <c r="F1412" s="138" t="str">
        <f>+IFERROR(VLOOKUP(Fact_Analitica[[#This Row],[Concepto Anterior]],Conceptos_Analítica_contraloría[#All],7,0),"")</f>
        <v/>
      </c>
      <c r="I1412" s="138" t="str">
        <f>+IFERROR(VLOOKUP(D1412,Conceptos_Analítica_contraloría[#All],2,0),"")</f>
        <v/>
      </c>
      <c r="J1412" s="138" t="str">
        <f>+IFERROR(VLOOKUP(D1412,Conceptos_Analítica_contraloría[#All],3,0),"")</f>
        <v/>
      </c>
    </row>
    <row r="1413" spans="3:10" x14ac:dyDescent="0.35">
      <c r="C1413" s="144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s="138" t="str">
        <f>+IFERROR(VLOOKUP(Fact_Analitica[[#This Row],[Concepto Anterior]],Conceptos_Analítica_contraloría[#All],5,0),"")</f>
        <v/>
      </c>
      <c r="F1413" s="138" t="str">
        <f>+IFERROR(VLOOKUP(Fact_Analitica[[#This Row],[Concepto Anterior]],Conceptos_Analítica_contraloría[#All],7,0),"")</f>
        <v/>
      </c>
      <c r="I1413" s="138" t="str">
        <f>+IFERROR(VLOOKUP(D1413,Conceptos_Analítica_contraloría[#All],2,0),"")</f>
        <v/>
      </c>
      <c r="J1413" s="138" t="str">
        <f>+IFERROR(VLOOKUP(D1413,Conceptos_Analítica_contraloría[#All],3,0),"")</f>
        <v/>
      </c>
    </row>
    <row r="1414" spans="3:10" x14ac:dyDescent="0.35">
      <c r="C1414" s="144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s="138" t="str">
        <f>+IFERROR(VLOOKUP(Fact_Analitica[[#This Row],[Concepto Anterior]],Conceptos_Analítica_contraloría[#All],5,0),"")</f>
        <v/>
      </c>
      <c r="F1414" s="138" t="str">
        <f>+IFERROR(VLOOKUP(Fact_Analitica[[#This Row],[Concepto Anterior]],Conceptos_Analítica_contraloría[#All],7,0),"")</f>
        <v/>
      </c>
      <c r="I1414" s="138" t="str">
        <f>+IFERROR(VLOOKUP(D1414,Conceptos_Analítica_contraloría[#All],2,0),"")</f>
        <v/>
      </c>
      <c r="J1414" s="138" t="str">
        <f>+IFERROR(VLOOKUP(D1414,Conceptos_Analítica_contraloría[#All],3,0),"")</f>
        <v/>
      </c>
    </row>
    <row r="1415" spans="3:10" x14ac:dyDescent="0.35">
      <c r="C1415" s="144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s="138" t="str">
        <f>+IFERROR(VLOOKUP(Fact_Analitica[[#This Row],[Concepto Anterior]],Conceptos_Analítica_contraloría[#All],5,0),"")</f>
        <v/>
      </c>
      <c r="F1415" s="138" t="str">
        <f>+IFERROR(VLOOKUP(Fact_Analitica[[#This Row],[Concepto Anterior]],Conceptos_Analítica_contraloría[#All],7,0),"")</f>
        <v/>
      </c>
      <c r="I1415" s="138" t="str">
        <f>+IFERROR(VLOOKUP(D1415,Conceptos_Analítica_contraloría[#All],2,0),"")</f>
        <v/>
      </c>
      <c r="J1415" s="138" t="str">
        <f>+IFERROR(VLOOKUP(D1415,Conceptos_Analítica_contraloría[#All],3,0),"")</f>
        <v/>
      </c>
    </row>
    <row r="1416" spans="3:10" x14ac:dyDescent="0.35">
      <c r="C1416" s="144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s="138" t="str">
        <f>+IFERROR(VLOOKUP(Fact_Analitica[[#This Row],[Concepto Anterior]],Conceptos_Analítica_contraloría[#All],5,0),"")</f>
        <v/>
      </c>
      <c r="F1416" s="138" t="str">
        <f>+IFERROR(VLOOKUP(Fact_Analitica[[#This Row],[Concepto Anterior]],Conceptos_Analítica_contraloría[#All],7,0),"")</f>
        <v/>
      </c>
      <c r="I1416" s="138" t="str">
        <f>+IFERROR(VLOOKUP(D1416,Conceptos_Analítica_contraloría[#All],2,0),"")</f>
        <v/>
      </c>
      <c r="J1416" s="138" t="str">
        <f>+IFERROR(VLOOKUP(D1416,Conceptos_Analítica_contraloría[#All],3,0),"")</f>
        <v/>
      </c>
    </row>
    <row r="1417" spans="3:10" x14ac:dyDescent="0.35">
      <c r="C1417" s="144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s="138" t="str">
        <f>+IFERROR(VLOOKUP(Fact_Analitica[[#This Row],[Concepto Anterior]],Conceptos_Analítica_contraloría[#All],5,0),"")</f>
        <v/>
      </c>
      <c r="F1417" s="138" t="str">
        <f>+IFERROR(VLOOKUP(Fact_Analitica[[#This Row],[Concepto Anterior]],Conceptos_Analítica_contraloría[#All],7,0),"")</f>
        <v/>
      </c>
      <c r="I1417" s="138" t="str">
        <f>+IFERROR(VLOOKUP(D1417,Conceptos_Analítica_contraloría[#All],2,0),"")</f>
        <v/>
      </c>
      <c r="J1417" s="138" t="str">
        <f>+IFERROR(VLOOKUP(D1417,Conceptos_Analítica_contraloría[#All],3,0),"")</f>
        <v/>
      </c>
    </row>
    <row r="1418" spans="3:10" x14ac:dyDescent="0.35">
      <c r="C1418" s="144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s="138" t="str">
        <f>+IFERROR(VLOOKUP(Fact_Analitica[[#This Row],[Concepto Anterior]],Conceptos_Analítica_contraloría[#All],5,0),"")</f>
        <v/>
      </c>
      <c r="F1418" s="138" t="str">
        <f>+IFERROR(VLOOKUP(Fact_Analitica[[#This Row],[Concepto Anterior]],Conceptos_Analítica_contraloría[#All],7,0),"")</f>
        <v/>
      </c>
      <c r="I1418" s="138" t="str">
        <f>+IFERROR(VLOOKUP(D1418,Conceptos_Analítica_contraloría[#All],2,0),"")</f>
        <v/>
      </c>
      <c r="J1418" s="138" t="str">
        <f>+IFERROR(VLOOKUP(D1418,Conceptos_Analítica_contraloría[#All],3,0),"")</f>
        <v/>
      </c>
    </row>
    <row r="1419" spans="3:10" x14ac:dyDescent="0.35">
      <c r="C1419" s="144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s="138" t="str">
        <f>+IFERROR(VLOOKUP(Fact_Analitica[[#This Row],[Concepto Anterior]],Conceptos_Analítica_contraloría[#All],5,0),"")</f>
        <v/>
      </c>
      <c r="F1419" s="138" t="str">
        <f>+IFERROR(VLOOKUP(Fact_Analitica[[#This Row],[Concepto Anterior]],Conceptos_Analítica_contraloría[#All],7,0),"")</f>
        <v/>
      </c>
      <c r="I1419" s="138" t="str">
        <f>+IFERROR(VLOOKUP(D1419,Conceptos_Analítica_contraloría[#All],2,0),"")</f>
        <v/>
      </c>
      <c r="J1419" s="138" t="str">
        <f>+IFERROR(VLOOKUP(D1419,Conceptos_Analítica_contraloría[#All],3,0),"")</f>
        <v/>
      </c>
    </row>
    <row r="1420" spans="3:10" x14ac:dyDescent="0.35">
      <c r="C1420" s="144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s="138" t="str">
        <f>+IFERROR(VLOOKUP(Fact_Analitica[[#This Row],[Concepto Anterior]],Conceptos_Analítica_contraloría[#All],5,0),"")</f>
        <v/>
      </c>
      <c r="F1420" s="138" t="str">
        <f>+IFERROR(VLOOKUP(Fact_Analitica[[#This Row],[Concepto Anterior]],Conceptos_Analítica_contraloría[#All],7,0),"")</f>
        <v/>
      </c>
      <c r="I1420" s="138" t="str">
        <f>+IFERROR(VLOOKUP(D1420,Conceptos_Analítica_contraloría[#All],2,0),"")</f>
        <v/>
      </c>
      <c r="J1420" s="138" t="str">
        <f>+IFERROR(VLOOKUP(D1420,Conceptos_Analítica_contraloría[#All],3,0),"")</f>
        <v/>
      </c>
    </row>
    <row r="1421" spans="3:10" x14ac:dyDescent="0.35">
      <c r="C1421" s="144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s="138" t="str">
        <f>+IFERROR(VLOOKUP(Fact_Analitica[[#This Row],[Concepto Anterior]],Conceptos_Analítica_contraloría[#All],5,0),"")</f>
        <v/>
      </c>
      <c r="F1421" s="138" t="str">
        <f>+IFERROR(VLOOKUP(Fact_Analitica[[#This Row],[Concepto Anterior]],Conceptos_Analítica_contraloría[#All],7,0),"")</f>
        <v/>
      </c>
      <c r="I1421" s="138" t="str">
        <f>+IFERROR(VLOOKUP(D1421,Conceptos_Analítica_contraloría[#All],2,0),"")</f>
        <v/>
      </c>
      <c r="J1421" s="138" t="str">
        <f>+IFERROR(VLOOKUP(D1421,Conceptos_Analítica_contraloría[#All],3,0),"")</f>
        <v/>
      </c>
    </row>
    <row r="1422" spans="3:10" x14ac:dyDescent="0.35">
      <c r="C1422" s="144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s="138" t="str">
        <f>+IFERROR(VLOOKUP(Fact_Analitica[[#This Row],[Concepto Anterior]],Conceptos_Analítica_contraloría[#All],5,0),"")</f>
        <v/>
      </c>
      <c r="F1422" s="138" t="str">
        <f>+IFERROR(VLOOKUP(Fact_Analitica[[#This Row],[Concepto Anterior]],Conceptos_Analítica_contraloría[#All],7,0),"")</f>
        <v/>
      </c>
      <c r="I1422" s="138" t="str">
        <f>+IFERROR(VLOOKUP(D1422,Conceptos_Analítica_contraloría[#All],2,0),"")</f>
        <v/>
      </c>
      <c r="J1422" s="138" t="str">
        <f>+IFERROR(VLOOKUP(D1422,Conceptos_Analítica_contraloría[#All],3,0),"")</f>
        <v/>
      </c>
    </row>
    <row r="1423" spans="3:10" x14ac:dyDescent="0.35">
      <c r="C1423" s="144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s="138" t="str">
        <f>+IFERROR(VLOOKUP(Fact_Analitica[[#This Row],[Concepto Anterior]],Conceptos_Analítica_contraloría[#All],5,0),"")</f>
        <v/>
      </c>
      <c r="F1423" s="138" t="str">
        <f>+IFERROR(VLOOKUP(Fact_Analitica[[#This Row],[Concepto Anterior]],Conceptos_Analítica_contraloría[#All],7,0),"")</f>
        <v/>
      </c>
      <c r="I1423" s="138" t="str">
        <f>+IFERROR(VLOOKUP(D1423,Conceptos_Analítica_contraloría[#All],2,0),"")</f>
        <v/>
      </c>
      <c r="J1423" s="138" t="str">
        <f>+IFERROR(VLOOKUP(D1423,Conceptos_Analítica_contraloría[#All],3,0),"")</f>
        <v/>
      </c>
    </row>
    <row r="1424" spans="3:10" x14ac:dyDescent="0.35">
      <c r="C1424" s="144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s="138" t="str">
        <f>+IFERROR(VLOOKUP(Fact_Analitica[[#This Row],[Concepto Anterior]],Conceptos_Analítica_contraloría[#All],5,0),"")</f>
        <v/>
      </c>
      <c r="F1424" s="138" t="str">
        <f>+IFERROR(VLOOKUP(Fact_Analitica[[#This Row],[Concepto Anterior]],Conceptos_Analítica_contraloría[#All],7,0),"")</f>
        <v/>
      </c>
      <c r="I1424" s="138" t="str">
        <f>+IFERROR(VLOOKUP(D1424,Conceptos_Analítica_contraloría[#All],2,0),"")</f>
        <v/>
      </c>
      <c r="J1424" s="138" t="str">
        <f>+IFERROR(VLOOKUP(D1424,Conceptos_Analítica_contraloría[#All],3,0),"")</f>
        <v/>
      </c>
    </row>
    <row r="1425" spans="3:10" x14ac:dyDescent="0.35">
      <c r="C1425" s="144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s="138" t="str">
        <f>+IFERROR(VLOOKUP(Fact_Analitica[[#This Row],[Concepto Anterior]],Conceptos_Analítica_contraloría[#All],5,0),"")</f>
        <v/>
      </c>
      <c r="F1425" s="138" t="str">
        <f>+IFERROR(VLOOKUP(Fact_Analitica[[#This Row],[Concepto Anterior]],Conceptos_Analítica_contraloría[#All],7,0),"")</f>
        <v/>
      </c>
      <c r="I1425" s="138" t="str">
        <f>+IFERROR(VLOOKUP(D1425,Conceptos_Analítica_contraloría[#All],2,0),"")</f>
        <v/>
      </c>
      <c r="J1425" s="138" t="str">
        <f>+IFERROR(VLOOKUP(D1425,Conceptos_Analítica_contraloría[#All],3,0),"")</f>
        <v/>
      </c>
    </row>
    <row r="1426" spans="3:10" x14ac:dyDescent="0.35">
      <c r="C1426" s="144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s="138" t="str">
        <f>+IFERROR(VLOOKUP(Fact_Analitica[[#This Row],[Concepto Anterior]],Conceptos_Analítica_contraloría[#All],5,0),"")</f>
        <v/>
      </c>
      <c r="F1426" s="138" t="str">
        <f>+IFERROR(VLOOKUP(Fact_Analitica[[#This Row],[Concepto Anterior]],Conceptos_Analítica_contraloría[#All],7,0),"")</f>
        <v/>
      </c>
      <c r="I1426" s="138" t="str">
        <f>+IFERROR(VLOOKUP(D1426,Conceptos_Analítica_contraloría[#All],2,0),"")</f>
        <v/>
      </c>
      <c r="J1426" s="138" t="str">
        <f>+IFERROR(VLOOKUP(D1426,Conceptos_Analítica_contraloría[#All],3,0),"")</f>
        <v/>
      </c>
    </row>
    <row r="1427" spans="3:10" x14ac:dyDescent="0.35">
      <c r="C1427" s="144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s="138" t="str">
        <f>+IFERROR(VLOOKUP(Fact_Analitica[[#This Row],[Concepto Anterior]],Conceptos_Analítica_contraloría[#All],5,0),"")</f>
        <v/>
      </c>
      <c r="F1427" s="138" t="str">
        <f>+IFERROR(VLOOKUP(Fact_Analitica[[#This Row],[Concepto Anterior]],Conceptos_Analítica_contraloría[#All],7,0),"")</f>
        <v/>
      </c>
      <c r="I1427" s="138" t="str">
        <f>+IFERROR(VLOOKUP(D1427,Conceptos_Analítica_contraloría[#All],2,0),"")</f>
        <v/>
      </c>
      <c r="J1427" s="138" t="str">
        <f>+IFERROR(VLOOKUP(D1427,Conceptos_Analítica_contraloría[#All],3,0),"")</f>
        <v/>
      </c>
    </row>
    <row r="1428" spans="3:10" x14ac:dyDescent="0.35">
      <c r="C1428" s="144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s="138" t="str">
        <f>+IFERROR(VLOOKUP(Fact_Analitica[[#This Row],[Concepto Anterior]],Conceptos_Analítica_contraloría[#All],5,0),"")</f>
        <v/>
      </c>
      <c r="F1428" s="138" t="str">
        <f>+IFERROR(VLOOKUP(Fact_Analitica[[#This Row],[Concepto Anterior]],Conceptos_Analítica_contraloría[#All],7,0),"")</f>
        <v/>
      </c>
      <c r="I1428" s="138" t="str">
        <f>+IFERROR(VLOOKUP(D1428,Conceptos_Analítica_contraloría[#All],2,0),"")</f>
        <v/>
      </c>
      <c r="J1428" s="138" t="str">
        <f>+IFERROR(VLOOKUP(D1428,Conceptos_Analítica_contraloría[#All],3,0),"")</f>
        <v/>
      </c>
    </row>
    <row r="1429" spans="3:10" x14ac:dyDescent="0.35">
      <c r="C1429" s="144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s="138" t="str">
        <f>+IFERROR(VLOOKUP(Fact_Analitica[[#This Row],[Concepto Anterior]],Conceptos_Analítica_contraloría[#All],5,0),"")</f>
        <v/>
      </c>
      <c r="F1429" s="138" t="str">
        <f>+IFERROR(VLOOKUP(Fact_Analitica[[#This Row],[Concepto Anterior]],Conceptos_Analítica_contraloría[#All],7,0),"")</f>
        <v/>
      </c>
      <c r="I1429" s="138" t="str">
        <f>+IFERROR(VLOOKUP(D1429,Conceptos_Analítica_contraloría[#All],2,0),"")</f>
        <v/>
      </c>
      <c r="J1429" s="138" t="str">
        <f>+IFERROR(VLOOKUP(D1429,Conceptos_Analítica_contraloría[#All],3,0),"")</f>
        <v/>
      </c>
    </row>
    <row r="1430" spans="3:10" x14ac:dyDescent="0.35">
      <c r="C1430" s="144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s="138" t="str">
        <f>+IFERROR(VLOOKUP(Fact_Analitica[[#This Row],[Concepto Anterior]],Conceptos_Analítica_contraloría[#All],5,0),"")</f>
        <v/>
      </c>
      <c r="F1430" s="138" t="str">
        <f>+IFERROR(VLOOKUP(Fact_Analitica[[#This Row],[Concepto Anterior]],Conceptos_Analítica_contraloría[#All],7,0),"")</f>
        <v/>
      </c>
      <c r="I1430" s="138" t="str">
        <f>+IFERROR(VLOOKUP(D1430,Conceptos_Analítica_contraloría[#All],2,0),"")</f>
        <v/>
      </c>
      <c r="J1430" s="138" t="str">
        <f>+IFERROR(VLOOKUP(D1430,Conceptos_Analítica_contraloría[#All],3,0),"")</f>
        <v/>
      </c>
    </row>
    <row r="1431" spans="3:10" x14ac:dyDescent="0.35">
      <c r="C1431" s="144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s="138" t="str">
        <f>+IFERROR(VLOOKUP(Fact_Analitica[[#This Row],[Concepto Anterior]],Conceptos_Analítica_contraloría[#All],5,0),"")</f>
        <v/>
      </c>
      <c r="F1431" s="138" t="str">
        <f>+IFERROR(VLOOKUP(Fact_Analitica[[#This Row],[Concepto Anterior]],Conceptos_Analítica_contraloría[#All],7,0),"")</f>
        <v/>
      </c>
      <c r="I1431" s="138" t="str">
        <f>+IFERROR(VLOOKUP(D1431,Conceptos_Analítica_contraloría[#All],2,0),"")</f>
        <v/>
      </c>
      <c r="J1431" s="138" t="str">
        <f>+IFERROR(VLOOKUP(D1431,Conceptos_Analítica_contraloría[#All],3,0),"")</f>
        <v/>
      </c>
    </row>
    <row r="1432" spans="3:10" x14ac:dyDescent="0.35">
      <c r="C1432" s="144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s="138" t="str">
        <f>+IFERROR(VLOOKUP(Fact_Analitica[[#This Row],[Concepto Anterior]],Conceptos_Analítica_contraloría[#All],5,0),"")</f>
        <v/>
      </c>
      <c r="F1432" s="138" t="str">
        <f>+IFERROR(VLOOKUP(Fact_Analitica[[#This Row],[Concepto Anterior]],Conceptos_Analítica_contraloría[#All],7,0),"")</f>
        <v/>
      </c>
      <c r="I1432" s="138" t="str">
        <f>+IFERROR(VLOOKUP(D1432,Conceptos_Analítica_contraloría[#All],2,0),"")</f>
        <v/>
      </c>
      <c r="J1432" s="138" t="str">
        <f>+IFERROR(VLOOKUP(D1432,Conceptos_Analítica_contraloría[#All],3,0),"")</f>
        <v/>
      </c>
    </row>
    <row r="1433" spans="3:10" x14ac:dyDescent="0.35">
      <c r="C1433" s="144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s="138" t="str">
        <f>+IFERROR(VLOOKUP(Fact_Analitica[[#This Row],[Concepto Anterior]],Conceptos_Analítica_contraloría[#All],5,0),"")</f>
        <v/>
      </c>
      <c r="F1433" s="138" t="str">
        <f>+IFERROR(VLOOKUP(Fact_Analitica[[#This Row],[Concepto Anterior]],Conceptos_Analítica_contraloría[#All],7,0),"")</f>
        <v/>
      </c>
      <c r="I1433" s="138" t="str">
        <f>+IFERROR(VLOOKUP(D1433,Conceptos_Analítica_contraloría[#All],2,0),"")</f>
        <v/>
      </c>
      <c r="J1433" s="138" t="str">
        <f>+IFERROR(VLOOKUP(D1433,Conceptos_Analítica_contraloría[#All],3,0),"")</f>
        <v/>
      </c>
    </row>
    <row r="1434" spans="3:10" x14ac:dyDescent="0.35">
      <c r="C1434" s="144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s="138" t="str">
        <f>+IFERROR(VLOOKUP(Fact_Analitica[[#This Row],[Concepto Anterior]],Conceptos_Analítica_contraloría[#All],5,0),"")</f>
        <v/>
      </c>
      <c r="F1434" s="138" t="str">
        <f>+IFERROR(VLOOKUP(Fact_Analitica[[#This Row],[Concepto Anterior]],Conceptos_Analítica_contraloría[#All],7,0),"")</f>
        <v/>
      </c>
      <c r="I1434" s="138" t="str">
        <f>+IFERROR(VLOOKUP(D1434,Conceptos_Analítica_contraloría[#All],2,0),"")</f>
        <v/>
      </c>
      <c r="J1434" s="138" t="str">
        <f>+IFERROR(VLOOKUP(D1434,Conceptos_Analítica_contraloría[#All],3,0),"")</f>
        <v/>
      </c>
    </row>
    <row r="1435" spans="3:10" x14ac:dyDescent="0.35">
      <c r="C1435" s="144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s="138" t="str">
        <f>+IFERROR(VLOOKUP(Fact_Analitica[[#This Row],[Concepto Anterior]],Conceptos_Analítica_contraloría[#All],5,0),"")</f>
        <v/>
      </c>
      <c r="F1435" s="138" t="str">
        <f>+IFERROR(VLOOKUP(Fact_Analitica[[#This Row],[Concepto Anterior]],Conceptos_Analítica_contraloría[#All],7,0),"")</f>
        <v/>
      </c>
      <c r="I1435" s="138" t="str">
        <f>+IFERROR(VLOOKUP(D1435,Conceptos_Analítica_contraloría[#All],2,0),"")</f>
        <v/>
      </c>
      <c r="J1435" s="138" t="str">
        <f>+IFERROR(VLOOKUP(D1435,Conceptos_Analítica_contraloría[#All],3,0),"")</f>
        <v/>
      </c>
    </row>
    <row r="1436" spans="3:10" x14ac:dyDescent="0.35">
      <c r="C1436" s="144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s="138" t="str">
        <f>+IFERROR(VLOOKUP(Fact_Analitica[[#This Row],[Concepto Anterior]],Conceptos_Analítica_contraloría[#All],5,0),"")</f>
        <v/>
      </c>
      <c r="F1436" s="138" t="str">
        <f>+IFERROR(VLOOKUP(Fact_Analitica[[#This Row],[Concepto Anterior]],Conceptos_Analítica_contraloría[#All],7,0),"")</f>
        <v/>
      </c>
      <c r="I1436" s="138" t="str">
        <f>+IFERROR(VLOOKUP(D1436,Conceptos_Analítica_contraloría[#All],2,0),"")</f>
        <v/>
      </c>
      <c r="J1436" s="138" t="str">
        <f>+IFERROR(VLOOKUP(D1436,Conceptos_Analítica_contraloría[#All],3,0),"")</f>
        <v/>
      </c>
    </row>
    <row r="1437" spans="3:10" x14ac:dyDescent="0.35">
      <c r="C1437" s="144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s="138" t="str">
        <f>+IFERROR(VLOOKUP(Fact_Analitica[[#This Row],[Concepto Anterior]],Conceptos_Analítica_contraloría[#All],5,0),"")</f>
        <v/>
      </c>
      <c r="F1437" s="138" t="str">
        <f>+IFERROR(VLOOKUP(Fact_Analitica[[#This Row],[Concepto Anterior]],Conceptos_Analítica_contraloría[#All],7,0),"")</f>
        <v/>
      </c>
      <c r="I1437" s="138" t="str">
        <f>+IFERROR(VLOOKUP(D1437,Conceptos_Analítica_contraloría[#All],2,0),"")</f>
        <v/>
      </c>
      <c r="J1437" s="138" t="str">
        <f>+IFERROR(VLOOKUP(D1437,Conceptos_Analítica_contraloría[#All],3,0),"")</f>
        <v/>
      </c>
    </row>
    <row r="1438" spans="3:10" x14ac:dyDescent="0.35">
      <c r="C1438" s="144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s="138" t="str">
        <f>+IFERROR(VLOOKUP(Fact_Analitica[[#This Row],[Concepto Anterior]],Conceptos_Analítica_contraloría[#All],5,0),"")</f>
        <v/>
      </c>
      <c r="F1438" s="138" t="str">
        <f>+IFERROR(VLOOKUP(Fact_Analitica[[#This Row],[Concepto Anterior]],Conceptos_Analítica_contraloría[#All],7,0),"")</f>
        <v/>
      </c>
      <c r="I1438" s="138" t="str">
        <f>+IFERROR(VLOOKUP(D1438,Conceptos_Analítica_contraloría[#All],2,0),"")</f>
        <v/>
      </c>
      <c r="J1438" s="138" t="str">
        <f>+IFERROR(VLOOKUP(D1438,Conceptos_Analítica_contraloría[#All],3,0),"")</f>
        <v/>
      </c>
    </row>
    <row r="1439" spans="3:10" x14ac:dyDescent="0.35">
      <c r="C1439" s="144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s="138" t="str">
        <f>+IFERROR(VLOOKUP(Fact_Analitica[[#This Row],[Concepto Anterior]],Conceptos_Analítica_contraloría[#All],5,0),"")</f>
        <v/>
      </c>
      <c r="F1439" s="138" t="str">
        <f>+IFERROR(VLOOKUP(Fact_Analitica[[#This Row],[Concepto Anterior]],Conceptos_Analítica_contraloría[#All],7,0),"")</f>
        <v/>
      </c>
      <c r="I1439" s="138" t="str">
        <f>+IFERROR(VLOOKUP(D1439,Conceptos_Analítica_contraloría[#All],2,0),"")</f>
        <v/>
      </c>
      <c r="J1439" s="138" t="str">
        <f>+IFERROR(VLOOKUP(D1439,Conceptos_Analítica_contraloría[#All],3,0),"")</f>
        <v/>
      </c>
    </row>
    <row r="1440" spans="3:10" x14ac:dyDescent="0.35">
      <c r="C1440" s="144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s="138" t="str">
        <f>+IFERROR(VLOOKUP(Fact_Analitica[[#This Row],[Concepto Anterior]],Conceptos_Analítica_contraloría[#All],5,0),"")</f>
        <v/>
      </c>
      <c r="F1440" s="138" t="str">
        <f>+IFERROR(VLOOKUP(Fact_Analitica[[#This Row],[Concepto Anterior]],Conceptos_Analítica_contraloría[#All],7,0),"")</f>
        <v/>
      </c>
      <c r="I1440" s="138" t="str">
        <f>+IFERROR(VLOOKUP(D1440,Conceptos_Analítica_contraloría[#All],2,0),"")</f>
        <v/>
      </c>
      <c r="J1440" s="138" t="str">
        <f>+IFERROR(VLOOKUP(D1440,Conceptos_Analítica_contraloría[#All],3,0),"")</f>
        <v/>
      </c>
    </row>
    <row r="1441" spans="3:10" x14ac:dyDescent="0.35">
      <c r="C1441" s="144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s="138" t="str">
        <f>+IFERROR(VLOOKUP(Fact_Analitica[[#This Row],[Concepto Anterior]],Conceptos_Analítica_contraloría[#All],5,0),"")</f>
        <v/>
      </c>
      <c r="F1441" s="138" t="str">
        <f>+IFERROR(VLOOKUP(Fact_Analitica[[#This Row],[Concepto Anterior]],Conceptos_Analítica_contraloría[#All],7,0),"")</f>
        <v/>
      </c>
      <c r="I1441" s="138" t="str">
        <f>+IFERROR(VLOOKUP(D1441,Conceptos_Analítica_contraloría[#All],2,0),"")</f>
        <v/>
      </c>
      <c r="J1441" s="138" t="str">
        <f>+IFERROR(VLOOKUP(D1441,Conceptos_Analítica_contraloría[#All],3,0),"")</f>
        <v/>
      </c>
    </row>
    <row r="1442" spans="3:10" x14ac:dyDescent="0.35">
      <c r="C1442" s="144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s="138" t="str">
        <f>+IFERROR(VLOOKUP(Fact_Analitica[[#This Row],[Concepto Anterior]],Conceptos_Analítica_contraloría[#All],5,0),"")</f>
        <v/>
      </c>
      <c r="F1442" s="138" t="str">
        <f>+IFERROR(VLOOKUP(Fact_Analitica[[#This Row],[Concepto Anterior]],Conceptos_Analítica_contraloría[#All],7,0),"")</f>
        <v/>
      </c>
      <c r="I1442" s="138" t="str">
        <f>+IFERROR(VLOOKUP(D1442,Conceptos_Analítica_contraloría[#All],2,0),"")</f>
        <v/>
      </c>
      <c r="J1442" s="138" t="str">
        <f>+IFERROR(VLOOKUP(D1442,Conceptos_Analítica_contraloría[#All],3,0),"")</f>
        <v/>
      </c>
    </row>
    <row r="1443" spans="3:10" x14ac:dyDescent="0.35">
      <c r="C1443" s="144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s="138" t="str">
        <f>+IFERROR(VLOOKUP(Fact_Analitica[[#This Row],[Concepto Anterior]],Conceptos_Analítica_contraloría[#All],5,0),"")</f>
        <v/>
      </c>
      <c r="F1443" s="138" t="str">
        <f>+IFERROR(VLOOKUP(Fact_Analitica[[#This Row],[Concepto Anterior]],Conceptos_Analítica_contraloría[#All],7,0),"")</f>
        <v/>
      </c>
      <c r="I1443" s="138" t="str">
        <f>+IFERROR(VLOOKUP(D1443,Conceptos_Analítica_contraloría[#All],2,0),"")</f>
        <v/>
      </c>
      <c r="J1443" s="138" t="str">
        <f>+IFERROR(VLOOKUP(D1443,Conceptos_Analítica_contraloría[#All],3,0),"")</f>
        <v/>
      </c>
    </row>
    <row r="1444" spans="3:10" x14ac:dyDescent="0.35">
      <c r="C1444" s="144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s="138" t="str">
        <f>+IFERROR(VLOOKUP(Fact_Analitica[[#This Row],[Concepto Anterior]],Conceptos_Analítica_contraloría[#All],5,0),"")</f>
        <v/>
      </c>
      <c r="F1444" s="138" t="str">
        <f>+IFERROR(VLOOKUP(Fact_Analitica[[#This Row],[Concepto Anterior]],Conceptos_Analítica_contraloría[#All],7,0),"")</f>
        <v/>
      </c>
      <c r="I1444" s="138" t="str">
        <f>+IFERROR(VLOOKUP(D1444,Conceptos_Analítica_contraloría[#All],2,0),"")</f>
        <v/>
      </c>
      <c r="J1444" s="138" t="str">
        <f>+IFERROR(VLOOKUP(D1444,Conceptos_Analítica_contraloría[#All],3,0),"")</f>
        <v/>
      </c>
    </row>
    <row r="1445" spans="3:10" x14ac:dyDescent="0.35">
      <c r="C1445" s="144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s="138" t="str">
        <f>+IFERROR(VLOOKUP(Fact_Analitica[[#This Row],[Concepto Anterior]],Conceptos_Analítica_contraloría[#All],5,0),"")</f>
        <v/>
      </c>
      <c r="F1445" s="138" t="str">
        <f>+IFERROR(VLOOKUP(Fact_Analitica[[#This Row],[Concepto Anterior]],Conceptos_Analítica_contraloría[#All],7,0),"")</f>
        <v/>
      </c>
      <c r="I1445" s="138" t="str">
        <f>+IFERROR(VLOOKUP(D1445,Conceptos_Analítica_contraloría[#All],2,0),"")</f>
        <v/>
      </c>
      <c r="J1445" s="138" t="str">
        <f>+IFERROR(VLOOKUP(D1445,Conceptos_Analítica_contraloría[#All],3,0),"")</f>
        <v/>
      </c>
    </row>
    <row r="1446" spans="3:10" x14ac:dyDescent="0.35">
      <c r="C1446" s="144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s="138" t="str">
        <f>+IFERROR(VLOOKUP(Fact_Analitica[[#This Row],[Concepto Anterior]],Conceptos_Analítica_contraloría[#All],5,0),"")</f>
        <v/>
      </c>
      <c r="F1446" s="138" t="str">
        <f>+IFERROR(VLOOKUP(Fact_Analitica[[#This Row],[Concepto Anterior]],Conceptos_Analítica_contraloría[#All],7,0),"")</f>
        <v/>
      </c>
      <c r="I1446" s="138" t="str">
        <f>+IFERROR(VLOOKUP(D1446,Conceptos_Analítica_contraloría[#All],2,0),"")</f>
        <v/>
      </c>
      <c r="J1446" s="138" t="str">
        <f>+IFERROR(VLOOKUP(D1446,Conceptos_Analítica_contraloría[#All],3,0),"")</f>
        <v/>
      </c>
    </row>
    <row r="1447" spans="3:10" x14ac:dyDescent="0.35">
      <c r="C1447" s="144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s="138" t="str">
        <f>+IFERROR(VLOOKUP(Fact_Analitica[[#This Row],[Concepto Anterior]],Conceptos_Analítica_contraloría[#All],5,0),"")</f>
        <v/>
      </c>
      <c r="F1447" s="138" t="str">
        <f>+IFERROR(VLOOKUP(Fact_Analitica[[#This Row],[Concepto Anterior]],Conceptos_Analítica_contraloría[#All],7,0),"")</f>
        <v/>
      </c>
      <c r="I1447" s="138" t="str">
        <f>+IFERROR(VLOOKUP(D1447,Conceptos_Analítica_contraloría[#All],2,0),"")</f>
        <v/>
      </c>
      <c r="J1447" s="138" t="str">
        <f>+IFERROR(VLOOKUP(D1447,Conceptos_Analítica_contraloría[#All],3,0),"")</f>
        <v/>
      </c>
    </row>
    <row r="1448" spans="3:10" x14ac:dyDescent="0.35">
      <c r="C1448" s="144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s="138" t="str">
        <f>+IFERROR(VLOOKUP(Fact_Analitica[[#This Row],[Concepto Anterior]],Conceptos_Analítica_contraloría[#All],5,0),"")</f>
        <v/>
      </c>
      <c r="F1448" s="138" t="str">
        <f>+IFERROR(VLOOKUP(Fact_Analitica[[#This Row],[Concepto Anterior]],Conceptos_Analítica_contraloría[#All],7,0),"")</f>
        <v/>
      </c>
      <c r="I1448" s="138" t="str">
        <f>+IFERROR(VLOOKUP(D1448,Conceptos_Analítica_contraloría[#All],2,0),"")</f>
        <v/>
      </c>
      <c r="J1448" s="138" t="str">
        <f>+IFERROR(VLOOKUP(D1448,Conceptos_Analítica_contraloría[#All],3,0),"")</f>
        <v/>
      </c>
    </row>
    <row r="1449" spans="3:10" x14ac:dyDescent="0.35">
      <c r="C1449" s="144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s="138" t="str">
        <f>+IFERROR(VLOOKUP(Fact_Analitica[[#This Row],[Concepto Anterior]],Conceptos_Analítica_contraloría[#All],5,0),"")</f>
        <v/>
      </c>
      <c r="F1449" s="138" t="str">
        <f>+IFERROR(VLOOKUP(Fact_Analitica[[#This Row],[Concepto Anterior]],Conceptos_Analítica_contraloría[#All],7,0),"")</f>
        <v/>
      </c>
      <c r="I1449" s="138" t="str">
        <f>+IFERROR(VLOOKUP(D1449,Conceptos_Analítica_contraloría[#All],2,0),"")</f>
        <v/>
      </c>
      <c r="J1449" s="138" t="str">
        <f>+IFERROR(VLOOKUP(D1449,Conceptos_Analítica_contraloría[#All],3,0),"")</f>
        <v/>
      </c>
    </row>
    <row r="1450" spans="3:10" x14ac:dyDescent="0.35">
      <c r="C1450" s="144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s="138" t="str">
        <f>+IFERROR(VLOOKUP(Fact_Analitica[[#This Row],[Concepto Anterior]],Conceptos_Analítica_contraloría[#All],5,0),"")</f>
        <v/>
      </c>
      <c r="F1450" s="138" t="str">
        <f>+IFERROR(VLOOKUP(Fact_Analitica[[#This Row],[Concepto Anterior]],Conceptos_Analítica_contraloría[#All],7,0),"")</f>
        <v/>
      </c>
      <c r="I1450" s="138" t="str">
        <f>+IFERROR(VLOOKUP(D1450,Conceptos_Analítica_contraloría[#All],2,0),"")</f>
        <v/>
      </c>
      <c r="J1450" s="138" t="str">
        <f>+IFERROR(VLOOKUP(D1450,Conceptos_Analítica_contraloría[#All],3,0),"")</f>
        <v/>
      </c>
    </row>
    <row r="1451" spans="3:10" x14ac:dyDescent="0.35">
      <c r="C1451" s="144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s="138" t="str">
        <f>+IFERROR(VLOOKUP(Fact_Analitica[[#This Row],[Concepto Anterior]],Conceptos_Analítica_contraloría[#All],5,0),"")</f>
        <v/>
      </c>
      <c r="F1451" s="138" t="str">
        <f>+IFERROR(VLOOKUP(Fact_Analitica[[#This Row],[Concepto Anterior]],Conceptos_Analítica_contraloría[#All],7,0),"")</f>
        <v/>
      </c>
      <c r="I1451" s="138" t="str">
        <f>+IFERROR(VLOOKUP(D1451,Conceptos_Analítica_contraloría[#All],2,0),"")</f>
        <v/>
      </c>
      <c r="J1451" s="138" t="str">
        <f>+IFERROR(VLOOKUP(D1451,Conceptos_Analítica_contraloría[#All],3,0),"")</f>
        <v/>
      </c>
    </row>
    <row r="1452" spans="3:10" x14ac:dyDescent="0.35">
      <c r="C1452" s="144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s="138" t="str">
        <f>+IFERROR(VLOOKUP(Fact_Analitica[[#This Row],[Concepto Anterior]],Conceptos_Analítica_contraloría[#All],5,0),"")</f>
        <v/>
      </c>
      <c r="F1452" s="138" t="str">
        <f>+IFERROR(VLOOKUP(Fact_Analitica[[#This Row],[Concepto Anterior]],Conceptos_Analítica_contraloría[#All],7,0),"")</f>
        <v/>
      </c>
      <c r="I1452" s="138" t="str">
        <f>+IFERROR(VLOOKUP(D1452,Conceptos_Analítica_contraloría[#All],2,0),"")</f>
        <v/>
      </c>
      <c r="J1452" s="138" t="str">
        <f>+IFERROR(VLOOKUP(D1452,Conceptos_Analítica_contraloría[#All],3,0),"")</f>
        <v/>
      </c>
    </row>
    <row r="1453" spans="3:10" x14ac:dyDescent="0.35">
      <c r="C1453" s="144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s="138" t="str">
        <f>+IFERROR(VLOOKUP(Fact_Analitica[[#This Row],[Concepto Anterior]],Conceptos_Analítica_contraloría[#All],5,0),"")</f>
        <v/>
      </c>
      <c r="F1453" s="138" t="str">
        <f>+IFERROR(VLOOKUP(Fact_Analitica[[#This Row],[Concepto Anterior]],Conceptos_Analítica_contraloría[#All],7,0),"")</f>
        <v/>
      </c>
      <c r="I1453" s="138" t="str">
        <f>+IFERROR(VLOOKUP(D1453,Conceptos_Analítica_contraloría[#All],2,0),"")</f>
        <v/>
      </c>
      <c r="J1453" s="138" t="str">
        <f>+IFERROR(VLOOKUP(D1453,Conceptos_Analítica_contraloría[#All],3,0),"")</f>
        <v/>
      </c>
    </row>
    <row r="1454" spans="3:10" x14ac:dyDescent="0.35">
      <c r="C1454" s="144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s="138" t="str">
        <f>+IFERROR(VLOOKUP(Fact_Analitica[[#This Row],[Concepto Anterior]],Conceptos_Analítica_contraloría[#All],5,0),"")</f>
        <v/>
      </c>
      <c r="F1454" s="138" t="str">
        <f>+IFERROR(VLOOKUP(Fact_Analitica[[#This Row],[Concepto Anterior]],Conceptos_Analítica_contraloría[#All],7,0),"")</f>
        <v/>
      </c>
      <c r="I1454" s="138" t="str">
        <f>+IFERROR(VLOOKUP(D1454,Conceptos_Analítica_contraloría[#All],2,0),"")</f>
        <v/>
      </c>
      <c r="J1454" s="138" t="str">
        <f>+IFERROR(VLOOKUP(D1454,Conceptos_Analítica_contraloría[#All],3,0),"")</f>
        <v/>
      </c>
    </row>
    <row r="1455" spans="3:10" x14ac:dyDescent="0.35">
      <c r="C1455" s="144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s="138" t="str">
        <f>+IFERROR(VLOOKUP(Fact_Analitica[[#This Row],[Concepto Anterior]],Conceptos_Analítica_contraloría[#All],5,0),"")</f>
        <v/>
      </c>
      <c r="F1455" s="138" t="str">
        <f>+IFERROR(VLOOKUP(Fact_Analitica[[#This Row],[Concepto Anterior]],Conceptos_Analítica_contraloría[#All],7,0),"")</f>
        <v/>
      </c>
      <c r="I1455" s="138" t="str">
        <f>+IFERROR(VLOOKUP(D1455,Conceptos_Analítica_contraloría[#All],2,0),"")</f>
        <v/>
      </c>
      <c r="J1455" s="138" t="str">
        <f>+IFERROR(VLOOKUP(D1455,Conceptos_Analítica_contraloría[#All],3,0),"")</f>
        <v/>
      </c>
    </row>
    <row r="1456" spans="3:10" x14ac:dyDescent="0.35">
      <c r="C1456" s="144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s="138" t="str">
        <f>+IFERROR(VLOOKUP(Fact_Analitica[[#This Row],[Concepto Anterior]],Conceptos_Analítica_contraloría[#All],5,0),"")</f>
        <v/>
      </c>
      <c r="F1456" s="138" t="str">
        <f>+IFERROR(VLOOKUP(Fact_Analitica[[#This Row],[Concepto Anterior]],Conceptos_Analítica_contraloría[#All],7,0),"")</f>
        <v/>
      </c>
      <c r="I1456" s="138" t="str">
        <f>+IFERROR(VLOOKUP(D1456,Conceptos_Analítica_contraloría[#All],2,0),"")</f>
        <v/>
      </c>
      <c r="J1456" s="138" t="str">
        <f>+IFERROR(VLOOKUP(D1456,Conceptos_Analítica_contraloría[#All],3,0),"")</f>
        <v/>
      </c>
    </row>
    <row r="1457" spans="3:10" x14ac:dyDescent="0.35">
      <c r="C1457" s="144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s="138" t="str">
        <f>+IFERROR(VLOOKUP(Fact_Analitica[[#This Row],[Concepto Anterior]],Conceptos_Analítica_contraloría[#All],5,0),"")</f>
        <v/>
      </c>
      <c r="F1457" s="138" t="str">
        <f>+IFERROR(VLOOKUP(Fact_Analitica[[#This Row],[Concepto Anterior]],Conceptos_Analítica_contraloría[#All],7,0),"")</f>
        <v/>
      </c>
      <c r="I1457" s="138" t="str">
        <f>+IFERROR(VLOOKUP(D1457,Conceptos_Analítica_contraloría[#All],2,0),"")</f>
        <v/>
      </c>
      <c r="J1457" s="138" t="str">
        <f>+IFERROR(VLOOKUP(D1457,Conceptos_Analítica_contraloría[#All],3,0),"")</f>
        <v/>
      </c>
    </row>
    <row r="1458" spans="3:10" x14ac:dyDescent="0.35">
      <c r="C1458" s="144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s="138" t="str">
        <f>+IFERROR(VLOOKUP(Fact_Analitica[[#This Row],[Concepto Anterior]],Conceptos_Analítica_contraloría[#All],5,0),"")</f>
        <v/>
      </c>
      <c r="F1458" s="138" t="str">
        <f>+IFERROR(VLOOKUP(Fact_Analitica[[#This Row],[Concepto Anterior]],Conceptos_Analítica_contraloría[#All],7,0),"")</f>
        <v/>
      </c>
      <c r="I1458" s="138" t="str">
        <f>+IFERROR(VLOOKUP(D1458,Conceptos_Analítica_contraloría[#All],2,0),"")</f>
        <v/>
      </c>
      <c r="J1458" s="138" t="str">
        <f>+IFERROR(VLOOKUP(D1458,Conceptos_Analítica_contraloría[#All],3,0),"")</f>
        <v/>
      </c>
    </row>
    <row r="1459" spans="3:10" x14ac:dyDescent="0.35">
      <c r="C1459" s="144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s="138" t="str">
        <f>+IFERROR(VLOOKUP(Fact_Analitica[[#This Row],[Concepto Anterior]],Conceptos_Analítica_contraloría[#All],5,0),"")</f>
        <v/>
      </c>
      <c r="F1459" s="138" t="str">
        <f>+IFERROR(VLOOKUP(Fact_Analitica[[#This Row],[Concepto Anterior]],Conceptos_Analítica_contraloría[#All],7,0),"")</f>
        <v/>
      </c>
      <c r="I1459" s="138" t="str">
        <f>+IFERROR(VLOOKUP(D1459,Conceptos_Analítica_contraloría[#All],2,0),"")</f>
        <v/>
      </c>
      <c r="J1459" s="138" t="str">
        <f>+IFERROR(VLOOKUP(D1459,Conceptos_Analítica_contraloría[#All],3,0),"")</f>
        <v/>
      </c>
    </row>
    <row r="1460" spans="3:10" x14ac:dyDescent="0.35">
      <c r="C1460" s="144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s="138" t="str">
        <f>+IFERROR(VLOOKUP(Fact_Analitica[[#This Row],[Concepto Anterior]],Conceptos_Analítica_contraloría[#All],5,0),"")</f>
        <v/>
      </c>
      <c r="F1460" s="138" t="str">
        <f>+IFERROR(VLOOKUP(Fact_Analitica[[#This Row],[Concepto Anterior]],Conceptos_Analítica_contraloría[#All],7,0),"")</f>
        <v/>
      </c>
      <c r="I1460" s="138" t="str">
        <f>+IFERROR(VLOOKUP(D1460,Conceptos_Analítica_contraloría[#All],2,0),"")</f>
        <v/>
      </c>
      <c r="J1460" s="138" t="str">
        <f>+IFERROR(VLOOKUP(D1460,Conceptos_Analítica_contraloría[#All],3,0),"")</f>
        <v/>
      </c>
    </row>
    <row r="1461" spans="3:10" x14ac:dyDescent="0.35">
      <c r="C1461" s="144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s="138" t="str">
        <f>+IFERROR(VLOOKUP(Fact_Analitica[[#This Row],[Concepto Anterior]],Conceptos_Analítica_contraloría[#All],5,0),"")</f>
        <v/>
      </c>
      <c r="F1461" s="138" t="str">
        <f>+IFERROR(VLOOKUP(Fact_Analitica[[#This Row],[Concepto Anterior]],Conceptos_Analítica_contraloría[#All],7,0),"")</f>
        <v/>
      </c>
      <c r="I1461" s="138" t="str">
        <f>+IFERROR(VLOOKUP(D1461,Conceptos_Analítica_contraloría[#All],2,0),"")</f>
        <v/>
      </c>
      <c r="J1461" s="138" t="str">
        <f>+IFERROR(VLOOKUP(D1461,Conceptos_Analítica_contraloría[#All],3,0),"")</f>
        <v/>
      </c>
    </row>
    <row r="1462" spans="3:10" x14ac:dyDescent="0.35">
      <c r="C1462" s="144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s="138" t="str">
        <f>+IFERROR(VLOOKUP(Fact_Analitica[[#This Row],[Concepto Anterior]],Conceptos_Analítica_contraloría[#All],5,0),"")</f>
        <v/>
      </c>
      <c r="F1462" s="138" t="str">
        <f>+IFERROR(VLOOKUP(Fact_Analitica[[#This Row],[Concepto Anterior]],Conceptos_Analítica_contraloría[#All],7,0),"")</f>
        <v/>
      </c>
      <c r="I1462" s="138" t="str">
        <f>+IFERROR(VLOOKUP(D1462,Conceptos_Analítica_contraloría[#All],2,0),"")</f>
        <v/>
      </c>
      <c r="J1462" s="138" t="str">
        <f>+IFERROR(VLOOKUP(D1462,Conceptos_Analítica_contraloría[#All],3,0),"")</f>
        <v/>
      </c>
    </row>
    <row r="1463" spans="3:10" x14ac:dyDescent="0.35">
      <c r="C1463" s="144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s="138" t="str">
        <f>+IFERROR(VLOOKUP(Fact_Analitica[[#This Row],[Concepto Anterior]],Conceptos_Analítica_contraloría[#All],5,0),"")</f>
        <v/>
      </c>
      <c r="F1463" s="138" t="str">
        <f>+IFERROR(VLOOKUP(Fact_Analitica[[#This Row],[Concepto Anterior]],Conceptos_Analítica_contraloría[#All],7,0),"")</f>
        <v/>
      </c>
      <c r="I1463" s="138" t="str">
        <f>+IFERROR(VLOOKUP(D1463,Conceptos_Analítica_contraloría[#All],2,0),"")</f>
        <v/>
      </c>
      <c r="J1463" s="138" t="str">
        <f>+IFERROR(VLOOKUP(D1463,Conceptos_Analítica_contraloría[#All],3,0),"")</f>
        <v/>
      </c>
    </row>
    <row r="1464" spans="3:10" x14ac:dyDescent="0.35">
      <c r="C1464" s="144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s="138" t="str">
        <f>+IFERROR(VLOOKUP(Fact_Analitica[[#This Row],[Concepto Anterior]],Conceptos_Analítica_contraloría[#All],5,0),"")</f>
        <v/>
      </c>
      <c r="F1464" s="138" t="str">
        <f>+IFERROR(VLOOKUP(Fact_Analitica[[#This Row],[Concepto Anterior]],Conceptos_Analítica_contraloría[#All],7,0),"")</f>
        <v/>
      </c>
      <c r="I1464" s="138" t="str">
        <f>+IFERROR(VLOOKUP(D1464,Conceptos_Analítica_contraloría[#All],2,0),"")</f>
        <v/>
      </c>
      <c r="J1464" s="138" t="str">
        <f>+IFERROR(VLOOKUP(D1464,Conceptos_Analítica_contraloría[#All],3,0),"")</f>
        <v/>
      </c>
    </row>
    <row r="1465" spans="3:10" x14ac:dyDescent="0.35">
      <c r="C1465" s="144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s="138" t="str">
        <f>+IFERROR(VLOOKUP(Fact_Analitica[[#This Row],[Concepto Anterior]],Conceptos_Analítica_contraloría[#All],5,0),"")</f>
        <v/>
      </c>
      <c r="F1465" s="138" t="str">
        <f>+IFERROR(VLOOKUP(Fact_Analitica[[#This Row],[Concepto Anterior]],Conceptos_Analítica_contraloría[#All],7,0),"")</f>
        <v/>
      </c>
      <c r="I1465" s="138" t="str">
        <f>+IFERROR(VLOOKUP(D1465,Conceptos_Analítica_contraloría[#All],2,0),"")</f>
        <v/>
      </c>
      <c r="J1465" s="138" t="str">
        <f>+IFERROR(VLOOKUP(D1465,Conceptos_Analítica_contraloría[#All],3,0),"")</f>
        <v/>
      </c>
    </row>
    <row r="1466" spans="3:10" x14ac:dyDescent="0.35">
      <c r="C1466" s="144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s="138" t="str">
        <f>+IFERROR(VLOOKUP(Fact_Analitica[[#This Row],[Concepto Anterior]],Conceptos_Analítica_contraloría[#All],5,0),"")</f>
        <v/>
      </c>
      <c r="F1466" s="138" t="str">
        <f>+IFERROR(VLOOKUP(Fact_Analitica[[#This Row],[Concepto Anterior]],Conceptos_Analítica_contraloría[#All],7,0),"")</f>
        <v/>
      </c>
      <c r="I1466" s="138" t="str">
        <f>+IFERROR(VLOOKUP(D1466,Conceptos_Analítica_contraloría[#All],2,0),"")</f>
        <v/>
      </c>
      <c r="J1466" s="138" t="str">
        <f>+IFERROR(VLOOKUP(D1466,Conceptos_Analítica_contraloría[#All],3,0),"")</f>
        <v/>
      </c>
    </row>
    <row r="1467" spans="3:10" x14ac:dyDescent="0.35">
      <c r="C1467" s="144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s="138" t="str">
        <f>+IFERROR(VLOOKUP(Fact_Analitica[[#This Row],[Concepto Anterior]],Conceptos_Analítica_contraloría[#All],5,0),"")</f>
        <v/>
      </c>
      <c r="F1467" s="138" t="str">
        <f>+IFERROR(VLOOKUP(Fact_Analitica[[#This Row],[Concepto Anterior]],Conceptos_Analítica_contraloría[#All],7,0),"")</f>
        <v/>
      </c>
      <c r="I1467" s="138" t="str">
        <f>+IFERROR(VLOOKUP(D1467,Conceptos_Analítica_contraloría[#All],2,0),"")</f>
        <v/>
      </c>
      <c r="J1467" s="138" t="str">
        <f>+IFERROR(VLOOKUP(D1467,Conceptos_Analítica_contraloría[#All],3,0),"")</f>
        <v/>
      </c>
    </row>
    <row r="1468" spans="3:10" x14ac:dyDescent="0.35">
      <c r="C1468" s="144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s="138" t="str">
        <f>+IFERROR(VLOOKUP(Fact_Analitica[[#This Row],[Concepto Anterior]],Conceptos_Analítica_contraloría[#All],5,0),"")</f>
        <v/>
      </c>
      <c r="F1468" s="138" t="str">
        <f>+IFERROR(VLOOKUP(Fact_Analitica[[#This Row],[Concepto Anterior]],Conceptos_Analítica_contraloría[#All],7,0),"")</f>
        <v/>
      </c>
      <c r="I1468" s="138" t="str">
        <f>+IFERROR(VLOOKUP(D1468,Conceptos_Analítica_contraloría[#All],2,0),"")</f>
        <v/>
      </c>
      <c r="J1468" s="138" t="str">
        <f>+IFERROR(VLOOKUP(D1468,Conceptos_Analítica_contraloría[#All],3,0),"")</f>
        <v/>
      </c>
    </row>
    <row r="1469" spans="3:10" x14ac:dyDescent="0.35">
      <c r="C1469" s="144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s="138" t="str">
        <f>+IFERROR(VLOOKUP(Fact_Analitica[[#This Row],[Concepto Anterior]],Conceptos_Analítica_contraloría[#All],5,0),"")</f>
        <v/>
      </c>
      <c r="F1469" s="138" t="str">
        <f>+IFERROR(VLOOKUP(Fact_Analitica[[#This Row],[Concepto Anterior]],Conceptos_Analítica_contraloría[#All],7,0),"")</f>
        <v/>
      </c>
      <c r="I1469" s="138" t="str">
        <f>+IFERROR(VLOOKUP(D1469,Conceptos_Analítica_contraloría[#All],2,0),"")</f>
        <v/>
      </c>
      <c r="J1469" s="138" t="str">
        <f>+IFERROR(VLOOKUP(D1469,Conceptos_Analítica_contraloría[#All],3,0),"")</f>
        <v/>
      </c>
    </row>
    <row r="1470" spans="3:10" x14ac:dyDescent="0.35">
      <c r="C1470" s="144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s="138" t="str">
        <f>+IFERROR(VLOOKUP(Fact_Analitica[[#This Row],[Concepto Anterior]],Conceptos_Analítica_contraloría[#All],5,0),"")</f>
        <v/>
      </c>
      <c r="F1470" s="138" t="str">
        <f>+IFERROR(VLOOKUP(Fact_Analitica[[#This Row],[Concepto Anterior]],Conceptos_Analítica_contraloría[#All],7,0),"")</f>
        <v/>
      </c>
      <c r="I1470" s="138" t="str">
        <f>+IFERROR(VLOOKUP(D1470,Conceptos_Analítica_contraloría[#All],2,0),"")</f>
        <v/>
      </c>
      <c r="J1470" s="138" t="str">
        <f>+IFERROR(VLOOKUP(D1470,Conceptos_Analítica_contraloría[#All],3,0),"")</f>
        <v/>
      </c>
    </row>
    <row r="1471" spans="3:10" x14ac:dyDescent="0.35">
      <c r="C1471" s="144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s="138" t="str">
        <f>+IFERROR(VLOOKUP(Fact_Analitica[[#This Row],[Concepto Anterior]],Conceptos_Analítica_contraloría[#All],5,0),"")</f>
        <v/>
      </c>
      <c r="F1471" s="138" t="str">
        <f>+IFERROR(VLOOKUP(Fact_Analitica[[#This Row],[Concepto Anterior]],Conceptos_Analítica_contraloría[#All],7,0),"")</f>
        <v/>
      </c>
      <c r="I1471" s="138" t="str">
        <f>+IFERROR(VLOOKUP(D1471,Conceptos_Analítica_contraloría[#All],2,0),"")</f>
        <v/>
      </c>
      <c r="J1471" s="138" t="str">
        <f>+IFERROR(VLOOKUP(D1471,Conceptos_Analítica_contraloría[#All],3,0),"")</f>
        <v/>
      </c>
    </row>
    <row r="1472" spans="3:10" x14ac:dyDescent="0.35">
      <c r="C1472" s="144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s="138" t="str">
        <f>+IFERROR(VLOOKUP(Fact_Analitica[[#This Row],[Concepto Anterior]],Conceptos_Analítica_contraloría[#All],5,0),"")</f>
        <v/>
      </c>
      <c r="F1472" s="138" t="str">
        <f>+IFERROR(VLOOKUP(Fact_Analitica[[#This Row],[Concepto Anterior]],Conceptos_Analítica_contraloría[#All],7,0),"")</f>
        <v/>
      </c>
      <c r="I1472" s="138" t="str">
        <f>+IFERROR(VLOOKUP(D1472,Conceptos_Analítica_contraloría[#All],2,0),"")</f>
        <v/>
      </c>
      <c r="J1472" s="138" t="str">
        <f>+IFERROR(VLOOKUP(D1472,Conceptos_Analítica_contraloría[#All],3,0),"")</f>
        <v/>
      </c>
    </row>
    <row r="1473" spans="3:10" x14ac:dyDescent="0.35">
      <c r="C1473" s="144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s="138" t="str">
        <f>+IFERROR(VLOOKUP(Fact_Analitica[[#This Row],[Concepto Anterior]],Conceptos_Analítica_contraloría[#All],5,0),"")</f>
        <v/>
      </c>
      <c r="F1473" s="138" t="str">
        <f>+IFERROR(VLOOKUP(Fact_Analitica[[#This Row],[Concepto Anterior]],Conceptos_Analítica_contraloría[#All],7,0),"")</f>
        <v/>
      </c>
      <c r="I1473" s="138" t="str">
        <f>+IFERROR(VLOOKUP(D1473,Conceptos_Analítica_contraloría[#All],2,0),"")</f>
        <v/>
      </c>
      <c r="J1473" s="138" t="str">
        <f>+IFERROR(VLOOKUP(D1473,Conceptos_Analítica_contraloría[#All],3,0),"")</f>
        <v/>
      </c>
    </row>
    <row r="1474" spans="3:10" x14ac:dyDescent="0.35">
      <c r="C1474" s="144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s="138" t="str">
        <f>+IFERROR(VLOOKUP(Fact_Analitica[[#This Row],[Concepto Anterior]],Conceptos_Analítica_contraloría[#All],5,0),"")</f>
        <v/>
      </c>
      <c r="F1474" s="138" t="str">
        <f>+IFERROR(VLOOKUP(Fact_Analitica[[#This Row],[Concepto Anterior]],Conceptos_Analítica_contraloría[#All],7,0),"")</f>
        <v/>
      </c>
      <c r="I1474" s="138" t="str">
        <f>+IFERROR(VLOOKUP(D1474,Conceptos_Analítica_contraloría[#All],2,0),"")</f>
        <v/>
      </c>
      <c r="J1474" s="138" t="str">
        <f>+IFERROR(VLOOKUP(D1474,Conceptos_Analítica_contraloría[#All],3,0),"")</f>
        <v/>
      </c>
    </row>
    <row r="1475" spans="3:10" x14ac:dyDescent="0.35">
      <c r="C1475" s="144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s="138" t="str">
        <f>+IFERROR(VLOOKUP(Fact_Analitica[[#This Row],[Concepto Anterior]],Conceptos_Analítica_contraloría[#All],5,0),"")</f>
        <v/>
      </c>
      <c r="F1475" s="138" t="str">
        <f>+IFERROR(VLOOKUP(Fact_Analitica[[#This Row],[Concepto Anterior]],Conceptos_Analítica_contraloría[#All],7,0),"")</f>
        <v/>
      </c>
      <c r="I1475" s="138" t="str">
        <f>+IFERROR(VLOOKUP(D1475,Conceptos_Analítica_contraloría[#All],2,0),"")</f>
        <v/>
      </c>
      <c r="J1475" s="138" t="str">
        <f>+IFERROR(VLOOKUP(D1475,Conceptos_Analítica_contraloría[#All],3,0),"")</f>
        <v/>
      </c>
    </row>
    <row r="1476" spans="3:10" x14ac:dyDescent="0.35">
      <c r="C1476" s="144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s="138" t="str">
        <f>+IFERROR(VLOOKUP(Fact_Analitica[[#This Row],[Concepto Anterior]],Conceptos_Analítica_contraloría[#All],5,0),"")</f>
        <v/>
      </c>
      <c r="F1476" s="138" t="str">
        <f>+IFERROR(VLOOKUP(Fact_Analitica[[#This Row],[Concepto Anterior]],Conceptos_Analítica_contraloría[#All],7,0),"")</f>
        <v/>
      </c>
      <c r="I1476" s="138" t="str">
        <f>+IFERROR(VLOOKUP(D1476,Conceptos_Analítica_contraloría[#All],2,0),"")</f>
        <v/>
      </c>
      <c r="J1476" s="138" t="str">
        <f>+IFERROR(VLOOKUP(D1476,Conceptos_Analítica_contraloría[#All],3,0),"")</f>
        <v/>
      </c>
    </row>
    <row r="1477" spans="3:10" x14ac:dyDescent="0.35">
      <c r="C1477" s="144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s="138" t="str">
        <f>+IFERROR(VLOOKUP(Fact_Analitica[[#This Row],[Concepto Anterior]],Conceptos_Analítica_contraloría[#All],5,0),"")</f>
        <v/>
      </c>
      <c r="F1477" s="138" t="str">
        <f>+IFERROR(VLOOKUP(Fact_Analitica[[#This Row],[Concepto Anterior]],Conceptos_Analítica_contraloría[#All],7,0),"")</f>
        <v/>
      </c>
      <c r="I1477" s="138" t="str">
        <f>+IFERROR(VLOOKUP(D1477,Conceptos_Analítica_contraloría[#All],2,0),"")</f>
        <v/>
      </c>
      <c r="J1477" s="138" t="str">
        <f>+IFERROR(VLOOKUP(D1477,Conceptos_Analítica_contraloría[#All],3,0),"")</f>
        <v/>
      </c>
    </row>
    <row r="1478" spans="3:10" x14ac:dyDescent="0.35">
      <c r="C1478" s="144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s="138" t="str">
        <f>+IFERROR(VLOOKUP(Fact_Analitica[[#This Row],[Concepto Anterior]],Conceptos_Analítica_contraloría[#All],5,0),"")</f>
        <v/>
      </c>
      <c r="F1478" s="138" t="str">
        <f>+IFERROR(VLOOKUP(Fact_Analitica[[#This Row],[Concepto Anterior]],Conceptos_Analítica_contraloría[#All],7,0),"")</f>
        <v/>
      </c>
      <c r="I1478" s="138" t="str">
        <f>+IFERROR(VLOOKUP(D1478,Conceptos_Analítica_contraloría[#All],2,0),"")</f>
        <v/>
      </c>
      <c r="J1478" s="138" t="str">
        <f>+IFERROR(VLOOKUP(D1478,Conceptos_Analítica_contraloría[#All],3,0),"")</f>
        <v/>
      </c>
    </row>
    <row r="1479" spans="3:10" x14ac:dyDescent="0.35">
      <c r="C1479" s="144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s="138" t="str">
        <f>+IFERROR(VLOOKUP(Fact_Analitica[[#This Row],[Concepto Anterior]],Conceptos_Analítica_contraloría[#All],5,0),"")</f>
        <v/>
      </c>
      <c r="F1479" s="138" t="str">
        <f>+IFERROR(VLOOKUP(Fact_Analitica[[#This Row],[Concepto Anterior]],Conceptos_Analítica_contraloría[#All],7,0),"")</f>
        <v/>
      </c>
      <c r="I1479" s="138" t="str">
        <f>+IFERROR(VLOOKUP(D1479,Conceptos_Analítica_contraloría[#All],2,0),"")</f>
        <v/>
      </c>
      <c r="J1479" s="138" t="str">
        <f>+IFERROR(VLOOKUP(D1479,Conceptos_Analítica_contraloría[#All],3,0),"")</f>
        <v/>
      </c>
    </row>
    <row r="1480" spans="3:10" x14ac:dyDescent="0.35">
      <c r="C1480" s="144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s="138" t="str">
        <f>+IFERROR(VLOOKUP(Fact_Analitica[[#This Row],[Concepto Anterior]],Conceptos_Analítica_contraloría[#All],5,0),"")</f>
        <v/>
      </c>
      <c r="F1480" s="138" t="str">
        <f>+IFERROR(VLOOKUP(Fact_Analitica[[#This Row],[Concepto Anterior]],Conceptos_Analítica_contraloría[#All],7,0),"")</f>
        <v/>
      </c>
      <c r="I1480" s="138" t="str">
        <f>+IFERROR(VLOOKUP(D1480,Conceptos_Analítica_contraloría[#All],2,0),"")</f>
        <v/>
      </c>
      <c r="J1480" s="138" t="str">
        <f>+IFERROR(VLOOKUP(D1480,Conceptos_Analítica_contraloría[#All],3,0),"")</f>
        <v/>
      </c>
    </row>
    <row r="1481" spans="3:10" x14ac:dyDescent="0.35">
      <c r="C1481" s="144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s="138" t="str">
        <f>+IFERROR(VLOOKUP(Fact_Analitica[[#This Row],[Concepto Anterior]],Conceptos_Analítica_contraloría[#All],5,0),"")</f>
        <v/>
      </c>
      <c r="F1481" s="138" t="str">
        <f>+IFERROR(VLOOKUP(Fact_Analitica[[#This Row],[Concepto Anterior]],Conceptos_Analítica_contraloría[#All],7,0),"")</f>
        <v/>
      </c>
      <c r="I1481" s="138" t="str">
        <f>+IFERROR(VLOOKUP(D1481,Conceptos_Analítica_contraloría[#All],2,0),"")</f>
        <v/>
      </c>
      <c r="J1481" s="138" t="str">
        <f>+IFERROR(VLOOKUP(D1481,Conceptos_Analítica_contraloría[#All],3,0),"")</f>
        <v/>
      </c>
    </row>
    <row r="1482" spans="3:10" x14ac:dyDescent="0.35">
      <c r="C1482" s="144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s="138" t="str">
        <f>+IFERROR(VLOOKUP(Fact_Analitica[[#This Row],[Concepto Anterior]],Conceptos_Analítica_contraloría[#All],5,0),"")</f>
        <v/>
      </c>
      <c r="F1482" s="138" t="str">
        <f>+IFERROR(VLOOKUP(Fact_Analitica[[#This Row],[Concepto Anterior]],Conceptos_Analítica_contraloría[#All],7,0),"")</f>
        <v/>
      </c>
      <c r="I1482" s="138" t="str">
        <f>+IFERROR(VLOOKUP(D1482,Conceptos_Analítica_contraloría[#All],2,0),"")</f>
        <v/>
      </c>
      <c r="J1482" s="138" t="str">
        <f>+IFERROR(VLOOKUP(D1482,Conceptos_Analítica_contraloría[#All],3,0),"")</f>
        <v/>
      </c>
    </row>
    <row r="1483" spans="3:10" x14ac:dyDescent="0.35">
      <c r="C1483" s="144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s="138" t="str">
        <f>+IFERROR(VLOOKUP(Fact_Analitica[[#This Row],[Concepto Anterior]],Conceptos_Analítica_contraloría[#All],5,0),"")</f>
        <v/>
      </c>
      <c r="F1483" s="138" t="str">
        <f>+IFERROR(VLOOKUP(Fact_Analitica[[#This Row],[Concepto Anterior]],Conceptos_Analítica_contraloría[#All],7,0),"")</f>
        <v/>
      </c>
      <c r="I1483" s="138" t="str">
        <f>+IFERROR(VLOOKUP(D1483,Conceptos_Analítica_contraloría[#All],2,0),"")</f>
        <v/>
      </c>
      <c r="J1483" s="138" t="str">
        <f>+IFERROR(VLOOKUP(D1483,Conceptos_Analítica_contraloría[#All],3,0),"")</f>
        <v/>
      </c>
    </row>
    <row r="1484" spans="3:10" x14ac:dyDescent="0.35">
      <c r="C1484" s="144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s="138" t="str">
        <f>+IFERROR(VLOOKUP(Fact_Analitica[[#This Row],[Concepto Anterior]],Conceptos_Analítica_contraloría[#All],5,0),"")</f>
        <v/>
      </c>
      <c r="F1484" s="138" t="str">
        <f>+IFERROR(VLOOKUP(Fact_Analitica[[#This Row],[Concepto Anterior]],Conceptos_Analítica_contraloría[#All],7,0),"")</f>
        <v/>
      </c>
      <c r="I1484" s="138" t="str">
        <f>+IFERROR(VLOOKUP(D1484,Conceptos_Analítica_contraloría[#All],2,0),"")</f>
        <v/>
      </c>
      <c r="J1484" s="138" t="str">
        <f>+IFERROR(VLOOKUP(D1484,Conceptos_Analítica_contraloría[#All],3,0),"")</f>
        <v/>
      </c>
    </row>
    <row r="1485" spans="3:10" x14ac:dyDescent="0.35">
      <c r="C1485" s="144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s="138" t="str">
        <f>+IFERROR(VLOOKUP(Fact_Analitica[[#This Row],[Concepto Anterior]],Conceptos_Analítica_contraloría[#All],5,0),"")</f>
        <v/>
      </c>
      <c r="F1485" s="138" t="str">
        <f>+IFERROR(VLOOKUP(Fact_Analitica[[#This Row],[Concepto Anterior]],Conceptos_Analítica_contraloría[#All],7,0),"")</f>
        <v/>
      </c>
      <c r="I1485" s="138" t="str">
        <f>+IFERROR(VLOOKUP(D1485,Conceptos_Analítica_contraloría[#All],2,0),"")</f>
        <v/>
      </c>
      <c r="J1485" s="138" t="str">
        <f>+IFERROR(VLOOKUP(D1485,Conceptos_Analítica_contraloría[#All],3,0),"")</f>
        <v/>
      </c>
    </row>
    <row r="1486" spans="3:10" x14ac:dyDescent="0.35">
      <c r="C1486" s="144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s="138" t="str">
        <f>+IFERROR(VLOOKUP(Fact_Analitica[[#This Row],[Concepto Anterior]],Conceptos_Analítica_contraloría[#All],5,0),"")</f>
        <v/>
      </c>
      <c r="F1486" s="138" t="str">
        <f>+IFERROR(VLOOKUP(Fact_Analitica[[#This Row],[Concepto Anterior]],Conceptos_Analítica_contraloría[#All],7,0),"")</f>
        <v/>
      </c>
      <c r="I1486" s="138" t="str">
        <f>+IFERROR(VLOOKUP(D1486,Conceptos_Analítica_contraloría[#All],2,0),"")</f>
        <v/>
      </c>
      <c r="J1486" s="138" t="str">
        <f>+IFERROR(VLOOKUP(D1486,Conceptos_Analítica_contraloría[#All],3,0),"")</f>
        <v/>
      </c>
    </row>
    <row r="1487" spans="3:10" x14ac:dyDescent="0.35">
      <c r="C1487" s="144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s="138" t="str">
        <f>+IFERROR(VLOOKUP(Fact_Analitica[[#This Row],[Concepto Anterior]],Conceptos_Analítica_contraloría[#All],5,0),"")</f>
        <v/>
      </c>
      <c r="F1487" s="138" t="str">
        <f>+IFERROR(VLOOKUP(Fact_Analitica[[#This Row],[Concepto Anterior]],Conceptos_Analítica_contraloría[#All],7,0),"")</f>
        <v/>
      </c>
      <c r="I1487" s="138" t="str">
        <f>+IFERROR(VLOOKUP(D1487,Conceptos_Analítica_contraloría[#All],2,0),"")</f>
        <v/>
      </c>
      <c r="J1487" s="138" t="str">
        <f>+IFERROR(VLOOKUP(D1487,Conceptos_Analítica_contraloría[#All],3,0),"")</f>
        <v/>
      </c>
    </row>
    <row r="1488" spans="3:10" x14ac:dyDescent="0.35">
      <c r="C1488" s="144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s="138" t="str">
        <f>+IFERROR(VLOOKUP(Fact_Analitica[[#This Row],[Concepto Anterior]],Conceptos_Analítica_contraloría[#All],5,0),"")</f>
        <v/>
      </c>
      <c r="F1488" s="138" t="str">
        <f>+IFERROR(VLOOKUP(Fact_Analitica[[#This Row],[Concepto Anterior]],Conceptos_Analítica_contraloría[#All],7,0),"")</f>
        <v/>
      </c>
      <c r="I1488" s="138" t="str">
        <f>+IFERROR(VLOOKUP(D1488,Conceptos_Analítica_contraloría[#All],2,0),"")</f>
        <v/>
      </c>
      <c r="J1488" s="138" t="str">
        <f>+IFERROR(VLOOKUP(D1488,Conceptos_Analítica_contraloría[#All],3,0),"")</f>
        <v/>
      </c>
    </row>
    <row r="1489" spans="3:10" x14ac:dyDescent="0.35">
      <c r="C1489" s="144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s="138" t="str">
        <f>+IFERROR(VLOOKUP(Fact_Analitica[[#This Row],[Concepto Anterior]],Conceptos_Analítica_contraloría[#All],5,0),"")</f>
        <v/>
      </c>
      <c r="F1489" s="138" t="str">
        <f>+IFERROR(VLOOKUP(Fact_Analitica[[#This Row],[Concepto Anterior]],Conceptos_Analítica_contraloría[#All],7,0),"")</f>
        <v/>
      </c>
      <c r="I1489" s="138" t="str">
        <f>+IFERROR(VLOOKUP(D1489,Conceptos_Analítica_contraloría[#All],2,0),"")</f>
        <v/>
      </c>
      <c r="J1489" s="138" t="str">
        <f>+IFERROR(VLOOKUP(D1489,Conceptos_Analítica_contraloría[#All],3,0),"")</f>
        <v/>
      </c>
    </row>
    <row r="1490" spans="3:10" x14ac:dyDescent="0.35">
      <c r="C1490" s="144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s="138" t="str">
        <f>+IFERROR(VLOOKUP(Fact_Analitica[[#This Row],[Concepto Anterior]],Conceptos_Analítica_contraloría[#All],5,0),"")</f>
        <v/>
      </c>
      <c r="F1490" s="138" t="str">
        <f>+IFERROR(VLOOKUP(Fact_Analitica[[#This Row],[Concepto Anterior]],Conceptos_Analítica_contraloría[#All],7,0),"")</f>
        <v/>
      </c>
      <c r="I1490" s="138" t="str">
        <f>+IFERROR(VLOOKUP(D1490,Conceptos_Analítica_contraloría[#All],2,0),"")</f>
        <v/>
      </c>
      <c r="J1490" s="138" t="str">
        <f>+IFERROR(VLOOKUP(D1490,Conceptos_Analítica_contraloría[#All],3,0),"")</f>
        <v/>
      </c>
    </row>
    <row r="1491" spans="3:10" x14ac:dyDescent="0.35">
      <c r="C1491" s="144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s="138" t="str">
        <f>+IFERROR(VLOOKUP(Fact_Analitica[[#This Row],[Concepto Anterior]],Conceptos_Analítica_contraloría[#All],5,0),"")</f>
        <v/>
      </c>
      <c r="F1491" s="138" t="str">
        <f>+IFERROR(VLOOKUP(Fact_Analitica[[#This Row],[Concepto Anterior]],Conceptos_Analítica_contraloría[#All],7,0),"")</f>
        <v/>
      </c>
      <c r="I1491" s="138" t="str">
        <f>+IFERROR(VLOOKUP(D1491,Conceptos_Analítica_contraloría[#All],2,0),"")</f>
        <v/>
      </c>
      <c r="J1491" s="138" t="str">
        <f>+IFERROR(VLOOKUP(D1491,Conceptos_Analítica_contraloría[#All],3,0),"")</f>
        <v/>
      </c>
    </row>
    <row r="1492" spans="3:10" x14ac:dyDescent="0.35">
      <c r="C1492" s="144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s="138" t="str">
        <f>+IFERROR(VLOOKUP(Fact_Analitica[[#This Row],[Concepto Anterior]],Conceptos_Analítica_contraloría[#All],5,0),"")</f>
        <v/>
      </c>
      <c r="F1492" s="138" t="str">
        <f>+IFERROR(VLOOKUP(Fact_Analitica[[#This Row],[Concepto Anterior]],Conceptos_Analítica_contraloría[#All],7,0),"")</f>
        <v/>
      </c>
      <c r="I1492" s="138" t="str">
        <f>+IFERROR(VLOOKUP(D1492,Conceptos_Analítica_contraloría[#All],2,0),"")</f>
        <v/>
      </c>
      <c r="J1492" s="138" t="str">
        <f>+IFERROR(VLOOKUP(D1492,Conceptos_Analítica_contraloría[#All],3,0),"")</f>
        <v/>
      </c>
    </row>
    <row r="1493" spans="3:10" x14ac:dyDescent="0.35">
      <c r="C1493" s="144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s="138" t="str">
        <f>+IFERROR(VLOOKUP(Fact_Analitica[[#This Row],[Concepto Anterior]],Conceptos_Analítica_contraloría[#All],5,0),"")</f>
        <v/>
      </c>
      <c r="F1493" s="138" t="str">
        <f>+IFERROR(VLOOKUP(Fact_Analitica[[#This Row],[Concepto Anterior]],Conceptos_Analítica_contraloría[#All],7,0),"")</f>
        <v/>
      </c>
      <c r="I1493" s="138" t="str">
        <f>+IFERROR(VLOOKUP(D1493,Conceptos_Analítica_contraloría[#All],2,0),"")</f>
        <v/>
      </c>
      <c r="J1493" s="138" t="str">
        <f>+IFERROR(VLOOKUP(D1493,Conceptos_Analítica_contraloría[#All],3,0),"")</f>
        <v/>
      </c>
    </row>
    <row r="1494" spans="3:10" x14ac:dyDescent="0.35">
      <c r="C1494" s="144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s="138" t="str">
        <f>+IFERROR(VLOOKUP(Fact_Analitica[[#This Row],[Concepto Anterior]],Conceptos_Analítica_contraloría[#All],5,0),"")</f>
        <v/>
      </c>
      <c r="F1494" s="138" t="str">
        <f>+IFERROR(VLOOKUP(Fact_Analitica[[#This Row],[Concepto Anterior]],Conceptos_Analítica_contraloría[#All],7,0),"")</f>
        <v/>
      </c>
      <c r="I1494" s="138" t="str">
        <f>+IFERROR(VLOOKUP(D1494,Conceptos_Analítica_contraloría[#All],2,0),"")</f>
        <v/>
      </c>
      <c r="J1494" s="138" t="str">
        <f>+IFERROR(VLOOKUP(D1494,Conceptos_Analítica_contraloría[#All],3,0),"")</f>
        <v/>
      </c>
    </row>
    <row r="1495" spans="3:10" x14ac:dyDescent="0.35">
      <c r="C1495" s="144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s="138" t="str">
        <f>+IFERROR(VLOOKUP(Fact_Analitica[[#This Row],[Concepto Anterior]],Conceptos_Analítica_contraloría[#All],5,0),"")</f>
        <v/>
      </c>
      <c r="F1495" s="138" t="str">
        <f>+IFERROR(VLOOKUP(Fact_Analitica[[#This Row],[Concepto Anterior]],Conceptos_Analítica_contraloría[#All],7,0),"")</f>
        <v/>
      </c>
      <c r="I1495" s="138" t="str">
        <f>+IFERROR(VLOOKUP(D1495,Conceptos_Analítica_contraloría[#All],2,0),"")</f>
        <v/>
      </c>
      <c r="J1495" s="138" t="str">
        <f>+IFERROR(VLOOKUP(D1495,Conceptos_Analítica_contraloría[#All],3,0),"")</f>
        <v/>
      </c>
    </row>
    <row r="1496" spans="3:10" x14ac:dyDescent="0.35">
      <c r="C1496" s="144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s="138" t="str">
        <f>+IFERROR(VLOOKUP(Fact_Analitica[[#This Row],[Concepto Anterior]],Conceptos_Analítica_contraloría[#All],5,0),"")</f>
        <v/>
      </c>
      <c r="F1496" s="138" t="str">
        <f>+IFERROR(VLOOKUP(Fact_Analitica[[#This Row],[Concepto Anterior]],Conceptos_Analítica_contraloría[#All],7,0),"")</f>
        <v/>
      </c>
      <c r="I1496" s="138" t="str">
        <f>+IFERROR(VLOOKUP(D1496,Conceptos_Analítica_contraloría[#All],2,0),"")</f>
        <v/>
      </c>
      <c r="J1496" s="138" t="str">
        <f>+IFERROR(VLOOKUP(D1496,Conceptos_Analítica_contraloría[#All],3,0),"")</f>
        <v/>
      </c>
    </row>
    <row r="1497" spans="3:10" x14ac:dyDescent="0.35">
      <c r="C1497" s="144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s="138" t="str">
        <f>+IFERROR(VLOOKUP(Fact_Analitica[[#This Row],[Concepto Anterior]],Conceptos_Analítica_contraloría[#All],5,0),"")</f>
        <v/>
      </c>
      <c r="F1497" s="138" t="str">
        <f>+IFERROR(VLOOKUP(Fact_Analitica[[#This Row],[Concepto Anterior]],Conceptos_Analítica_contraloría[#All],7,0),"")</f>
        <v/>
      </c>
      <c r="I1497" s="138" t="str">
        <f>+IFERROR(VLOOKUP(D1497,Conceptos_Analítica_contraloría[#All],2,0),"")</f>
        <v/>
      </c>
      <c r="J1497" s="138" t="str">
        <f>+IFERROR(VLOOKUP(D1497,Conceptos_Analítica_contraloría[#All],3,0),"")</f>
        <v/>
      </c>
    </row>
    <row r="1498" spans="3:10" x14ac:dyDescent="0.35">
      <c r="C1498" s="144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s="138" t="str">
        <f>+IFERROR(VLOOKUP(Fact_Analitica[[#This Row],[Concepto Anterior]],Conceptos_Analítica_contraloría[#All],5,0),"")</f>
        <v/>
      </c>
      <c r="F1498" s="138" t="str">
        <f>+IFERROR(VLOOKUP(Fact_Analitica[[#This Row],[Concepto Anterior]],Conceptos_Analítica_contraloría[#All],7,0),"")</f>
        <v/>
      </c>
      <c r="I1498" s="138" t="str">
        <f>+IFERROR(VLOOKUP(D1498,Conceptos_Analítica_contraloría[#All],2,0),"")</f>
        <v/>
      </c>
      <c r="J1498" s="138" t="str">
        <f>+IFERROR(VLOOKUP(D1498,Conceptos_Analítica_contraloría[#All],3,0),"")</f>
        <v/>
      </c>
    </row>
    <row r="1499" spans="3:10" x14ac:dyDescent="0.35">
      <c r="C1499" s="144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s="138" t="str">
        <f>+IFERROR(VLOOKUP(Fact_Analitica[[#This Row],[Concepto Anterior]],Conceptos_Analítica_contraloría[#All],5,0),"")</f>
        <v/>
      </c>
      <c r="F1499" s="138" t="str">
        <f>+IFERROR(VLOOKUP(Fact_Analitica[[#This Row],[Concepto Anterior]],Conceptos_Analítica_contraloría[#All],7,0),"")</f>
        <v/>
      </c>
      <c r="I1499" s="138" t="str">
        <f>+IFERROR(VLOOKUP(D1499,Conceptos_Analítica_contraloría[#All],2,0),"")</f>
        <v/>
      </c>
      <c r="J1499" s="138" t="str">
        <f>+IFERROR(VLOOKUP(D1499,Conceptos_Analítica_contraloría[#All],3,0),"")</f>
        <v/>
      </c>
    </row>
    <row r="1500" spans="3:10" x14ac:dyDescent="0.35">
      <c r="C1500" s="144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s="138" t="str">
        <f>+IFERROR(VLOOKUP(Fact_Analitica[[#This Row],[Concepto Anterior]],Conceptos_Analítica_contraloría[#All],5,0),"")</f>
        <v/>
      </c>
      <c r="F1500" s="138" t="str">
        <f>+IFERROR(VLOOKUP(Fact_Analitica[[#This Row],[Concepto Anterior]],Conceptos_Analítica_contraloría[#All],7,0),"")</f>
        <v/>
      </c>
      <c r="I1500" s="138" t="str">
        <f>+IFERROR(VLOOKUP(D1500,Conceptos_Analítica_contraloría[#All],2,0),"")</f>
        <v/>
      </c>
      <c r="J1500" s="138" t="str">
        <f>+IFERROR(VLOOKUP(D1500,Conceptos_Analítica_contraloría[#All],3,0),"")</f>
        <v/>
      </c>
    </row>
    <row r="1501" spans="3:10" x14ac:dyDescent="0.35">
      <c r="C1501" s="144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s="138" t="str">
        <f>+IFERROR(VLOOKUP(Fact_Analitica[[#This Row],[Concepto Anterior]],Conceptos_Analítica_contraloría[#All],5,0),"")</f>
        <v/>
      </c>
      <c r="F1501" s="138" t="str">
        <f>+IFERROR(VLOOKUP(Fact_Analitica[[#This Row],[Concepto Anterior]],Conceptos_Analítica_contraloría[#All],7,0),"")</f>
        <v/>
      </c>
      <c r="I1501" s="138" t="str">
        <f>+IFERROR(VLOOKUP(D1501,Conceptos_Analítica_contraloría[#All],2,0),"")</f>
        <v/>
      </c>
      <c r="J1501" s="138" t="str">
        <f>+IFERROR(VLOOKUP(D1501,Conceptos_Analítica_contraloría[#All],3,0),"")</f>
        <v/>
      </c>
    </row>
    <row r="1502" spans="3:10" x14ac:dyDescent="0.35">
      <c r="C1502" s="144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s="138" t="str">
        <f>+IFERROR(VLOOKUP(Fact_Analitica[[#This Row],[Concepto Anterior]],Conceptos_Analítica_contraloría[#All],5,0),"")</f>
        <v/>
      </c>
      <c r="F1502" s="138" t="str">
        <f>+IFERROR(VLOOKUP(Fact_Analitica[[#This Row],[Concepto Anterior]],Conceptos_Analítica_contraloría[#All],7,0),"")</f>
        <v/>
      </c>
      <c r="I1502" s="138" t="str">
        <f>+IFERROR(VLOOKUP(D1502,Conceptos_Analítica_contraloría[#All],2,0),"")</f>
        <v/>
      </c>
      <c r="J1502" s="138" t="str">
        <f>+IFERROR(VLOOKUP(D1502,Conceptos_Analítica_contraloría[#All],3,0),"")</f>
        <v/>
      </c>
    </row>
    <row r="1503" spans="3:10" x14ac:dyDescent="0.35">
      <c r="C1503" s="144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s="138" t="str">
        <f>+IFERROR(VLOOKUP(Fact_Analitica[[#This Row],[Concepto Anterior]],Conceptos_Analítica_contraloría[#All],5,0),"")</f>
        <v/>
      </c>
      <c r="F1503" s="138" t="str">
        <f>+IFERROR(VLOOKUP(Fact_Analitica[[#This Row],[Concepto Anterior]],Conceptos_Analítica_contraloría[#All],7,0),"")</f>
        <v/>
      </c>
      <c r="I1503" s="138" t="str">
        <f>+IFERROR(VLOOKUP(D1503,Conceptos_Analítica_contraloría[#All],2,0),"")</f>
        <v/>
      </c>
      <c r="J1503" s="138" t="str">
        <f>+IFERROR(VLOOKUP(D1503,Conceptos_Analítica_contraloría[#All],3,0),"")</f>
        <v/>
      </c>
    </row>
    <row r="1504" spans="3:10" x14ac:dyDescent="0.35">
      <c r="C1504" s="144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s="138" t="str">
        <f>+IFERROR(VLOOKUP(Fact_Analitica[[#This Row],[Concepto Anterior]],Conceptos_Analítica_contraloría[#All],5,0),"")</f>
        <v/>
      </c>
      <c r="F1504" s="138" t="str">
        <f>+IFERROR(VLOOKUP(Fact_Analitica[[#This Row],[Concepto Anterior]],Conceptos_Analítica_contraloría[#All],7,0),"")</f>
        <v/>
      </c>
      <c r="I1504" s="138" t="str">
        <f>+IFERROR(VLOOKUP(D1504,Conceptos_Analítica_contraloría[#All],2,0),"")</f>
        <v/>
      </c>
      <c r="J1504" s="138" t="str">
        <f>+IFERROR(VLOOKUP(D1504,Conceptos_Analítica_contraloría[#All],3,0),"")</f>
        <v/>
      </c>
    </row>
    <row r="1505" spans="3:10" x14ac:dyDescent="0.35">
      <c r="C1505" s="144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s="138" t="str">
        <f>+IFERROR(VLOOKUP(Fact_Analitica[[#This Row],[Concepto Anterior]],Conceptos_Analítica_contraloría[#All],5,0),"")</f>
        <v/>
      </c>
      <c r="F1505" s="138" t="str">
        <f>+IFERROR(VLOOKUP(Fact_Analitica[[#This Row],[Concepto Anterior]],Conceptos_Analítica_contraloría[#All],7,0),"")</f>
        <v/>
      </c>
      <c r="I1505" s="138" t="str">
        <f>+IFERROR(VLOOKUP(D1505,Conceptos_Analítica_contraloría[#All],2,0),"")</f>
        <v/>
      </c>
      <c r="J1505" s="138" t="str">
        <f>+IFERROR(VLOOKUP(D1505,Conceptos_Analítica_contraloría[#All],3,0),"")</f>
        <v/>
      </c>
    </row>
    <row r="1506" spans="3:10" x14ac:dyDescent="0.35">
      <c r="C1506" s="144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s="138" t="str">
        <f>+IFERROR(VLOOKUP(Fact_Analitica[[#This Row],[Concepto Anterior]],Conceptos_Analítica_contraloría[#All],5,0),"")</f>
        <v/>
      </c>
      <c r="F1506" s="138" t="str">
        <f>+IFERROR(VLOOKUP(Fact_Analitica[[#This Row],[Concepto Anterior]],Conceptos_Analítica_contraloría[#All],7,0),"")</f>
        <v/>
      </c>
      <c r="I1506" s="138" t="str">
        <f>+IFERROR(VLOOKUP(D1506,Conceptos_Analítica_contraloría[#All],2,0),"")</f>
        <v/>
      </c>
      <c r="J1506" s="138" t="str">
        <f>+IFERROR(VLOOKUP(D1506,Conceptos_Analítica_contraloría[#All],3,0),"")</f>
        <v/>
      </c>
    </row>
    <row r="1507" spans="3:10" x14ac:dyDescent="0.35">
      <c r="C1507" s="144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s="138" t="str">
        <f>+IFERROR(VLOOKUP(Fact_Analitica[[#This Row],[Concepto Anterior]],Conceptos_Analítica_contraloría[#All],5,0),"")</f>
        <v/>
      </c>
      <c r="F1507" s="138" t="str">
        <f>+IFERROR(VLOOKUP(Fact_Analitica[[#This Row],[Concepto Anterior]],Conceptos_Analítica_contraloría[#All],7,0),"")</f>
        <v/>
      </c>
      <c r="I1507" s="138" t="str">
        <f>+IFERROR(VLOOKUP(D1507,Conceptos_Analítica_contraloría[#All],2,0),"")</f>
        <v/>
      </c>
      <c r="J1507" s="138" t="str">
        <f>+IFERROR(VLOOKUP(D1507,Conceptos_Analítica_contraloría[#All],3,0),"")</f>
        <v/>
      </c>
    </row>
    <row r="1508" spans="3:10" x14ac:dyDescent="0.35">
      <c r="C1508" s="144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s="138" t="str">
        <f>+IFERROR(VLOOKUP(Fact_Analitica[[#This Row],[Concepto Anterior]],Conceptos_Analítica_contraloría[#All],5,0),"")</f>
        <v/>
      </c>
      <c r="F1508" s="138" t="str">
        <f>+IFERROR(VLOOKUP(Fact_Analitica[[#This Row],[Concepto Anterior]],Conceptos_Analítica_contraloría[#All],7,0),"")</f>
        <v/>
      </c>
      <c r="I1508" s="138" t="str">
        <f>+IFERROR(VLOOKUP(D1508,Conceptos_Analítica_contraloría[#All],2,0),"")</f>
        <v/>
      </c>
      <c r="J1508" s="138" t="str">
        <f>+IFERROR(VLOOKUP(D1508,Conceptos_Analítica_contraloría[#All],3,0),"")</f>
        <v/>
      </c>
    </row>
    <row r="1509" spans="3:10" x14ac:dyDescent="0.35">
      <c r="C1509" s="144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s="138" t="str">
        <f>+IFERROR(VLOOKUP(Fact_Analitica[[#This Row],[Concepto Anterior]],Conceptos_Analítica_contraloría[#All],5,0),"")</f>
        <v/>
      </c>
      <c r="F1509" s="138" t="str">
        <f>+IFERROR(VLOOKUP(Fact_Analitica[[#This Row],[Concepto Anterior]],Conceptos_Analítica_contraloría[#All],7,0),"")</f>
        <v/>
      </c>
      <c r="I1509" s="138" t="str">
        <f>+IFERROR(VLOOKUP(D1509,Conceptos_Analítica_contraloría[#All],2,0),"")</f>
        <v/>
      </c>
      <c r="J1509" s="138" t="str">
        <f>+IFERROR(VLOOKUP(D1509,Conceptos_Analítica_contraloría[#All],3,0),"")</f>
        <v/>
      </c>
    </row>
    <row r="1510" spans="3:10" x14ac:dyDescent="0.35">
      <c r="C1510" s="144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s="138" t="str">
        <f>+IFERROR(VLOOKUP(Fact_Analitica[[#This Row],[Concepto Anterior]],Conceptos_Analítica_contraloría[#All],5,0),"")</f>
        <v/>
      </c>
      <c r="F1510" s="138" t="str">
        <f>+IFERROR(VLOOKUP(Fact_Analitica[[#This Row],[Concepto Anterior]],Conceptos_Analítica_contraloría[#All],7,0),"")</f>
        <v/>
      </c>
      <c r="I1510" s="138" t="str">
        <f>+IFERROR(VLOOKUP(D1510,Conceptos_Analítica_contraloría[#All],2,0),"")</f>
        <v/>
      </c>
      <c r="J1510" s="138" t="str">
        <f>+IFERROR(VLOOKUP(D1510,Conceptos_Analítica_contraloría[#All],3,0),"")</f>
        <v/>
      </c>
    </row>
    <row r="1511" spans="3:10" x14ac:dyDescent="0.35">
      <c r="C1511" s="144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s="138" t="str">
        <f>+IFERROR(VLOOKUP(Fact_Analitica[[#This Row],[Concepto Anterior]],Conceptos_Analítica_contraloría[#All],5,0),"")</f>
        <v/>
      </c>
      <c r="F1511" s="138" t="str">
        <f>+IFERROR(VLOOKUP(Fact_Analitica[[#This Row],[Concepto Anterior]],Conceptos_Analítica_contraloría[#All],7,0),"")</f>
        <v/>
      </c>
      <c r="I1511" s="138" t="str">
        <f>+IFERROR(VLOOKUP(D1511,Conceptos_Analítica_contraloría[#All],2,0),"")</f>
        <v/>
      </c>
      <c r="J1511" s="138" t="str">
        <f>+IFERROR(VLOOKUP(D1511,Conceptos_Analítica_contraloría[#All],3,0),"")</f>
        <v/>
      </c>
    </row>
    <row r="1512" spans="3:10" x14ac:dyDescent="0.35">
      <c r="C1512" s="144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s="138" t="str">
        <f>+IFERROR(VLOOKUP(Fact_Analitica[[#This Row],[Concepto Anterior]],Conceptos_Analítica_contraloría[#All],5,0),"")</f>
        <v/>
      </c>
      <c r="F1512" s="138" t="str">
        <f>+IFERROR(VLOOKUP(Fact_Analitica[[#This Row],[Concepto Anterior]],Conceptos_Analítica_contraloría[#All],7,0),"")</f>
        <v/>
      </c>
      <c r="I1512" s="138" t="str">
        <f>+IFERROR(VLOOKUP(D1512,Conceptos_Analítica_contraloría[#All],2,0),"")</f>
        <v/>
      </c>
      <c r="J1512" s="138" t="str">
        <f>+IFERROR(VLOOKUP(D1512,Conceptos_Analítica_contraloría[#All],3,0),"")</f>
        <v/>
      </c>
    </row>
    <row r="1513" spans="3:10" x14ac:dyDescent="0.35">
      <c r="C1513" s="144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s="138" t="str">
        <f>+IFERROR(VLOOKUP(Fact_Analitica[[#This Row],[Concepto Anterior]],Conceptos_Analítica_contraloría[#All],5,0),"")</f>
        <v/>
      </c>
      <c r="F1513" s="138" t="str">
        <f>+IFERROR(VLOOKUP(Fact_Analitica[[#This Row],[Concepto Anterior]],Conceptos_Analítica_contraloría[#All],7,0),"")</f>
        <v/>
      </c>
      <c r="I1513" s="138" t="str">
        <f>+IFERROR(VLOOKUP(D1513,Conceptos_Analítica_contraloría[#All],2,0),"")</f>
        <v/>
      </c>
      <c r="J1513" s="138" t="str">
        <f>+IFERROR(VLOOKUP(D1513,Conceptos_Analítica_contraloría[#All],3,0),"")</f>
        <v/>
      </c>
    </row>
    <row r="1514" spans="3:10" x14ac:dyDescent="0.35">
      <c r="C1514" s="144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s="138" t="str">
        <f>+IFERROR(VLOOKUP(Fact_Analitica[[#This Row],[Concepto Anterior]],Conceptos_Analítica_contraloría[#All],5,0),"")</f>
        <v/>
      </c>
      <c r="F1514" s="138" t="str">
        <f>+IFERROR(VLOOKUP(Fact_Analitica[[#This Row],[Concepto Anterior]],Conceptos_Analítica_contraloría[#All],7,0),"")</f>
        <v/>
      </c>
      <c r="I1514" s="138" t="str">
        <f>+IFERROR(VLOOKUP(D1514,Conceptos_Analítica_contraloría[#All],2,0),"")</f>
        <v/>
      </c>
      <c r="J1514" s="138" t="str">
        <f>+IFERROR(VLOOKUP(D1514,Conceptos_Analítica_contraloría[#All],3,0),"")</f>
        <v/>
      </c>
    </row>
    <row r="1515" spans="3:10" x14ac:dyDescent="0.35">
      <c r="C1515" s="144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s="138" t="str">
        <f>+IFERROR(VLOOKUP(Fact_Analitica[[#This Row],[Concepto Anterior]],Conceptos_Analítica_contraloría[#All],5,0),"")</f>
        <v/>
      </c>
      <c r="F1515" s="138" t="str">
        <f>+IFERROR(VLOOKUP(Fact_Analitica[[#This Row],[Concepto Anterior]],Conceptos_Analítica_contraloría[#All],7,0),"")</f>
        <v/>
      </c>
      <c r="I1515" s="138" t="str">
        <f>+IFERROR(VLOOKUP(D1515,Conceptos_Analítica_contraloría[#All],2,0),"")</f>
        <v/>
      </c>
      <c r="J1515" s="138" t="str">
        <f>+IFERROR(VLOOKUP(D1515,Conceptos_Analítica_contraloría[#All],3,0),"")</f>
        <v/>
      </c>
    </row>
    <row r="1516" spans="3:10" x14ac:dyDescent="0.35">
      <c r="C1516" s="144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s="138" t="str">
        <f>+IFERROR(VLOOKUP(Fact_Analitica[[#This Row],[Concepto Anterior]],Conceptos_Analítica_contraloría[#All],5,0),"")</f>
        <v/>
      </c>
      <c r="F1516" s="138" t="str">
        <f>+IFERROR(VLOOKUP(Fact_Analitica[[#This Row],[Concepto Anterior]],Conceptos_Analítica_contraloría[#All],7,0),"")</f>
        <v/>
      </c>
      <c r="I1516" s="138" t="str">
        <f>+IFERROR(VLOOKUP(D1516,Conceptos_Analítica_contraloría[#All],2,0),"")</f>
        <v/>
      </c>
      <c r="J1516" s="138" t="str">
        <f>+IFERROR(VLOOKUP(D1516,Conceptos_Analítica_contraloría[#All],3,0),"")</f>
        <v/>
      </c>
    </row>
    <row r="1517" spans="3:10" x14ac:dyDescent="0.35">
      <c r="C1517" s="144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s="138" t="str">
        <f>+IFERROR(VLOOKUP(Fact_Analitica[[#This Row],[Concepto Anterior]],Conceptos_Analítica_contraloría[#All],5,0),"")</f>
        <v/>
      </c>
      <c r="F1517" s="138" t="str">
        <f>+IFERROR(VLOOKUP(Fact_Analitica[[#This Row],[Concepto Anterior]],Conceptos_Analítica_contraloría[#All],7,0),"")</f>
        <v/>
      </c>
      <c r="I1517" s="138" t="str">
        <f>+IFERROR(VLOOKUP(D1517,Conceptos_Analítica_contraloría[#All],2,0),"")</f>
        <v/>
      </c>
      <c r="J1517" s="138" t="str">
        <f>+IFERROR(VLOOKUP(D1517,Conceptos_Analítica_contraloría[#All],3,0),"")</f>
        <v/>
      </c>
    </row>
    <row r="1518" spans="3:10" x14ac:dyDescent="0.35">
      <c r="C1518" s="144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s="138" t="str">
        <f>+IFERROR(VLOOKUP(Fact_Analitica[[#This Row],[Concepto Anterior]],Conceptos_Analítica_contraloría[#All],5,0),"")</f>
        <v/>
      </c>
      <c r="F1518" s="138" t="str">
        <f>+IFERROR(VLOOKUP(Fact_Analitica[[#This Row],[Concepto Anterior]],Conceptos_Analítica_contraloría[#All],7,0),"")</f>
        <v/>
      </c>
      <c r="I1518" s="138" t="str">
        <f>+IFERROR(VLOOKUP(D1518,Conceptos_Analítica_contraloría[#All],2,0),"")</f>
        <v/>
      </c>
      <c r="J1518" s="138" t="str">
        <f>+IFERROR(VLOOKUP(D1518,Conceptos_Analítica_contraloría[#All],3,0),"")</f>
        <v/>
      </c>
    </row>
    <row r="1519" spans="3:10" x14ac:dyDescent="0.35">
      <c r="C1519" s="144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s="138" t="str">
        <f>+IFERROR(VLOOKUP(Fact_Analitica[[#This Row],[Concepto Anterior]],Conceptos_Analítica_contraloría[#All],5,0),"")</f>
        <v/>
      </c>
      <c r="F1519" s="138" t="str">
        <f>+IFERROR(VLOOKUP(Fact_Analitica[[#This Row],[Concepto Anterior]],Conceptos_Analítica_contraloría[#All],7,0),"")</f>
        <v/>
      </c>
      <c r="I1519" s="138" t="str">
        <f>+IFERROR(VLOOKUP(D1519,Conceptos_Analítica_contraloría[#All],2,0),"")</f>
        <v/>
      </c>
      <c r="J1519" s="138" t="str">
        <f>+IFERROR(VLOOKUP(D1519,Conceptos_Analítica_contraloría[#All],3,0),"")</f>
        <v/>
      </c>
    </row>
    <row r="1520" spans="3:10" x14ac:dyDescent="0.35">
      <c r="C1520" s="144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s="138" t="str">
        <f>+IFERROR(VLOOKUP(Fact_Analitica[[#This Row],[Concepto Anterior]],Conceptos_Analítica_contraloría[#All],5,0),"")</f>
        <v/>
      </c>
      <c r="F1520" s="138" t="str">
        <f>+IFERROR(VLOOKUP(Fact_Analitica[[#This Row],[Concepto Anterior]],Conceptos_Analítica_contraloría[#All],7,0),"")</f>
        <v/>
      </c>
      <c r="I1520" s="138" t="str">
        <f>+IFERROR(VLOOKUP(D1520,Conceptos_Analítica_contraloría[#All],2,0),"")</f>
        <v/>
      </c>
      <c r="J1520" s="138" t="str">
        <f>+IFERROR(VLOOKUP(D1520,Conceptos_Analítica_contraloría[#All],3,0),"")</f>
        <v/>
      </c>
    </row>
    <row r="1521" spans="3:10" x14ac:dyDescent="0.35">
      <c r="C1521" s="144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s="138" t="str">
        <f>+IFERROR(VLOOKUP(Fact_Analitica[[#This Row],[Concepto Anterior]],Conceptos_Analítica_contraloría[#All],5,0),"")</f>
        <v/>
      </c>
      <c r="F1521" s="138" t="str">
        <f>+IFERROR(VLOOKUP(Fact_Analitica[[#This Row],[Concepto Anterior]],Conceptos_Analítica_contraloría[#All],7,0),"")</f>
        <v/>
      </c>
      <c r="I1521" s="138" t="str">
        <f>+IFERROR(VLOOKUP(D1521,Conceptos_Analítica_contraloría[#All],2,0),"")</f>
        <v/>
      </c>
      <c r="J1521" s="138" t="str">
        <f>+IFERROR(VLOOKUP(D1521,Conceptos_Analítica_contraloría[#All],3,0),"")</f>
        <v/>
      </c>
    </row>
    <row r="1522" spans="3:10" x14ac:dyDescent="0.35">
      <c r="C1522" s="144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s="138" t="str">
        <f>+IFERROR(VLOOKUP(Fact_Analitica[[#This Row],[Concepto Anterior]],Conceptos_Analítica_contraloría[#All],5,0),"")</f>
        <v/>
      </c>
      <c r="F1522" s="138" t="str">
        <f>+IFERROR(VLOOKUP(Fact_Analitica[[#This Row],[Concepto Anterior]],Conceptos_Analítica_contraloría[#All],7,0),"")</f>
        <v/>
      </c>
      <c r="I1522" s="138" t="str">
        <f>+IFERROR(VLOOKUP(D1522,Conceptos_Analítica_contraloría[#All],2,0),"")</f>
        <v/>
      </c>
      <c r="J1522" s="138" t="str">
        <f>+IFERROR(VLOOKUP(D1522,Conceptos_Analítica_contraloría[#All],3,0),"")</f>
        <v/>
      </c>
    </row>
    <row r="1523" spans="3:10" x14ac:dyDescent="0.35">
      <c r="C1523" s="144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s="138" t="str">
        <f>+IFERROR(VLOOKUP(Fact_Analitica[[#This Row],[Concepto Anterior]],Conceptos_Analítica_contraloría[#All],5,0),"")</f>
        <v/>
      </c>
      <c r="F1523" s="138" t="str">
        <f>+IFERROR(VLOOKUP(Fact_Analitica[[#This Row],[Concepto Anterior]],Conceptos_Analítica_contraloría[#All],7,0),"")</f>
        <v/>
      </c>
      <c r="I1523" s="138" t="str">
        <f>+IFERROR(VLOOKUP(D1523,Conceptos_Analítica_contraloría[#All],2,0),"")</f>
        <v/>
      </c>
      <c r="J1523" s="138" t="str">
        <f>+IFERROR(VLOOKUP(D1523,Conceptos_Analítica_contraloría[#All],3,0),"")</f>
        <v/>
      </c>
    </row>
    <row r="1524" spans="3:10" x14ac:dyDescent="0.35">
      <c r="C1524" s="144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s="138" t="str">
        <f>+IFERROR(VLOOKUP(Fact_Analitica[[#This Row],[Concepto Anterior]],Conceptos_Analítica_contraloría[#All],5,0),"")</f>
        <v/>
      </c>
      <c r="F1524" s="138" t="str">
        <f>+IFERROR(VLOOKUP(Fact_Analitica[[#This Row],[Concepto Anterior]],Conceptos_Analítica_contraloría[#All],7,0),"")</f>
        <v/>
      </c>
      <c r="I1524" s="138" t="str">
        <f>+IFERROR(VLOOKUP(D1524,Conceptos_Analítica_contraloría[#All],2,0),"")</f>
        <v/>
      </c>
      <c r="J1524" s="138" t="str">
        <f>+IFERROR(VLOOKUP(D1524,Conceptos_Analítica_contraloría[#All],3,0),"")</f>
        <v/>
      </c>
    </row>
    <row r="1525" spans="3:10" x14ac:dyDescent="0.35">
      <c r="C1525" s="144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s="138" t="str">
        <f>+IFERROR(VLOOKUP(Fact_Analitica[[#This Row],[Concepto Anterior]],Conceptos_Analítica_contraloría[#All],5,0),"")</f>
        <v/>
      </c>
      <c r="F1525" s="138" t="str">
        <f>+IFERROR(VLOOKUP(Fact_Analitica[[#This Row],[Concepto Anterior]],Conceptos_Analítica_contraloría[#All],7,0),"")</f>
        <v/>
      </c>
      <c r="I1525" s="138" t="str">
        <f>+IFERROR(VLOOKUP(D1525,Conceptos_Analítica_contraloría[#All],2,0),"")</f>
        <v/>
      </c>
      <c r="J1525" s="138" t="str">
        <f>+IFERROR(VLOOKUP(D1525,Conceptos_Analítica_contraloría[#All],3,0),"")</f>
        <v/>
      </c>
    </row>
    <row r="1526" spans="3:10" x14ac:dyDescent="0.35">
      <c r="C1526" s="144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s="138" t="str">
        <f>+IFERROR(VLOOKUP(Fact_Analitica[[#This Row],[Concepto Anterior]],Conceptos_Analítica_contraloría[#All],5,0),"")</f>
        <v/>
      </c>
      <c r="F1526" s="138" t="str">
        <f>+IFERROR(VLOOKUP(Fact_Analitica[[#This Row],[Concepto Anterior]],Conceptos_Analítica_contraloría[#All],7,0),"")</f>
        <v/>
      </c>
      <c r="I1526" s="138" t="str">
        <f>+IFERROR(VLOOKUP(D1526,Conceptos_Analítica_contraloría[#All],2,0),"")</f>
        <v/>
      </c>
      <c r="J1526" s="138" t="str">
        <f>+IFERROR(VLOOKUP(D1526,Conceptos_Analítica_contraloría[#All],3,0),"")</f>
        <v/>
      </c>
    </row>
    <row r="1527" spans="3:10" x14ac:dyDescent="0.35">
      <c r="C1527" s="144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s="138" t="str">
        <f>+IFERROR(VLOOKUP(Fact_Analitica[[#This Row],[Concepto Anterior]],Conceptos_Analítica_contraloría[#All],5,0),"")</f>
        <v/>
      </c>
      <c r="F1527" s="138" t="str">
        <f>+IFERROR(VLOOKUP(Fact_Analitica[[#This Row],[Concepto Anterior]],Conceptos_Analítica_contraloría[#All],7,0),"")</f>
        <v/>
      </c>
      <c r="I1527" s="138" t="str">
        <f>+IFERROR(VLOOKUP(D1527,Conceptos_Analítica_contraloría[#All],2,0),"")</f>
        <v/>
      </c>
      <c r="J1527" s="138" t="str">
        <f>+IFERROR(VLOOKUP(D1527,Conceptos_Analítica_contraloría[#All],3,0),"")</f>
        <v/>
      </c>
    </row>
    <row r="1528" spans="3:10" x14ac:dyDescent="0.35">
      <c r="C1528" s="144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s="138" t="str">
        <f>+IFERROR(VLOOKUP(Fact_Analitica[[#This Row],[Concepto Anterior]],Conceptos_Analítica_contraloría[#All],5,0),"")</f>
        <v/>
      </c>
      <c r="F1528" s="138" t="str">
        <f>+IFERROR(VLOOKUP(Fact_Analitica[[#This Row],[Concepto Anterior]],Conceptos_Analítica_contraloría[#All],7,0),"")</f>
        <v/>
      </c>
      <c r="I1528" s="138" t="str">
        <f>+IFERROR(VLOOKUP(D1528,Conceptos_Analítica_contraloría[#All],2,0),"")</f>
        <v/>
      </c>
      <c r="J1528" s="138" t="str">
        <f>+IFERROR(VLOOKUP(D1528,Conceptos_Analítica_contraloría[#All],3,0),"")</f>
        <v/>
      </c>
    </row>
    <row r="1529" spans="3:10" x14ac:dyDescent="0.35">
      <c r="C1529" s="144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s="138" t="str">
        <f>+IFERROR(VLOOKUP(Fact_Analitica[[#This Row],[Concepto Anterior]],Conceptos_Analítica_contraloría[#All],5,0),"")</f>
        <v/>
      </c>
      <c r="F1529" s="138" t="str">
        <f>+IFERROR(VLOOKUP(Fact_Analitica[[#This Row],[Concepto Anterior]],Conceptos_Analítica_contraloría[#All],7,0),"")</f>
        <v/>
      </c>
      <c r="I1529" s="138" t="str">
        <f>+IFERROR(VLOOKUP(D1529,Conceptos_Analítica_contraloría[#All],2,0),"")</f>
        <v/>
      </c>
      <c r="J1529" s="138" t="str">
        <f>+IFERROR(VLOOKUP(D1529,Conceptos_Analítica_contraloría[#All],3,0),"")</f>
        <v/>
      </c>
    </row>
    <row r="1530" spans="3:10" x14ac:dyDescent="0.35">
      <c r="C1530" s="144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s="138" t="str">
        <f>+IFERROR(VLOOKUP(Fact_Analitica[[#This Row],[Concepto Anterior]],Conceptos_Analítica_contraloría[#All],5,0),"")</f>
        <v/>
      </c>
      <c r="F1530" s="138" t="str">
        <f>+IFERROR(VLOOKUP(Fact_Analitica[[#This Row],[Concepto Anterior]],Conceptos_Analítica_contraloría[#All],7,0),"")</f>
        <v/>
      </c>
      <c r="I1530" s="138" t="str">
        <f>+IFERROR(VLOOKUP(D1530,Conceptos_Analítica_contraloría[#All],2,0),"")</f>
        <v/>
      </c>
      <c r="J1530" s="138" t="str">
        <f>+IFERROR(VLOOKUP(D1530,Conceptos_Analítica_contraloría[#All],3,0),"")</f>
        <v/>
      </c>
    </row>
    <row r="1531" spans="3:10" x14ac:dyDescent="0.35">
      <c r="C1531" s="144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s="138" t="str">
        <f>+IFERROR(VLOOKUP(Fact_Analitica[[#This Row],[Concepto Anterior]],Conceptos_Analítica_contraloría[#All],5,0),"")</f>
        <v/>
      </c>
      <c r="F1531" s="138" t="str">
        <f>+IFERROR(VLOOKUP(Fact_Analitica[[#This Row],[Concepto Anterior]],Conceptos_Analítica_contraloría[#All],7,0),"")</f>
        <v/>
      </c>
      <c r="I1531" s="138" t="str">
        <f>+IFERROR(VLOOKUP(D1531,Conceptos_Analítica_contraloría[#All],2,0),"")</f>
        <v/>
      </c>
      <c r="J1531" s="138" t="str">
        <f>+IFERROR(VLOOKUP(D1531,Conceptos_Analítica_contraloría[#All],3,0),"")</f>
        <v/>
      </c>
    </row>
    <row r="1532" spans="3:10" x14ac:dyDescent="0.35">
      <c r="C1532" s="144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s="138" t="str">
        <f>+IFERROR(VLOOKUP(Fact_Analitica[[#This Row],[Concepto Anterior]],Conceptos_Analítica_contraloría[#All],5,0),"")</f>
        <v/>
      </c>
      <c r="F1532" s="138" t="str">
        <f>+IFERROR(VLOOKUP(Fact_Analitica[[#This Row],[Concepto Anterior]],Conceptos_Analítica_contraloría[#All],7,0),"")</f>
        <v/>
      </c>
      <c r="I1532" s="138" t="str">
        <f>+IFERROR(VLOOKUP(D1532,Conceptos_Analítica_contraloría[#All],2,0),"")</f>
        <v/>
      </c>
      <c r="J1532" s="138" t="str">
        <f>+IFERROR(VLOOKUP(D1532,Conceptos_Analítica_contraloría[#All],3,0),"")</f>
        <v/>
      </c>
    </row>
    <row r="1533" spans="3:10" x14ac:dyDescent="0.35">
      <c r="C1533" s="144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s="138" t="str">
        <f>+IFERROR(VLOOKUP(Fact_Analitica[[#This Row],[Concepto Anterior]],Conceptos_Analítica_contraloría[#All],5,0),"")</f>
        <v/>
      </c>
      <c r="F1533" s="138" t="str">
        <f>+IFERROR(VLOOKUP(Fact_Analitica[[#This Row],[Concepto Anterior]],Conceptos_Analítica_contraloría[#All],7,0),"")</f>
        <v/>
      </c>
      <c r="I1533" s="138" t="str">
        <f>+IFERROR(VLOOKUP(D1533,Conceptos_Analítica_contraloría[#All],2,0),"")</f>
        <v/>
      </c>
      <c r="J1533" s="138" t="str">
        <f>+IFERROR(VLOOKUP(D1533,Conceptos_Analítica_contraloría[#All],3,0),"")</f>
        <v/>
      </c>
    </row>
    <row r="1534" spans="3:10" x14ac:dyDescent="0.35">
      <c r="C1534" s="144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s="138" t="str">
        <f>+IFERROR(VLOOKUP(Fact_Analitica[[#This Row],[Concepto Anterior]],Conceptos_Analítica_contraloría[#All],5,0),"")</f>
        <v/>
      </c>
      <c r="F1534" s="138" t="str">
        <f>+IFERROR(VLOOKUP(Fact_Analitica[[#This Row],[Concepto Anterior]],Conceptos_Analítica_contraloría[#All],7,0),"")</f>
        <v/>
      </c>
      <c r="I1534" s="138" t="str">
        <f>+IFERROR(VLOOKUP(D1534,Conceptos_Analítica_contraloría[#All],2,0),"")</f>
        <v/>
      </c>
      <c r="J1534" s="138" t="str">
        <f>+IFERROR(VLOOKUP(D1534,Conceptos_Analítica_contraloría[#All],3,0),"")</f>
        <v/>
      </c>
    </row>
    <row r="1535" spans="3:10" x14ac:dyDescent="0.35">
      <c r="C1535" s="144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s="138" t="str">
        <f>+IFERROR(VLOOKUP(Fact_Analitica[[#This Row],[Concepto Anterior]],Conceptos_Analítica_contraloría[#All],5,0),"")</f>
        <v/>
      </c>
      <c r="F1535" s="138" t="str">
        <f>+IFERROR(VLOOKUP(Fact_Analitica[[#This Row],[Concepto Anterior]],Conceptos_Analítica_contraloría[#All],7,0),"")</f>
        <v/>
      </c>
      <c r="I1535" s="138" t="str">
        <f>+IFERROR(VLOOKUP(D1535,Conceptos_Analítica_contraloría[#All],2,0),"")</f>
        <v/>
      </c>
      <c r="J1535" s="138" t="str">
        <f>+IFERROR(VLOOKUP(D1535,Conceptos_Analítica_contraloría[#All],3,0),"")</f>
        <v/>
      </c>
    </row>
    <row r="1536" spans="3:10" x14ac:dyDescent="0.35">
      <c r="C1536" s="144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s="138" t="str">
        <f>+IFERROR(VLOOKUP(Fact_Analitica[[#This Row],[Concepto Anterior]],Conceptos_Analítica_contraloría[#All],5,0),"")</f>
        <v/>
      </c>
      <c r="F1536" s="138" t="str">
        <f>+IFERROR(VLOOKUP(Fact_Analitica[[#This Row],[Concepto Anterior]],Conceptos_Analítica_contraloría[#All],7,0),"")</f>
        <v/>
      </c>
      <c r="I1536" s="138" t="str">
        <f>+IFERROR(VLOOKUP(D1536,Conceptos_Analítica_contraloría[#All],2,0),"")</f>
        <v/>
      </c>
      <c r="J1536" s="138" t="str">
        <f>+IFERROR(VLOOKUP(D1536,Conceptos_Analítica_contraloría[#All],3,0),"")</f>
        <v/>
      </c>
    </row>
    <row r="1537" spans="3:10" x14ac:dyDescent="0.35">
      <c r="C1537" s="144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s="138" t="str">
        <f>+IFERROR(VLOOKUP(Fact_Analitica[[#This Row],[Concepto Anterior]],Conceptos_Analítica_contraloría[#All],5,0),"")</f>
        <v/>
      </c>
      <c r="F1537" s="138" t="str">
        <f>+IFERROR(VLOOKUP(Fact_Analitica[[#This Row],[Concepto Anterior]],Conceptos_Analítica_contraloría[#All],7,0),"")</f>
        <v/>
      </c>
      <c r="I1537" s="138" t="str">
        <f>+IFERROR(VLOOKUP(D1537,Conceptos_Analítica_contraloría[#All],2,0),"")</f>
        <v/>
      </c>
      <c r="J1537" s="138" t="str">
        <f>+IFERROR(VLOOKUP(D1537,Conceptos_Analítica_contraloría[#All],3,0),"")</f>
        <v/>
      </c>
    </row>
    <row r="1538" spans="3:10" x14ac:dyDescent="0.35">
      <c r="C1538" s="144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s="138" t="str">
        <f>+IFERROR(VLOOKUP(Fact_Analitica[[#This Row],[Concepto Anterior]],Conceptos_Analítica_contraloría[#All],5,0),"")</f>
        <v/>
      </c>
      <c r="F1538" s="138" t="str">
        <f>+IFERROR(VLOOKUP(Fact_Analitica[[#This Row],[Concepto Anterior]],Conceptos_Analítica_contraloría[#All],7,0),"")</f>
        <v/>
      </c>
      <c r="I1538" s="138" t="str">
        <f>+IFERROR(VLOOKUP(D1538,Conceptos_Analítica_contraloría[#All],2,0),"")</f>
        <v/>
      </c>
      <c r="J1538" s="138" t="str">
        <f>+IFERROR(VLOOKUP(D1538,Conceptos_Analítica_contraloría[#All],3,0),"")</f>
        <v/>
      </c>
    </row>
    <row r="1539" spans="3:10" x14ac:dyDescent="0.35">
      <c r="C1539" s="144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s="138" t="str">
        <f>+IFERROR(VLOOKUP(Fact_Analitica[[#This Row],[Concepto Anterior]],Conceptos_Analítica_contraloría[#All],5,0),"")</f>
        <v/>
      </c>
      <c r="F1539" s="138" t="str">
        <f>+IFERROR(VLOOKUP(Fact_Analitica[[#This Row],[Concepto Anterior]],Conceptos_Analítica_contraloría[#All],7,0),"")</f>
        <v/>
      </c>
      <c r="I1539" s="138" t="str">
        <f>+IFERROR(VLOOKUP(D1539,Conceptos_Analítica_contraloría[#All],2,0),"")</f>
        <v/>
      </c>
      <c r="J1539" s="138" t="str">
        <f>+IFERROR(VLOOKUP(D1539,Conceptos_Analítica_contraloría[#All],3,0),"")</f>
        <v/>
      </c>
    </row>
    <row r="1540" spans="3:10" x14ac:dyDescent="0.35">
      <c r="C1540" s="144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s="138" t="str">
        <f>+IFERROR(VLOOKUP(Fact_Analitica[[#This Row],[Concepto Anterior]],Conceptos_Analítica_contraloría[#All],5,0),"")</f>
        <v/>
      </c>
      <c r="F1540" s="138" t="str">
        <f>+IFERROR(VLOOKUP(Fact_Analitica[[#This Row],[Concepto Anterior]],Conceptos_Analítica_contraloría[#All],7,0),"")</f>
        <v/>
      </c>
      <c r="I1540" s="138" t="str">
        <f>+IFERROR(VLOOKUP(D1540,Conceptos_Analítica_contraloría[#All],2,0),"")</f>
        <v/>
      </c>
      <c r="J1540" s="138" t="str">
        <f>+IFERROR(VLOOKUP(D1540,Conceptos_Analítica_contraloría[#All],3,0),"")</f>
        <v/>
      </c>
    </row>
    <row r="1541" spans="3:10" x14ac:dyDescent="0.35">
      <c r="C1541" s="144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s="138" t="str">
        <f>+IFERROR(VLOOKUP(Fact_Analitica[[#This Row],[Concepto Anterior]],Conceptos_Analítica_contraloría[#All],5,0),"")</f>
        <v/>
      </c>
      <c r="F1541" s="138" t="str">
        <f>+IFERROR(VLOOKUP(Fact_Analitica[[#This Row],[Concepto Anterior]],Conceptos_Analítica_contraloría[#All],7,0),"")</f>
        <v/>
      </c>
      <c r="I1541" s="138" t="str">
        <f>+IFERROR(VLOOKUP(D1541,Conceptos_Analítica_contraloría[#All],2,0),"")</f>
        <v/>
      </c>
      <c r="J1541" s="138" t="str">
        <f>+IFERROR(VLOOKUP(D1541,Conceptos_Analítica_contraloría[#All],3,0),"")</f>
        <v/>
      </c>
    </row>
    <row r="1542" spans="3:10" x14ac:dyDescent="0.35">
      <c r="C1542" s="144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s="138" t="str">
        <f>+IFERROR(VLOOKUP(Fact_Analitica[[#This Row],[Concepto Anterior]],Conceptos_Analítica_contraloría[#All],5,0),"")</f>
        <v/>
      </c>
      <c r="F1542" s="138" t="str">
        <f>+IFERROR(VLOOKUP(Fact_Analitica[[#This Row],[Concepto Anterior]],Conceptos_Analítica_contraloría[#All],7,0),"")</f>
        <v/>
      </c>
      <c r="I1542" s="138" t="str">
        <f>+IFERROR(VLOOKUP(D1542,Conceptos_Analítica_contraloría[#All],2,0),"")</f>
        <v/>
      </c>
      <c r="J1542" s="138" t="str">
        <f>+IFERROR(VLOOKUP(D1542,Conceptos_Analítica_contraloría[#All],3,0),"")</f>
        <v/>
      </c>
    </row>
    <row r="1543" spans="3:10" x14ac:dyDescent="0.35">
      <c r="C1543" s="144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s="138" t="str">
        <f>+IFERROR(VLOOKUP(Fact_Analitica[[#This Row],[Concepto Anterior]],Conceptos_Analítica_contraloría[#All],5,0),"")</f>
        <v/>
      </c>
      <c r="F1543" s="138" t="str">
        <f>+IFERROR(VLOOKUP(Fact_Analitica[[#This Row],[Concepto Anterior]],Conceptos_Analítica_contraloría[#All],7,0),"")</f>
        <v/>
      </c>
      <c r="I1543" s="138" t="str">
        <f>+IFERROR(VLOOKUP(D1543,Conceptos_Analítica_contraloría[#All],2,0),"")</f>
        <v/>
      </c>
      <c r="J1543" s="138" t="str">
        <f>+IFERROR(VLOOKUP(D1543,Conceptos_Analítica_contraloría[#All],3,0),"")</f>
        <v/>
      </c>
    </row>
    <row r="1544" spans="3:10" x14ac:dyDescent="0.35">
      <c r="C1544" s="144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s="138" t="str">
        <f>+IFERROR(VLOOKUP(Fact_Analitica[[#This Row],[Concepto Anterior]],Conceptos_Analítica_contraloría[#All],5,0),"")</f>
        <v/>
      </c>
      <c r="F1544" s="138" t="str">
        <f>+IFERROR(VLOOKUP(Fact_Analitica[[#This Row],[Concepto Anterior]],Conceptos_Analítica_contraloría[#All],7,0),"")</f>
        <v/>
      </c>
      <c r="I1544" s="138" t="str">
        <f>+IFERROR(VLOOKUP(D1544,Conceptos_Analítica_contraloría[#All],2,0),"")</f>
        <v/>
      </c>
      <c r="J1544" s="138" t="str">
        <f>+IFERROR(VLOOKUP(D1544,Conceptos_Analítica_contraloría[#All],3,0),"")</f>
        <v/>
      </c>
    </row>
    <row r="1545" spans="3:10" x14ac:dyDescent="0.35">
      <c r="C1545" s="144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s="138" t="str">
        <f>+IFERROR(VLOOKUP(Fact_Analitica[[#This Row],[Concepto Anterior]],Conceptos_Analítica_contraloría[#All],5,0),"")</f>
        <v/>
      </c>
      <c r="F1545" s="138" t="str">
        <f>+IFERROR(VLOOKUP(Fact_Analitica[[#This Row],[Concepto Anterior]],Conceptos_Analítica_contraloría[#All],7,0),"")</f>
        <v/>
      </c>
      <c r="I1545" s="138" t="str">
        <f>+IFERROR(VLOOKUP(D1545,Conceptos_Analítica_contraloría[#All],2,0),"")</f>
        <v/>
      </c>
      <c r="J1545" s="138" t="str">
        <f>+IFERROR(VLOOKUP(D1545,Conceptos_Analítica_contraloría[#All],3,0),"")</f>
        <v/>
      </c>
    </row>
    <row r="1546" spans="3:10" x14ac:dyDescent="0.35">
      <c r="C1546" s="144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s="138" t="str">
        <f>+IFERROR(VLOOKUP(Fact_Analitica[[#This Row],[Concepto Anterior]],Conceptos_Analítica_contraloría[#All],5,0),"")</f>
        <v/>
      </c>
      <c r="F1546" s="138" t="str">
        <f>+IFERROR(VLOOKUP(Fact_Analitica[[#This Row],[Concepto Anterior]],Conceptos_Analítica_contraloría[#All],7,0),"")</f>
        <v/>
      </c>
      <c r="I1546" s="138" t="str">
        <f>+IFERROR(VLOOKUP(D1546,Conceptos_Analítica_contraloría[#All],2,0),"")</f>
        <v/>
      </c>
      <c r="J1546" s="138" t="str">
        <f>+IFERROR(VLOOKUP(D1546,Conceptos_Analítica_contraloría[#All],3,0),"")</f>
        <v/>
      </c>
    </row>
    <row r="1547" spans="3:10" x14ac:dyDescent="0.35">
      <c r="C1547" s="144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s="138" t="str">
        <f>+IFERROR(VLOOKUP(Fact_Analitica[[#This Row],[Concepto Anterior]],Conceptos_Analítica_contraloría[#All],5,0),"")</f>
        <v/>
      </c>
      <c r="F1547" s="138" t="str">
        <f>+IFERROR(VLOOKUP(Fact_Analitica[[#This Row],[Concepto Anterior]],Conceptos_Analítica_contraloría[#All],7,0),"")</f>
        <v/>
      </c>
      <c r="I1547" s="138" t="str">
        <f>+IFERROR(VLOOKUP(D1547,Conceptos_Analítica_contraloría[#All],2,0),"")</f>
        <v/>
      </c>
      <c r="J1547" s="138" t="str">
        <f>+IFERROR(VLOOKUP(D1547,Conceptos_Analítica_contraloría[#All],3,0),"")</f>
        <v/>
      </c>
    </row>
    <row r="1548" spans="3:10" x14ac:dyDescent="0.35">
      <c r="C1548" s="144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s="138" t="str">
        <f>+IFERROR(VLOOKUP(Fact_Analitica[[#This Row],[Concepto Anterior]],Conceptos_Analítica_contraloría[#All],5,0),"")</f>
        <v/>
      </c>
      <c r="F1548" s="138" t="str">
        <f>+IFERROR(VLOOKUP(Fact_Analitica[[#This Row],[Concepto Anterior]],Conceptos_Analítica_contraloría[#All],7,0),"")</f>
        <v/>
      </c>
      <c r="I1548" s="138" t="str">
        <f>+IFERROR(VLOOKUP(D1548,Conceptos_Analítica_contraloría[#All],2,0),"")</f>
        <v/>
      </c>
      <c r="J1548" s="138" t="str">
        <f>+IFERROR(VLOOKUP(D1548,Conceptos_Analítica_contraloría[#All],3,0),"")</f>
        <v/>
      </c>
    </row>
    <row r="1549" spans="3:10" x14ac:dyDescent="0.35">
      <c r="C1549" s="144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s="138" t="str">
        <f>+IFERROR(VLOOKUP(Fact_Analitica[[#This Row],[Concepto Anterior]],Conceptos_Analítica_contraloría[#All],5,0),"")</f>
        <v/>
      </c>
      <c r="F1549" s="138" t="str">
        <f>+IFERROR(VLOOKUP(Fact_Analitica[[#This Row],[Concepto Anterior]],Conceptos_Analítica_contraloría[#All],7,0),"")</f>
        <v/>
      </c>
      <c r="I1549" s="138" t="str">
        <f>+IFERROR(VLOOKUP(D1549,Conceptos_Analítica_contraloría[#All],2,0),"")</f>
        <v/>
      </c>
      <c r="J1549" s="138" t="str">
        <f>+IFERROR(VLOOKUP(D1549,Conceptos_Analítica_contraloría[#All],3,0),"")</f>
        <v/>
      </c>
    </row>
    <row r="1550" spans="3:10" x14ac:dyDescent="0.35">
      <c r="C1550" s="144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s="138" t="str">
        <f>+IFERROR(VLOOKUP(Fact_Analitica[[#This Row],[Concepto Anterior]],Conceptos_Analítica_contraloría[#All],5,0),"")</f>
        <v/>
      </c>
      <c r="F1550" s="138" t="str">
        <f>+IFERROR(VLOOKUP(Fact_Analitica[[#This Row],[Concepto Anterior]],Conceptos_Analítica_contraloría[#All],7,0),"")</f>
        <v/>
      </c>
      <c r="I1550" s="138" t="str">
        <f>+IFERROR(VLOOKUP(D1550,Conceptos_Analítica_contraloría[#All],2,0),"")</f>
        <v/>
      </c>
      <c r="J1550" s="138" t="str">
        <f>+IFERROR(VLOOKUP(D1550,Conceptos_Analítica_contraloría[#All],3,0),"")</f>
        <v/>
      </c>
    </row>
    <row r="1551" spans="3:10" x14ac:dyDescent="0.35">
      <c r="C1551" s="144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s="138" t="str">
        <f>+IFERROR(VLOOKUP(Fact_Analitica[[#This Row],[Concepto Anterior]],Conceptos_Analítica_contraloría[#All],5,0),"")</f>
        <v/>
      </c>
      <c r="F1551" s="138" t="str">
        <f>+IFERROR(VLOOKUP(Fact_Analitica[[#This Row],[Concepto Anterior]],Conceptos_Analítica_contraloría[#All],7,0),"")</f>
        <v/>
      </c>
      <c r="I1551" s="138" t="str">
        <f>+IFERROR(VLOOKUP(D1551,Conceptos_Analítica_contraloría[#All],2,0),"")</f>
        <v/>
      </c>
      <c r="J1551" s="138" t="str">
        <f>+IFERROR(VLOOKUP(D1551,Conceptos_Analítica_contraloría[#All],3,0),"")</f>
        <v/>
      </c>
    </row>
    <row r="1552" spans="3:10" x14ac:dyDescent="0.35">
      <c r="C1552" s="144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s="138" t="str">
        <f>+IFERROR(VLOOKUP(Fact_Analitica[[#This Row],[Concepto Anterior]],Conceptos_Analítica_contraloría[#All],5,0),"")</f>
        <v/>
      </c>
      <c r="F1552" s="138" t="str">
        <f>+IFERROR(VLOOKUP(Fact_Analitica[[#This Row],[Concepto Anterior]],Conceptos_Analítica_contraloría[#All],7,0),"")</f>
        <v/>
      </c>
      <c r="I1552" s="138" t="str">
        <f>+IFERROR(VLOOKUP(D1552,Conceptos_Analítica_contraloría[#All],2,0),"")</f>
        <v/>
      </c>
      <c r="J1552" s="138" t="str">
        <f>+IFERROR(VLOOKUP(D1552,Conceptos_Analítica_contraloría[#All],3,0),"")</f>
        <v/>
      </c>
    </row>
    <row r="1553" spans="3:10" x14ac:dyDescent="0.35">
      <c r="C1553" s="144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s="138" t="str">
        <f>+IFERROR(VLOOKUP(Fact_Analitica[[#This Row],[Concepto Anterior]],Conceptos_Analítica_contraloría[#All],5,0),"")</f>
        <v/>
      </c>
      <c r="F1553" s="138" t="str">
        <f>+IFERROR(VLOOKUP(Fact_Analitica[[#This Row],[Concepto Anterior]],Conceptos_Analítica_contraloría[#All],7,0),"")</f>
        <v/>
      </c>
      <c r="I1553" s="138" t="str">
        <f>+IFERROR(VLOOKUP(D1553,Conceptos_Analítica_contraloría[#All],2,0),"")</f>
        <v/>
      </c>
      <c r="J1553" s="138" t="str">
        <f>+IFERROR(VLOOKUP(D1553,Conceptos_Analítica_contraloría[#All],3,0),"")</f>
        <v/>
      </c>
    </row>
    <row r="1554" spans="3:10" x14ac:dyDescent="0.35">
      <c r="C1554" s="144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s="138" t="str">
        <f>+IFERROR(VLOOKUP(Fact_Analitica[[#This Row],[Concepto Anterior]],Conceptos_Analítica_contraloría[#All],5,0),"")</f>
        <v/>
      </c>
      <c r="F1554" s="138" t="str">
        <f>+IFERROR(VLOOKUP(Fact_Analitica[[#This Row],[Concepto Anterior]],Conceptos_Analítica_contraloría[#All],7,0),"")</f>
        <v/>
      </c>
      <c r="I1554" s="138" t="str">
        <f>+IFERROR(VLOOKUP(D1554,Conceptos_Analítica_contraloría[#All],2,0),"")</f>
        <v/>
      </c>
      <c r="J1554" s="138" t="str">
        <f>+IFERROR(VLOOKUP(D1554,Conceptos_Analítica_contraloría[#All],3,0),"")</f>
        <v/>
      </c>
    </row>
    <row r="1555" spans="3:10" x14ac:dyDescent="0.35">
      <c r="C1555" s="144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s="138" t="str">
        <f>+IFERROR(VLOOKUP(Fact_Analitica[[#This Row],[Concepto Anterior]],Conceptos_Analítica_contraloría[#All],5,0),"")</f>
        <v/>
      </c>
      <c r="F1555" s="138" t="str">
        <f>+IFERROR(VLOOKUP(Fact_Analitica[[#This Row],[Concepto Anterior]],Conceptos_Analítica_contraloría[#All],7,0),"")</f>
        <v/>
      </c>
      <c r="I1555" s="138" t="str">
        <f>+IFERROR(VLOOKUP(D1555,Conceptos_Analítica_contraloría[#All],2,0),"")</f>
        <v/>
      </c>
      <c r="J1555" s="138" t="str">
        <f>+IFERROR(VLOOKUP(D1555,Conceptos_Analítica_contraloría[#All],3,0),"")</f>
        <v/>
      </c>
    </row>
    <row r="1556" spans="3:10" x14ac:dyDescent="0.35">
      <c r="C1556" s="144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s="138" t="str">
        <f>+IFERROR(VLOOKUP(Fact_Analitica[[#This Row],[Concepto Anterior]],Conceptos_Analítica_contraloría[#All],5,0),"")</f>
        <v/>
      </c>
      <c r="F1556" s="138" t="str">
        <f>+IFERROR(VLOOKUP(Fact_Analitica[[#This Row],[Concepto Anterior]],Conceptos_Analítica_contraloría[#All],7,0),"")</f>
        <v/>
      </c>
      <c r="I1556" s="138" t="str">
        <f>+IFERROR(VLOOKUP(D1556,Conceptos_Analítica_contraloría[#All],2,0),"")</f>
        <v/>
      </c>
      <c r="J1556" s="138" t="str">
        <f>+IFERROR(VLOOKUP(D1556,Conceptos_Analítica_contraloría[#All],3,0),"")</f>
        <v/>
      </c>
    </row>
    <row r="1557" spans="3:10" x14ac:dyDescent="0.35">
      <c r="C1557" s="144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s="138" t="str">
        <f>+IFERROR(VLOOKUP(Fact_Analitica[[#This Row],[Concepto Anterior]],Conceptos_Analítica_contraloría[#All],5,0),"")</f>
        <v/>
      </c>
      <c r="F1557" s="138" t="str">
        <f>+IFERROR(VLOOKUP(Fact_Analitica[[#This Row],[Concepto Anterior]],Conceptos_Analítica_contraloría[#All],7,0),"")</f>
        <v/>
      </c>
      <c r="I1557" s="138" t="str">
        <f>+IFERROR(VLOOKUP(D1557,Conceptos_Analítica_contraloría[#All],2,0),"")</f>
        <v/>
      </c>
      <c r="J1557" s="138" t="str">
        <f>+IFERROR(VLOOKUP(D1557,Conceptos_Analítica_contraloría[#All],3,0),"")</f>
        <v/>
      </c>
    </row>
    <row r="1558" spans="3:10" x14ac:dyDescent="0.35">
      <c r="C1558" s="144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s="138" t="str">
        <f>+IFERROR(VLOOKUP(Fact_Analitica[[#This Row],[Concepto Anterior]],Conceptos_Analítica_contraloría[#All],5,0),"")</f>
        <v/>
      </c>
      <c r="F1558" s="138" t="str">
        <f>+IFERROR(VLOOKUP(Fact_Analitica[[#This Row],[Concepto Anterior]],Conceptos_Analítica_contraloría[#All],7,0),"")</f>
        <v/>
      </c>
      <c r="I1558" s="138" t="str">
        <f>+IFERROR(VLOOKUP(D1558,Conceptos_Analítica_contraloría[#All],2,0),"")</f>
        <v/>
      </c>
      <c r="J1558" s="138" t="str">
        <f>+IFERROR(VLOOKUP(D1558,Conceptos_Analítica_contraloría[#All],3,0),"")</f>
        <v/>
      </c>
    </row>
    <row r="1559" spans="3:10" x14ac:dyDescent="0.35">
      <c r="C1559" s="144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s="138" t="str">
        <f>+IFERROR(VLOOKUP(Fact_Analitica[[#This Row],[Concepto Anterior]],Conceptos_Analítica_contraloría[#All],5,0),"")</f>
        <v/>
      </c>
      <c r="F1559" s="138" t="str">
        <f>+IFERROR(VLOOKUP(Fact_Analitica[[#This Row],[Concepto Anterior]],Conceptos_Analítica_contraloría[#All],7,0),"")</f>
        <v/>
      </c>
      <c r="I1559" s="138" t="str">
        <f>+IFERROR(VLOOKUP(D1559,Conceptos_Analítica_contraloría[#All],2,0),"")</f>
        <v/>
      </c>
      <c r="J1559" s="138" t="str">
        <f>+IFERROR(VLOOKUP(D1559,Conceptos_Analítica_contraloría[#All],3,0),"")</f>
        <v/>
      </c>
    </row>
    <row r="1560" spans="3:10" x14ac:dyDescent="0.35">
      <c r="C1560" s="144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s="138" t="str">
        <f>+IFERROR(VLOOKUP(Fact_Analitica[[#This Row],[Concepto Anterior]],Conceptos_Analítica_contraloría[#All],5,0),"")</f>
        <v/>
      </c>
      <c r="F1560" s="138" t="str">
        <f>+IFERROR(VLOOKUP(Fact_Analitica[[#This Row],[Concepto Anterior]],Conceptos_Analítica_contraloría[#All],7,0),"")</f>
        <v/>
      </c>
      <c r="I1560" s="138" t="str">
        <f>+IFERROR(VLOOKUP(D1560,Conceptos_Analítica_contraloría[#All],2,0),"")</f>
        <v/>
      </c>
      <c r="J1560" s="138" t="str">
        <f>+IFERROR(VLOOKUP(D1560,Conceptos_Analítica_contraloría[#All],3,0),"")</f>
        <v/>
      </c>
    </row>
    <row r="1561" spans="3:10" x14ac:dyDescent="0.35">
      <c r="C1561" s="144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s="138" t="str">
        <f>+IFERROR(VLOOKUP(Fact_Analitica[[#This Row],[Concepto Anterior]],Conceptos_Analítica_contraloría[#All],5,0),"")</f>
        <v/>
      </c>
      <c r="F1561" s="138" t="str">
        <f>+IFERROR(VLOOKUP(Fact_Analitica[[#This Row],[Concepto Anterior]],Conceptos_Analítica_contraloría[#All],7,0),"")</f>
        <v/>
      </c>
      <c r="I1561" s="138" t="str">
        <f>+IFERROR(VLOOKUP(D1561,Conceptos_Analítica_contraloría[#All],2,0),"")</f>
        <v/>
      </c>
      <c r="J1561" s="138" t="str">
        <f>+IFERROR(VLOOKUP(D1561,Conceptos_Analítica_contraloría[#All],3,0),"")</f>
        <v/>
      </c>
    </row>
    <row r="1562" spans="3:10" x14ac:dyDescent="0.35">
      <c r="C1562" s="144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s="138" t="str">
        <f>+IFERROR(VLOOKUP(Fact_Analitica[[#This Row],[Concepto Anterior]],Conceptos_Analítica_contraloría[#All],5,0),"")</f>
        <v/>
      </c>
      <c r="F1562" s="138" t="str">
        <f>+IFERROR(VLOOKUP(Fact_Analitica[[#This Row],[Concepto Anterior]],Conceptos_Analítica_contraloría[#All],7,0),"")</f>
        <v/>
      </c>
      <c r="I1562" s="138" t="str">
        <f>+IFERROR(VLOOKUP(D1562,Conceptos_Analítica_contraloría[#All],2,0),"")</f>
        <v/>
      </c>
      <c r="J1562" s="138" t="str">
        <f>+IFERROR(VLOOKUP(D1562,Conceptos_Analítica_contraloría[#All],3,0),"")</f>
        <v/>
      </c>
    </row>
    <row r="1563" spans="3:10" x14ac:dyDescent="0.35">
      <c r="C1563" s="144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s="138" t="str">
        <f>+IFERROR(VLOOKUP(Fact_Analitica[[#This Row],[Concepto Anterior]],Conceptos_Analítica_contraloría[#All],5,0),"")</f>
        <v/>
      </c>
      <c r="F1563" s="138" t="str">
        <f>+IFERROR(VLOOKUP(Fact_Analitica[[#This Row],[Concepto Anterior]],Conceptos_Analítica_contraloría[#All],7,0),"")</f>
        <v/>
      </c>
      <c r="I1563" s="138" t="str">
        <f>+IFERROR(VLOOKUP(D1563,Conceptos_Analítica_contraloría[#All],2,0),"")</f>
        <v/>
      </c>
      <c r="J1563" s="138" t="str">
        <f>+IFERROR(VLOOKUP(D1563,Conceptos_Analítica_contraloría[#All],3,0),"")</f>
        <v/>
      </c>
    </row>
    <row r="1564" spans="3:10" x14ac:dyDescent="0.35">
      <c r="C1564" s="144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s="138" t="str">
        <f>+IFERROR(VLOOKUP(Fact_Analitica[[#This Row],[Concepto Anterior]],Conceptos_Analítica_contraloría[#All],5,0),"")</f>
        <v/>
      </c>
      <c r="F1564" s="138" t="str">
        <f>+IFERROR(VLOOKUP(Fact_Analitica[[#This Row],[Concepto Anterior]],Conceptos_Analítica_contraloría[#All],7,0),"")</f>
        <v/>
      </c>
      <c r="I1564" s="138" t="str">
        <f>+IFERROR(VLOOKUP(D1564,Conceptos_Analítica_contraloría[#All],2,0),"")</f>
        <v/>
      </c>
      <c r="J1564" s="138" t="str">
        <f>+IFERROR(VLOOKUP(D1564,Conceptos_Analítica_contraloría[#All],3,0),"")</f>
        <v/>
      </c>
    </row>
    <row r="1565" spans="3:10" x14ac:dyDescent="0.35">
      <c r="C1565" s="144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s="138" t="str">
        <f>+IFERROR(VLOOKUP(Fact_Analitica[[#This Row],[Concepto Anterior]],Conceptos_Analítica_contraloría[#All],5,0),"")</f>
        <v/>
      </c>
      <c r="F1565" s="138" t="str">
        <f>+IFERROR(VLOOKUP(Fact_Analitica[[#This Row],[Concepto Anterior]],Conceptos_Analítica_contraloría[#All],7,0),"")</f>
        <v/>
      </c>
      <c r="I1565" s="138" t="str">
        <f>+IFERROR(VLOOKUP(D1565,Conceptos_Analítica_contraloría[#All],2,0),"")</f>
        <v/>
      </c>
      <c r="J1565" s="138" t="str">
        <f>+IFERROR(VLOOKUP(D1565,Conceptos_Analítica_contraloría[#All],3,0),"")</f>
        <v/>
      </c>
    </row>
    <row r="1566" spans="3:10" x14ac:dyDescent="0.35">
      <c r="C1566" s="144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s="138" t="str">
        <f>+IFERROR(VLOOKUP(Fact_Analitica[[#This Row],[Concepto Anterior]],Conceptos_Analítica_contraloría[#All],5,0),"")</f>
        <v/>
      </c>
      <c r="F1566" s="138" t="str">
        <f>+IFERROR(VLOOKUP(Fact_Analitica[[#This Row],[Concepto Anterior]],Conceptos_Analítica_contraloría[#All],7,0),"")</f>
        <v/>
      </c>
      <c r="I1566" s="138" t="str">
        <f>+IFERROR(VLOOKUP(D1566,Conceptos_Analítica_contraloría[#All],2,0),"")</f>
        <v/>
      </c>
      <c r="J1566" s="138" t="str">
        <f>+IFERROR(VLOOKUP(D1566,Conceptos_Analítica_contraloría[#All],3,0),"")</f>
        <v/>
      </c>
    </row>
    <row r="1567" spans="3:10" x14ac:dyDescent="0.35">
      <c r="C1567" s="144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s="138" t="str">
        <f>+IFERROR(VLOOKUP(Fact_Analitica[[#This Row],[Concepto Anterior]],Conceptos_Analítica_contraloría[#All],5,0),"")</f>
        <v/>
      </c>
      <c r="F1567" s="138" t="str">
        <f>+IFERROR(VLOOKUP(Fact_Analitica[[#This Row],[Concepto Anterior]],Conceptos_Analítica_contraloría[#All],7,0),"")</f>
        <v/>
      </c>
      <c r="I1567" s="138" t="str">
        <f>+IFERROR(VLOOKUP(D1567,Conceptos_Analítica_contraloría[#All],2,0),"")</f>
        <v/>
      </c>
      <c r="J1567" s="138" t="str">
        <f>+IFERROR(VLOOKUP(D1567,Conceptos_Analítica_contraloría[#All],3,0),"")</f>
        <v/>
      </c>
    </row>
    <row r="1568" spans="3:10" x14ac:dyDescent="0.35">
      <c r="C1568" s="144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s="138" t="str">
        <f>+IFERROR(VLOOKUP(Fact_Analitica[[#This Row],[Concepto Anterior]],Conceptos_Analítica_contraloría[#All],5,0),"")</f>
        <v/>
      </c>
      <c r="F1568" s="138" t="str">
        <f>+IFERROR(VLOOKUP(Fact_Analitica[[#This Row],[Concepto Anterior]],Conceptos_Analítica_contraloría[#All],7,0),"")</f>
        <v/>
      </c>
      <c r="I1568" s="138" t="str">
        <f>+IFERROR(VLOOKUP(D1568,Conceptos_Analítica_contraloría[#All],2,0),"")</f>
        <v/>
      </c>
      <c r="J1568" s="138" t="str">
        <f>+IFERROR(VLOOKUP(D1568,Conceptos_Analítica_contraloría[#All],3,0),"")</f>
        <v/>
      </c>
    </row>
    <row r="1569" spans="3:10" x14ac:dyDescent="0.35">
      <c r="C1569" s="144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s="138" t="str">
        <f>+IFERROR(VLOOKUP(Fact_Analitica[[#This Row],[Concepto Anterior]],Conceptos_Analítica_contraloría[#All],5,0),"")</f>
        <v/>
      </c>
      <c r="F1569" s="138" t="str">
        <f>+IFERROR(VLOOKUP(Fact_Analitica[[#This Row],[Concepto Anterior]],Conceptos_Analítica_contraloría[#All],7,0),"")</f>
        <v/>
      </c>
      <c r="I1569" s="138" t="str">
        <f>+IFERROR(VLOOKUP(D1569,Conceptos_Analítica_contraloría[#All],2,0),"")</f>
        <v/>
      </c>
      <c r="J1569" s="138" t="str">
        <f>+IFERROR(VLOOKUP(D1569,Conceptos_Analítica_contraloría[#All],3,0),"")</f>
        <v/>
      </c>
    </row>
    <row r="1570" spans="3:10" x14ac:dyDescent="0.35">
      <c r="C1570" s="144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s="138" t="str">
        <f>+IFERROR(VLOOKUP(Fact_Analitica[[#This Row],[Concepto Anterior]],Conceptos_Analítica_contraloría[#All],5,0),"")</f>
        <v/>
      </c>
      <c r="F1570" s="138" t="str">
        <f>+IFERROR(VLOOKUP(Fact_Analitica[[#This Row],[Concepto Anterior]],Conceptos_Analítica_contraloría[#All],7,0),"")</f>
        <v/>
      </c>
      <c r="I1570" s="138" t="str">
        <f>+IFERROR(VLOOKUP(D1570,Conceptos_Analítica_contraloría[#All],2,0),"")</f>
        <v/>
      </c>
      <c r="J1570" s="138" t="str">
        <f>+IFERROR(VLOOKUP(D1570,Conceptos_Analítica_contraloría[#All],3,0),"")</f>
        <v/>
      </c>
    </row>
    <row r="1571" spans="3:10" x14ac:dyDescent="0.35">
      <c r="C1571" s="144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s="138" t="str">
        <f>+IFERROR(VLOOKUP(Fact_Analitica[[#This Row],[Concepto Anterior]],Conceptos_Analítica_contraloría[#All],5,0),"")</f>
        <v/>
      </c>
      <c r="F1571" s="138" t="str">
        <f>+IFERROR(VLOOKUP(Fact_Analitica[[#This Row],[Concepto Anterior]],Conceptos_Analítica_contraloría[#All],7,0),"")</f>
        <v/>
      </c>
      <c r="I1571" s="138" t="str">
        <f>+IFERROR(VLOOKUP(D1571,Conceptos_Analítica_contraloría[#All],2,0),"")</f>
        <v/>
      </c>
      <c r="J1571" s="138" t="str">
        <f>+IFERROR(VLOOKUP(D1571,Conceptos_Analítica_contraloría[#All],3,0),"")</f>
        <v/>
      </c>
    </row>
    <row r="1572" spans="3:10" x14ac:dyDescent="0.35">
      <c r="C1572" s="144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s="138" t="str">
        <f>+IFERROR(VLOOKUP(Fact_Analitica[[#This Row],[Concepto Anterior]],Conceptos_Analítica_contraloría[#All],5,0),"")</f>
        <v/>
      </c>
      <c r="F1572" s="138" t="str">
        <f>+IFERROR(VLOOKUP(Fact_Analitica[[#This Row],[Concepto Anterior]],Conceptos_Analítica_contraloría[#All],7,0),"")</f>
        <v/>
      </c>
      <c r="I1572" s="138" t="str">
        <f>+IFERROR(VLOOKUP(D1572,Conceptos_Analítica_contraloría[#All],2,0),"")</f>
        <v/>
      </c>
      <c r="J1572" s="138" t="str">
        <f>+IFERROR(VLOOKUP(D1572,Conceptos_Analítica_contraloría[#All],3,0),"")</f>
        <v/>
      </c>
    </row>
    <row r="1573" spans="3:10" x14ac:dyDescent="0.35">
      <c r="C1573" s="144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s="138" t="str">
        <f>+IFERROR(VLOOKUP(Fact_Analitica[[#This Row],[Concepto Anterior]],Conceptos_Analítica_contraloría[#All],5,0),"")</f>
        <v/>
      </c>
      <c r="F1573" s="138" t="str">
        <f>+IFERROR(VLOOKUP(Fact_Analitica[[#This Row],[Concepto Anterior]],Conceptos_Analítica_contraloría[#All],7,0),"")</f>
        <v/>
      </c>
      <c r="I1573" s="138" t="str">
        <f>+IFERROR(VLOOKUP(D1573,Conceptos_Analítica_contraloría[#All],2,0),"")</f>
        <v/>
      </c>
      <c r="J1573" s="138" t="str">
        <f>+IFERROR(VLOOKUP(D1573,Conceptos_Analítica_contraloría[#All],3,0),"")</f>
        <v/>
      </c>
    </row>
    <row r="1574" spans="3:10" x14ac:dyDescent="0.35">
      <c r="C1574" s="144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s="138" t="str">
        <f>+IFERROR(VLOOKUP(Fact_Analitica[[#This Row],[Concepto Anterior]],Conceptos_Analítica_contraloría[#All],5,0),"")</f>
        <v/>
      </c>
      <c r="F1574" s="138" t="str">
        <f>+IFERROR(VLOOKUP(Fact_Analitica[[#This Row],[Concepto Anterior]],Conceptos_Analítica_contraloría[#All],7,0),"")</f>
        <v/>
      </c>
      <c r="I1574" s="138" t="str">
        <f>+IFERROR(VLOOKUP(D1574,Conceptos_Analítica_contraloría[#All],2,0),"")</f>
        <v/>
      </c>
      <c r="J1574" s="138" t="str">
        <f>+IFERROR(VLOOKUP(D1574,Conceptos_Analítica_contraloría[#All],3,0),"")</f>
        <v/>
      </c>
    </row>
    <row r="1575" spans="3:10" x14ac:dyDescent="0.35">
      <c r="C1575" s="144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s="138" t="str">
        <f>+IFERROR(VLOOKUP(Fact_Analitica[[#This Row],[Concepto Anterior]],Conceptos_Analítica_contraloría[#All],5,0),"")</f>
        <v/>
      </c>
      <c r="F1575" s="138" t="str">
        <f>+IFERROR(VLOOKUP(Fact_Analitica[[#This Row],[Concepto Anterior]],Conceptos_Analítica_contraloría[#All],7,0),"")</f>
        <v/>
      </c>
      <c r="I1575" s="138" t="str">
        <f>+IFERROR(VLOOKUP(D1575,Conceptos_Analítica_contraloría[#All],2,0),"")</f>
        <v/>
      </c>
      <c r="J1575" s="138" t="str">
        <f>+IFERROR(VLOOKUP(D1575,Conceptos_Analítica_contraloría[#All],3,0),"")</f>
        <v/>
      </c>
    </row>
    <row r="1576" spans="3:10" x14ac:dyDescent="0.35">
      <c r="C1576" s="144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s="138" t="str">
        <f>+IFERROR(VLOOKUP(Fact_Analitica[[#This Row],[Concepto Anterior]],Conceptos_Analítica_contraloría[#All],5,0),"")</f>
        <v/>
      </c>
      <c r="F1576" s="138" t="str">
        <f>+IFERROR(VLOOKUP(Fact_Analitica[[#This Row],[Concepto Anterior]],Conceptos_Analítica_contraloría[#All],7,0),"")</f>
        <v/>
      </c>
      <c r="I1576" s="138" t="str">
        <f>+IFERROR(VLOOKUP(D1576,Conceptos_Analítica_contraloría[#All],2,0),"")</f>
        <v/>
      </c>
      <c r="J1576" s="138" t="str">
        <f>+IFERROR(VLOOKUP(D1576,Conceptos_Analítica_contraloría[#All],3,0),"")</f>
        <v/>
      </c>
    </row>
    <row r="1577" spans="3:10" x14ac:dyDescent="0.35">
      <c r="C1577" s="144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s="138" t="str">
        <f>+IFERROR(VLOOKUP(Fact_Analitica[[#This Row],[Concepto Anterior]],Conceptos_Analítica_contraloría[#All],5,0),"")</f>
        <v/>
      </c>
      <c r="F1577" s="138" t="str">
        <f>+IFERROR(VLOOKUP(Fact_Analitica[[#This Row],[Concepto Anterior]],Conceptos_Analítica_contraloría[#All],7,0),"")</f>
        <v/>
      </c>
      <c r="I1577" s="138" t="str">
        <f>+IFERROR(VLOOKUP(D1577,Conceptos_Analítica_contraloría[#All],2,0),"")</f>
        <v/>
      </c>
      <c r="J1577" s="138" t="str">
        <f>+IFERROR(VLOOKUP(D1577,Conceptos_Analítica_contraloría[#All],3,0),"")</f>
        <v/>
      </c>
    </row>
    <row r="1578" spans="3:10" x14ac:dyDescent="0.35">
      <c r="C1578" s="144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s="138" t="str">
        <f>+IFERROR(VLOOKUP(Fact_Analitica[[#This Row],[Concepto Anterior]],Conceptos_Analítica_contraloría[#All],5,0),"")</f>
        <v/>
      </c>
      <c r="F1578" s="138" t="str">
        <f>+IFERROR(VLOOKUP(Fact_Analitica[[#This Row],[Concepto Anterior]],Conceptos_Analítica_contraloría[#All],7,0),"")</f>
        <v/>
      </c>
      <c r="I1578" s="138" t="str">
        <f>+IFERROR(VLOOKUP(D1578,Conceptos_Analítica_contraloría[#All],2,0),"")</f>
        <v/>
      </c>
      <c r="J1578" s="138" t="str">
        <f>+IFERROR(VLOOKUP(D1578,Conceptos_Analítica_contraloría[#All],3,0),"")</f>
        <v/>
      </c>
    </row>
    <row r="1579" spans="3:10" x14ac:dyDescent="0.35">
      <c r="C1579" s="144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s="138" t="str">
        <f>+IFERROR(VLOOKUP(Fact_Analitica[[#This Row],[Concepto Anterior]],Conceptos_Analítica_contraloría[#All],5,0),"")</f>
        <v/>
      </c>
      <c r="F1579" s="138" t="str">
        <f>+IFERROR(VLOOKUP(Fact_Analitica[[#This Row],[Concepto Anterior]],Conceptos_Analítica_contraloría[#All],7,0),"")</f>
        <v/>
      </c>
      <c r="I1579" s="138" t="str">
        <f>+IFERROR(VLOOKUP(D1579,Conceptos_Analítica_contraloría[#All],2,0),"")</f>
        <v/>
      </c>
      <c r="J1579" s="138" t="str">
        <f>+IFERROR(VLOOKUP(D1579,Conceptos_Analítica_contraloría[#All],3,0),"")</f>
        <v/>
      </c>
    </row>
    <row r="1580" spans="3:10" x14ac:dyDescent="0.35">
      <c r="C1580" s="144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s="138" t="str">
        <f>+IFERROR(VLOOKUP(Fact_Analitica[[#This Row],[Concepto Anterior]],Conceptos_Analítica_contraloría[#All],5,0),"")</f>
        <v/>
      </c>
      <c r="F1580" s="138" t="str">
        <f>+IFERROR(VLOOKUP(Fact_Analitica[[#This Row],[Concepto Anterior]],Conceptos_Analítica_contraloría[#All],7,0),"")</f>
        <v/>
      </c>
      <c r="I1580" s="138" t="str">
        <f>+IFERROR(VLOOKUP(D1580,Conceptos_Analítica_contraloría[#All],2,0),"")</f>
        <v/>
      </c>
      <c r="J1580" s="138" t="str">
        <f>+IFERROR(VLOOKUP(D1580,Conceptos_Analítica_contraloría[#All],3,0),"")</f>
        <v/>
      </c>
    </row>
    <row r="1581" spans="3:10" x14ac:dyDescent="0.35">
      <c r="C1581" s="144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s="138" t="str">
        <f>+IFERROR(VLOOKUP(Fact_Analitica[[#This Row],[Concepto Anterior]],Conceptos_Analítica_contraloría[#All],5,0),"")</f>
        <v/>
      </c>
      <c r="F1581" s="138" t="str">
        <f>+IFERROR(VLOOKUP(Fact_Analitica[[#This Row],[Concepto Anterior]],Conceptos_Analítica_contraloría[#All],7,0),"")</f>
        <v/>
      </c>
      <c r="I1581" s="138" t="str">
        <f>+IFERROR(VLOOKUP(D1581,Conceptos_Analítica_contraloría[#All],2,0),"")</f>
        <v/>
      </c>
      <c r="J1581" s="138" t="str">
        <f>+IFERROR(VLOOKUP(D1581,Conceptos_Analítica_contraloría[#All],3,0),"")</f>
        <v/>
      </c>
    </row>
    <row r="1582" spans="3:10" x14ac:dyDescent="0.35">
      <c r="C1582" s="144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s="138" t="str">
        <f>+IFERROR(VLOOKUP(Fact_Analitica[[#This Row],[Concepto Anterior]],Conceptos_Analítica_contraloría[#All],5,0),"")</f>
        <v/>
      </c>
      <c r="F1582" s="138" t="str">
        <f>+IFERROR(VLOOKUP(Fact_Analitica[[#This Row],[Concepto Anterior]],Conceptos_Analítica_contraloría[#All],7,0),"")</f>
        <v/>
      </c>
      <c r="I1582" s="138" t="str">
        <f>+IFERROR(VLOOKUP(D1582,Conceptos_Analítica_contraloría[#All],2,0),"")</f>
        <v/>
      </c>
      <c r="J1582" s="138" t="str">
        <f>+IFERROR(VLOOKUP(D1582,Conceptos_Analítica_contraloría[#All],3,0),"")</f>
        <v/>
      </c>
    </row>
    <row r="1583" spans="3:10" x14ac:dyDescent="0.35">
      <c r="C1583" s="144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s="138" t="str">
        <f>+IFERROR(VLOOKUP(Fact_Analitica[[#This Row],[Concepto Anterior]],Conceptos_Analítica_contraloría[#All],5,0),"")</f>
        <v/>
      </c>
      <c r="F1583" s="138" t="str">
        <f>+IFERROR(VLOOKUP(Fact_Analitica[[#This Row],[Concepto Anterior]],Conceptos_Analítica_contraloría[#All],7,0),"")</f>
        <v/>
      </c>
      <c r="I1583" s="138" t="str">
        <f>+IFERROR(VLOOKUP(D1583,Conceptos_Analítica_contraloría[#All],2,0),"")</f>
        <v/>
      </c>
      <c r="J1583" s="138" t="str">
        <f>+IFERROR(VLOOKUP(D1583,Conceptos_Analítica_contraloría[#All],3,0),"")</f>
        <v/>
      </c>
    </row>
    <row r="1584" spans="3:10" x14ac:dyDescent="0.35">
      <c r="C1584" s="144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s="138" t="str">
        <f>+IFERROR(VLOOKUP(Fact_Analitica[[#This Row],[Concepto Anterior]],Conceptos_Analítica_contraloría[#All],5,0),"")</f>
        <v/>
      </c>
      <c r="F1584" s="138" t="str">
        <f>+IFERROR(VLOOKUP(Fact_Analitica[[#This Row],[Concepto Anterior]],Conceptos_Analítica_contraloría[#All],7,0),"")</f>
        <v/>
      </c>
      <c r="I1584" s="138" t="str">
        <f>+IFERROR(VLOOKUP(D1584,Conceptos_Analítica_contraloría[#All],2,0),"")</f>
        <v/>
      </c>
      <c r="J1584" s="138" t="str">
        <f>+IFERROR(VLOOKUP(D1584,Conceptos_Analítica_contraloría[#All],3,0),"")</f>
        <v/>
      </c>
    </row>
    <row r="1585" spans="3:10" x14ac:dyDescent="0.35">
      <c r="C1585" s="144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s="138" t="str">
        <f>+IFERROR(VLOOKUP(Fact_Analitica[[#This Row],[Concepto Anterior]],Conceptos_Analítica_contraloría[#All],5,0),"")</f>
        <v/>
      </c>
      <c r="F1585" s="138" t="str">
        <f>+IFERROR(VLOOKUP(Fact_Analitica[[#This Row],[Concepto Anterior]],Conceptos_Analítica_contraloría[#All],7,0),"")</f>
        <v/>
      </c>
      <c r="I1585" s="138" t="str">
        <f>+IFERROR(VLOOKUP(D1585,Conceptos_Analítica_contraloría[#All],2,0),"")</f>
        <v/>
      </c>
      <c r="J1585" s="138" t="str">
        <f>+IFERROR(VLOOKUP(D1585,Conceptos_Analítica_contraloría[#All],3,0),"")</f>
        <v/>
      </c>
    </row>
    <row r="1586" spans="3:10" x14ac:dyDescent="0.35">
      <c r="C1586" s="144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s="138" t="str">
        <f>+IFERROR(VLOOKUP(Fact_Analitica[[#This Row],[Concepto Anterior]],Conceptos_Analítica_contraloría[#All],5,0),"")</f>
        <v/>
      </c>
      <c r="F1586" s="138" t="str">
        <f>+IFERROR(VLOOKUP(Fact_Analitica[[#This Row],[Concepto Anterior]],Conceptos_Analítica_contraloría[#All],7,0),"")</f>
        <v/>
      </c>
      <c r="I1586" s="138" t="str">
        <f>+IFERROR(VLOOKUP(D1586,Conceptos_Analítica_contraloría[#All],2,0),"")</f>
        <v/>
      </c>
      <c r="J1586" s="138" t="str">
        <f>+IFERROR(VLOOKUP(D1586,Conceptos_Analítica_contraloría[#All],3,0),"")</f>
        <v/>
      </c>
    </row>
    <row r="1587" spans="3:10" x14ac:dyDescent="0.35">
      <c r="C1587" s="144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s="138" t="str">
        <f>+IFERROR(VLOOKUP(Fact_Analitica[[#This Row],[Concepto Anterior]],Conceptos_Analítica_contraloría[#All],5,0),"")</f>
        <v/>
      </c>
      <c r="F1587" s="138" t="str">
        <f>+IFERROR(VLOOKUP(Fact_Analitica[[#This Row],[Concepto Anterior]],Conceptos_Analítica_contraloría[#All],7,0),"")</f>
        <v/>
      </c>
      <c r="I1587" s="138" t="str">
        <f>+IFERROR(VLOOKUP(D1587,Conceptos_Analítica_contraloría[#All],2,0),"")</f>
        <v/>
      </c>
      <c r="J1587" s="138" t="str">
        <f>+IFERROR(VLOOKUP(D1587,Conceptos_Analítica_contraloría[#All],3,0),"")</f>
        <v/>
      </c>
    </row>
    <row r="1588" spans="3:10" x14ac:dyDescent="0.35">
      <c r="C1588" s="144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s="138" t="str">
        <f>+IFERROR(VLOOKUP(Fact_Analitica[[#This Row],[Concepto Anterior]],Conceptos_Analítica_contraloría[#All],5,0),"")</f>
        <v/>
      </c>
      <c r="F1588" s="138" t="str">
        <f>+IFERROR(VLOOKUP(Fact_Analitica[[#This Row],[Concepto Anterior]],Conceptos_Analítica_contraloría[#All],7,0),"")</f>
        <v/>
      </c>
      <c r="I1588" s="138" t="str">
        <f>+IFERROR(VLOOKUP(D1588,Conceptos_Analítica_contraloría[#All],2,0),"")</f>
        <v/>
      </c>
      <c r="J1588" s="138" t="str">
        <f>+IFERROR(VLOOKUP(D1588,Conceptos_Analítica_contraloría[#All],3,0),"")</f>
        <v/>
      </c>
    </row>
    <row r="1589" spans="3:10" x14ac:dyDescent="0.35">
      <c r="C1589" s="144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s="138" t="str">
        <f>+IFERROR(VLOOKUP(Fact_Analitica[[#This Row],[Concepto Anterior]],Conceptos_Analítica_contraloría[#All],5,0),"")</f>
        <v/>
      </c>
      <c r="F1589" s="138" t="str">
        <f>+IFERROR(VLOOKUP(Fact_Analitica[[#This Row],[Concepto Anterior]],Conceptos_Analítica_contraloría[#All],7,0),"")</f>
        <v/>
      </c>
      <c r="I1589" s="138" t="str">
        <f>+IFERROR(VLOOKUP(D1589,Conceptos_Analítica_contraloría[#All],2,0),"")</f>
        <v/>
      </c>
      <c r="J1589" s="138" t="str">
        <f>+IFERROR(VLOOKUP(D1589,Conceptos_Analítica_contraloría[#All],3,0),"")</f>
        <v/>
      </c>
    </row>
    <row r="1590" spans="3:10" x14ac:dyDescent="0.35">
      <c r="C1590" s="144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s="138" t="str">
        <f>+IFERROR(VLOOKUP(Fact_Analitica[[#This Row],[Concepto Anterior]],Conceptos_Analítica_contraloría[#All],5,0),"")</f>
        <v/>
      </c>
      <c r="F1590" s="138" t="str">
        <f>+IFERROR(VLOOKUP(Fact_Analitica[[#This Row],[Concepto Anterior]],Conceptos_Analítica_contraloría[#All],7,0),"")</f>
        <v/>
      </c>
      <c r="I1590" s="138" t="str">
        <f>+IFERROR(VLOOKUP(D1590,Conceptos_Analítica_contraloría[#All],2,0),"")</f>
        <v/>
      </c>
      <c r="J1590" s="138" t="str">
        <f>+IFERROR(VLOOKUP(D1590,Conceptos_Analítica_contraloría[#All],3,0),"")</f>
        <v/>
      </c>
    </row>
    <row r="1591" spans="3:10" x14ac:dyDescent="0.35">
      <c r="C1591" s="144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s="138" t="str">
        <f>+IFERROR(VLOOKUP(Fact_Analitica[[#This Row],[Concepto Anterior]],Conceptos_Analítica_contraloría[#All],5,0),"")</f>
        <v/>
      </c>
      <c r="F1591" s="138" t="str">
        <f>+IFERROR(VLOOKUP(Fact_Analitica[[#This Row],[Concepto Anterior]],Conceptos_Analítica_contraloría[#All],7,0),"")</f>
        <v/>
      </c>
      <c r="I1591" s="138" t="str">
        <f>+IFERROR(VLOOKUP(D1591,Conceptos_Analítica_contraloría[#All],2,0),"")</f>
        <v/>
      </c>
      <c r="J1591" s="138" t="str">
        <f>+IFERROR(VLOOKUP(D1591,Conceptos_Analítica_contraloría[#All],3,0),"")</f>
        <v/>
      </c>
    </row>
    <row r="1592" spans="3:10" x14ac:dyDescent="0.35">
      <c r="C1592" s="144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s="138" t="str">
        <f>+IFERROR(VLOOKUP(Fact_Analitica[[#This Row],[Concepto Anterior]],Conceptos_Analítica_contraloría[#All],5,0),"")</f>
        <v/>
      </c>
      <c r="F1592" s="138" t="str">
        <f>+IFERROR(VLOOKUP(Fact_Analitica[[#This Row],[Concepto Anterior]],Conceptos_Analítica_contraloría[#All],7,0),"")</f>
        <v/>
      </c>
      <c r="I1592" s="138" t="str">
        <f>+IFERROR(VLOOKUP(D1592,Conceptos_Analítica_contraloría[#All],2,0),"")</f>
        <v/>
      </c>
      <c r="J1592" s="138" t="str">
        <f>+IFERROR(VLOOKUP(D1592,Conceptos_Analítica_contraloría[#All],3,0),"")</f>
        <v/>
      </c>
    </row>
    <row r="1593" spans="3:10" x14ac:dyDescent="0.35">
      <c r="C1593" s="144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s="138" t="str">
        <f>+IFERROR(VLOOKUP(Fact_Analitica[[#This Row],[Concepto Anterior]],Conceptos_Analítica_contraloría[#All],5,0),"")</f>
        <v/>
      </c>
      <c r="F1593" s="138" t="str">
        <f>+IFERROR(VLOOKUP(Fact_Analitica[[#This Row],[Concepto Anterior]],Conceptos_Analítica_contraloría[#All],7,0),"")</f>
        <v/>
      </c>
      <c r="I1593" s="138" t="str">
        <f>+IFERROR(VLOOKUP(D1593,Conceptos_Analítica_contraloría[#All],2,0),"")</f>
        <v/>
      </c>
      <c r="J1593" s="138" t="str">
        <f>+IFERROR(VLOOKUP(D1593,Conceptos_Analítica_contraloría[#All],3,0),"")</f>
        <v/>
      </c>
    </row>
    <row r="1594" spans="3:10" x14ac:dyDescent="0.35">
      <c r="C1594" s="144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s="138" t="str">
        <f>+IFERROR(VLOOKUP(Fact_Analitica[[#This Row],[Concepto Anterior]],Conceptos_Analítica_contraloría[#All],5,0),"")</f>
        <v/>
      </c>
      <c r="F1594" s="138" t="str">
        <f>+IFERROR(VLOOKUP(Fact_Analitica[[#This Row],[Concepto Anterior]],Conceptos_Analítica_contraloría[#All],7,0),"")</f>
        <v/>
      </c>
      <c r="I1594" s="138" t="str">
        <f>+IFERROR(VLOOKUP(D1594,Conceptos_Analítica_contraloría[#All],2,0),"")</f>
        <v/>
      </c>
      <c r="J1594" s="138" t="str">
        <f>+IFERROR(VLOOKUP(D1594,Conceptos_Analítica_contraloría[#All],3,0),"")</f>
        <v/>
      </c>
    </row>
    <row r="1595" spans="3:10" x14ac:dyDescent="0.35">
      <c r="C1595" s="144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s="138" t="str">
        <f>+IFERROR(VLOOKUP(Fact_Analitica[[#This Row],[Concepto Anterior]],Conceptos_Analítica_contraloría[#All],5,0),"")</f>
        <v/>
      </c>
      <c r="F1595" s="138" t="str">
        <f>+IFERROR(VLOOKUP(Fact_Analitica[[#This Row],[Concepto Anterior]],Conceptos_Analítica_contraloría[#All],7,0),"")</f>
        <v/>
      </c>
      <c r="I1595" s="138" t="str">
        <f>+IFERROR(VLOOKUP(D1595,Conceptos_Analítica_contraloría[#All],2,0),"")</f>
        <v/>
      </c>
      <c r="J1595" s="138" t="str">
        <f>+IFERROR(VLOOKUP(D1595,Conceptos_Analítica_contraloría[#All],3,0),"")</f>
        <v/>
      </c>
    </row>
    <row r="1596" spans="3:10" x14ac:dyDescent="0.35">
      <c r="C1596" s="144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s="138" t="str">
        <f>+IFERROR(VLOOKUP(Fact_Analitica[[#This Row],[Concepto Anterior]],Conceptos_Analítica_contraloría[#All],5,0),"")</f>
        <v/>
      </c>
      <c r="F1596" s="138" t="str">
        <f>+IFERROR(VLOOKUP(Fact_Analitica[[#This Row],[Concepto Anterior]],Conceptos_Analítica_contraloría[#All],7,0),"")</f>
        <v/>
      </c>
      <c r="I1596" s="138" t="str">
        <f>+IFERROR(VLOOKUP(D1596,Conceptos_Analítica_contraloría[#All],2,0),"")</f>
        <v/>
      </c>
      <c r="J1596" s="138" t="str">
        <f>+IFERROR(VLOOKUP(D1596,Conceptos_Analítica_contraloría[#All],3,0),"")</f>
        <v/>
      </c>
    </row>
    <row r="1597" spans="3:10" x14ac:dyDescent="0.35">
      <c r="C1597" s="144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s="138" t="str">
        <f>+IFERROR(VLOOKUP(Fact_Analitica[[#This Row],[Concepto Anterior]],Conceptos_Analítica_contraloría[#All],5,0),"")</f>
        <v/>
      </c>
      <c r="F1597" s="138" t="str">
        <f>+IFERROR(VLOOKUP(Fact_Analitica[[#This Row],[Concepto Anterior]],Conceptos_Analítica_contraloría[#All],7,0),"")</f>
        <v/>
      </c>
      <c r="I1597" s="138" t="str">
        <f>+IFERROR(VLOOKUP(D1597,Conceptos_Analítica_contraloría[#All],2,0),"")</f>
        <v/>
      </c>
      <c r="J1597" s="138" t="str">
        <f>+IFERROR(VLOOKUP(D1597,Conceptos_Analítica_contraloría[#All],3,0),"")</f>
        <v/>
      </c>
    </row>
    <row r="1598" spans="3:10" x14ac:dyDescent="0.35">
      <c r="C1598" s="144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s="138" t="str">
        <f>+IFERROR(VLOOKUP(Fact_Analitica[[#This Row],[Concepto Anterior]],Conceptos_Analítica_contraloría[#All],5,0),"")</f>
        <v/>
      </c>
      <c r="F1598" s="138" t="str">
        <f>+IFERROR(VLOOKUP(Fact_Analitica[[#This Row],[Concepto Anterior]],Conceptos_Analítica_contraloría[#All],7,0),"")</f>
        <v/>
      </c>
      <c r="I1598" s="138" t="str">
        <f>+IFERROR(VLOOKUP(D1598,Conceptos_Analítica_contraloría[#All],2,0),"")</f>
        <v/>
      </c>
      <c r="J1598" s="138" t="str">
        <f>+IFERROR(VLOOKUP(D1598,Conceptos_Analítica_contraloría[#All],3,0),"")</f>
        <v/>
      </c>
    </row>
    <row r="1599" spans="3:10" x14ac:dyDescent="0.35">
      <c r="C1599" s="144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s="138" t="str">
        <f>+IFERROR(VLOOKUP(Fact_Analitica[[#This Row],[Concepto Anterior]],Conceptos_Analítica_contraloría[#All],5,0),"")</f>
        <v/>
      </c>
      <c r="F1599" s="138" t="str">
        <f>+IFERROR(VLOOKUP(Fact_Analitica[[#This Row],[Concepto Anterior]],Conceptos_Analítica_contraloría[#All],7,0),"")</f>
        <v/>
      </c>
      <c r="I1599" s="138" t="str">
        <f>+IFERROR(VLOOKUP(D1599,Conceptos_Analítica_contraloría[#All],2,0),"")</f>
        <v/>
      </c>
      <c r="J1599" s="138" t="str">
        <f>+IFERROR(VLOOKUP(D1599,Conceptos_Analítica_contraloría[#All],3,0),"")</f>
        <v/>
      </c>
    </row>
    <row r="1600" spans="3:10" x14ac:dyDescent="0.35">
      <c r="C1600" s="144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s="138" t="str">
        <f>+IFERROR(VLOOKUP(Fact_Analitica[[#This Row],[Concepto Anterior]],Conceptos_Analítica_contraloría[#All],5,0),"")</f>
        <v/>
      </c>
      <c r="F1600" s="138" t="str">
        <f>+IFERROR(VLOOKUP(Fact_Analitica[[#This Row],[Concepto Anterior]],Conceptos_Analítica_contraloría[#All],7,0),"")</f>
        <v/>
      </c>
      <c r="I1600" s="138" t="str">
        <f>+IFERROR(VLOOKUP(D1600,Conceptos_Analítica_contraloría[#All],2,0),"")</f>
        <v/>
      </c>
      <c r="J1600" s="138" t="str">
        <f>+IFERROR(VLOOKUP(D1600,Conceptos_Analítica_contraloría[#All],3,0),"")</f>
        <v/>
      </c>
    </row>
    <row r="1601" spans="3:10" x14ac:dyDescent="0.35">
      <c r="C1601" s="144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s="138" t="str">
        <f>+IFERROR(VLOOKUP(Fact_Analitica[[#This Row],[Concepto Anterior]],Conceptos_Analítica_contraloría[#All],5,0),"")</f>
        <v/>
      </c>
      <c r="F1601" s="138" t="str">
        <f>+IFERROR(VLOOKUP(Fact_Analitica[[#This Row],[Concepto Anterior]],Conceptos_Analítica_contraloría[#All],7,0),"")</f>
        <v/>
      </c>
      <c r="I1601" s="138" t="str">
        <f>+IFERROR(VLOOKUP(D1601,Conceptos_Analítica_contraloría[#All],2,0),"")</f>
        <v/>
      </c>
      <c r="J1601" s="138" t="str">
        <f>+IFERROR(VLOOKUP(D1601,Conceptos_Analítica_contraloría[#All],3,0),"")</f>
        <v/>
      </c>
    </row>
    <row r="1602" spans="3:10" x14ac:dyDescent="0.35">
      <c r="C1602" s="144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s="138" t="str">
        <f>+IFERROR(VLOOKUP(Fact_Analitica[[#This Row],[Concepto Anterior]],Conceptos_Analítica_contraloría[#All],5,0),"")</f>
        <v/>
      </c>
      <c r="F1602" s="138" t="str">
        <f>+IFERROR(VLOOKUP(Fact_Analitica[[#This Row],[Concepto Anterior]],Conceptos_Analítica_contraloría[#All],7,0),"")</f>
        <v/>
      </c>
      <c r="I1602" s="138" t="str">
        <f>+IFERROR(VLOOKUP(D1602,Conceptos_Analítica_contraloría[#All],2,0),"")</f>
        <v/>
      </c>
      <c r="J1602" s="138" t="str">
        <f>+IFERROR(VLOOKUP(D1602,Conceptos_Analítica_contraloría[#All],3,0),"")</f>
        <v/>
      </c>
    </row>
    <row r="1603" spans="3:10" x14ac:dyDescent="0.35">
      <c r="C1603" s="144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s="138" t="str">
        <f>+IFERROR(VLOOKUP(Fact_Analitica[[#This Row],[Concepto Anterior]],Conceptos_Analítica_contraloría[#All],5,0),"")</f>
        <v/>
      </c>
      <c r="F1603" s="138" t="str">
        <f>+IFERROR(VLOOKUP(Fact_Analitica[[#This Row],[Concepto Anterior]],Conceptos_Analítica_contraloría[#All],7,0),"")</f>
        <v/>
      </c>
      <c r="I1603" s="138" t="str">
        <f>+IFERROR(VLOOKUP(D1603,Conceptos_Analítica_contraloría[#All],2,0),"")</f>
        <v/>
      </c>
      <c r="J1603" s="138" t="str">
        <f>+IFERROR(VLOOKUP(D1603,Conceptos_Analítica_contraloría[#All],3,0),"")</f>
        <v/>
      </c>
    </row>
    <row r="1604" spans="3:10" x14ac:dyDescent="0.35">
      <c r="C1604" s="144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s="138" t="str">
        <f>+IFERROR(VLOOKUP(Fact_Analitica[[#This Row],[Concepto Anterior]],Conceptos_Analítica_contraloría[#All],5,0),"")</f>
        <v/>
      </c>
      <c r="F1604" s="138" t="str">
        <f>+IFERROR(VLOOKUP(Fact_Analitica[[#This Row],[Concepto Anterior]],Conceptos_Analítica_contraloría[#All],7,0),"")</f>
        <v/>
      </c>
      <c r="I1604" s="138" t="str">
        <f>+IFERROR(VLOOKUP(D1604,Conceptos_Analítica_contraloría[#All],2,0),"")</f>
        <v/>
      </c>
      <c r="J1604" s="138" t="str">
        <f>+IFERROR(VLOOKUP(D1604,Conceptos_Analítica_contraloría[#All],3,0),"")</f>
        <v/>
      </c>
    </row>
    <row r="1605" spans="3:10" x14ac:dyDescent="0.35">
      <c r="C1605" s="144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s="138" t="str">
        <f>+IFERROR(VLOOKUP(Fact_Analitica[[#This Row],[Concepto Anterior]],Conceptos_Analítica_contraloría[#All],5,0),"")</f>
        <v/>
      </c>
      <c r="F1605" s="138" t="str">
        <f>+IFERROR(VLOOKUP(Fact_Analitica[[#This Row],[Concepto Anterior]],Conceptos_Analítica_contraloría[#All],7,0),"")</f>
        <v/>
      </c>
      <c r="I1605" s="138" t="str">
        <f>+IFERROR(VLOOKUP(D1605,Conceptos_Analítica_contraloría[#All],2,0),"")</f>
        <v/>
      </c>
      <c r="J1605" s="138" t="str">
        <f>+IFERROR(VLOOKUP(D1605,Conceptos_Analítica_contraloría[#All],3,0),"")</f>
        <v/>
      </c>
    </row>
    <row r="1606" spans="3:10" x14ac:dyDescent="0.35">
      <c r="C1606" s="144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s="138" t="str">
        <f>+IFERROR(VLOOKUP(Fact_Analitica[[#This Row],[Concepto Anterior]],Conceptos_Analítica_contraloría[#All],5,0),"")</f>
        <v/>
      </c>
      <c r="F1606" s="138" t="str">
        <f>+IFERROR(VLOOKUP(Fact_Analitica[[#This Row],[Concepto Anterior]],Conceptos_Analítica_contraloría[#All],7,0),"")</f>
        <v/>
      </c>
      <c r="I1606" s="138" t="str">
        <f>+IFERROR(VLOOKUP(D1606,Conceptos_Analítica_contraloría[#All],2,0),"")</f>
        <v/>
      </c>
      <c r="J1606" s="138" t="str">
        <f>+IFERROR(VLOOKUP(D1606,Conceptos_Analítica_contraloría[#All],3,0),"")</f>
        <v/>
      </c>
    </row>
    <row r="1607" spans="3:10" x14ac:dyDescent="0.35">
      <c r="C1607" s="144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s="138" t="str">
        <f>+IFERROR(VLOOKUP(Fact_Analitica[[#This Row],[Concepto Anterior]],Conceptos_Analítica_contraloría[#All],5,0),"")</f>
        <v/>
      </c>
      <c r="F1607" s="138" t="str">
        <f>+IFERROR(VLOOKUP(Fact_Analitica[[#This Row],[Concepto Anterior]],Conceptos_Analítica_contraloría[#All],7,0),"")</f>
        <v/>
      </c>
      <c r="I1607" s="138" t="str">
        <f>+IFERROR(VLOOKUP(D1607,Conceptos_Analítica_contraloría[#All],2,0),"")</f>
        <v/>
      </c>
      <c r="J1607" s="138" t="str">
        <f>+IFERROR(VLOOKUP(D1607,Conceptos_Analítica_contraloría[#All],3,0),"")</f>
        <v/>
      </c>
    </row>
    <row r="1608" spans="3:10" x14ac:dyDescent="0.35">
      <c r="C1608" s="144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s="138" t="str">
        <f>+IFERROR(VLOOKUP(Fact_Analitica[[#This Row],[Concepto Anterior]],Conceptos_Analítica_contraloría[#All],5,0),"")</f>
        <v/>
      </c>
      <c r="F1608" s="138" t="str">
        <f>+IFERROR(VLOOKUP(Fact_Analitica[[#This Row],[Concepto Anterior]],Conceptos_Analítica_contraloría[#All],7,0),"")</f>
        <v/>
      </c>
      <c r="I1608" s="138" t="str">
        <f>+IFERROR(VLOOKUP(D1608,Conceptos_Analítica_contraloría[#All],2,0),"")</f>
        <v/>
      </c>
      <c r="J1608" s="138" t="str">
        <f>+IFERROR(VLOOKUP(D1608,Conceptos_Analítica_contraloría[#All],3,0),"")</f>
        <v/>
      </c>
    </row>
    <row r="1609" spans="3:10" x14ac:dyDescent="0.35">
      <c r="C1609" s="144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s="138" t="str">
        <f>+IFERROR(VLOOKUP(Fact_Analitica[[#This Row],[Concepto Anterior]],Conceptos_Analítica_contraloría[#All],5,0),"")</f>
        <v/>
      </c>
      <c r="F1609" s="138" t="str">
        <f>+IFERROR(VLOOKUP(Fact_Analitica[[#This Row],[Concepto Anterior]],Conceptos_Analítica_contraloría[#All],7,0),"")</f>
        <v/>
      </c>
      <c r="I1609" s="138" t="str">
        <f>+IFERROR(VLOOKUP(D1609,Conceptos_Analítica_contraloría[#All],2,0),"")</f>
        <v/>
      </c>
      <c r="J1609" s="138" t="str">
        <f>+IFERROR(VLOOKUP(D1609,Conceptos_Analítica_contraloría[#All],3,0),"")</f>
        <v/>
      </c>
    </row>
    <row r="1610" spans="3:10" x14ac:dyDescent="0.35">
      <c r="C1610" s="144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s="138" t="str">
        <f>+IFERROR(VLOOKUP(Fact_Analitica[[#This Row],[Concepto Anterior]],Conceptos_Analítica_contraloría[#All],5,0),"")</f>
        <v/>
      </c>
      <c r="F1610" s="138" t="str">
        <f>+IFERROR(VLOOKUP(Fact_Analitica[[#This Row],[Concepto Anterior]],Conceptos_Analítica_contraloría[#All],7,0),"")</f>
        <v/>
      </c>
      <c r="I1610" s="138" t="str">
        <f>+IFERROR(VLOOKUP(D1610,Conceptos_Analítica_contraloría[#All],2,0),"")</f>
        <v/>
      </c>
      <c r="J1610" s="138" t="str">
        <f>+IFERROR(VLOOKUP(D1610,Conceptos_Analítica_contraloría[#All],3,0),"")</f>
        <v/>
      </c>
    </row>
    <row r="1611" spans="3:10" x14ac:dyDescent="0.35">
      <c r="C1611" s="144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s="138" t="str">
        <f>+IFERROR(VLOOKUP(Fact_Analitica[[#This Row],[Concepto Anterior]],Conceptos_Analítica_contraloría[#All],5,0),"")</f>
        <v/>
      </c>
      <c r="F1611" s="138" t="str">
        <f>+IFERROR(VLOOKUP(Fact_Analitica[[#This Row],[Concepto Anterior]],Conceptos_Analítica_contraloría[#All],7,0),"")</f>
        <v/>
      </c>
      <c r="I1611" s="138" t="str">
        <f>+IFERROR(VLOOKUP(D1611,Conceptos_Analítica_contraloría[#All],2,0),"")</f>
        <v/>
      </c>
      <c r="J1611" s="138" t="str">
        <f>+IFERROR(VLOOKUP(D1611,Conceptos_Analítica_contraloría[#All],3,0),"")</f>
        <v/>
      </c>
    </row>
    <row r="1612" spans="3:10" x14ac:dyDescent="0.35">
      <c r="C1612" s="144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s="138" t="str">
        <f>+IFERROR(VLOOKUP(Fact_Analitica[[#This Row],[Concepto Anterior]],Conceptos_Analítica_contraloría[#All],5,0),"")</f>
        <v/>
      </c>
      <c r="F1612" s="138" t="str">
        <f>+IFERROR(VLOOKUP(Fact_Analitica[[#This Row],[Concepto Anterior]],Conceptos_Analítica_contraloría[#All],7,0),"")</f>
        <v/>
      </c>
      <c r="I1612" s="138" t="str">
        <f>+IFERROR(VLOOKUP(D1612,Conceptos_Analítica_contraloría[#All],2,0),"")</f>
        <v/>
      </c>
      <c r="J1612" s="138" t="str">
        <f>+IFERROR(VLOOKUP(D1612,Conceptos_Analítica_contraloría[#All],3,0),"")</f>
        <v/>
      </c>
    </row>
    <row r="1613" spans="3:10" x14ac:dyDescent="0.35">
      <c r="C1613" s="144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s="138" t="str">
        <f>+IFERROR(VLOOKUP(Fact_Analitica[[#This Row],[Concepto Anterior]],Conceptos_Analítica_contraloría[#All],5,0),"")</f>
        <v/>
      </c>
      <c r="F1613" s="138" t="str">
        <f>+IFERROR(VLOOKUP(Fact_Analitica[[#This Row],[Concepto Anterior]],Conceptos_Analítica_contraloría[#All],7,0),"")</f>
        <v/>
      </c>
      <c r="I1613" s="138" t="str">
        <f>+IFERROR(VLOOKUP(D1613,Conceptos_Analítica_contraloría[#All],2,0),"")</f>
        <v/>
      </c>
      <c r="J1613" s="138" t="str">
        <f>+IFERROR(VLOOKUP(D1613,Conceptos_Analítica_contraloría[#All],3,0),"")</f>
        <v/>
      </c>
    </row>
    <row r="1614" spans="3:10" x14ac:dyDescent="0.35">
      <c r="C1614" s="144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s="138" t="str">
        <f>+IFERROR(VLOOKUP(Fact_Analitica[[#This Row],[Concepto Anterior]],Conceptos_Analítica_contraloría[#All],5,0),"")</f>
        <v/>
      </c>
      <c r="F1614" s="138" t="str">
        <f>+IFERROR(VLOOKUP(Fact_Analitica[[#This Row],[Concepto Anterior]],Conceptos_Analítica_contraloría[#All],7,0),"")</f>
        <v/>
      </c>
      <c r="I1614" s="138" t="str">
        <f>+IFERROR(VLOOKUP(D1614,Conceptos_Analítica_contraloría[#All],2,0),"")</f>
        <v/>
      </c>
      <c r="J1614" s="138" t="str">
        <f>+IFERROR(VLOOKUP(D1614,Conceptos_Analítica_contraloría[#All],3,0),"")</f>
        <v/>
      </c>
    </row>
    <row r="1615" spans="3:10" x14ac:dyDescent="0.35">
      <c r="C1615" s="144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s="138" t="str">
        <f>+IFERROR(VLOOKUP(Fact_Analitica[[#This Row],[Concepto Anterior]],Conceptos_Analítica_contraloría[#All],5,0),"")</f>
        <v/>
      </c>
      <c r="F1615" s="138" t="str">
        <f>+IFERROR(VLOOKUP(Fact_Analitica[[#This Row],[Concepto Anterior]],Conceptos_Analítica_contraloría[#All],7,0),"")</f>
        <v/>
      </c>
      <c r="I1615" s="138" t="str">
        <f>+IFERROR(VLOOKUP(D1615,Conceptos_Analítica_contraloría[#All],2,0),"")</f>
        <v/>
      </c>
      <c r="J1615" s="138" t="str">
        <f>+IFERROR(VLOOKUP(D1615,Conceptos_Analítica_contraloría[#All],3,0),"")</f>
        <v/>
      </c>
    </row>
    <row r="1616" spans="3:10" x14ac:dyDescent="0.35">
      <c r="C1616" s="144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s="138" t="str">
        <f>+IFERROR(VLOOKUP(Fact_Analitica[[#This Row],[Concepto Anterior]],Conceptos_Analítica_contraloría[#All],5,0),"")</f>
        <v/>
      </c>
      <c r="F1616" s="138" t="str">
        <f>+IFERROR(VLOOKUP(Fact_Analitica[[#This Row],[Concepto Anterior]],Conceptos_Analítica_contraloría[#All],7,0),"")</f>
        <v/>
      </c>
      <c r="I1616" s="138" t="str">
        <f>+IFERROR(VLOOKUP(D1616,Conceptos_Analítica_contraloría[#All],2,0),"")</f>
        <v/>
      </c>
      <c r="J1616" s="138" t="str">
        <f>+IFERROR(VLOOKUP(D1616,Conceptos_Analítica_contraloría[#All],3,0),"")</f>
        <v/>
      </c>
    </row>
    <row r="1617" spans="3:10" x14ac:dyDescent="0.35">
      <c r="C1617" s="144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s="138" t="str">
        <f>+IFERROR(VLOOKUP(Fact_Analitica[[#This Row],[Concepto Anterior]],Conceptos_Analítica_contraloría[#All],5,0),"")</f>
        <v/>
      </c>
      <c r="F1617" s="138" t="str">
        <f>+IFERROR(VLOOKUP(Fact_Analitica[[#This Row],[Concepto Anterior]],Conceptos_Analítica_contraloría[#All],7,0),"")</f>
        <v/>
      </c>
      <c r="I1617" s="138" t="str">
        <f>+IFERROR(VLOOKUP(D1617,Conceptos_Analítica_contraloría[#All],2,0),"")</f>
        <v/>
      </c>
      <c r="J1617" s="138" t="str">
        <f>+IFERROR(VLOOKUP(D1617,Conceptos_Analítica_contraloría[#All],3,0),"")</f>
        <v/>
      </c>
    </row>
    <row r="1618" spans="3:10" x14ac:dyDescent="0.35">
      <c r="C1618" s="144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s="138" t="str">
        <f>+IFERROR(VLOOKUP(Fact_Analitica[[#This Row],[Concepto Anterior]],Conceptos_Analítica_contraloría[#All],5,0),"")</f>
        <v/>
      </c>
      <c r="F1618" s="138" t="str">
        <f>+IFERROR(VLOOKUP(Fact_Analitica[[#This Row],[Concepto Anterior]],Conceptos_Analítica_contraloría[#All],7,0),"")</f>
        <v/>
      </c>
      <c r="I1618" s="138" t="str">
        <f>+IFERROR(VLOOKUP(D1618,Conceptos_Analítica_contraloría[#All],2,0),"")</f>
        <v/>
      </c>
      <c r="J1618" s="138" t="str">
        <f>+IFERROR(VLOOKUP(D1618,Conceptos_Analítica_contraloría[#All],3,0),"")</f>
        <v/>
      </c>
    </row>
    <row r="1619" spans="3:10" x14ac:dyDescent="0.35">
      <c r="C1619" s="144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s="138" t="str">
        <f>+IFERROR(VLOOKUP(Fact_Analitica[[#This Row],[Concepto Anterior]],Conceptos_Analítica_contraloría[#All],5,0),"")</f>
        <v/>
      </c>
      <c r="F1619" s="138" t="str">
        <f>+IFERROR(VLOOKUP(Fact_Analitica[[#This Row],[Concepto Anterior]],Conceptos_Analítica_contraloría[#All],7,0),"")</f>
        <v/>
      </c>
      <c r="I1619" s="138" t="str">
        <f>+IFERROR(VLOOKUP(D1619,Conceptos_Analítica_contraloría[#All],2,0),"")</f>
        <v/>
      </c>
      <c r="J1619" s="138" t="str">
        <f>+IFERROR(VLOOKUP(D1619,Conceptos_Analítica_contraloría[#All],3,0),"")</f>
        <v/>
      </c>
    </row>
    <row r="1620" spans="3:10" x14ac:dyDescent="0.35">
      <c r="C1620" s="144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s="138" t="str">
        <f>+IFERROR(VLOOKUP(Fact_Analitica[[#This Row],[Concepto Anterior]],Conceptos_Analítica_contraloría[#All],5,0),"")</f>
        <v/>
      </c>
      <c r="F1620" s="138" t="str">
        <f>+IFERROR(VLOOKUP(Fact_Analitica[[#This Row],[Concepto Anterior]],Conceptos_Analítica_contraloría[#All],7,0),"")</f>
        <v/>
      </c>
      <c r="I1620" s="138" t="str">
        <f>+IFERROR(VLOOKUP(D1620,Conceptos_Analítica_contraloría[#All],2,0),"")</f>
        <v/>
      </c>
      <c r="J1620" s="138" t="str">
        <f>+IFERROR(VLOOKUP(D1620,Conceptos_Analítica_contraloría[#All],3,0),"")</f>
        <v/>
      </c>
    </row>
    <row r="1621" spans="3:10" x14ac:dyDescent="0.35">
      <c r="C1621" s="144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s="138" t="str">
        <f>+IFERROR(VLOOKUP(Fact_Analitica[[#This Row],[Concepto Anterior]],Conceptos_Analítica_contraloría[#All],5,0),"")</f>
        <v/>
      </c>
      <c r="F1621" s="138" t="str">
        <f>+IFERROR(VLOOKUP(Fact_Analitica[[#This Row],[Concepto Anterior]],Conceptos_Analítica_contraloría[#All],7,0),"")</f>
        <v/>
      </c>
      <c r="I1621" s="138" t="str">
        <f>+IFERROR(VLOOKUP(D1621,Conceptos_Analítica_contraloría[#All],2,0),"")</f>
        <v/>
      </c>
      <c r="J1621" s="138" t="str">
        <f>+IFERROR(VLOOKUP(D1621,Conceptos_Analítica_contraloría[#All],3,0),"")</f>
        <v/>
      </c>
    </row>
    <row r="1622" spans="3:10" x14ac:dyDescent="0.35">
      <c r="C1622" s="144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s="138" t="str">
        <f>+IFERROR(VLOOKUP(Fact_Analitica[[#This Row],[Concepto Anterior]],Conceptos_Analítica_contraloría[#All],5,0),"")</f>
        <v/>
      </c>
      <c r="F1622" s="138" t="str">
        <f>+IFERROR(VLOOKUP(Fact_Analitica[[#This Row],[Concepto Anterior]],Conceptos_Analítica_contraloría[#All],7,0),"")</f>
        <v/>
      </c>
      <c r="I1622" s="138" t="str">
        <f>+IFERROR(VLOOKUP(D1622,Conceptos_Analítica_contraloría[#All],2,0),"")</f>
        <v/>
      </c>
      <c r="J1622" s="138" t="str">
        <f>+IFERROR(VLOOKUP(D1622,Conceptos_Analítica_contraloría[#All],3,0),"")</f>
        <v/>
      </c>
    </row>
    <row r="1623" spans="3:10" x14ac:dyDescent="0.35">
      <c r="C1623" s="144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s="138" t="str">
        <f>+IFERROR(VLOOKUP(Fact_Analitica[[#This Row],[Concepto Anterior]],Conceptos_Analítica_contraloría[#All],5,0),"")</f>
        <v/>
      </c>
      <c r="F1623" s="138" t="str">
        <f>+IFERROR(VLOOKUP(Fact_Analitica[[#This Row],[Concepto Anterior]],Conceptos_Analítica_contraloría[#All],7,0),"")</f>
        <v/>
      </c>
      <c r="I1623" s="138" t="str">
        <f>+IFERROR(VLOOKUP(D1623,Conceptos_Analítica_contraloría[#All],2,0),"")</f>
        <v/>
      </c>
      <c r="J1623" s="138" t="str">
        <f>+IFERROR(VLOOKUP(D1623,Conceptos_Analítica_contraloría[#All],3,0),"")</f>
        <v/>
      </c>
    </row>
    <row r="1624" spans="3:10" x14ac:dyDescent="0.35">
      <c r="C1624" s="144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s="138" t="str">
        <f>+IFERROR(VLOOKUP(Fact_Analitica[[#This Row],[Concepto Anterior]],Conceptos_Analítica_contraloría[#All],5,0),"")</f>
        <v/>
      </c>
      <c r="F1624" s="138" t="str">
        <f>+IFERROR(VLOOKUP(Fact_Analitica[[#This Row],[Concepto Anterior]],Conceptos_Analítica_contraloría[#All],7,0),"")</f>
        <v/>
      </c>
      <c r="I1624" s="138" t="str">
        <f>+IFERROR(VLOOKUP(D1624,Conceptos_Analítica_contraloría[#All],2,0),"")</f>
        <v/>
      </c>
      <c r="J1624" s="138" t="str">
        <f>+IFERROR(VLOOKUP(D1624,Conceptos_Analítica_contraloría[#All],3,0),"")</f>
        <v/>
      </c>
    </row>
    <row r="1625" spans="3:10" x14ac:dyDescent="0.35">
      <c r="C1625" s="144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s="138" t="str">
        <f>+IFERROR(VLOOKUP(Fact_Analitica[[#This Row],[Concepto Anterior]],Conceptos_Analítica_contraloría[#All],5,0),"")</f>
        <v/>
      </c>
      <c r="F1625" s="138" t="str">
        <f>+IFERROR(VLOOKUP(Fact_Analitica[[#This Row],[Concepto Anterior]],Conceptos_Analítica_contraloría[#All],7,0),"")</f>
        <v/>
      </c>
      <c r="I1625" s="138" t="str">
        <f>+IFERROR(VLOOKUP(D1625,Conceptos_Analítica_contraloría[#All],2,0),"")</f>
        <v/>
      </c>
      <c r="J1625" s="138" t="str">
        <f>+IFERROR(VLOOKUP(D1625,Conceptos_Analítica_contraloría[#All],3,0),"")</f>
        <v/>
      </c>
    </row>
    <row r="1626" spans="3:10" x14ac:dyDescent="0.35">
      <c r="C1626" s="144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s="138" t="str">
        <f>+IFERROR(VLOOKUP(Fact_Analitica[[#This Row],[Concepto Anterior]],Conceptos_Analítica_contraloría[#All],5,0),"")</f>
        <v/>
      </c>
      <c r="F1626" s="138" t="str">
        <f>+IFERROR(VLOOKUP(Fact_Analitica[[#This Row],[Concepto Anterior]],Conceptos_Analítica_contraloría[#All],7,0),"")</f>
        <v/>
      </c>
      <c r="I1626" s="138" t="str">
        <f>+IFERROR(VLOOKUP(D1626,Conceptos_Analítica_contraloría[#All],2,0),"")</f>
        <v/>
      </c>
      <c r="J1626" s="138" t="str">
        <f>+IFERROR(VLOOKUP(D1626,Conceptos_Analítica_contraloría[#All],3,0),"")</f>
        <v/>
      </c>
    </row>
    <row r="1627" spans="3:10" x14ac:dyDescent="0.35">
      <c r="C1627" s="144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s="138" t="str">
        <f>+IFERROR(VLOOKUP(Fact_Analitica[[#This Row],[Concepto Anterior]],Conceptos_Analítica_contraloría[#All],5,0),"")</f>
        <v/>
      </c>
      <c r="F1627" s="138" t="str">
        <f>+IFERROR(VLOOKUP(Fact_Analitica[[#This Row],[Concepto Anterior]],Conceptos_Analítica_contraloría[#All],7,0),"")</f>
        <v/>
      </c>
      <c r="I1627" s="138" t="str">
        <f>+IFERROR(VLOOKUP(D1627,Conceptos_Analítica_contraloría[#All],2,0),"")</f>
        <v/>
      </c>
      <c r="J1627" s="138" t="str">
        <f>+IFERROR(VLOOKUP(D1627,Conceptos_Analítica_contraloría[#All],3,0),"")</f>
        <v/>
      </c>
    </row>
    <row r="1628" spans="3:10" x14ac:dyDescent="0.35">
      <c r="C1628" s="144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s="138" t="str">
        <f>+IFERROR(VLOOKUP(Fact_Analitica[[#This Row],[Concepto Anterior]],Conceptos_Analítica_contraloría[#All],5,0),"")</f>
        <v/>
      </c>
      <c r="F1628" s="138" t="str">
        <f>+IFERROR(VLOOKUP(Fact_Analitica[[#This Row],[Concepto Anterior]],Conceptos_Analítica_contraloría[#All],7,0),"")</f>
        <v/>
      </c>
      <c r="I1628" s="138" t="str">
        <f>+IFERROR(VLOOKUP(D1628,Conceptos_Analítica_contraloría[#All],2,0),"")</f>
        <v/>
      </c>
      <c r="J1628" s="138" t="str">
        <f>+IFERROR(VLOOKUP(D1628,Conceptos_Analítica_contraloría[#All],3,0),"")</f>
        <v/>
      </c>
    </row>
    <row r="1629" spans="3:10" x14ac:dyDescent="0.35">
      <c r="C1629" s="144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s="138" t="str">
        <f>+IFERROR(VLOOKUP(Fact_Analitica[[#This Row],[Concepto Anterior]],Conceptos_Analítica_contraloría[#All],5,0),"")</f>
        <v/>
      </c>
      <c r="F1629" s="138" t="str">
        <f>+IFERROR(VLOOKUP(Fact_Analitica[[#This Row],[Concepto Anterior]],Conceptos_Analítica_contraloría[#All],7,0),"")</f>
        <v/>
      </c>
      <c r="I1629" s="138" t="str">
        <f>+IFERROR(VLOOKUP(D1629,Conceptos_Analítica_contraloría[#All],2,0),"")</f>
        <v/>
      </c>
      <c r="J1629" s="138" t="str">
        <f>+IFERROR(VLOOKUP(D1629,Conceptos_Analítica_contraloría[#All],3,0),"")</f>
        <v/>
      </c>
    </row>
    <row r="1630" spans="3:10" x14ac:dyDescent="0.35">
      <c r="C1630" s="144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s="138" t="str">
        <f>+IFERROR(VLOOKUP(Fact_Analitica[[#This Row],[Concepto Anterior]],Conceptos_Analítica_contraloría[#All],5,0),"")</f>
        <v/>
      </c>
      <c r="F1630" s="138" t="str">
        <f>+IFERROR(VLOOKUP(Fact_Analitica[[#This Row],[Concepto Anterior]],Conceptos_Analítica_contraloría[#All],7,0),"")</f>
        <v/>
      </c>
      <c r="I1630" s="138" t="str">
        <f>+IFERROR(VLOOKUP(D1630,Conceptos_Analítica_contraloría[#All],2,0),"")</f>
        <v/>
      </c>
      <c r="J1630" s="138" t="str">
        <f>+IFERROR(VLOOKUP(D1630,Conceptos_Analítica_contraloría[#All],3,0),"")</f>
        <v/>
      </c>
    </row>
    <row r="1631" spans="3:10" x14ac:dyDescent="0.35">
      <c r="C1631" s="144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s="138" t="str">
        <f>+IFERROR(VLOOKUP(Fact_Analitica[[#This Row],[Concepto Anterior]],Conceptos_Analítica_contraloría[#All],5,0),"")</f>
        <v/>
      </c>
      <c r="F1631" s="138" t="str">
        <f>+IFERROR(VLOOKUP(Fact_Analitica[[#This Row],[Concepto Anterior]],Conceptos_Analítica_contraloría[#All],7,0),"")</f>
        <v/>
      </c>
      <c r="I1631" s="138" t="str">
        <f>+IFERROR(VLOOKUP(D1631,Conceptos_Analítica_contraloría[#All],2,0),"")</f>
        <v/>
      </c>
      <c r="J1631" s="138" t="str">
        <f>+IFERROR(VLOOKUP(D1631,Conceptos_Analítica_contraloría[#All],3,0),"")</f>
        <v/>
      </c>
    </row>
    <row r="1632" spans="3:10" x14ac:dyDescent="0.35">
      <c r="C1632" s="144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s="138" t="str">
        <f>+IFERROR(VLOOKUP(Fact_Analitica[[#This Row],[Concepto Anterior]],Conceptos_Analítica_contraloría[#All],5,0),"")</f>
        <v/>
      </c>
      <c r="F1632" s="138" t="str">
        <f>+IFERROR(VLOOKUP(Fact_Analitica[[#This Row],[Concepto Anterior]],Conceptos_Analítica_contraloría[#All],7,0),"")</f>
        <v/>
      </c>
      <c r="I1632" s="138" t="str">
        <f>+IFERROR(VLOOKUP(D1632,Conceptos_Analítica_contraloría[#All],2,0),"")</f>
        <v/>
      </c>
      <c r="J1632" s="138" t="str">
        <f>+IFERROR(VLOOKUP(D1632,Conceptos_Analítica_contraloría[#All],3,0),"")</f>
        <v/>
      </c>
    </row>
    <row r="1633" spans="3:10" x14ac:dyDescent="0.35">
      <c r="C1633" s="144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s="138" t="str">
        <f>+IFERROR(VLOOKUP(Fact_Analitica[[#This Row],[Concepto Anterior]],Conceptos_Analítica_contraloría[#All],5,0),"")</f>
        <v/>
      </c>
      <c r="F1633" s="138" t="str">
        <f>+IFERROR(VLOOKUP(Fact_Analitica[[#This Row],[Concepto Anterior]],Conceptos_Analítica_contraloría[#All],7,0),"")</f>
        <v/>
      </c>
      <c r="I1633" s="138" t="str">
        <f>+IFERROR(VLOOKUP(D1633,Conceptos_Analítica_contraloría[#All],2,0),"")</f>
        <v/>
      </c>
      <c r="J1633" s="138" t="str">
        <f>+IFERROR(VLOOKUP(D1633,Conceptos_Analítica_contraloría[#All],3,0),"")</f>
        <v/>
      </c>
    </row>
    <row r="1634" spans="3:10" x14ac:dyDescent="0.35">
      <c r="C1634" s="144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s="138" t="str">
        <f>+IFERROR(VLOOKUP(Fact_Analitica[[#This Row],[Concepto Anterior]],Conceptos_Analítica_contraloría[#All],5,0),"")</f>
        <v/>
      </c>
      <c r="F1634" s="138" t="str">
        <f>+IFERROR(VLOOKUP(Fact_Analitica[[#This Row],[Concepto Anterior]],Conceptos_Analítica_contraloría[#All],7,0),"")</f>
        <v/>
      </c>
      <c r="I1634" s="138" t="str">
        <f>+IFERROR(VLOOKUP(D1634,Conceptos_Analítica_contraloría[#All],2,0),"")</f>
        <v/>
      </c>
      <c r="J1634" s="138" t="str">
        <f>+IFERROR(VLOOKUP(D1634,Conceptos_Analítica_contraloría[#All],3,0),"")</f>
        <v/>
      </c>
    </row>
    <row r="1635" spans="3:10" x14ac:dyDescent="0.35">
      <c r="C1635" s="144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s="138" t="str">
        <f>+IFERROR(VLOOKUP(Fact_Analitica[[#This Row],[Concepto Anterior]],Conceptos_Analítica_contraloría[#All],5,0),"")</f>
        <v/>
      </c>
      <c r="F1635" s="138" t="str">
        <f>+IFERROR(VLOOKUP(Fact_Analitica[[#This Row],[Concepto Anterior]],Conceptos_Analítica_contraloría[#All],7,0),"")</f>
        <v/>
      </c>
      <c r="I1635" s="138" t="str">
        <f>+IFERROR(VLOOKUP(D1635,Conceptos_Analítica_contraloría[#All],2,0),"")</f>
        <v/>
      </c>
      <c r="J1635" s="138" t="str">
        <f>+IFERROR(VLOOKUP(D1635,Conceptos_Analítica_contraloría[#All],3,0),"")</f>
        <v/>
      </c>
    </row>
    <row r="1636" spans="3:10" x14ac:dyDescent="0.35">
      <c r="C1636" s="144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s="138" t="str">
        <f>+IFERROR(VLOOKUP(Fact_Analitica[[#This Row],[Concepto Anterior]],Conceptos_Analítica_contraloría[#All],5,0),"")</f>
        <v/>
      </c>
      <c r="F1636" s="138" t="str">
        <f>+IFERROR(VLOOKUP(Fact_Analitica[[#This Row],[Concepto Anterior]],Conceptos_Analítica_contraloría[#All],7,0),"")</f>
        <v/>
      </c>
      <c r="I1636" s="138" t="str">
        <f>+IFERROR(VLOOKUP(D1636,Conceptos_Analítica_contraloría[#All],2,0),"")</f>
        <v/>
      </c>
      <c r="J1636" s="138" t="str">
        <f>+IFERROR(VLOOKUP(D1636,Conceptos_Analítica_contraloría[#All],3,0),"")</f>
        <v/>
      </c>
    </row>
    <row r="1637" spans="3:10" x14ac:dyDescent="0.35">
      <c r="C1637" s="144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s="138" t="str">
        <f>+IFERROR(VLOOKUP(Fact_Analitica[[#This Row],[Concepto Anterior]],Conceptos_Analítica_contraloría[#All],5,0),"")</f>
        <v/>
      </c>
      <c r="F1637" s="138" t="str">
        <f>+IFERROR(VLOOKUP(Fact_Analitica[[#This Row],[Concepto Anterior]],Conceptos_Analítica_contraloría[#All],7,0),"")</f>
        <v/>
      </c>
      <c r="I1637" s="138" t="str">
        <f>+IFERROR(VLOOKUP(D1637,Conceptos_Analítica_contraloría[#All],2,0),"")</f>
        <v/>
      </c>
      <c r="J1637" s="138" t="str">
        <f>+IFERROR(VLOOKUP(D1637,Conceptos_Analítica_contraloría[#All],3,0),"")</f>
        <v/>
      </c>
    </row>
    <row r="1638" spans="3:10" x14ac:dyDescent="0.35">
      <c r="C1638" s="144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s="138" t="str">
        <f>+IFERROR(VLOOKUP(Fact_Analitica[[#This Row],[Concepto Anterior]],Conceptos_Analítica_contraloría[#All],5,0),"")</f>
        <v/>
      </c>
      <c r="F1638" s="138" t="str">
        <f>+IFERROR(VLOOKUP(Fact_Analitica[[#This Row],[Concepto Anterior]],Conceptos_Analítica_contraloría[#All],7,0),"")</f>
        <v/>
      </c>
      <c r="I1638" s="138" t="str">
        <f>+IFERROR(VLOOKUP(D1638,Conceptos_Analítica_contraloría[#All],2,0),"")</f>
        <v/>
      </c>
      <c r="J1638" s="138" t="str">
        <f>+IFERROR(VLOOKUP(D1638,Conceptos_Analítica_contraloría[#All],3,0),"")</f>
        <v/>
      </c>
    </row>
    <row r="1639" spans="3:10" x14ac:dyDescent="0.35">
      <c r="C1639" s="144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s="138" t="str">
        <f>+IFERROR(VLOOKUP(Fact_Analitica[[#This Row],[Concepto Anterior]],Conceptos_Analítica_contraloría[#All],5,0),"")</f>
        <v/>
      </c>
      <c r="F1639" s="138" t="str">
        <f>+IFERROR(VLOOKUP(Fact_Analitica[[#This Row],[Concepto Anterior]],Conceptos_Analítica_contraloría[#All],7,0),"")</f>
        <v/>
      </c>
      <c r="I1639" s="138" t="str">
        <f>+IFERROR(VLOOKUP(D1639,Conceptos_Analítica_contraloría[#All],2,0),"")</f>
        <v/>
      </c>
      <c r="J1639" s="138" t="str">
        <f>+IFERROR(VLOOKUP(D1639,Conceptos_Analítica_contraloría[#All],3,0),"")</f>
        <v/>
      </c>
    </row>
    <row r="1640" spans="3:10" x14ac:dyDescent="0.35">
      <c r="C1640" s="144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s="138" t="str">
        <f>+IFERROR(VLOOKUP(Fact_Analitica[[#This Row],[Concepto Anterior]],Conceptos_Analítica_contraloría[#All],5,0),"")</f>
        <v/>
      </c>
      <c r="F1640" s="138" t="str">
        <f>+IFERROR(VLOOKUP(Fact_Analitica[[#This Row],[Concepto Anterior]],Conceptos_Analítica_contraloría[#All],7,0),"")</f>
        <v/>
      </c>
      <c r="I1640" s="138" t="str">
        <f>+IFERROR(VLOOKUP(D1640,Conceptos_Analítica_contraloría[#All],2,0),"")</f>
        <v/>
      </c>
      <c r="J1640" s="138" t="str">
        <f>+IFERROR(VLOOKUP(D1640,Conceptos_Analítica_contraloría[#All],3,0),"")</f>
        <v/>
      </c>
    </row>
    <row r="1641" spans="3:10" x14ac:dyDescent="0.35">
      <c r="C1641" s="144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s="138" t="str">
        <f>+IFERROR(VLOOKUP(Fact_Analitica[[#This Row],[Concepto Anterior]],Conceptos_Analítica_contraloría[#All],5,0),"")</f>
        <v/>
      </c>
      <c r="F1641" s="138" t="str">
        <f>+IFERROR(VLOOKUP(Fact_Analitica[[#This Row],[Concepto Anterior]],Conceptos_Analítica_contraloría[#All],7,0),"")</f>
        <v/>
      </c>
      <c r="I1641" s="138" t="str">
        <f>+IFERROR(VLOOKUP(D1641,Conceptos_Analítica_contraloría[#All],2,0),"")</f>
        <v/>
      </c>
      <c r="J1641" s="138" t="str">
        <f>+IFERROR(VLOOKUP(D1641,Conceptos_Analítica_contraloría[#All],3,0),"")</f>
        <v/>
      </c>
    </row>
    <row r="1642" spans="3:10" x14ac:dyDescent="0.35">
      <c r="C1642" s="144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s="138" t="str">
        <f>+IFERROR(VLOOKUP(Fact_Analitica[[#This Row],[Concepto Anterior]],Conceptos_Analítica_contraloría[#All],5,0),"")</f>
        <v/>
      </c>
      <c r="F1642" s="138" t="str">
        <f>+IFERROR(VLOOKUP(Fact_Analitica[[#This Row],[Concepto Anterior]],Conceptos_Analítica_contraloría[#All],7,0),"")</f>
        <v/>
      </c>
      <c r="I1642" s="138" t="str">
        <f>+IFERROR(VLOOKUP(D1642,Conceptos_Analítica_contraloría[#All],2,0),"")</f>
        <v/>
      </c>
      <c r="J1642" s="138" t="str">
        <f>+IFERROR(VLOOKUP(D1642,Conceptos_Analítica_contraloría[#All],3,0),"")</f>
        <v/>
      </c>
    </row>
    <row r="1643" spans="3:10" x14ac:dyDescent="0.35">
      <c r="C1643" s="144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s="138" t="str">
        <f>+IFERROR(VLOOKUP(Fact_Analitica[[#This Row],[Concepto Anterior]],Conceptos_Analítica_contraloría[#All],5,0),"")</f>
        <v/>
      </c>
      <c r="F1643" s="138" t="str">
        <f>+IFERROR(VLOOKUP(Fact_Analitica[[#This Row],[Concepto Anterior]],Conceptos_Analítica_contraloría[#All],7,0),"")</f>
        <v/>
      </c>
      <c r="I1643" s="138" t="str">
        <f>+IFERROR(VLOOKUP(D1643,Conceptos_Analítica_contraloría[#All],2,0),"")</f>
        <v/>
      </c>
      <c r="J1643" s="138" t="str">
        <f>+IFERROR(VLOOKUP(D1643,Conceptos_Analítica_contraloría[#All],3,0),"")</f>
        <v/>
      </c>
    </row>
    <row r="1644" spans="3:10" x14ac:dyDescent="0.35">
      <c r="C1644" s="144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s="138" t="str">
        <f>+IFERROR(VLOOKUP(Fact_Analitica[[#This Row],[Concepto Anterior]],Conceptos_Analítica_contraloría[#All],5,0),"")</f>
        <v/>
      </c>
      <c r="F1644" s="138" t="str">
        <f>+IFERROR(VLOOKUP(Fact_Analitica[[#This Row],[Concepto Anterior]],Conceptos_Analítica_contraloría[#All],7,0),"")</f>
        <v/>
      </c>
      <c r="I1644" s="138" t="str">
        <f>+IFERROR(VLOOKUP(D1644,Conceptos_Analítica_contraloría[#All],2,0),"")</f>
        <v/>
      </c>
      <c r="J1644" s="138" t="str">
        <f>+IFERROR(VLOOKUP(D1644,Conceptos_Analítica_contraloría[#All],3,0),"")</f>
        <v/>
      </c>
    </row>
    <row r="1645" spans="3:10" x14ac:dyDescent="0.35">
      <c r="C1645" s="144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s="138" t="str">
        <f>+IFERROR(VLOOKUP(Fact_Analitica[[#This Row],[Concepto Anterior]],Conceptos_Analítica_contraloría[#All],5,0),"")</f>
        <v/>
      </c>
      <c r="F1645" s="138" t="str">
        <f>+IFERROR(VLOOKUP(Fact_Analitica[[#This Row],[Concepto Anterior]],Conceptos_Analítica_contraloría[#All],7,0),"")</f>
        <v/>
      </c>
      <c r="I1645" s="138" t="str">
        <f>+IFERROR(VLOOKUP(D1645,Conceptos_Analítica_contraloría[#All],2,0),"")</f>
        <v/>
      </c>
      <c r="J1645" s="138" t="str">
        <f>+IFERROR(VLOOKUP(D1645,Conceptos_Analítica_contraloría[#All],3,0),"")</f>
        <v/>
      </c>
    </row>
    <row r="1646" spans="3:10" x14ac:dyDescent="0.35">
      <c r="C1646" s="144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s="138" t="str">
        <f>+IFERROR(VLOOKUP(Fact_Analitica[[#This Row],[Concepto Anterior]],Conceptos_Analítica_contraloría[#All],5,0),"")</f>
        <v/>
      </c>
      <c r="F1646" s="138" t="str">
        <f>+IFERROR(VLOOKUP(Fact_Analitica[[#This Row],[Concepto Anterior]],Conceptos_Analítica_contraloría[#All],7,0),"")</f>
        <v/>
      </c>
      <c r="I1646" s="138" t="str">
        <f>+IFERROR(VLOOKUP(D1646,Conceptos_Analítica_contraloría[#All],2,0),"")</f>
        <v/>
      </c>
      <c r="J1646" s="138" t="str">
        <f>+IFERROR(VLOOKUP(D1646,Conceptos_Analítica_contraloría[#All],3,0),"")</f>
        <v/>
      </c>
    </row>
    <row r="1647" spans="3:10" x14ac:dyDescent="0.35">
      <c r="C1647" s="144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s="138" t="str">
        <f>+IFERROR(VLOOKUP(Fact_Analitica[[#This Row],[Concepto Anterior]],Conceptos_Analítica_contraloría[#All],5,0),"")</f>
        <v/>
      </c>
      <c r="F1647" s="138" t="str">
        <f>+IFERROR(VLOOKUP(Fact_Analitica[[#This Row],[Concepto Anterior]],Conceptos_Analítica_contraloría[#All],7,0),"")</f>
        <v/>
      </c>
      <c r="I1647" s="138" t="str">
        <f>+IFERROR(VLOOKUP(D1647,Conceptos_Analítica_contraloría[#All],2,0),"")</f>
        <v/>
      </c>
      <c r="J1647" s="138" t="str">
        <f>+IFERROR(VLOOKUP(D1647,Conceptos_Analítica_contraloría[#All],3,0),"")</f>
        <v/>
      </c>
    </row>
    <row r="1648" spans="3:10" x14ac:dyDescent="0.35">
      <c r="C1648" s="144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s="138" t="str">
        <f>+IFERROR(VLOOKUP(Fact_Analitica[[#This Row],[Concepto Anterior]],Conceptos_Analítica_contraloría[#All],5,0),"")</f>
        <v/>
      </c>
      <c r="F1648" s="138" t="str">
        <f>+IFERROR(VLOOKUP(Fact_Analitica[[#This Row],[Concepto Anterior]],Conceptos_Analítica_contraloría[#All],7,0),"")</f>
        <v/>
      </c>
      <c r="I1648" s="138" t="str">
        <f>+IFERROR(VLOOKUP(D1648,Conceptos_Analítica_contraloría[#All],2,0),"")</f>
        <v/>
      </c>
      <c r="J1648" s="138" t="str">
        <f>+IFERROR(VLOOKUP(D1648,Conceptos_Analítica_contraloría[#All],3,0),"")</f>
        <v/>
      </c>
    </row>
    <row r="1649" spans="3:10" x14ac:dyDescent="0.35">
      <c r="C1649" s="144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s="138" t="str">
        <f>+IFERROR(VLOOKUP(Fact_Analitica[[#This Row],[Concepto Anterior]],Conceptos_Analítica_contraloría[#All],5,0),"")</f>
        <v/>
      </c>
      <c r="F1649" s="138" t="str">
        <f>+IFERROR(VLOOKUP(Fact_Analitica[[#This Row],[Concepto Anterior]],Conceptos_Analítica_contraloría[#All],7,0),"")</f>
        <v/>
      </c>
      <c r="I1649" s="138" t="str">
        <f>+IFERROR(VLOOKUP(D1649,Conceptos_Analítica_contraloría[#All],2,0),"")</f>
        <v/>
      </c>
      <c r="J1649" s="138" t="str">
        <f>+IFERROR(VLOOKUP(D1649,Conceptos_Analítica_contraloría[#All],3,0),"")</f>
        <v/>
      </c>
    </row>
    <row r="1650" spans="3:10" x14ac:dyDescent="0.35">
      <c r="C1650" s="144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s="138" t="str">
        <f>+IFERROR(VLOOKUP(Fact_Analitica[[#This Row],[Concepto Anterior]],Conceptos_Analítica_contraloría[#All],5,0),"")</f>
        <v/>
      </c>
      <c r="F1650" s="138" t="str">
        <f>+IFERROR(VLOOKUP(Fact_Analitica[[#This Row],[Concepto Anterior]],Conceptos_Analítica_contraloría[#All],7,0),"")</f>
        <v/>
      </c>
      <c r="I1650" s="138" t="str">
        <f>+IFERROR(VLOOKUP(D1650,Conceptos_Analítica_contraloría[#All],2,0),"")</f>
        <v/>
      </c>
      <c r="J1650" s="138" t="str">
        <f>+IFERROR(VLOOKUP(D1650,Conceptos_Analítica_contraloría[#All],3,0),"")</f>
        <v/>
      </c>
    </row>
    <row r="1651" spans="3:10" x14ac:dyDescent="0.35">
      <c r="C1651" s="144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s="138" t="str">
        <f>+IFERROR(VLOOKUP(Fact_Analitica[[#This Row],[Concepto Anterior]],Conceptos_Analítica_contraloría[#All],5,0),"")</f>
        <v/>
      </c>
      <c r="F1651" s="138" t="str">
        <f>+IFERROR(VLOOKUP(Fact_Analitica[[#This Row],[Concepto Anterior]],Conceptos_Analítica_contraloría[#All],7,0),"")</f>
        <v/>
      </c>
      <c r="I1651" s="138" t="str">
        <f>+IFERROR(VLOOKUP(D1651,Conceptos_Analítica_contraloría[#All],2,0),"")</f>
        <v/>
      </c>
      <c r="J1651" s="138" t="str">
        <f>+IFERROR(VLOOKUP(D1651,Conceptos_Analítica_contraloría[#All],3,0),"")</f>
        <v/>
      </c>
    </row>
    <row r="1652" spans="3:10" x14ac:dyDescent="0.35">
      <c r="C1652" s="144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s="138" t="str">
        <f>+IFERROR(VLOOKUP(Fact_Analitica[[#This Row],[Concepto Anterior]],Conceptos_Analítica_contraloría[#All],5,0),"")</f>
        <v/>
      </c>
      <c r="F1652" s="138" t="str">
        <f>+IFERROR(VLOOKUP(Fact_Analitica[[#This Row],[Concepto Anterior]],Conceptos_Analítica_contraloría[#All],7,0),"")</f>
        <v/>
      </c>
      <c r="I1652" s="138" t="str">
        <f>+IFERROR(VLOOKUP(D1652,Conceptos_Analítica_contraloría[#All],2,0),"")</f>
        <v/>
      </c>
      <c r="J1652" s="138" t="str">
        <f>+IFERROR(VLOOKUP(D1652,Conceptos_Analítica_contraloría[#All],3,0),"")</f>
        <v/>
      </c>
    </row>
    <row r="1653" spans="3:10" x14ac:dyDescent="0.35">
      <c r="C1653" s="144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s="138" t="str">
        <f>+IFERROR(VLOOKUP(Fact_Analitica[[#This Row],[Concepto Anterior]],Conceptos_Analítica_contraloría[#All],5,0),"")</f>
        <v/>
      </c>
      <c r="F1653" s="138" t="str">
        <f>+IFERROR(VLOOKUP(Fact_Analitica[[#This Row],[Concepto Anterior]],Conceptos_Analítica_contraloría[#All],7,0),"")</f>
        <v/>
      </c>
      <c r="I1653" s="138" t="str">
        <f>+IFERROR(VLOOKUP(D1653,Conceptos_Analítica_contraloría[#All],2,0),"")</f>
        <v/>
      </c>
      <c r="J1653" s="138" t="str">
        <f>+IFERROR(VLOOKUP(D1653,Conceptos_Analítica_contraloría[#All],3,0),"")</f>
        <v/>
      </c>
    </row>
    <row r="1654" spans="3:10" x14ac:dyDescent="0.35">
      <c r="C1654" s="144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s="138" t="str">
        <f>+IFERROR(VLOOKUP(Fact_Analitica[[#This Row],[Concepto Anterior]],Conceptos_Analítica_contraloría[#All],5,0),"")</f>
        <v/>
      </c>
      <c r="F1654" s="138" t="str">
        <f>+IFERROR(VLOOKUP(Fact_Analitica[[#This Row],[Concepto Anterior]],Conceptos_Analítica_contraloría[#All],7,0),"")</f>
        <v/>
      </c>
      <c r="I1654" s="138" t="str">
        <f>+IFERROR(VLOOKUP(D1654,Conceptos_Analítica_contraloría[#All],2,0),"")</f>
        <v/>
      </c>
      <c r="J1654" s="138" t="str">
        <f>+IFERROR(VLOOKUP(D1654,Conceptos_Analítica_contraloría[#All],3,0),"")</f>
        <v/>
      </c>
    </row>
    <row r="1655" spans="3:10" x14ac:dyDescent="0.35">
      <c r="C1655" s="144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s="138" t="str">
        <f>+IFERROR(VLOOKUP(Fact_Analitica[[#This Row],[Concepto Anterior]],Conceptos_Analítica_contraloría[#All],5,0),"")</f>
        <v/>
      </c>
      <c r="F1655" s="138" t="str">
        <f>+IFERROR(VLOOKUP(Fact_Analitica[[#This Row],[Concepto Anterior]],Conceptos_Analítica_contraloría[#All],7,0),"")</f>
        <v/>
      </c>
      <c r="I1655" s="138" t="str">
        <f>+IFERROR(VLOOKUP(D1655,Conceptos_Analítica_contraloría[#All],2,0),"")</f>
        <v/>
      </c>
      <c r="J1655" s="138" t="str">
        <f>+IFERROR(VLOOKUP(D1655,Conceptos_Analítica_contraloría[#All],3,0),"")</f>
        <v/>
      </c>
    </row>
    <row r="1656" spans="3:10" x14ac:dyDescent="0.35">
      <c r="C1656" s="144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s="138" t="str">
        <f>+IFERROR(VLOOKUP(Fact_Analitica[[#This Row],[Concepto Anterior]],Conceptos_Analítica_contraloría[#All],5,0),"")</f>
        <v/>
      </c>
      <c r="F1656" s="138" t="str">
        <f>+IFERROR(VLOOKUP(Fact_Analitica[[#This Row],[Concepto Anterior]],Conceptos_Analítica_contraloría[#All],7,0),"")</f>
        <v/>
      </c>
      <c r="I1656" s="138" t="str">
        <f>+IFERROR(VLOOKUP(D1656,Conceptos_Analítica_contraloría[#All],2,0),"")</f>
        <v/>
      </c>
      <c r="J1656" s="138" t="str">
        <f>+IFERROR(VLOOKUP(D1656,Conceptos_Analítica_contraloría[#All],3,0),"")</f>
        <v/>
      </c>
    </row>
    <row r="1657" spans="3:10" x14ac:dyDescent="0.35">
      <c r="C1657" s="144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s="138" t="str">
        <f>+IFERROR(VLOOKUP(Fact_Analitica[[#This Row],[Concepto Anterior]],Conceptos_Analítica_contraloría[#All],5,0),"")</f>
        <v/>
      </c>
      <c r="F1657" s="138" t="str">
        <f>+IFERROR(VLOOKUP(Fact_Analitica[[#This Row],[Concepto Anterior]],Conceptos_Analítica_contraloría[#All],7,0),"")</f>
        <v/>
      </c>
      <c r="I1657" s="138" t="str">
        <f>+IFERROR(VLOOKUP(D1657,Conceptos_Analítica_contraloría[#All],2,0),"")</f>
        <v/>
      </c>
      <c r="J1657" s="138" t="str">
        <f>+IFERROR(VLOOKUP(D1657,Conceptos_Analítica_contraloría[#All],3,0),"")</f>
        <v/>
      </c>
    </row>
    <row r="1658" spans="3:10" x14ac:dyDescent="0.35">
      <c r="C1658" s="144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s="138" t="str">
        <f>+IFERROR(VLOOKUP(Fact_Analitica[[#This Row],[Concepto Anterior]],Conceptos_Analítica_contraloría[#All],5,0),"")</f>
        <v/>
      </c>
      <c r="F1658" s="138" t="str">
        <f>+IFERROR(VLOOKUP(Fact_Analitica[[#This Row],[Concepto Anterior]],Conceptos_Analítica_contraloría[#All],7,0),"")</f>
        <v/>
      </c>
      <c r="I1658" s="138" t="str">
        <f>+IFERROR(VLOOKUP(D1658,Conceptos_Analítica_contraloría[#All],2,0),"")</f>
        <v/>
      </c>
      <c r="J1658" s="138" t="str">
        <f>+IFERROR(VLOOKUP(D1658,Conceptos_Analítica_contraloría[#All],3,0),"")</f>
        <v/>
      </c>
    </row>
    <row r="1659" spans="3:10" x14ac:dyDescent="0.35">
      <c r="C1659" s="144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s="138" t="str">
        <f>+IFERROR(VLOOKUP(Fact_Analitica[[#This Row],[Concepto Anterior]],Conceptos_Analítica_contraloría[#All],5,0),"")</f>
        <v/>
      </c>
      <c r="F1659" s="138" t="str">
        <f>+IFERROR(VLOOKUP(Fact_Analitica[[#This Row],[Concepto Anterior]],Conceptos_Analítica_contraloría[#All],7,0),"")</f>
        <v/>
      </c>
      <c r="I1659" s="138" t="str">
        <f>+IFERROR(VLOOKUP(D1659,Conceptos_Analítica_contraloría[#All],2,0),"")</f>
        <v/>
      </c>
      <c r="J1659" s="138" t="str">
        <f>+IFERROR(VLOOKUP(D1659,Conceptos_Analítica_contraloría[#All],3,0),"")</f>
        <v/>
      </c>
    </row>
    <row r="1660" spans="3:10" x14ac:dyDescent="0.35">
      <c r="C1660" s="144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s="138" t="str">
        <f>+IFERROR(VLOOKUP(Fact_Analitica[[#This Row],[Concepto Anterior]],Conceptos_Analítica_contraloría[#All],5,0),"")</f>
        <v/>
      </c>
      <c r="F1660" s="138" t="str">
        <f>+IFERROR(VLOOKUP(Fact_Analitica[[#This Row],[Concepto Anterior]],Conceptos_Analítica_contraloría[#All],7,0),"")</f>
        <v/>
      </c>
      <c r="I1660" s="138" t="str">
        <f>+IFERROR(VLOOKUP(D1660,Conceptos_Analítica_contraloría[#All],2,0),"")</f>
        <v/>
      </c>
      <c r="J1660" s="138" t="str">
        <f>+IFERROR(VLOOKUP(D1660,Conceptos_Analítica_contraloría[#All],3,0),"")</f>
        <v/>
      </c>
    </row>
    <row r="1661" spans="3:10" x14ac:dyDescent="0.35">
      <c r="C1661" s="144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s="138" t="str">
        <f>+IFERROR(VLOOKUP(Fact_Analitica[[#This Row],[Concepto Anterior]],Conceptos_Analítica_contraloría[#All],5,0),"")</f>
        <v/>
      </c>
      <c r="F1661" s="138" t="str">
        <f>+IFERROR(VLOOKUP(Fact_Analitica[[#This Row],[Concepto Anterior]],Conceptos_Analítica_contraloría[#All],7,0),"")</f>
        <v/>
      </c>
      <c r="I1661" s="138" t="str">
        <f>+IFERROR(VLOOKUP(D1661,Conceptos_Analítica_contraloría[#All],2,0),"")</f>
        <v/>
      </c>
      <c r="J1661" s="138" t="str">
        <f>+IFERROR(VLOOKUP(D1661,Conceptos_Analítica_contraloría[#All],3,0),"")</f>
        <v/>
      </c>
    </row>
    <row r="1662" spans="3:10" x14ac:dyDescent="0.35">
      <c r="C1662" s="144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s="138" t="str">
        <f>+IFERROR(VLOOKUP(Fact_Analitica[[#This Row],[Concepto Anterior]],Conceptos_Analítica_contraloría[#All],5,0),"")</f>
        <v/>
      </c>
      <c r="F1662" s="138" t="str">
        <f>+IFERROR(VLOOKUP(Fact_Analitica[[#This Row],[Concepto Anterior]],Conceptos_Analítica_contraloría[#All],7,0),"")</f>
        <v/>
      </c>
      <c r="I1662" s="138" t="str">
        <f>+IFERROR(VLOOKUP(D1662,Conceptos_Analítica_contraloría[#All],2,0),"")</f>
        <v/>
      </c>
      <c r="J1662" s="138" t="str">
        <f>+IFERROR(VLOOKUP(D1662,Conceptos_Analítica_contraloría[#All],3,0),"")</f>
        <v/>
      </c>
    </row>
    <row r="1663" spans="3:10" x14ac:dyDescent="0.35">
      <c r="C1663" s="144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s="138" t="str">
        <f>+IFERROR(VLOOKUP(Fact_Analitica[[#This Row],[Concepto Anterior]],Conceptos_Analítica_contraloría[#All],5,0),"")</f>
        <v/>
      </c>
      <c r="F1663" s="138" t="str">
        <f>+IFERROR(VLOOKUP(Fact_Analitica[[#This Row],[Concepto Anterior]],Conceptos_Analítica_contraloría[#All],7,0),"")</f>
        <v/>
      </c>
      <c r="I1663" s="138" t="str">
        <f>+IFERROR(VLOOKUP(D1663,Conceptos_Analítica_contraloría[#All],2,0),"")</f>
        <v/>
      </c>
      <c r="J1663" s="138" t="str">
        <f>+IFERROR(VLOOKUP(D1663,Conceptos_Analítica_contraloría[#All],3,0),"")</f>
        <v/>
      </c>
    </row>
    <row r="1664" spans="3:10" x14ac:dyDescent="0.35">
      <c r="C1664" s="144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s="138" t="str">
        <f>+IFERROR(VLOOKUP(Fact_Analitica[[#This Row],[Concepto Anterior]],Conceptos_Analítica_contraloría[#All],5,0),"")</f>
        <v/>
      </c>
      <c r="F1664" s="138" t="str">
        <f>+IFERROR(VLOOKUP(Fact_Analitica[[#This Row],[Concepto Anterior]],Conceptos_Analítica_contraloría[#All],7,0),"")</f>
        <v/>
      </c>
      <c r="I1664" s="138" t="str">
        <f>+IFERROR(VLOOKUP(D1664,Conceptos_Analítica_contraloría[#All],2,0),"")</f>
        <v/>
      </c>
      <c r="J1664" s="138" t="str">
        <f>+IFERROR(VLOOKUP(D1664,Conceptos_Analítica_contraloría[#All],3,0),"")</f>
        <v/>
      </c>
    </row>
    <row r="1665" spans="3:10" x14ac:dyDescent="0.35">
      <c r="C1665" s="144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s="138" t="str">
        <f>+IFERROR(VLOOKUP(Fact_Analitica[[#This Row],[Concepto Anterior]],Conceptos_Analítica_contraloría[#All],5,0),"")</f>
        <v/>
      </c>
      <c r="F1665" s="138" t="str">
        <f>+IFERROR(VLOOKUP(Fact_Analitica[[#This Row],[Concepto Anterior]],Conceptos_Analítica_contraloría[#All],7,0),"")</f>
        <v/>
      </c>
      <c r="I1665" s="138" t="str">
        <f>+IFERROR(VLOOKUP(D1665,Conceptos_Analítica_contraloría[#All],2,0),"")</f>
        <v/>
      </c>
      <c r="J1665" s="138" t="str">
        <f>+IFERROR(VLOOKUP(D1665,Conceptos_Analítica_contraloría[#All],3,0),"")</f>
        <v/>
      </c>
    </row>
    <row r="1666" spans="3:10" x14ac:dyDescent="0.35">
      <c r="C1666" s="144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s="138" t="str">
        <f>+IFERROR(VLOOKUP(Fact_Analitica[[#This Row],[Concepto Anterior]],Conceptos_Analítica_contraloría[#All],5,0),"")</f>
        <v/>
      </c>
      <c r="F1666" s="138" t="str">
        <f>+IFERROR(VLOOKUP(Fact_Analitica[[#This Row],[Concepto Anterior]],Conceptos_Analítica_contraloría[#All],7,0),"")</f>
        <v/>
      </c>
      <c r="I1666" s="138" t="str">
        <f>+IFERROR(VLOOKUP(D1666,Conceptos_Analítica_contraloría[#All],2,0),"")</f>
        <v/>
      </c>
      <c r="J1666" s="138" t="str">
        <f>+IFERROR(VLOOKUP(D1666,Conceptos_Analítica_contraloría[#All],3,0),"")</f>
        <v/>
      </c>
    </row>
    <row r="1667" spans="3:10" x14ac:dyDescent="0.35">
      <c r="C1667" s="144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s="138" t="str">
        <f>+IFERROR(VLOOKUP(Fact_Analitica[[#This Row],[Concepto Anterior]],Conceptos_Analítica_contraloría[#All],5,0),"")</f>
        <v/>
      </c>
      <c r="F1667" s="138" t="str">
        <f>+IFERROR(VLOOKUP(Fact_Analitica[[#This Row],[Concepto Anterior]],Conceptos_Analítica_contraloría[#All],7,0),"")</f>
        <v/>
      </c>
      <c r="I1667" s="138" t="str">
        <f>+IFERROR(VLOOKUP(D1667,Conceptos_Analítica_contraloría[#All],2,0),"")</f>
        <v/>
      </c>
      <c r="J1667" s="138" t="str">
        <f>+IFERROR(VLOOKUP(D1667,Conceptos_Analítica_contraloría[#All],3,0),"")</f>
        <v/>
      </c>
    </row>
    <row r="1668" spans="3:10" x14ac:dyDescent="0.35">
      <c r="C1668" s="144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s="138" t="str">
        <f>+IFERROR(VLOOKUP(Fact_Analitica[[#This Row],[Concepto Anterior]],Conceptos_Analítica_contraloría[#All],5,0),"")</f>
        <v/>
      </c>
      <c r="F1668" s="138" t="str">
        <f>+IFERROR(VLOOKUP(Fact_Analitica[[#This Row],[Concepto Anterior]],Conceptos_Analítica_contraloría[#All],7,0),"")</f>
        <v/>
      </c>
      <c r="I1668" s="138" t="str">
        <f>+IFERROR(VLOOKUP(D1668,Conceptos_Analítica_contraloría[#All],2,0),"")</f>
        <v/>
      </c>
      <c r="J1668" s="138" t="str">
        <f>+IFERROR(VLOOKUP(D1668,Conceptos_Analítica_contraloría[#All],3,0),"")</f>
        <v/>
      </c>
    </row>
    <row r="1669" spans="3:10" x14ac:dyDescent="0.35">
      <c r="C1669" s="144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s="138" t="str">
        <f>+IFERROR(VLOOKUP(Fact_Analitica[[#This Row],[Concepto Anterior]],Conceptos_Analítica_contraloría[#All],5,0),"")</f>
        <v/>
      </c>
      <c r="F1669" s="138" t="str">
        <f>+IFERROR(VLOOKUP(Fact_Analitica[[#This Row],[Concepto Anterior]],Conceptos_Analítica_contraloría[#All],7,0),"")</f>
        <v/>
      </c>
      <c r="I1669" s="138" t="str">
        <f>+IFERROR(VLOOKUP(D1669,Conceptos_Analítica_contraloría[#All],2,0),"")</f>
        <v/>
      </c>
      <c r="J1669" s="138" t="str">
        <f>+IFERROR(VLOOKUP(D1669,Conceptos_Analítica_contraloría[#All],3,0),"")</f>
        <v/>
      </c>
    </row>
    <row r="1670" spans="3:10" x14ac:dyDescent="0.35">
      <c r="C1670" s="144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s="138" t="str">
        <f>+IFERROR(VLOOKUP(Fact_Analitica[[#This Row],[Concepto Anterior]],Conceptos_Analítica_contraloría[#All],5,0),"")</f>
        <v/>
      </c>
      <c r="F1670" s="138" t="str">
        <f>+IFERROR(VLOOKUP(Fact_Analitica[[#This Row],[Concepto Anterior]],Conceptos_Analítica_contraloría[#All],7,0),"")</f>
        <v/>
      </c>
      <c r="I1670" s="138" t="str">
        <f>+IFERROR(VLOOKUP(D1670,Conceptos_Analítica_contraloría[#All],2,0),"")</f>
        <v/>
      </c>
      <c r="J1670" s="138" t="str">
        <f>+IFERROR(VLOOKUP(D1670,Conceptos_Analítica_contraloría[#All],3,0),"")</f>
        <v/>
      </c>
    </row>
    <row r="1671" spans="3:10" x14ac:dyDescent="0.35">
      <c r="C1671" s="144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s="138" t="str">
        <f>+IFERROR(VLOOKUP(Fact_Analitica[[#This Row],[Concepto Anterior]],Conceptos_Analítica_contraloría[#All],5,0),"")</f>
        <v/>
      </c>
      <c r="F1671" s="138" t="str">
        <f>+IFERROR(VLOOKUP(Fact_Analitica[[#This Row],[Concepto Anterior]],Conceptos_Analítica_contraloría[#All],7,0),"")</f>
        <v/>
      </c>
      <c r="I1671" s="138" t="str">
        <f>+IFERROR(VLOOKUP(D1671,Conceptos_Analítica_contraloría[#All],2,0),"")</f>
        <v/>
      </c>
      <c r="J1671" s="138" t="str">
        <f>+IFERROR(VLOOKUP(D1671,Conceptos_Analítica_contraloría[#All],3,0),"")</f>
        <v/>
      </c>
    </row>
    <row r="1672" spans="3:10" x14ac:dyDescent="0.35">
      <c r="C1672" s="144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s="138" t="str">
        <f>+IFERROR(VLOOKUP(Fact_Analitica[[#This Row],[Concepto Anterior]],Conceptos_Analítica_contraloría[#All],5,0),"")</f>
        <v/>
      </c>
      <c r="F1672" s="138" t="str">
        <f>+IFERROR(VLOOKUP(Fact_Analitica[[#This Row],[Concepto Anterior]],Conceptos_Analítica_contraloría[#All],7,0),"")</f>
        <v/>
      </c>
      <c r="I1672" s="138" t="str">
        <f>+IFERROR(VLOOKUP(D1672,Conceptos_Analítica_contraloría[#All],2,0),"")</f>
        <v/>
      </c>
      <c r="J1672" s="138" t="str">
        <f>+IFERROR(VLOOKUP(D1672,Conceptos_Analítica_contraloría[#All],3,0),"")</f>
        <v/>
      </c>
    </row>
    <row r="1673" spans="3:10" x14ac:dyDescent="0.35">
      <c r="C1673" s="144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s="138" t="str">
        <f>+IFERROR(VLOOKUP(Fact_Analitica[[#This Row],[Concepto Anterior]],Conceptos_Analítica_contraloría[#All],5,0),"")</f>
        <v/>
      </c>
      <c r="F1673" s="138" t="str">
        <f>+IFERROR(VLOOKUP(Fact_Analitica[[#This Row],[Concepto Anterior]],Conceptos_Analítica_contraloría[#All],7,0),"")</f>
        <v/>
      </c>
      <c r="I1673" s="138" t="str">
        <f>+IFERROR(VLOOKUP(D1673,Conceptos_Analítica_contraloría[#All],2,0),"")</f>
        <v/>
      </c>
      <c r="J1673" s="138" t="str">
        <f>+IFERROR(VLOOKUP(D1673,Conceptos_Analítica_contraloría[#All],3,0),"")</f>
        <v/>
      </c>
    </row>
    <row r="1674" spans="3:10" x14ac:dyDescent="0.35">
      <c r="C1674" s="144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s="138" t="str">
        <f>+IFERROR(VLOOKUP(Fact_Analitica[[#This Row],[Concepto Anterior]],Conceptos_Analítica_contraloría[#All],5,0),"")</f>
        <v/>
      </c>
      <c r="F1674" s="138" t="str">
        <f>+IFERROR(VLOOKUP(Fact_Analitica[[#This Row],[Concepto Anterior]],Conceptos_Analítica_contraloría[#All],7,0),"")</f>
        <v/>
      </c>
      <c r="I1674" s="138" t="str">
        <f>+IFERROR(VLOOKUP(D1674,Conceptos_Analítica_contraloría[#All],2,0),"")</f>
        <v/>
      </c>
      <c r="J1674" s="138" t="str">
        <f>+IFERROR(VLOOKUP(D1674,Conceptos_Analítica_contraloría[#All],3,0),"")</f>
        <v/>
      </c>
    </row>
    <row r="1675" spans="3:10" x14ac:dyDescent="0.35">
      <c r="C1675" s="144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s="138" t="str">
        <f>+IFERROR(VLOOKUP(Fact_Analitica[[#This Row],[Concepto Anterior]],Conceptos_Analítica_contraloría[#All],5,0),"")</f>
        <v/>
      </c>
      <c r="F1675" s="138" t="str">
        <f>+IFERROR(VLOOKUP(Fact_Analitica[[#This Row],[Concepto Anterior]],Conceptos_Analítica_contraloría[#All],7,0),"")</f>
        <v/>
      </c>
      <c r="I1675" s="138" t="str">
        <f>+IFERROR(VLOOKUP(D1675,Conceptos_Analítica_contraloría[#All],2,0),"")</f>
        <v/>
      </c>
      <c r="J1675" s="138" t="str">
        <f>+IFERROR(VLOOKUP(D1675,Conceptos_Analítica_contraloría[#All],3,0),"")</f>
        <v/>
      </c>
    </row>
    <row r="1676" spans="3:10" x14ac:dyDescent="0.35">
      <c r="C1676" s="144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s="138" t="str">
        <f>+IFERROR(VLOOKUP(Fact_Analitica[[#This Row],[Concepto Anterior]],Conceptos_Analítica_contraloría[#All],5,0),"")</f>
        <v/>
      </c>
      <c r="F1676" s="138" t="str">
        <f>+IFERROR(VLOOKUP(Fact_Analitica[[#This Row],[Concepto Anterior]],Conceptos_Analítica_contraloría[#All],7,0),"")</f>
        <v/>
      </c>
      <c r="I1676" s="138" t="str">
        <f>+IFERROR(VLOOKUP(D1676,Conceptos_Analítica_contraloría[#All],2,0),"")</f>
        <v/>
      </c>
      <c r="J1676" s="138" t="str">
        <f>+IFERROR(VLOOKUP(D1676,Conceptos_Analítica_contraloría[#All],3,0),"")</f>
        <v/>
      </c>
    </row>
    <row r="1677" spans="3:10" x14ac:dyDescent="0.35">
      <c r="C1677" s="144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s="138" t="str">
        <f>+IFERROR(VLOOKUP(Fact_Analitica[[#This Row],[Concepto Anterior]],Conceptos_Analítica_contraloría[#All],5,0),"")</f>
        <v/>
      </c>
      <c r="F1677" s="138" t="str">
        <f>+IFERROR(VLOOKUP(Fact_Analitica[[#This Row],[Concepto Anterior]],Conceptos_Analítica_contraloría[#All],7,0),"")</f>
        <v/>
      </c>
      <c r="I1677" s="138" t="str">
        <f>+IFERROR(VLOOKUP(D1677,Conceptos_Analítica_contraloría[#All],2,0),"")</f>
        <v/>
      </c>
      <c r="J1677" s="138" t="str">
        <f>+IFERROR(VLOOKUP(D1677,Conceptos_Analítica_contraloría[#All],3,0),"")</f>
        <v/>
      </c>
    </row>
    <row r="1678" spans="3:10" x14ac:dyDescent="0.35">
      <c r="C1678" s="144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s="138" t="str">
        <f>+IFERROR(VLOOKUP(Fact_Analitica[[#This Row],[Concepto Anterior]],Conceptos_Analítica_contraloría[#All],5,0),"")</f>
        <v/>
      </c>
      <c r="F1678" s="138" t="str">
        <f>+IFERROR(VLOOKUP(Fact_Analitica[[#This Row],[Concepto Anterior]],Conceptos_Analítica_contraloría[#All],7,0),"")</f>
        <v/>
      </c>
      <c r="I1678" s="138" t="str">
        <f>+IFERROR(VLOOKUP(D1678,Conceptos_Analítica_contraloría[#All],2,0),"")</f>
        <v/>
      </c>
      <c r="J1678" s="138" t="str">
        <f>+IFERROR(VLOOKUP(D1678,Conceptos_Analítica_contraloría[#All],3,0),"")</f>
        <v/>
      </c>
    </row>
    <row r="1679" spans="3:10" x14ac:dyDescent="0.35">
      <c r="C1679" s="144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s="138" t="str">
        <f>+IFERROR(VLOOKUP(Fact_Analitica[[#This Row],[Concepto Anterior]],Conceptos_Analítica_contraloría[#All],5,0),"")</f>
        <v/>
      </c>
      <c r="F1679" s="138" t="str">
        <f>+IFERROR(VLOOKUP(Fact_Analitica[[#This Row],[Concepto Anterior]],Conceptos_Analítica_contraloría[#All],7,0),"")</f>
        <v/>
      </c>
      <c r="I1679" s="138" t="str">
        <f>+IFERROR(VLOOKUP(D1679,Conceptos_Analítica_contraloría[#All],2,0),"")</f>
        <v/>
      </c>
      <c r="J1679" s="138" t="str">
        <f>+IFERROR(VLOOKUP(D1679,Conceptos_Analítica_contraloría[#All],3,0),"")</f>
        <v/>
      </c>
    </row>
    <row r="1680" spans="3:10" x14ac:dyDescent="0.35">
      <c r="C1680" s="144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s="138" t="str">
        <f>+IFERROR(VLOOKUP(Fact_Analitica[[#This Row],[Concepto Anterior]],Conceptos_Analítica_contraloría[#All],5,0),"")</f>
        <v/>
      </c>
      <c r="F1680" s="138" t="str">
        <f>+IFERROR(VLOOKUP(Fact_Analitica[[#This Row],[Concepto Anterior]],Conceptos_Analítica_contraloría[#All],7,0),"")</f>
        <v/>
      </c>
      <c r="I1680" s="138" t="str">
        <f>+IFERROR(VLOOKUP(D1680,Conceptos_Analítica_contraloría[#All],2,0),"")</f>
        <v/>
      </c>
      <c r="J1680" s="138" t="str">
        <f>+IFERROR(VLOOKUP(D1680,Conceptos_Analítica_contraloría[#All],3,0),"")</f>
        <v/>
      </c>
    </row>
    <row r="1681" spans="3:10" x14ac:dyDescent="0.35">
      <c r="C1681" s="144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s="138" t="str">
        <f>+IFERROR(VLOOKUP(Fact_Analitica[[#This Row],[Concepto Anterior]],Conceptos_Analítica_contraloría[#All],5,0),"")</f>
        <v/>
      </c>
      <c r="F1681" s="138" t="str">
        <f>+IFERROR(VLOOKUP(Fact_Analitica[[#This Row],[Concepto Anterior]],Conceptos_Analítica_contraloría[#All],7,0),"")</f>
        <v/>
      </c>
      <c r="I1681" s="138" t="str">
        <f>+IFERROR(VLOOKUP(D1681,Conceptos_Analítica_contraloría[#All],2,0),"")</f>
        <v/>
      </c>
      <c r="J1681" s="138" t="str">
        <f>+IFERROR(VLOOKUP(D1681,Conceptos_Analítica_contraloría[#All],3,0),"")</f>
        <v/>
      </c>
    </row>
    <row r="1682" spans="3:10" x14ac:dyDescent="0.35">
      <c r="C1682" s="144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s="138" t="str">
        <f>+IFERROR(VLOOKUP(Fact_Analitica[[#This Row],[Concepto Anterior]],Conceptos_Analítica_contraloría[#All],5,0),"")</f>
        <v/>
      </c>
      <c r="F1682" s="138" t="str">
        <f>+IFERROR(VLOOKUP(Fact_Analitica[[#This Row],[Concepto Anterior]],Conceptos_Analítica_contraloría[#All],7,0),"")</f>
        <v/>
      </c>
      <c r="I1682" s="138" t="str">
        <f>+IFERROR(VLOOKUP(D1682,Conceptos_Analítica_contraloría[#All],2,0),"")</f>
        <v/>
      </c>
      <c r="J1682" s="138" t="str">
        <f>+IFERROR(VLOOKUP(D1682,Conceptos_Analítica_contraloría[#All],3,0),"")</f>
        <v/>
      </c>
    </row>
    <row r="1683" spans="3:10" x14ac:dyDescent="0.35">
      <c r="C1683" s="144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s="138" t="str">
        <f>+IFERROR(VLOOKUP(Fact_Analitica[[#This Row],[Concepto Anterior]],Conceptos_Analítica_contraloría[#All],5,0),"")</f>
        <v/>
      </c>
      <c r="F1683" s="138" t="str">
        <f>+IFERROR(VLOOKUP(Fact_Analitica[[#This Row],[Concepto Anterior]],Conceptos_Analítica_contraloría[#All],7,0),"")</f>
        <v/>
      </c>
      <c r="I1683" s="138" t="str">
        <f>+IFERROR(VLOOKUP(D1683,Conceptos_Analítica_contraloría[#All],2,0),"")</f>
        <v/>
      </c>
      <c r="J1683" s="138" t="str">
        <f>+IFERROR(VLOOKUP(D1683,Conceptos_Analítica_contraloría[#All],3,0),"")</f>
        <v/>
      </c>
    </row>
    <row r="1684" spans="3:10" x14ac:dyDescent="0.35">
      <c r="C1684" s="144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s="138" t="str">
        <f>+IFERROR(VLOOKUP(Fact_Analitica[[#This Row],[Concepto Anterior]],Conceptos_Analítica_contraloría[#All],5,0),"")</f>
        <v/>
      </c>
      <c r="F1684" s="138" t="str">
        <f>+IFERROR(VLOOKUP(Fact_Analitica[[#This Row],[Concepto Anterior]],Conceptos_Analítica_contraloría[#All],7,0),"")</f>
        <v/>
      </c>
      <c r="I1684" s="138" t="str">
        <f>+IFERROR(VLOOKUP(D1684,Conceptos_Analítica_contraloría[#All],2,0),"")</f>
        <v/>
      </c>
      <c r="J1684" s="138" t="str">
        <f>+IFERROR(VLOOKUP(D1684,Conceptos_Analítica_contraloría[#All],3,0),"")</f>
        <v/>
      </c>
    </row>
    <row r="1685" spans="3:10" x14ac:dyDescent="0.35">
      <c r="C1685" s="144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s="138" t="str">
        <f>+IFERROR(VLOOKUP(Fact_Analitica[[#This Row],[Concepto Anterior]],Conceptos_Analítica_contraloría[#All],5,0),"")</f>
        <v/>
      </c>
      <c r="F1685" s="138" t="str">
        <f>+IFERROR(VLOOKUP(Fact_Analitica[[#This Row],[Concepto Anterior]],Conceptos_Analítica_contraloría[#All],7,0),"")</f>
        <v/>
      </c>
      <c r="I1685" s="138" t="str">
        <f>+IFERROR(VLOOKUP(D1685,Conceptos_Analítica_contraloría[#All],2,0),"")</f>
        <v/>
      </c>
      <c r="J1685" s="138" t="str">
        <f>+IFERROR(VLOOKUP(D1685,Conceptos_Analítica_contraloría[#All],3,0),"")</f>
        <v/>
      </c>
    </row>
    <row r="1686" spans="3:10" x14ac:dyDescent="0.35">
      <c r="C1686" s="144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s="138" t="str">
        <f>+IFERROR(VLOOKUP(Fact_Analitica[[#This Row],[Concepto Anterior]],Conceptos_Analítica_contraloría[#All],5,0),"")</f>
        <v/>
      </c>
      <c r="F1686" s="138" t="str">
        <f>+IFERROR(VLOOKUP(Fact_Analitica[[#This Row],[Concepto Anterior]],Conceptos_Analítica_contraloría[#All],7,0),"")</f>
        <v/>
      </c>
      <c r="I1686" s="138" t="str">
        <f>+IFERROR(VLOOKUP(D1686,Conceptos_Analítica_contraloría[#All],2,0),"")</f>
        <v/>
      </c>
      <c r="J1686" s="138" t="str">
        <f>+IFERROR(VLOOKUP(D1686,Conceptos_Analítica_contraloría[#All],3,0),"")</f>
        <v/>
      </c>
    </row>
    <row r="1687" spans="3:10" x14ac:dyDescent="0.35">
      <c r="C1687" s="144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s="138" t="str">
        <f>+IFERROR(VLOOKUP(Fact_Analitica[[#This Row],[Concepto Anterior]],Conceptos_Analítica_contraloría[#All],5,0),"")</f>
        <v/>
      </c>
      <c r="F1687" s="138" t="str">
        <f>+IFERROR(VLOOKUP(Fact_Analitica[[#This Row],[Concepto Anterior]],Conceptos_Analítica_contraloría[#All],7,0),"")</f>
        <v/>
      </c>
      <c r="I1687" s="138" t="str">
        <f>+IFERROR(VLOOKUP(D1687,Conceptos_Analítica_contraloría[#All],2,0),"")</f>
        <v/>
      </c>
      <c r="J1687" s="138" t="str">
        <f>+IFERROR(VLOOKUP(D1687,Conceptos_Analítica_contraloría[#All],3,0),"")</f>
        <v/>
      </c>
    </row>
    <row r="1688" spans="3:10" x14ac:dyDescent="0.35">
      <c r="C1688" s="144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s="138" t="str">
        <f>+IFERROR(VLOOKUP(Fact_Analitica[[#This Row],[Concepto Anterior]],Conceptos_Analítica_contraloría[#All],5,0),"")</f>
        <v/>
      </c>
      <c r="F1688" s="138" t="str">
        <f>+IFERROR(VLOOKUP(Fact_Analitica[[#This Row],[Concepto Anterior]],Conceptos_Analítica_contraloría[#All],7,0),"")</f>
        <v/>
      </c>
      <c r="I1688" s="138" t="str">
        <f>+IFERROR(VLOOKUP(D1688,Conceptos_Analítica_contraloría[#All],2,0),"")</f>
        <v/>
      </c>
      <c r="J1688" s="138" t="str">
        <f>+IFERROR(VLOOKUP(D1688,Conceptos_Analítica_contraloría[#All],3,0),"")</f>
        <v/>
      </c>
    </row>
    <row r="1689" spans="3:10" x14ac:dyDescent="0.35">
      <c r="C1689" s="144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s="138" t="str">
        <f>+IFERROR(VLOOKUP(Fact_Analitica[[#This Row],[Concepto Anterior]],Conceptos_Analítica_contraloría[#All],5,0),"")</f>
        <v/>
      </c>
      <c r="F1689" s="138" t="str">
        <f>+IFERROR(VLOOKUP(Fact_Analitica[[#This Row],[Concepto Anterior]],Conceptos_Analítica_contraloría[#All],7,0),"")</f>
        <v/>
      </c>
      <c r="I1689" s="138" t="str">
        <f>+IFERROR(VLOOKUP(D1689,Conceptos_Analítica_contraloría[#All],2,0),"")</f>
        <v/>
      </c>
      <c r="J1689" s="138" t="str">
        <f>+IFERROR(VLOOKUP(D1689,Conceptos_Analítica_contraloría[#All],3,0),"")</f>
        <v/>
      </c>
    </row>
    <row r="1690" spans="3:10" x14ac:dyDescent="0.35">
      <c r="C1690" s="144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s="138" t="str">
        <f>+IFERROR(VLOOKUP(Fact_Analitica[[#This Row],[Concepto Anterior]],Conceptos_Analítica_contraloría[#All],5,0),"")</f>
        <v/>
      </c>
      <c r="F1690" s="138" t="str">
        <f>+IFERROR(VLOOKUP(Fact_Analitica[[#This Row],[Concepto Anterior]],Conceptos_Analítica_contraloría[#All],7,0),"")</f>
        <v/>
      </c>
      <c r="I1690" s="138" t="str">
        <f>+IFERROR(VLOOKUP(D1690,Conceptos_Analítica_contraloría[#All],2,0),"")</f>
        <v/>
      </c>
      <c r="J1690" s="138" t="str">
        <f>+IFERROR(VLOOKUP(D1690,Conceptos_Analítica_contraloría[#All],3,0),"")</f>
        <v/>
      </c>
    </row>
    <row r="1691" spans="3:10" x14ac:dyDescent="0.35">
      <c r="C1691" s="144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s="138" t="str">
        <f>+IFERROR(VLOOKUP(Fact_Analitica[[#This Row],[Concepto Anterior]],Conceptos_Analítica_contraloría[#All],5,0),"")</f>
        <v/>
      </c>
      <c r="F1691" s="138" t="str">
        <f>+IFERROR(VLOOKUP(Fact_Analitica[[#This Row],[Concepto Anterior]],Conceptos_Analítica_contraloría[#All],7,0),"")</f>
        <v/>
      </c>
      <c r="I1691" s="138" t="str">
        <f>+IFERROR(VLOOKUP(D1691,Conceptos_Analítica_contraloría[#All],2,0),"")</f>
        <v/>
      </c>
      <c r="J1691" s="138" t="str">
        <f>+IFERROR(VLOOKUP(D1691,Conceptos_Analítica_contraloría[#All],3,0),"")</f>
        <v/>
      </c>
    </row>
    <row r="1692" spans="3:10" x14ac:dyDescent="0.35">
      <c r="C1692" s="144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s="138" t="str">
        <f>+IFERROR(VLOOKUP(Fact_Analitica[[#This Row],[Concepto Anterior]],Conceptos_Analítica_contraloría[#All],5,0),"")</f>
        <v/>
      </c>
      <c r="F1692" s="138" t="str">
        <f>+IFERROR(VLOOKUP(Fact_Analitica[[#This Row],[Concepto Anterior]],Conceptos_Analítica_contraloría[#All],7,0),"")</f>
        <v/>
      </c>
      <c r="I1692" s="138" t="str">
        <f>+IFERROR(VLOOKUP(D1692,Conceptos_Analítica_contraloría[#All],2,0),"")</f>
        <v/>
      </c>
      <c r="J1692" s="138" t="str">
        <f>+IFERROR(VLOOKUP(D1692,Conceptos_Analítica_contraloría[#All],3,0),"")</f>
        <v/>
      </c>
    </row>
    <row r="1693" spans="3:10" x14ac:dyDescent="0.35">
      <c r="C1693" s="144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s="138" t="str">
        <f>+IFERROR(VLOOKUP(Fact_Analitica[[#This Row],[Concepto Anterior]],Conceptos_Analítica_contraloría[#All],5,0),"")</f>
        <v/>
      </c>
      <c r="F1693" s="138" t="str">
        <f>+IFERROR(VLOOKUP(Fact_Analitica[[#This Row],[Concepto Anterior]],Conceptos_Analítica_contraloría[#All],7,0),"")</f>
        <v/>
      </c>
      <c r="I1693" s="138" t="str">
        <f>+IFERROR(VLOOKUP(D1693,Conceptos_Analítica_contraloría[#All],2,0),"")</f>
        <v/>
      </c>
      <c r="J1693" s="138" t="str">
        <f>+IFERROR(VLOOKUP(D1693,Conceptos_Analítica_contraloría[#All],3,0),"")</f>
        <v/>
      </c>
    </row>
    <row r="1694" spans="3:10" x14ac:dyDescent="0.35">
      <c r="C1694" s="144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s="138" t="str">
        <f>+IFERROR(VLOOKUP(Fact_Analitica[[#This Row],[Concepto Anterior]],Conceptos_Analítica_contraloría[#All],5,0),"")</f>
        <v/>
      </c>
      <c r="F1694" s="138" t="str">
        <f>+IFERROR(VLOOKUP(Fact_Analitica[[#This Row],[Concepto Anterior]],Conceptos_Analítica_contraloría[#All],7,0),"")</f>
        <v/>
      </c>
      <c r="I1694" s="138" t="str">
        <f>+IFERROR(VLOOKUP(D1694,Conceptos_Analítica_contraloría[#All],2,0),"")</f>
        <v/>
      </c>
      <c r="J1694" s="138" t="str">
        <f>+IFERROR(VLOOKUP(D1694,Conceptos_Analítica_contraloría[#All],3,0),"")</f>
        <v/>
      </c>
    </row>
    <row r="1695" spans="3:10" x14ac:dyDescent="0.35">
      <c r="C1695" s="144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s="138" t="str">
        <f>+IFERROR(VLOOKUP(Fact_Analitica[[#This Row],[Concepto Anterior]],Conceptos_Analítica_contraloría[#All],5,0),"")</f>
        <v/>
      </c>
      <c r="F1695" s="138" t="str">
        <f>+IFERROR(VLOOKUP(Fact_Analitica[[#This Row],[Concepto Anterior]],Conceptos_Analítica_contraloría[#All],7,0),"")</f>
        <v/>
      </c>
      <c r="I1695" s="138" t="str">
        <f>+IFERROR(VLOOKUP(D1695,Conceptos_Analítica_contraloría[#All],2,0),"")</f>
        <v/>
      </c>
      <c r="J1695" s="138" t="str">
        <f>+IFERROR(VLOOKUP(D1695,Conceptos_Analítica_contraloría[#All],3,0),"")</f>
        <v/>
      </c>
    </row>
    <row r="1696" spans="3:10" x14ac:dyDescent="0.35">
      <c r="C1696" s="144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s="138" t="str">
        <f>+IFERROR(VLOOKUP(Fact_Analitica[[#This Row],[Concepto Anterior]],Conceptos_Analítica_contraloría[#All],5,0),"")</f>
        <v/>
      </c>
      <c r="F1696" s="138" t="str">
        <f>+IFERROR(VLOOKUP(Fact_Analitica[[#This Row],[Concepto Anterior]],Conceptos_Analítica_contraloría[#All],7,0),"")</f>
        <v/>
      </c>
      <c r="I1696" s="138" t="str">
        <f>+IFERROR(VLOOKUP(D1696,Conceptos_Analítica_contraloría[#All],2,0),"")</f>
        <v/>
      </c>
      <c r="J1696" s="138" t="str">
        <f>+IFERROR(VLOOKUP(D1696,Conceptos_Analítica_contraloría[#All],3,0),"")</f>
        <v/>
      </c>
    </row>
    <row r="1697" spans="3:10" x14ac:dyDescent="0.35">
      <c r="C1697" s="144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s="138" t="str">
        <f>+IFERROR(VLOOKUP(Fact_Analitica[[#This Row],[Concepto Anterior]],Conceptos_Analítica_contraloría[#All],5,0),"")</f>
        <v/>
      </c>
      <c r="F1697" s="138" t="str">
        <f>+IFERROR(VLOOKUP(Fact_Analitica[[#This Row],[Concepto Anterior]],Conceptos_Analítica_contraloría[#All],7,0),"")</f>
        <v/>
      </c>
      <c r="I1697" s="138" t="str">
        <f>+IFERROR(VLOOKUP(D1697,Conceptos_Analítica_contraloría[#All],2,0),"")</f>
        <v/>
      </c>
      <c r="J1697" s="138" t="str">
        <f>+IFERROR(VLOOKUP(D1697,Conceptos_Analítica_contraloría[#All],3,0),"")</f>
        <v/>
      </c>
    </row>
    <row r="1698" spans="3:10" x14ac:dyDescent="0.35">
      <c r="C1698" s="144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s="138" t="str">
        <f>+IFERROR(VLOOKUP(Fact_Analitica[[#This Row],[Concepto Anterior]],Conceptos_Analítica_contraloría[#All],5,0),"")</f>
        <v/>
      </c>
      <c r="F1698" s="138" t="str">
        <f>+IFERROR(VLOOKUP(Fact_Analitica[[#This Row],[Concepto Anterior]],Conceptos_Analítica_contraloría[#All],7,0),"")</f>
        <v/>
      </c>
      <c r="I1698" s="138" t="str">
        <f>+IFERROR(VLOOKUP(D1698,Conceptos_Analítica_contraloría[#All],2,0),"")</f>
        <v/>
      </c>
      <c r="J1698" s="138" t="str">
        <f>+IFERROR(VLOOKUP(D1698,Conceptos_Analítica_contraloría[#All],3,0),"")</f>
        <v/>
      </c>
    </row>
    <row r="1699" spans="3:10" x14ac:dyDescent="0.35">
      <c r="C1699" s="144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s="138" t="str">
        <f>+IFERROR(VLOOKUP(Fact_Analitica[[#This Row],[Concepto Anterior]],Conceptos_Analítica_contraloría[#All],5,0),"")</f>
        <v/>
      </c>
      <c r="F1699" s="138" t="str">
        <f>+IFERROR(VLOOKUP(Fact_Analitica[[#This Row],[Concepto Anterior]],Conceptos_Analítica_contraloría[#All],7,0),"")</f>
        <v/>
      </c>
      <c r="I1699" s="138" t="str">
        <f>+IFERROR(VLOOKUP(D1699,Conceptos_Analítica_contraloría[#All],2,0),"")</f>
        <v/>
      </c>
      <c r="J1699" s="138" t="str">
        <f>+IFERROR(VLOOKUP(D1699,Conceptos_Analítica_contraloría[#All],3,0),"")</f>
        <v/>
      </c>
    </row>
    <row r="1700" spans="3:10" x14ac:dyDescent="0.35">
      <c r="C1700" s="144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s="138" t="str">
        <f>+IFERROR(VLOOKUP(Fact_Analitica[[#This Row],[Concepto Anterior]],Conceptos_Analítica_contraloría[#All],5,0),"")</f>
        <v/>
      </c>
      <c r="F1700" s="138" t="str">
        <f>+IFERROR(VLOOKUP(Fact_Analitica[[#This Row],[Concepto Anterior]],Conceptos_Analítica_contraloría[#All],7,0),"")</f>
        <v/>
      </c>
      <c r="I1700" s="138" t="str">
        <f>+IFERROR(VLOOKUP(D1700,Conceptos_Analítica_contraloría[#All],2,0),"")</f>
        <v/>
      </c>
      <c r="J1700" s="138" t="str">
        <f>+IFERROR(VLOOKUP(D1700,Conceptos_Analítica_contraloría[#All],3,0),"")</f>
        <v/>
      </c>
    </row>
    <row r="1701" spans="3:10" x14ac:dyDescent="0.35">
      <c r="C1701" s="144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s="138" t="str">
        <f>+IFERROR(VLOOKUP(Fact_Analitica[[#This Row],[Concepto Anterior]],Conceptos_Analítica_contraloría[#All],5,0),"")</f>
        <v/>
      </c>
      <c r="F1701" s="138" t="str">
        <f>+IFERROR(VLOOKUP(Fact_Analitica[[#This Row],[Concepto Anterior]],Conceptos_Analítica_contraloría[#All],7,0),"")</f>
        <v/>
      </c>
      <c r="I1701" s="138" t="str">
        <f>+IFERROR(VLOOKUP(D1701,Conceptos_Analítica_contraloría[#All],2,0),"")</f>
        <v/>
      </c>
      <c r="J1701" s="138" t="str">
        <f>+IFERROR(VLOOKUP(D1701,Conceptos_Analítica_contraloría[#All],3,0),"")</f>
        <v/>
      </c>
    </row>
    <row r="1702" spans="3:10" x14ac:dyDescent="0.35">
      <c r="C1702" s="144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s="138" t="str">
        <f>+IFERROR(VLOOKUP(Fact_Analitica[[#This Row],[Concepto Anterior]],Conceptos_Analítica_contraloría[#All],5,0),"")</f>
        <v/>
      </c>
      <c r="F1702" s="138" t="str">
        <f>+IFERROR(VLOOKUP(Fact_Analitica[[#This Row],[Concepto Anterior]],Conceptos_Analítica_contraloría[#All],7,0),"")</f>
        <v/>
      </c>
      <c r="I1702" s="138" t="str">
        <f>+IFERROR(VLOOKUP(D1702,Conceptos_Analítica_contraloría[#All],2,0),"")</f>
        <v/>
      </c>
      <c r="J1702" s="138" t="str">
        <f>+IFERROR(VLOOKUP(D1702,Conceptos_Analítica_contraloría[#All],3,0),"")</f>
        <v/>
      </c>
    </row>
    <row r="1703" spans="3:10" x14ac:dyDescent="0.35">
      <c r="C1703" s="144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s="138" t="str">
        <f>+IFERROR(VLOOKUP(Fact_Analitica[[#This Row],[Concepto Anterior]],Conceptos_Analítica_contraloría[#All],5,0),"")</f>
        <v/>
      </c>
      <c r="F1703" s="138" t="str">
        <f>+IFERROR(VLOOKUP(Fact_Analitica[[#This Row],[Concepto Anterior]],Conceptos_Analítica_contraloría[#All],7,0),"")</f>
        <v/>
      </c>
      <c r="I1703" s="138" t="str">
        <f>+IFERROR(VLOOKUP(D1703,Conceptos_Analítica_contraloría[#All],2,0),"")</f>
        <v/>
      </c>
      <c r="J1703" s="138" t="str">
        <f>+IFERROR(VLOOKUP(D1703,Conceptos_Analítica_contraloría[#All],3,0),"")</f>
        <v/>
      </c>
    </row>
    <row r="1704" spans="3:10" x14ac:dyDescent="0.35">
      <c r="C1704" s="144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s="138" t="str">
        <f>+IFERROR(VLOOKUP(Fact_Analitica[[#This Row],[Concepto Anterior]],Conceptos_Analítica_contraloría[#All],5,0),"")</f>
        <v/>
      </c>
      <c r="F1704" s="138" t="str">
        <f>+IFERROR(VLOOKUP(Fact_Analitica[[#This Row],[Concepto Anterior]],Conceptos_Analítica_contraloría[#All],7,0),"")</f>
        <v/>
      </c>
      <c r="I1704" s="138" t="str">
        <f>+IFERROR(VLOOKUP(D1704,Conceptos_Analítica_contraloría[#All],2,0),"")</f>
        <v/>
      </c>
      <c r="J1704" s="138" t="str">
        <f>+IFERROR(VLOOKUP(D1704,Conceptos_Analítica_contraloría[#All],3,0),"")</f>
        <v/>
      </c>
    </row>
    <row r="1705" spans="3:10" x14ac:dyDescent="0.35">
      <c r="C1705" s="144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s="138" t="str">
        <f>+IFERROR(VLOOKUP(Fact_Analitica[[#This Row],[Concepto Anterior]],Conceptos_Analítica_contraloría[#All],5,0),"")</f>
        <v/>
      </c>
      <c r="F1705" s="138" t="str">
        <f>+IFERROR(VLOOKUP(Fact_Analitica[[#This Row],[Concepto Anterior]],Conceptos_Analítica_contraloría[#All],7,0),"")</f>
        <v/>
      </c>
      <c r="I1705" s="138" t="str">
        <f>+IFERROR(VLOOKUP(D1705,Conceptos_Analítica_contraloría[#All],2,0),"")</f>
        <v/>
      </c>
      <c r="J1705" s="138" t="str">
        <f>+IFERROR(VLOOKUP(D1705,Conceptos_Analítica_contraloría[#All],3,0),"")</f>
        <v/>
      </c>
    </row>
    <row r="1706" spans="3:10" x14ac:dyDescent="0.35">
      <c r="C1706" s="144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s="138" t="str">
        <f>+IFERROR(VLOOKUP(Fact_Analitica[[#This Row],[Concepto Anterior]],Conceptos_Analítica_contraloría[#All],5,0),"")</f>
        <v/>
      </c>
      <c r="F1706" s="138" t="str">
        <f>+IFERROR(VLOOKUP(Fact_Analitica[[#This Row],[Concepto Anterior]],Conceptos_Analítica_contraloría[#All],7,0),"")</f>
        <v/>
      </c>
      <c r="I1706" s="138" t="str">
        <f>+IFERROR(VLOOKUP(D1706,Conceptos_Analítica_contraloría[#All],2,0),"")</f>
        <v/>
      </c>
      <c r="J1706" s="138" t="str">
        <f>+IFERROR(VLOOKUP(D1706,Conceptos_Analítica_contraloría[#All],3,0),"")</f>
        <v/>
      </c>
    </row>
    <row r="1707" spans="3:10" x14ac:dyDescent="0.35">
      <c r="C1707" s="144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s="138" t="str">
        <f>+IFERROR(VLOOKUP(Fact_Analitica[[#This Row],[Concepto Anterior]],Conceptos_Analítica_contraloría[#All],5,0),"")</f>
        <v/>
      </c>
      <c r="F1707" s="138" t="str">
        <f>+IFERROR(VLOOKUP(Fact_Analitica[[#This Row],[Concepto Anterior]],Conceptos_Analítica_contraloría[#All],7,0),"")</f>
        <v/>
      </c>
      <c r="I1707" s="138" t="str">
        <f>+IFERROR(VLOOKUP(D1707,Conceptos_Analítica_contraloría[#All],2,0),"")</f>
        <v/>
      </c>
      <c r="J1707" s="138" t="str">
        <f>+IFERROR(VLOOKUP(D1707,Conceptos_Analítica_contraloría[#All],3,0),"")</f>
        <v/>
      </c>
    </row>
    <row r="1708" spans="3:10" x14ac:dyDescent="0.35">
      <c r="C1708" s="144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s="138" t="str">
        <f>+IFERROR(VLOOKUP(Fact_Analitica[[#This Row],[Concepto Anterior]],Conceptos_Analítica_contraloría[#All],5,0),"")</f>
        <v/>
      </c>
      <c r="F1708" s="138" t="str">
        <f>+IFERROR(VLOOKUP(Fact_Analitica[[#This Row],[Concepto Anterior]],Conceptos_Analítica_contraloría[#All],7,0),"")</f>
        <v/>
      </c>
      <c r="I1708" s="138" t="str">
        <f>+IFERROR(VLOOKUP(D1708,Conceptos_Analítica_contraloría[#All],2,0),"")</f>
        <v/>
      </c>
      <c r="J1708" s="138" t="str">
        <f>+IFERROR(VLOOKUP(D1708,Conceptos_Analítica_contraloría[#All],3,0),"")</f>
        <v/>
      </c>
    </row>
    <row r="1709" spans="3:10" x14ac:dyDescent="0.35">
      <c r="C1709" s="144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s="138" t="str">
        <f>+IFERROR(VLOOKUP(Fact_Analitica[[#This Row],[Concepto Anterior]],Conceptos_Analítica_contraloría[#All],5,0),"")</f>
        <v/>
      </c>
      <c r="F1709" s="138" t="str">
        <f>+IFERROR(VLOOKUP(Fact_Analitica[[#This Row],[Concepto Anterior]],Conceptos_Analítica_contraloría[#All],7,0),"")</f>
        <v/>
      </c>
      <c r="I1709" s="138" t="str">
        <f>+IFERROR(VLOOKUP(D1709,Conceptos_Analítica_contraloría[#All],2,0),"")</f>
        <v/>
      </c>
      <c r="J1709" s="138" t="str">
        <f>+IFERROR(VLOOKUP(D1709,Conceptos_Analítica_contraloría[#All],3,0),"")</f>
        <v/>
      </c>
    </row>
    <row r="1710" spans="3:10" x14ac:dyDescent="0.35">
      <c r="C1710" s="144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s="138" t="str">
        <f>+IFERROR(VLOOKUP(Fact_Analitica[[#This Row],[Concepto Anterior]],Conceptos_Analítica_contraloría[#All],5,0),"")</f>
        <v/>
      </c>
      <c r="F1710" s="138" t="str">
        <f>+IFERROR(VLOOKUP(Fact_Analitica[[#This Row],[Concepto Anterior]],Conceptos_Analítica_contraloría[#All],7,0),"")</f>
        <v/>
      </c>
      <c r="I1710" s="138" t="str">
        <f>+IFERROR(VLOOKUP(D1710,Conceptos_Analítica_contraloría[#All],2,0),"")</f>
        <v/>
      </c>
      <c r="J1710" s="138" t="str">
        <f>+IFERROR(VLOOKUP(D1710,Conceptos_Analítica_contraloría[#All],3,0),"")</f>
        <v/>
      </c>
    </row>
    <row r="1711" spans="3:10" x14ac:dyDescent="0.35">
      <c r="C1711" s="144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s="138" t="str">
        <f>+IFERROR(VLOOKUP(Fact_Analitica[[#This Row],[Concepto Anterior]],Conceptos_Analítica_contraloría[#All],5,0),"")</f>
        <v/>
      </c>
      <c r="F1711" s="138" t="str">
        <f>+IFERROR(VLOOKUP(Fact_Analitica[[#This Row],[Concepto Anterior]],Conceptos_Analítica_contraloría[#All],7,0),"")</f>
        <v/>
      </c>
      <c r="I1711" s="138" t="str">
        <f>+IFERROR(VLOOKUP(D1711,Conceptos_Analítica_contraloría[#All],2,0),"")</f>
        <v/>
      </c>
      <c r="J1711" s="138" t="str">
        <f>+IFERROR(VLOOKUP(D1711,Conceptos_Analítica_contraloría[#All],3,0),"")</f>
        <v/>
      </c>
    </row>
    <row r="1712" spans="3:10" x14ac:dyDescent="0.35">
      <c r="C1712" s="144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s="138" t="str">
        <f>+IFERROR(VLOOKUP(Fact_Analitica[[#This Row],[Concepto Anterior]],Conceptos_Analítica_contraloría[#All],5,0),"")</f>
        <v/>
      </c>
      <c r="F1712" s="138" t="str">
        <f>+IFERROR(VLOOKUP(Fact_Analitica[[#This Row],[Concepto Anterior]],Conceptos_Analítica_contraloría[#All],7,0),"")</f>
        <v/>
      </c>
      <c r="I1712" s="138" t="str">
        <f>+IFERROR(VLOOKUP(D1712,Conceptos_Analítica_contraloría[#All],2,0),"")</f>
        <v/>
      </c>
      <c r="J1712" s="138" t="str">
        <f>+IFERROR(VLOOKUP(D1712,Conceptos_Analítica_contraloría[#All],3,0),"")</f>
        <v/>
      </c>
    </row>
    <row r="1713" spans="3:10" x14ac:dyDescent="0.35">
      <c r="C1713" s="144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s="138" t="str">
        <f>+IFERROR(VLOOKUP(Fact_Analitica[[#This Row],[Concepto Anterior]],Conceptos_Analítica_contraloría[#All],5,0),"")</f>
        <v/>
      </c>
      <c r="F1713" s="138" t="str">
        <f>+IFERROR(VLOOKUP(Fact_Analitica[[#This Row],[Concepto Anterior]],Conceptos_Analítica_contraloría[#All],7,0),"")</f>
        <v/>
      </c>
      <c r="I1713" s="138" t="str">
        <f>+IFERROR(VLOOKUP(D1713,Conceptos_Analítica_contraloría[#All],2,0),"")</f>
        <v/>
      </c>
      <c r="J1713" s="138" t="str">
        <f>+IFERROR(VLOOKUP(D1713,Conceptos_Analítica_contraloría[#All],3,0),"")</f>
        <v/>
      </c>
    </row>
    <row r="1714" spans="3:10" x14ac:dyDescent="0.35">
      <c r="C1714" s="144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s="138" t="str">
        <f>+IFERROR(VLOOKUP(Fact_Analitica[[#This Row],[Concepto Anterior]],Conceptos_Analítica_contraloría[#All],5,0),"")</f>
        <v/>
      </c>
      <c r="F1714" s="138" t="str">
        <f>+IFERROR(VLOOKUP(Fact_Analitica[[#This Row],[Concepto Anterior]],Conceptos_Analítica_contraloría[#All],7,0),"")</f>
        <v/>
      </c>
      <c r="I1714" s="138" t="str">
        <f>+IFERROR(VLOOKUP(D1714,Conceptos_Analítica_contraloría[#All],2,0),"")</f>
        <v/>
      </c>
      <c r="J1714" s="138" t="str">
        <f>+IFERROR(VLOOKUP(D1714,Conceptos_Analítica_contraloría[#All],3,0),"")</f>
        <v/>
      </c>
    </row>
    <row r="1715" spans="3:10" x14ac:dyDescent="0.35">
      <c r="C1715" s="144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s="138" t="str">
        <f>+IFERROR(VLOOKUP(Fact_Analitica[[#This Row],[Concepto Anterior]],Conceptos_Analítica_contraloría[#All],5,0),"")</f>
        <v/>
      </c>
      <c r="F1715" s="138" t="str">
        <f>+IFERROR(VLOOKUP(Fact_Analitica[[#This Row],[Concepto Anterior]],Conceptos_Analítica_contraloría[#All],7,0),"")</f>
        <v/>
      </c>
      <c r="I1715" s="138" t="str">
        <f>+IFERROR(VLOOKUP(D1715,Conceptos_Analítica_contraloría[#All],2,0),"")</f>
        <v/>
      </c>
      <c r="J1715" s="138" t="str">
        <f>+IFERROR(VLOOKUP(D1715,Conceptos_Analítica_contraloría[#All],3,0),"")</f>
        <v/>
      </c>
    </row>
    <row r="1716" spans="3:10" x14ac:dyDescent="0.35">
      <c r="C1716" s="144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s="138" t="str">
        <f>+IFERROR(VLOOKUP(Fact_Analitica[[#This Row],[Concepto Anterior]],Conceptos_Analítica_contraloría[#All],5,0),"")</f>
        <v/>
      </c>
      <c r="F1716" s="138" t="str">
        <f>+IFERROR(VLOOKUP(Fact_Analitica[[#This Row],[Concepto Anterior]],Conceptos_Analítica_contraloría[#All],7,0),"")</f>
        <v/>
      </c>
      <c r="I1716" s="138" t="str">
        <f>+IFERROR(VLOOKUP(D1716,Conceptos_Analítica_contraloría[#All],2,0),"")</f>
        <v/>
      </c>
      <c r="J1716" s="138" t="str">
        <f>+IFERROR(VLOOKUP(D1716,Conceptos_Analítica_contraloría[#All],3,0),"")</f>
        <v/>
      </c>
    </row>
    <row r="1717" spans="3:10" x14ac:dyDescent="0.35">
      <c r="C1717" s="144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s="138" t="str">
        <f>+IFERROR(VLOOKUP(Fact_Analitica[[#This Row],[Concepto Anterior]],Conceptos_Analítica_contraloría[#All],5,0),"")</f>
        <v/>
      </c>
      <c r="F1717" s="138" t="str">
        <f>+IFERROR(VLOOKUP(Fact_Analitica[[#This Row],[Concepto Anterior]],Conceptos_Analítica_contraloría[#All],7,0),"")</f>
        <v/>
      </c>
      <c r="I1717" s="138" t="str">
        <f>+IFERROR(VLOOKUP(D1717,Conceptos_Analítica_contraloría[#All],2,0),"")</f>
        <v/>
      </c>
      <c r="J1717" s="138" t="str">
        <f>+IFERROR(VLOOKUP(D1717,Conceptos_Analítica_contraloría[#All],3,0),"")</f>
        <v/>
      </c>
    </row>
    <row r="1718" spans="3:10" x14ac:dyDescent="0.35">
      <c r="C1718" s="144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s="138" t="str">
        <f>+IFERROR(VLOOKUP(Fact_Analitica[[#This Row],[Concepto Anterior]],Conceptos_Analítica_contraloría[#All],5,0),"")</f>
        <v/>
      </c>
      <c r="F1718" s="138" t="str">
        <f>+IFERROR(VLOOKUP(Fact_Analitica[[#This Row],[Concepto Anterior]],Conceptos_Analítica_contraloría[#All],7,0),"")</f>
        <v/>
      </c>
      <c r="I1718" s="138" t="str">
        <f>+IFERROR(VLOOKUP(D1718,Conceptos_Analítica_contraloría[#All],2,0),"")</f>
        <v/>
      </c>
      <c r="J1718" s="138" t="str">
        <f>+IFERROR(VLOOKUP(D1718,Conceptos_Analítica_contraloría[#All],3,0),"")</f>
        <v/>
      </c>
    </row>
    <row r="1719" spans="3:10" x14ac:dyDescent="0.35">
      <c r="C1719" s="144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s="138" t="str">
        <f>+IFERROR(VLOOKUP(Fact_Analitica[[#This Row],[Concepto Anterior]],Conceptos_Analítica_contraloría[#All],5,0),"")</f>
        <v/>
      </c>
      <c r="F1719" s="138" t="str">
        <f>+IFERROR(VLOOKUP(Fact_Analitica[[#This Row],[Concepto Anterior]],Conceptos_Analítica_contraloría[#All],7,0),"")</f>
        <v/>
      </c>
      <c r="I1719" s="138" t="str">
        <f>+IFERROR(VLOOKUP(D1719,Conceptos_Analítica_contraloría[#All],2,0),"")</f>
        <v/>
      </c>
      <c r="J1719" s="138" t="str">
        <f>+IFERROR(VLOOKUP(D1719,Conceptos_Analítica_contraloría[#All],3,0),"")</f>
        <v/>
      </c>
    </row>
    <row r="1720" spans="3:10" x14ac:dyDescent="0.35">
      <c r="C1720" s="144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s="138" t="str">
        <f>+IFERROR(VLOOKUP(Fact_Analitica[[#This Row],[Concepto Anterior]],Conceptos_Analítica_contraloría[#All],5,0),"")</f>
        <v/>
      </c>
      <c r="F1720" s="138" t="str">
        <f>+IFERROR(VLOOKUP(Fact_Analitica[[#This Row],[Concepto Anterior]],Conceptos_Analítica_contraloría[#All],7,0),"")</f>
        <v/>
      </c>
      <c r="I1720" s="138" t="str">
        <f>+IFERROR(VLOOKUP(D1720,Conceptos_Analítica_contraloría[#All],2,0),"")</f>
        <v/>
      </c>
      <c r="J1720" s="138" t="str">
        <f>+IFERROR(VLOOKUP(D1720,Conceptos_Analítica_contraloría[#All],3,0),"")</f>
        <v/>
      </c>
    </row>
    <row r="1721" spans="3:10" x14ac:dyDescent="0.35">
      <c r="C1721" s="144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s="138" t="str">
        <f>+IFERROR(VLOOKUP(Fact_Analitica[[#This Row],[Concepto Anterior]],Conceptos_Analítica_contraloría[#All],5,0),"")</f>
        <v/>
      </c>
      <c r="F1721" s="138" t="str">
        <f>+IFERROR(VLOOKUP(Fact_Analitica[[#This Row],[Concepto Anterior]],Conceptos_Analítica_contraloría[#All],7,0),"")</f>
        <v/>
      </c>
      <c r="I1721" s="138" t="str">
        <f>+IFERROR(VLOOKUP(D1721,Conceptos_Analítica_contraloría[#All],2,0),"")</f>
        <v/>
      </c>
      <c r="J1721" s="138" t="str">
        <f>+IFERROR(VLOOKUP(D1721,Conceptos_Analítica_contraloría[#All],3,0),"")</f>
        <v/>
      </c>
    </row>
    <row r="1722" spans="3:10" x14ac:dyDescent="0.35">
      <c r="C1722" s="144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s="138" t="str">
        <f>+IFERROR(VLOOKUP(Fact_Analitica[[#This Row],[Concepto Anterior]],Conceptos_Analítica_contraloría[#All],5,0),"")</f>
        <v/>
      </c>
      <c r="F1722" s="138" t="str">
        <f>+IFERROR(VLOOKUP(Fact_Analitica[[#This Row],[Concepto Anterior]],Conceptos_Analítica_contraloría[#All],7,0),"")</f>
        <v/>
      </c>
      <c r="I1722" s="138" t="str">
        <f>+IFERROR(VLOOKUP(D1722,Conceptos_Analítica_contraloría[#All],2,0),"")</f>
        <v/>
      </c>
      <c r="J1722" s="138" t="str">
        <f>+IFERROR(VLOOKUP(D1722,Conceptos_Analítica_contraloría[#All],3,0),"")</f>
        <v/>
      </c>
    </row>
    <row r="1723" spans="3:10" x14ac:dyDescent="0.35">
      <c r="C1723" s="144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s="138" t="str">
        <f>+IFERROR(VLOOKUP(Fact_Analitica[[#This Row],[Concepto Anterior]],Conceptos_Analítica_contraloría[#All],5,0),"")</f>
        <v/>
      </c>
      <c r="F1723" s="138" t="str">
        <f>+IFERROR(VLOOKUP(Fact_Analitica[[#This Row],[Concepto Anterior]],Conceptos_Analítica_contraloría[#All],7,0),"")</f>
        <v/>
      </c>
      <c r="I1723" s="138" t="str">
        <f>+IFERROR(VLOOKUP(D1723,Conceptos_Analítica_contraloría[#All],2,0),"")</f>
        <v/>
      </c>
      <c r="J1723" s="138" t="str">
        <f>+IFERROR(VLOOKUP(D1723,Conceptos_Analítica_contraloría[#All],3,0),"")</f>
        <v/>
      </c>
    </row>
    <row r="1724" spans="3:10" x14ac:dyDescent="0.35">
      <c r="C1724" s="144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s="138" t="str">
        <f>+IFERROR(VLOOKUP(Fact_Analitica[[#This Row],[Concepto Anterior]],Conceptos_Analítica_contraloría[#All],5,0),"")</f>
        <v/>
      </c>
      <c r="F1724" s="138" t="str">
        <f>+IFERROR(VLOOKUP(Fact_Analitica[[#This Row],[Concepto Anterior]],Conceptos_Analítica_contraloría[#All],7,0),"")</f>
        <v/>
      </c>
      <c r="I1724" s="138" t="str">
        <f>+IFERROR(VLOOKUP(D1724,Conceptos_Analítica_contraloría[#All],2,0),"")</f>
        <v/>
      </c>
      <c r="J1724" s="138" t="str">
        <f>+IFERROR(VLOOKUP(D1724,Conceptos_Analítica_contraloría[#All],3,0),"")</f>
        <v/>
      </c>
    </row>
    <row r="1725" spans="3:10" x14ac:dyDescent="0.35">
      <c r="C1725" s="144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s="138" t="str">
        <f>+IFERROR(VLOOKUP(Fact_Analitica[[#This Row],[Concepto Anterior]],Conceptos_Analítica_contraloría[#All],5,0),"")</f>
        <v/>
      </c>
      <c r="F1725" s="138" t="str">
        <f>+IFERROR(VLOOKUP(Fact_Analitica[[#This Row],[Concepto Anterior]],Conceptos_Analítica_contraloría[#All],7,0),"")</f>
        <v/>
      </c>
      <c r="I1725" s="138" t="str">
        <f>+IFERROR(VLOOKUP(D1725,Conceptos_Analítica_contraloría[#All],2,0),"")</f>
        <v/>
      </c>
      <c r="J1725" s="138" t="str">
        <f>+IFERROR(VLOOKUP(D1725,Conceptos_Analítica_contraloría[#All],3,0),"")</f>
        <v/>
      </c>
    </row>
    <row r="1726" spans="3:10" x14ac:dyDescent="0.35">
      <c r="C1726" s="144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s="138" t="str">
        <f>+IFERROR(VLOOKUP(Fact_Analitica[[#This Row],[Concepto Anterior]],Conceptos_Analítica_contraloría[#All],5,0),"")</f>
        <v/>
      </c>
      <c r="F1726" s="138" t="str">
        <f>+IFERROR(VLOOKUP(Fact_Analitica[[#This Row],[Concepto Anterior]],Conceptos_Analítica_contraloría[#All],7,0),"")</f>
        <v/>
      </c>
      <c r="I1726" s="138" t="str">
        <f>+IFERROR(VLOOKUP(D1726,Conceptos_Analítica_contraloría[#All],2,0),"")</f>
        <v/>
      </c>
      <c r="J1726" s="138" t="str">
        <f>+IFERROR(VLOOKUP(D1726,Conceptos_Analítica_contraloría[#All],3,0),"")</f>
        <v/>
      </c>
    </row>
    <row r="1727" spans="3:10" x14ac:dyDescent="0.35">
      <c r="C1727" s="144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s="138" t="str">
        <f>+IFERROR(VLOOKUP(Fact_Analitica[[#This Row],[Concepto Anterior]],Conceptos_Analítica_contraloría[#All],5,0),"")</f>
        <v/>
      </c>
      <c r="F1727" s="138" t="str">
        <f>+IFERROR(VLOOKUP(Fact_Analitica[[#This Row],[Concepto Anterior]],Conceptos_Analítica_contraloría[#All],7,0),"")</f>
        <v/>
      </c>
      <c r="I1727" s="138" t="str">
        <f>+IFERROR(VLOOKUP(D1727,Conceptos_Analítica_contraloría[#All],2,0),"")</f>
        <v/>
      </c>
      <c r="J1727" s="138" t="str">
        <f>+IFERROR(VLOOKUP(D1727,Conceptos_Analítica_contraloría[#All],3,0),"")</f>
        <v/>
      </c>
    </row>
    <row r="1728" spans="3:10" x14ac:dyDescent="0.35">
      <c r="C1728" s="144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s="138" t="str">
        <f>+IFERROR(VLOOKUP(Fact_Analitica[[#This Row],[Concepto Anterior]],Conceptos_Analítica_contraloría[#All],5,0),"")</f>
        <v/>
      </c>
      <c r="F1728" s="138" t="str">
        <f>+IFERROR(VLOOKUP(Fact_Analitica[[#This Row],[Concepto Anterior]],Conceptos_Analítica_contraloría[#All],7,0),"")</f>
        <v/>
      </c>
      <c r="I1728" s="138" t="str">
        <f>+IFERROR(VLOOKUP(D1728,Conceptos_Analítica_contraloría[#All],2,0),"")</f>
        <v/>
      </c>
      <c r="J1728" s="138" t="str">
        <f>+IFERROR(VLOOKUP(D1728,Conceptos_Analítica_contraloría[#All],3,0),"")</f>
        <v/>
      </c>
    </row>
    <row r="1729" spans="3:10" x14ac:dyDescent="0.35">
      <c r="C1729" s="144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s="138" t="str">
        <f>+IFERROR(VLOOKUP(Fact_Analitica[[#This Row],[Concepto Anterior]],Conceptos_Analítica_contraloría[#All],5,0),"")</f>
        <v/>
      </c>
      <c r="F1729" s="138" t="str">
        <f>+IFERROR(VLOOKUP(Fact_Analitica[[#This Row],[Concepto Anterior]],Conceptos_Analítica_contraloría[#All],7,0),"")</f>
        <v/>
      </c>
      <c r="I1729" s="138" t="str">
        <f>+IFERROR(VLOOKUP(D1729,Conceptos_Analítica_contraloría[#All],2,0),"")</f>
        <v/>
      </c>
      <c r="J1729" s="138" t="str">
        <f>+IFERROR(VLOOKUP(D1729,Conceptos_Analítica_contraloría[#All],3,0),"")</f>
        <v/>
      </c>
    </row>
    <row r="1730" spans="3:10" x14ac:dyDescent="0.35">
      <c r="C1730" s="144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s="138" t="str">
        <f>+IFERROR(VLOOKUP(Fact_Analitica[[#This Row],[Concepto Anterior]],Conceptos_Analítica_contraloría[#All],5,0),"")</f>
        <v/>
      </c>
      <c r="F1730" s="138" t="str">
        <f>+IFERROR(VLOOKUP(Fact_Analitica[[#This Row],[Concepto Anterior]],Conceptos_Analítica_contraloría[#All],7,0),"")</f>
        <v/>
      </c>
      <c r="I1730" s="138" t="str">
        <f>+IFERROR(VLOOKUP(D1730,Conceptos_Analítica_contraloría[#All],2,0),"")</f>
        <v/>
      </c>
      <c r="J1730" s="138" t="str">
        <f>+IFERROR(VLOOKUP(D1730,Conceptos_Analítica_contraloría[#All],3,0),"")</f>
        <v/>
      </c>
    </row>
    <row r="1731" spans="3:10" x14ac:dyDescent="0.35">
      <c r="C1731" s="144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s="138" t="str">
        <f>+IFERROR(VLOOKUP(Fact_Analitica[[#This Row],[Concepto Anterior]],Conceptos_Analítica_contraloría[#All],5,0),"")</f>
        <v/>
      </c>
      <c r="F1731" s="138" t="str">
        <f>+IFERROR(VLOOKUP(Fact_Analitica[[#This Row],[Concepto Anterior]],Conceptos_Analítica_contraloría[#All],7,0),"")</f>
        <v/>
      </c>
      <c r="I1731" s="138" t="str">
        <f>+IFERROR(VLOOKUP(D1731,Conceptos_Analítica_contraloría[#All],2,0),"")</f>
        <v/>
      </c>
      <c r="J1731" s="138" t="str">
        <f>+IFERROR(VLOOKUP(D1731,Conceptos_Analítica_contraloría[#All],3,0),"")</f>
        <v/>
      </c>
    </row>
    <row r="1732" spans="3:10" x14ac:dyDescent="0.35">
      <c r="C1732" s="144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s="138" t="str">
        <f>+IFERROR(VLOOKUP(Fact_Analitica[[#This Row],[Concepto Anterior]],Conceptos_Analítica_contraloría[#All],5,0),"")</f>
        <v/>
      </c>
      <c r="F1732" s="138" t="str">
        <f>+IFERROR(VLOOKUP(Fact_Analitica[[#This Row],[Concepto Anterior]],Conceptos_Analítica_contraloría[#All],7,0),"")</f>
        <v/>
      </c>
      <c r="I1732" s="138" t="str">
        <f>+IFERROR(VLOOKUP(D1732,Conceptos_Analítica_contraloría[#All],2,0),"")</f>
        <v/>
      </c>
      <c r="J1732" s="138" t="str">
        <f>+IFERROR(VLOOKUP(D1732,Conceptos_Analítica_contraloría[#All],3,0),"")</f>
        <v/>
      </c>
    </row>
    <row r="1733" spans="3:10" x14ac:dyDescent="0.35">
      <c r="C1733" s="144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s="138" t="str">
        <f>+IFERROR(VLOOKUP(Fact_Analitica[[#This Row],[Concepto Anterior]],Conceptos_Analítica_contraloría[#All],5,0),"")</f>
        <v/>
      </c>
      <c r="F1733" s="138" t="str">
        <f>+IFERROR(VLOOKUP(Fact_Analitica[[#This Row],[Concepto Anterior]],Conceptos_Analítica_contraloría[#All],7,0),"")</f>
        <v/>
      </c>
      <c r="I1733" s="138" t="str">
        <f>+IFERROR(VLOOKUP(D1733,Conceptos_Analítica_contraloría[#All],2,0),"")</f>
        <v/>
      </c>
      <c r="J1733" s="138" t="str">
        <f>+IFERROR(VLOOKUP(D1733,Conceptos_Analítica_contraloría[#All],3,0),"")</f>
        <v/>
      </c>
    </row>
    <row r="1734" spans="3:10" x14ac:dyDescent="0.35">
      <c r="C1734" s="144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s="138" t="str">
        <f>+IFERROR(VLOOKUP(Fact_Analitica[[#This Row],[Concepto Anterior]],Conceptos_Analítica_contraloría[#All],5,0),"")</f>
        <v/>
      </c>
      <c r="F1734" s="138" t="str">
        <f>+IFERROR(VLOOKUP(Fact_Analitica[[#This Row],[Concepto Anterior]],Conceptos_Analítica_contraloría[#All],7,0),"")</f>
        <v/>
      </c>
      <c r="I1734" s="138" t="str">
        <f>+IFERROR(VLOOKUP(D1734,Conceptos_Analítica_contraloría[#All],2,0),"")</f>
        <v/>
      </c>
      <c r="J1734" s="138" t="str">
        <f>+IFERROR(VLOOKUP(D1734,Conceptos_Analítica_contraloría[#All],3,0),"")</f>
        <v/>
      </c>
    </row>
    <row r="1735" spans="3:10" x14ac:dyDescent="0.35">
      <c r="C1735" s="144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s="138" t="str">
        <f>+IFERROR(VLOOKUP(Fact_Analitica[[#This Row],[Concepto Anterior]],Conceptos_Analítica_contraloría[#All],5,0),"")</f>
        <v/>
      </c>
      <c r="F1735" s="138" t="str">
        <f>+IFERROR(VLOOKUP(Fact_Analitica[[#This Row],[Concepto Anterior]],Conceptos_Analítica_contraloría[#All],7,0),"")</f>
        <v/>
      </c>
      <c r="I1735" s="138" t="str">
        <f>+IFERROR(VLOOKUP(D1735,Conceptos_Analítica_contraloría[#All],2,0),"")</f>
        <v/>
      </c>
      <c r="J1735" s="138" t="str">
        <f>+IFERROR(VLOOKUP(D1735,Conceptos_Analítica_contraloría[#All],3,0),"")</f>
        <v/>
      </c>
    </row>
    <row r="1736" spans="3:10" x14ac:dyDescent="0.35">
      <c r="C1736" s="144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s="138" t="str">
        <f>+IFERROR(VLOOKUP(Fact_Analitica[[#This Row],[Concepto Anterior]],Conceptos_Analítica_contraloría[#All],5,0),"")</f>
        <v/>
      </c>
      <c r="F1736" s="138" t="str">
        <f>+IFERROR(VLOOKUP(Fact_Analitica[[#This Row],[Concepto Anterior]],Conceptos_Analítica_contraloría[#All],7,0),"")</f>
        <v/>
      </c>
      <c r="I1736" s="138" t="str">
        <f>+IFERROR(VLOOKUP(D1736,Conceptos_Analítica_contraloría[#All],2,0),"")</f>
        <v/>
      </c>
      <c r="J1736" s="138" t="str">
        <f>+IFERROR(VLOOKUP(D1736,Conceptos_Analítica_contraloría[#All],3,0),"")</f>
        <v/>
      </c>
    </row>
    <row r="1737" spans="3:10" x14ac:dyDescent="0.35">
      <c r="C1737" s="144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s="138" t="str">
        <f>+IFERROR(VLOOKUP(Fact_Analitica[[#This Row],[Concepto Anterior]],Conceptos_Analítica_contraloría[#All],5,0),"")</f>
        <v/>
      </c>
      <c r="F1737" s="138" t="str">
        <f>+IFERROR(VLOOKUP(Fact_Analitica[[#This Row],[Concepto Anterior]],Conceptos_Analítica_contraloría[#All],7,0),"")</f>
        <v/>
      </c>
      <c r="I1737" s="138" t="str">
        <f>+IFERROR(VLOOKUP(D1737,Conceptos_Analítica_contraloría[#All],2,0),"")</f>
        <v/>
      </c>
      <c r="J1737" s="138" t="str">
        <f>+IFERROR(VLOOKUP(D1737,Conceptos_Analítica_contraloría[#All],3,0),"")</f>
        <v/>
      </c>
    </row>
    <row r="1738" spans="3:10" x14ac:dyDescent="0.35">
      <c r="C1738" s="144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s="138" t="str">
        <f>+IFERROR(VLOOKUP(Fact_Analitica[[#This Row],[Concepto Anterior]],Conceptos_Analítica_contraloría[#All],5,0),"")</f>
        <v/>
      </c>
      <c r="F1738" s="138" t="str">
        <f>+IFERROR(VLOOKUP(Fact_Analitica[[#This Row],[Concepto Anterior]],Conceptos_Analítica_contraloría[#All],7,0),"")</f>
        <v/>
      </c>
      <c r="I1738" s="138" t="str">
        <f>+IFERROR(VLOOKUP(D1738,Conceptos_Analítica_contraloría[#All],2,0),"")</f>
        <v/>
      </c>
      <c r="J1738" s="138" t="str">
        <f>+IFERROR(VLOOKUP(D1738,Conceptos_Analítica_contraloría[#All],3,0),"")</f>
        <v/>
      </c>
    </row>
    <row r="1739" spans="3:10" x14ac:dyDescent="0.35">
      <c r="C1739" s="144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s="138" t="str">
        <f>+IFERROR(VLOOKUP(Fact_Analitica[[#This Row],[Concepto Anterior]],Conceptos_Analítica_contraloría[#All],5,0),"")</f>
        <v/>
      </c>
      <c r="F1739" s="138" t="str">
        <f>+IFERROR(VLOOKUP(Fact_Analitica[[#This Row],[Concepto Anterior]],Conceptos_Analítica_contraloría[#All],7,0),"")</f>
        <v/>
      </c>
      <c r="I1739" s="138" t="str">
        <f>+IFERROR(VLOOKUP(D1739,Conceptos_Analítica_contraloría[#All],2,0),"")</f>
        <v/>
      </c>
      <c r="J1739" s="138" t="str">
        <f>+IFERROR(VLOOKUP(D1739,Conceptos_Analítica_contraloría[#All],3,0),"")</f>
        <v/>
      </c>
    </row>
    <row r="1740" spans="3:10" x14ac:dyDescent="0.35">
      <c r="C1740" s="144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s="138" t="str">
        <f>+IFERROR(VLOOKUP(Fact_Analitica[[#This Row],[Concepto Anterior]],Conceptos_Analítica_contraloría[#All],5,0),"")</f>
        <v/>
      </c>
      <c r="F1740" s="138" t="str">
        <f>+IFERROR(VLOOKUP(Fact_Analitica[[#This Row],[Concepto Anterior]],Conceptos_Analítica_contraloría[#All],7,0),"")</f>
        <v/>
      </c>
      <c r="I1740" s="138" t="str">
        <f>+IFERROR(VLOOKUP(D1740,Conceptos_Analítica_contraloría[#All],2,0),"")</f>
        <v/>
      </c>
      <c r="J1740" s="138" t="str">
        <f>+IFERROR(VLOOKUP(D1740,Conceptos_Analítica_contraloría[#All],3,0),"")</f>
        <v/>
      </c>
    </row>
    <row r="1741" spans="3:10" x14ac:dyDescent="0.35">
      <c r="C1741" s="144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s="138" t="str">
        <f>+IFERROR(VLOOKUP(Fact_Analitica[[#This Row],[Concepto Anterior]],Conceptos_Analítica_contraloría[#All],5,0),"")</f>
        <v/>
      </c>
      <c r="F1741" s="138" t="str">
        <f>+IFERROR(VLOOKUP(Fact_Analitica[[#This Row],[Concepto Anterior]],Conceptos_Analítica_contraloría[#All],7,0),"")</f>
        <v/>
      </c>
      <c r="I1741" s="138" t="str">
        <f>+IFERROR(VLOOKUP(D1741,Conceptos_Analítica_contraloría[#All],2,0),"")</f>
        <v/>
      </c>
      <c r="J1741" s="138" t="str">
        <f>+IFERROR(VLOOKUP(D1741,Conceptos_Analítica_contraloría[#All],3,0),"")</f>
        <v/>
      </c>
    </row>
    <row r="1742" spans="3:10" x14ac:dyDescent="0.35">
      <c r="C1742" s="144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s="138" t="str">
        <f>+IFERROR(VLOOKUP(Fact_Analitica[[#This Row],[Concepto Anterior]],Conceptos_Analítica_contraloría[#All],5,0),"")</f>
        <v/>
      </c>
      <c r="F1742" s="138" t="str">
        <f>+IFERROR(VLOOKUP(Fact_Analitica[[#This Row],[Concepto Anterior]],Conceptos_Analítica_contraloría[#All],7,0),"")</f>
        <v/>
      </c>
      <c r="I1742" s="138" t="str">
        <f>+IFERROR(VLOOKUP(D1742,Conceptos_Analítica_contraloría[#All],2,0),"")</f>
        <v/>
      </c>
      <c r="J1742" s="138" t="str">
        <f>+IFERROR(VLOOKUP(D1742,Conceptos_Analítica_contraloría[#All],3,0),"")</f>
        <v/>
      </c>
    </row>
    <row r="1743" spans="3:10" x14ac:dyDescent="0.35">
      <c r="C1743" s="144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s="138" t="str">
        <f>+IFERROR(VLOOKUP(Fact_Analitica[[#This Row],[Concepto Anterior]],Conceptos_Analítica_contraloría[#All],5,0),"")</f>
        <v/>
      </c>
      <c r="F1743" s="138" t="str">
        <f>+IFERROR(VLOOKUP(Fact_Analitica[[#This Row],[Concepto Anterior]],Conceptos_Analítica_contraloría[#All],7,0),"")</f>
        <v/>
      </c>
      <c r="I1743" s="138" t="str">
        <f>+IFERROR(VLOOKUP(D1743,Conceptos_Analítica_contraloría[#All],2,0),"")</f>
        <v/>
      </c>
      <c r="J1743" s="138" t="str">
        <f>+IFERROR(VLOOKUP(D1743,Conceptos_Analítica_contraloría[#All],3,0),"")</f>
        <v/>
      </c>
    </row>
    <row r="1744" spans="3:10" x14ac:dyDescent="0.35">
      <c r="C1744" s="144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s="138" t="str">
        <f>+IFERROR(VLOOKUP(Fact_Analitica[[#This Row],[Concepto Anterior]],Conceptos_Analítica_contraloría[#All],5,0),"")</f>
        <v/>
      </c>
      <c r="F1744" s="138" t="str">
        <f>+IFERROR(VLOOKUP(Fact_Analitica[[#This Row],[Concepto Anterior]],Conceptos_Analítica_contraloría[#All],7,0),"")</f>
        <v/>
      </c>
      <c r="I1744" s="138" t="str">
        <f>+IFERROR(VLOOKUP(D1744,Conceptos_Analítica_contraloría[#All],2,0),"")</f>
        <v/>
      </c>
      <c r="J1744" s="138" t="str">
        <f>+IFERROR(VLOOKUP(D1744,Conceptos_Analítica_contraloría[#All],3,0),"")</f>
        <v/>
      </c>
    </row>
    <row r="1745" spans="3:10" x14ac:dyDescent="0.35">
      <c r="C1745" s="144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s="138" t="str">
        <f>+IFERROR(VLOOKUP(Fact_Analitica[[#This Row],[Concepto Anterior]],Conceptos_Analítica_contraloría[#All],5,0),"")</f>
        <v/>
      </c>
      <c r="F1745" s="138" t="str">
        <f>+IFERROR(VLOOKUP(Fact_Analitica[[#This Row],[Concepto Anterior]],Conceptos_Analítica_contraloría[#All],7,0),"")</f>
        <v/>
      </c>
      <c r="I1745" s="138" t="str">
        <f>+IFERROR(VLOOKUP(D1745,Conceptos_Analítica_contraloría[#All],2,0),"")</f>
        <v/>
      </c>
      <c r="J1745" s="138" t="str">
        <f>+IFERROR(VLOOKUP(D1745,Conceptos_Analítica_contraloría[#All],3,0),"")</f>
        <v/>
      </c>
    </row>
    <row r="1746" spans="3:10" x14ac:dyDescent="0.35">
      <c r="C1746" s="144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s="138" t="str">
        <f>+IFERROR(VLOOKUP(Fact_Analitica[[#This Row],[Concepto Anterior]],Conceptos_Analítica_contraloría[#All],5,0),"")</f>
        <v/>
      </c>
      <c r="F1746" s="138" t="str">
        <f>+IFERROR(VLOOKUP(Fact_Analitica[[#This Row],[Concepto Anterior]],Conceptos_Analítica_contraloría[#All],7,0),"")</f>
        <v/>
      </c>
      <c r="I1746" s="138" t="str">
        <f>+IFERROR(VLOOKUP(D1746,Conceptos_Analítica_contraloría[#All],2,0),"")</f>
        <v/>
      </c>
      <c r="J1746" s="138" t="str">
        <f>+IFERROR(VLOOKUP(D1746,Conceptos_Analítica_contraloría[#All],3,0),"")</f>
        <v/>
      </c>
    </row>
    <row r="1747" spans="3:10" x14ac:dyDescent="0.35">
      <c r="C1747" s="144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s="138" t="str">
        <f>+IFERROR(VLOOKUP(Fact_Analitica[[#This Row],[Concepto Anterior]],Conceptos_Analítica_contraloría[#All],5,0),"")</f>
        <v/>
      </c>
      <c r="F1747" s="138" t="str">
        <f>+IFERROR(VLOOKUP(Fact_Analitica[[#This Row],[Concepto Anterior]],Conceptos_Analítica_contraloría[#All],7,0),"")</f>
        <v/>
      </c>
      <c r="I1747" s="138" t="str">
        <f>+IFERROR(VLOOKUP(D1747,Conceptos_Analítica_contraloría[#All],2,0),"")</f>
        <v/>
      </c>
      <c r="J1747" s="138" t="str">
        <f>+IFERROR(VLOOKUP(D1747,Conceptos_Analítica_contraloría[#All],3,0),"")</f>
        <v/>
      </c>
    </row>
    <row r="1748" spans="3:10" x14ac:dyDescent="0.35">
      <c r="C1748" s="144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s="138" t="str">
        <f>+IFERROR(VLOOKUP(Fact_Analitica[[#This Row],[Concepto Anterior]],Conceptos_Analítica_contraloría[#All],5,0),"")</f>
        <v/>
      </c>
      <c r="F1748" s="138" t="str">
        <f>+IFERROR(VLOOKUP(Fact_Analitica[[#This Row],[Concepto Anterior]],Conceptos_Analítica_contraloría[#All],7,0),"")</f>
        <v/>
      </c>
      <c r="I1748" s="138" t="str">
        <f>+IFERROR(VLOOKUP(D1748,Conceptos_Analítica_contraloría[#All],2,0),"")</f>
        <v/>
      </c>
      <c r="J1748" s="138" t="str">
        <f>+IFERROR(VLOOKUP(D1748,Conceptos_Analítica_contraloría[#All],3,0),"")</f>
        <v/>
      </c>
    </row>
    <row r="1749" spans="3:10" x14ac:dyDescent="0.35">
      <c r="C1749" s="144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s="138" t="str">
        <f>+IFERROR(VLOOKUP(Fact_Analitica[[#This Row],[Concepto Anterior]],Conceptos_Analítica_contraloría[#All],5,0),"")</f>
        <v/>
      </c>
      <c r="F1749" s="138" t="str">
        <f>+IFERROR(VLOOKUP(Fact_Analitica[[#This Row],[Concepto Anterior]],Conceptos_Analítica_contraloría[#All],7,0),"")</f>
        <v/>
      </c>
      <c r="I1749" s="138" t="str">
        <f>+IFERROR(VLOOKUP(D1749,Conceptos_Analítica_contraloría[#All],2,0),"")</f>
        <v/>
      </c>
      <c r="J1749" s="138" t="str">
        <f>+IFERROR(VLOOKUP(D1749,Conceptos_Analítica_contraloría[#All],3,0),"")</f>
        <v/>
      </c>
    </row>
    <row r="1750" spans="3:10" x14ac:dyDescent="0.35">
      <c r="C1750" s="144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s="138" t="str">
        <f>+IFERROR(VLOOKUP(Fact_Analitica[[#This Row],[Concepto Anterior]],Conceptos_Analítica_contraloría[#All],5,0),"")</f>
        <v/>
      </c>
      <c r="F1750" s="138" t="str">
        <f>+IFERROR(VLOOKUP(Fact_Analitica[[#This Row],[Concepto Anterior]],Conceptos_Analítica_contraloría[#All],7,0),"")</f>
        <v/>
      </c>
      <c r="I1750" s="138" t="str">
        <f>+IFERROR(VLOOKUP(D1750,Conceptos_Analítica_contraloría[#All],2,0),"")</f>
        <v/>
      </c>
      <c r="J1750" s="138" t="str">
        <f>+IFERROR(VLOOKUP(D1750,Conceptos_Analítica_contraloría[#All],3,0),"")</f>
        <v/>
      </c>
    </row>
    <row r="1751" spans="3:10" x14ac:dyDescent="0.35">
      <c r="C1751" s="144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s="138" t="str">
        <f>+IFERROR(VLOOKUP(Fact_Analitica[[#This Row],[Concepto Anterior]],Conceptos_Analítica_contraloría[#All],5,0),"")</f>
        <v/>
      </c>
      <c r="F1751" s="138" t="str">
        <f>+IFERROR(VLOOKUP(Fact_Analitica[[#This Row],[Concepto Anterior]],Conceptos_Analítica_contraloría[#All],7,0),"")</f>
        <v/>
      </c>
      <c r="I1751" s="138" t="str">
        <f>+IFERROR(VLOOKUP(D1751,Conceptos_Analítica_contraloría[#All],2,0),"")</f>
        <v/>
      </c>
      <c r="J1751" s="138" t="str">
        <f>+IFERROR(VLOOKUP(D1751,Conceptos_Analítica_contraloría[#All],3,0),"")</f>
        <v/>
      </c>
    </row>
    <row r="1752" spans="3:10" x14ac:dyDescent="0.35">
      <c r="C1752" s="144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s="138" t="str">
        <f>+IFERROR(VLOOKUP(Fact_Analitica[[#This Row],[Concepto Anterior]],Conceptos_Analítica_contraloría[#All],5,0),"")</f>
        <v/>
      </c>
      <c r="F1752" s="138" t="str">
        <f>+IFERROR(VLOOKUP(Fact_Analitica[[#This Row],[Concepto Anterior]],Conceptos_Analítica_contraloría[#All],7,0),"")</f>
        <v/>
      </c>
      <c r="I1752" s="138" t="str">
        <f>+IFERROR(VLOOKUP(D1752,Conceptos_Analítica_contraloría[#All],2,0),"")</f>
        <v/>
      </c>
      <c r="J1752" s="138" t="str">
        <f>+IFERROR(VLOOKUP(D1752,Conceptos_Analítica_contraloría[#All],3,0),"")</f>
        <v/>
      </c>
    </row>
    <row r="1753" spans="3:10" x14ac:dyDescent="0.35">
      <c r="C1753" s="144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s="138" t="str">
        <f>+IFERROR(VLOOKUP(Fact_Analitica[[#This Row],[Concepto Anterior]],Conceptos_Analítica_contraloría[#All],5,0),"")</f>
        <v/>
      </c>
      <c r="F1753" s="138" t="str">
        <f>+IFERROR(VLOOKUP(Fact_Analitica[[#This Row],[Concepto Anterior]],Conceptos_Analítica_contraloría[#All],7,0),"")</f>
        <v/>
      </c>
      <c r="I1753" s="138" t="str">
        <f>+IFERROR(VLOOKUP(D1753,Conceptos_Analítica_contraloría[#All],2,0),"")</f>
        <v/>
      </c>
      <c r="J1753" s="138" t="str">
        <f>+IFERROR(VLOOKUP(D1753,Conceptos_Analítica_contraloría[#All],3,0),"")</f>
        <v/>
      </c>
    </row>
    <row r="1754" spans="3:10" x14ac:dyDescent="0.35">
      <c r="C1754" s="144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s="138" t="str">
        <f>+IFERROR(VLOOKUP(Fact_Analitica[[#This Row],[Concepto Anterior]],Conceptos_Analítica_contraloría[#All],5,0),"")</f>
        <v/>
      </c>
      <c r="F1754" s="138" t="str">
        <f>+IFERROR(VLOOKUP(Fact_Analitica[[#This Row],[Concepto Anterior]],Conceptos_Analítica_contraloría[#All],7,0),"")</f>
        <v/>
      </c>
      <c r="I1754" s="138" t="str">
        <f>+IFERROR(VLOOKUP(D1754,Conceptos_Analítica_contraloría[#All],2,0),"")</f>
        <v/>
      </c>
      <c r="J1754" s="138" t="str">
        <f>+IFERROR(VLOOKUP(D1754,Conceptos_Analítica_contraloría[#All],3,0),"")</f>
        <v/>
      </c>
    </row>
    <row r="1755" spans="3:10" x14ac:dyDescent="0.35">
      <c r="C1755" s="144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s="138" t="str">
        <f>+IFERROR(VLOOKUP(Fact_Analitica[[#This Row],[Concepto Anterior]],Conceptos_Analítica_contraloría[#All],5,0),"")</f>
        <v/>
      </c>
      <c r="F1755" s="138" t="str">
        <f>+IFERROR(VLOOKUP(Fact_Analitica[[#This Row],[Concepto Anterior]],Conceptos_Analítica_contraloría[#All],7,0),"")</f>
        <v/>
      </c>
      <c r="I1755" s="138" t="str">
        <f>+IFERROR(VLOOKUP(D1755,Conceptos_Analítica_contraloría[#All],2,0),"")</f>
        <v/>
      </c>
      <c r="J1755" s="138" t="str">
        <f>+IFERROR(VLOOKUP(D1755,Conceptos_Analítica_contraloría[#All],3,0),"")</f>
        <v/>
      </c>
    </row>
    <row r="1756" spans="3:10" x14ac:dyDescent="0.35">
      <c r="C1756" s="144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s="138" t="str">
        <f>+IFERROR(VLOOKUP(Fact_Analitica[[#This Row],[Concepto Anterior]],Conceptos_Analítica_contraloría[#All],5,0),"")</f>
        <v/>
      </c>
      <c r="F1756" s="138" t="str">
        <f>+IFERROR(VLOOKUP(Fact_Analitica[[#This Row],[Concepto Anterior]],Conceptos_Analítica_contraloría[#All],7,0),"")</f>
        <v/>
      </c>
      <c r="I1756" s="138" t="str">
        <f>+IFERROR(VLOOKUP(D1756,Conceptos_Analítica_contraloría[#All],2,0),"")</f>
        <v/>
      </c>
      <c r="J1756" s="138" t="str">
        <f>+IFERROR(VLOOKUP(D1756,Conceptos_Analítica_contraloría[#All],3,0),"")</f>
        <v/>
      </c>
    </row>
    <row r="1757" spans="3:10" x14ac:dyDescent="0.35">
      <c r="C1757" s="144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s="138" t="str">
        <f>+IFERROR(VLOOKUP(Fact_Analitica[[#This Row],[Concepto Anterior]],Conceptos_Analítica_contraloría[#All],5,0),"")</f>
        <v/>
      </c>
      <c r="F1757" s="138" t="str">
        <f>+IFERROR(VLOOKUP(Fact_Analitica[[#This Row],[Concepto Anterior]],Conceptos_Analítica_contraloría[#All],7,0),"")</f>
        <v/>
      </c>
      <c r="I1757" s="138" t="str">
        <f>+IFERROR(VLOOKUP(D1757,Conceptos_Analítica_contraloría[#All],2,0),"")</f>
        <v/>
      </c>
      <c r="J1757" s="138" t="str">
        <f>+IFERROR(VLOOKUP(D1757,Conceptos_Analítica_contraloría[#All],3,0),"")</f>
        <v/>
      </c>
    </row>
    <row r="1758" spans="3:10" x14ac:dyDescent="0.35">
      <c r="C1758" s="144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s="138" t="str">
        <f>+IFERROR(VLOOKUP(Fact_Analitica[[#This Row],[Concepto Anterior]],Conceptos_Analítica_contraloría[#All],5,0),"")</f>
        <v/>
      </c>
      <c r="F1758" s="138" t="str">
        <f>+IFERROR(VLOOKUP(Fact_Analitica[[#This Row],[Concepto Anterior]],Conceptos_Analítica_contraloría[#All],7,0),"")</f>
        <v/>
      </c>
      <c r="I1758" s="138" t="str">
        <f>+IFERROR(VLOOKUP(D1758,Conceptos_Analítica_contraloría[#All],2,0),"")</f>
        <v/>
      </c>
      <c r="J1758" s="138" t="str">
        <f>+IFERROR(VLOOKUP(D1758,Conceptos_Analítica_contraloría[#All],3,0),"")</f>
        <v/>
      </c>
    </row>
    <row r="1759" spans="3:10" x14ac:dyDescent="0.35">
      <c r="C1759" s="144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s="138" t="str">
        <f>+IFERROR(VLOOKUP(Fact_Analitica[[#This Row],[Concepto Anterior]],Conceptos_Analítica_contraloría[#All],5,0),"")</f>
        <v/>
      </c>
      <c r="F1759" s="138" t="str">
        <f>+IFERROR(VLOOKUP(Fact_Analitica[[#This Row],[Concepto Anterior]],Conceptos_Analítica_contraloría[#All],7,0),"")</f>
        <v/>
      </c>
      <c r="I1759" s="138" t="str">
        <f>+IFERROR(VLOOKUP(D1759,Conceptos_Analítica_contraloría[#All],2,0),"")</f>
        <v/>
      </c>
      <c r="J1759" s="138" t="str">
        <f>+IFERROR(VLOOKUP(D1759,Conceptos_Analítica_contraloría[#All],3,0),"")</f>
        <v/>
      </c>
    </row>
    <row r="1760" spans="3:10" x14ac:dyDescent="0.35">
      <c r="C1760" s="144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s="138" t="str">
        <f>+IFERROR(VLOOKUP(Fact_Analitica[[#This Row],[Concepto Anterior]],Conceptos_Analítica_contraloría[#All],5,0),"")</f>
        <v/>
      </c>
      <c r="F1760" s="138" t="str">
        <f>+IFERROR(VLOOKUP(Fact_Analitica[[#This Row],[Concepto Anterior]],Conceptos_Analítica_contraloría[#All],7,0),"")</f>
        <v/>
      </c>
      <c r="I1760" s="138" t="str">
        <f>+IFERROR(VLOOKUP(D1760,Conceptos_Analítica_contraloría[#All],2,0),"")</f>
        <v/>
      </c>
      <c r="J1760" s="138" t="str">
        <f>+IFERROR(VLOOKUP(D1760,Conceptos_Analítica_contraloría[#All],3,0),"")</f>
        <v/>
      </c>
    </row>
    <row r="1761" spans="3:10" x14ac:dyDescent="0.35">
      <c r="C1761" s="144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s="138" t="str">
        <f>+IFERROR(VLOOKUP(Fact_Analitica[[#This Row],[Concepto Anterior]],Conceptos_Analítica_contraloría[#All],5,0),"")</f>
        <v/>
      </c>
      <c r="F1761" s="138" t="str">
        <f>+IFERROR(VLOOKUP(Fact_Analitica[[#This Row],[Concepto Anterior]],Conceptos_Analítica_contraloría[#All],7,0),"")</f>
        <v/>
      </c>
      <c r="I1761" s="138" t="str">
        <f>+IFERROR(VLOOKUP(D1761,Conceptos_Analítica_contraloría[#All],2,0),"")</f>
        <v/>
      </c>
      <c r="J1761" s="138" t="str">
        <f>+IFERROR(VLOOKUP(D1761,Conceptos_Analítica_contraloría[#All],3,0),"")</f>
        <v/>
      </c>
    </row>
    <row r="1762" spans="3:10" x14ac:dyDescent="0.35">
      <c r="C1762" s="144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s="138" t="str">
        <f>+IFERROR(VLOOKUP(Fact_Analitica[[#This Row],[Concepto Anterior]],Conceptos_Analítica_contraloría[#All],5,0),"")</f>
        <v/>
      </c>
      <c r="F1762" s="138" t="str">
        <f>+IFERROR(VLOOKUP(Fact_Analitica[[#This Row],[Concepto Anterior]],Conceptos_Analítica_contraloría[#All],7,0),"")</f>
        <v/>
      </c>
      <c r="I1762" s="138" t="str">
        <f>+IFERROR(VLOOKUP(D1762,Conceptos_Analítica_contraloría[#All],2,0),"")</f>
        <v/>
      </c>
      <c r="J1762" s="138" t="str">
        <f>+IFERROR(VLOOKUP(D1762,Conceptos_Analítica_contraloría[#All],3,0),"")</f>
        <v/>
      </c>
    </row>
    <row r="1763" spans="3:10" x14ac:dyDescent="0.35">
      <c r="C1763" s="144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s="138" t="str">
        <f>+IFERROR(VLOOKUP(Fact_Analitica[[#This Row],[Concepto Anterior]],Conceptos_Analítica_contraloría[#All],5,0),"")</f>
        <v/>
      </c>
      <c r="F1763" s="138" t="str">
        <f>+IFERROR(VLOOKUP(Fact_Analitica[[#This Row],[Concepto Anterior]],Conceptos_Analítica_contraloría[#All],7,0),"")</f>
        <v/>
      </c>
      <c r="I1763" s="138" t="str">
        <f>+IFERROR(VLOOKUP(D1763,Conceptos_Analítica_contraloría[#All],2,0),"")</f>
        <v/>
      </c>
      <c r="J1763" s="138" t="str">
        <f>+IFERROR(VLOOKUP(D1763,Conceptos_Analítica_contraloría[#All],3,0),"")</f>
        <v/>
      </c>
    </row>
    <row r="1764" spans="3:10" x14ac:dyDescent="0.35">
      <c r="C1764" s="144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s="138" t="str">
        <f>+IFERROR(VLOOKUP(Fact_Analitica[[#This Row],[Concepto Anterior]],Conceptos_Analítica_contraloría[#All],5,0),"")</f>
        <v/>
      </c>
      <c r="F1764" s="138" t="str">
        <f>+IFERROR(VLOOKUP(Fact_Analitica[[#This Row],[Concepto Anterior]],Conceptos_Analítica_contraloría[#All],7,0),"")</f>
        <v/>
      </c>
      <c r="I1764" s="138" t="str">
        <f>+IFERROR(VLOOKUP(D1764,Conceptos_Analítica_contraloría[#All],2,0),"")</f>
        <v/>
      </c>
      <c r="J1764" s="138" t="str">
        <f>+IFERROR(VLOOKUP(D1764,Conceptos_Analítica_contraloría[#All],3,0),"")</f>
        <v/>
      </c>
    </row>
    <row r="1765" spans="3:10" x14ac:dyDescent="0.35">
      <c r="C1765" s="144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s="138" t="str">
        <f>+IFERROR(VLOOKUP(Fact_Analitica[[#This Row],[Concepto Anterior]],Conceptos_Analítica_contraloría[#All],5,0),"")</f>
        <v/>
      </c>
      <c r="F1765" s="138" t="str">
        <f>+IFERROR(VLOOKUP(Fact_Analitica[[#This Row],[Concepto Anterior]],Conceptos_Analítica_contraloría[#All],7,0),"")</f>
        <v/>
      </c>
      <c r="I1765" s="138" t="str">
        <f>+IFERROR(VLOOKUP(D1765,Conceptos_Analítica_contraloría[#All],2,0),"")</f>
        <v/>
      </c>
      <c r="J1765" s="138" t="str">
        <f>+IFERROR(VLOOKUP(D1765,Conceptos_Analítica_contraloría[#All],3,0),"")</f>
        <v/>
      </c>
    </row>
    <row r="1766" spans="3:10" x14ac:dyDescent="0.35">
      <c r="C1766" s="144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s="138" t="str">
        <f>+IFERROR(VLOOKUP(Fact_Analitica[[#This Row],[Concepto Anterior]],Conceptos_Analítica_contraloría[#All],5,0),"")</f>
        <v/>
      </c>
      <c r="F1766" s="138" t="str">
        <f>+IFERROR(VLOOKUP(Fact_Analitica[[#This Row],[Concepto Anterior]],Conceptos_Analítica_contraloría[#All],7,0),"")</f>
        <v/>
      </c>
      <c r="I1766" s="138" t="str">
        <f>+IFERROR(VLOOKUP(D1766,Conceptos_Analítica_contraloría[#All],2,0),"")</f>
        <v/>
      </c>
      <c r="J1766" s="138" t="str">
        <f>+IFERROR(VLOOKUP(D1766,Conceptos_Analítica_contraloría[#All],3,0),"")</f>
        <v/>
      </c>
    </row>
    <row r="1767" spans="3:10" x14ac:dyDescent="0.35">
      <c r="C1767" s="144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s="138" t="str">
        <f>+IFERROR(VLOOKUP(Fact_Analitica[[#This Row],[Concepto Anterior]],Conceptos_Analítica_contraloría[#All],5,0),"")</f>
        <v/>
      </c>
      <c r="F1767" s="138" t="str">
        <f>+IFERROR(VLOOKUP(Fact_Analitica[[#This Row],[Concepto Anterior]],Conceptos_Analítica_contraloría[#All],7,0),"")</f>
        <v/>
      </c>
      <c r="I1767" s="138" t="str">
        <f>+IFERROR(VLOOKUP(D1767,Conceptos_Analítica_contraloría[#All],2,0),"")</f>
        <v/>
      </c>
      <c r="J1767" s="138" t="str">
        <f>+IFERROR(VLOOKUP(D1767,Conceptos_Analítica_contraloría[#All],3,0),"")</f>
        <v/>
      </c>
    </row>
    <row r="1768" spans="3:10" x14ac:dyDescent="0.35">
      <c r="C1768" s="144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s="138" t="str">
        <f>+IFERROR(VLOOKUP(Fact_Analitica[[#This Row],[Concepto Anterior]],Conceptos_Analítica_contraloría[#All],5,0),"")</f>
        <v/>
      </c>
      <c r="F1768" s="138" t="str">
        <f>+IFERROR(VLOOKUP(Fact_Analitica[[#This Row],[Concepto Anterior]],Conceptos_Analítica_contraloría[#All],7,0),"")</f>
        <v/>
      </c>
      <c r="I1768" s="138" t="str">
        <f>+IFERROR(VLOOKUP(D1768,Conceptos_Analítica_contraloría[#All],2,0),"")</f>
        <v/>
      </c>
      <c r="J1768" s="138" t="str">
        <f>+IFERROR(VLOOKUP(D1768,Conceptos_Analítica_contraloría[#All],3,0),"")</f>
        <v/>
      </c>
    </row>
    <row r="1769" spans="3:10" x14ac:dyDescent="0.35">
      <c r="C1769" s="144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s="138" t="str">
        <f>+IFERROR(VLOOKUP(Fact_Analitica[[#This Row],[Concepto Anterior]],Conceptos_Analítica_contraloría[#All],5,0),"")</f>
        <v/>
      </c>
      <c r="F1769" s="138" t="str">
        <f>+IFERROR(VLOOKUP(Fact_Analitica[[#This Row],[Concepto Anterior]],Conceptos_Analítica_contraloría[#All],7,0),"")</f>
        <v/>
      </c>
      <c r="I1769" s="138" t="str">
        <f>+IFERROR(VLOOKUP(D1769,Conceptos_Analítica_contraloría[#All],2,0),"")</f>
        <v/>
      </c>
      <c r="J1769" s="138" t="str">
        <f>+IFERROR(VLOOKUP(D1769,Conceptos_Analítica_contraloría[#All],3,0),"")</f>
        <v/>
      </c>
    </row>
    <row r="1770" spans="3:10" x14ac:dyDescent="0.35">
      <c r="C1770" s="144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s="138" t="str">
        <f>+IFERROR(VLOOKUP(Fact_Analitica[[#This Row],[Concepto Anterior]],Conceptos_Analítica_contraloría[#All],5,0),"")</f>
        <v/>
      </c>
      <c r="F1770" s="138" t="str">
        <f>+IFERROR(VLOOKUP(Fact_Analitica[[#This Row],[Concepto Anterior]],Conceptos_Analítica_contraloría[#All],7,0),"")</f>
        <v/>
      </c>
      <c r="I1770" s="138" t="str">
        <f>+IFERROR(VLOOKUP(D1770,Conceptos_Analítica_contraloría[#All],2,0),"")</f>
        <v/>
      </c>
      <c r="J1770" s="138" t="str">
        <f>+IFERROR(VLOOKUP(D1770,Conceptos_Analítica_contraloría[#All],3,0),"")</f>
        <v/>
      </c>
    </row>
    <row r="1771" spans="3:10" x14ac:dyDescent="0.35">
      <c r="C1771" s="144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s="138" t="str">
        <f>+IFERROR(VLOOKUP(Fact_Analitica[[#This Row],[Concepto Anterior]],Conceptos_Analítica_contraloría[#All],5,0),"")</f>
        <v/>
      </c>
      <c r="F1771" s="138" t="str">
        <f>+IFERROR(VLOOKUP(Fact_Analitica[[#This Row],[Concepto Anterior]],Conceptos_Analítica_contraloría[#All],7,0),"")</f>
        <v/>
      </c>
      <c r="I1771" s="138" t="str">
        <f>+IFERROR(VLOOKUP(D1771,Conceptos_Analítica_contraloría[#All],2,0),"")</f>
        <v/>
      </c>
      <c r="J1771" s="138" t="str">
        <f>+IFERROR(VLOOKUP(D1771,Conceptos_Analítica_contraloría[#All],3,0),"")</f>
        <v/>
      </c>
    </row>
    <row r="1772" spans="3:10" x14ac:dyDescent="0.35">
      <c r="C1772" s="144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s="138" t="str">
        <f>+IFERROR(VLOOKUP(Fact_Analitica[[#This Row],[Concepto Anterior]],Conceptos_Analítica_contraloría[#All],5,0),"")</f>
        <v/>
      </c>
      <c r="F1772" s="138" t="str">
        <f>+IFERROR(VLOOKUP(Fact_Analitica[[#This Row],[Concepto Anterior]],Conceptos_Analítica_contraloría[#All],7,0),"")</f>
        <v/>
      </c>
      <c r="I1772" s="138" t="str">
        <f>+IFERROR(VLOOKUP(D1772,Conceptos_Analítica_contraloría[#All],2,0),"")</f>
        <v/>
      </c>
      <c r="J1772" s="138" t="str">
        <f>+IFERROR(VLOOKUP(D1772,Conceptos_Analítica_contraloría[#All],3,0),"")</f>
        <v/>
      </c>
    </row>
    <row r="1773" spans="3:10" x14ac:dyDescent="0.35">
      <c r="C1773" s="144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s="138" t="str">
        <f>+IFERROR(VLOOKUP(Fact_Analitica[[#This Row],[Concepto Anterior]],Conceptos_Analítica_contraloría[#All],5,0),"")</f>
        <v/>
      </c>
      <c r="F1773" s="138" t="str">
        <f>+IFERROR(VLOOKUP(Fact_Analitica[[#This Row],[Concepto Anterior]],Conceptos_Analítica_contraloría[#All],7,0),"")</f>
        <v/>
      </c>
      <c r="I1773" s="138" t="str">
        <f>+IFERROR(VLOOKUP(D1773,Conceptos_Analítica_contraloría[#All],2,0),"")</f>
        <v/>
      </c>
      <c r="J1773" s="138" t="str">
        <f>+IFERROR(VLOOKUP(D1773,Conceptos_Analítica_contraloría[#All],3,0),"")</f>
        <v/>
      </c>
    </row>
    <row r="1774" spans="3:10" x14ac:dyDescent="0.35">
      <c r="C1774" s="144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s="138" t="str">
        <f>+IFERROR(VLOOKUP(Fact_Analitica[[#This Row],[Concepto Anterior]],Conceptos_Analítica_contraloría[#All],5,0),"")</f>
        <v/>
      </c>
      <c r="F1774" s="138" t="str">
        <f>+IFERROR(VLOOKUP(Fact_Analitica[[#This Row],[Concepto Anterior]],Conceptos_Analítica_contraloría[#All],7,0),"")</f>
        <v/>
      </c>
      <c r="I1774" s="138" t="str">
        <f>+IFERROR(VLOOKUP(D1774,Conceptos_Analítica_contraloría[#All],2,0),"")</f>
        <v/>
      </c>
      <c r="J1774" s="138" t="str">
        <f>+IFERROR(VLOOKUP(D1774,Conceptos_Analítica_contraloría[#All],3,0),"")</f>
        <v/>
      </c>
    </row>
    <row r="1775" spans="3:10" x14ac:dyDescent="0.35">
      <c r="C1775" s="144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s="138" t="str">
        <f>+IFERROR(VLOOKUP(Fact_Analitica[[#This Row],[Concepto Anterior]],Conceptos_Analítica_contraloría[#All],5,0),"")</f>
        <v/>
      </c>
      <c r="F1775" s="138" t="str">
        <f>+IFERROR(VLOOKUP(Fact_Analitica[[#This Row],[Concepto Anterior]],Conceptos_Analítica_contraloría[#All],7,0),"")</f>
        <v/>
      </c>
      <c r="I1775" s="138" t="str">
        <f>+IFERROR(VLOOKUP(D1775,Conceptos_Analítica_contraloría[#All],2,0),"")</f>
        <v/>
      </c>
      <c r="J1775" s="138" t="str">
        <f>+IFERROR(VLOOKUP(D1775,Conceptos_Analítica_contraloría[#All],3,0),"")</f>
        <v/>
      </c>
    </row>
    <row r="1776" spans="3:10" x14ac:dyDescent="0.35">
      <c r="C1776" s="144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s="138" t="str">
        <f>+IFERROR(VLOOKUP(Fact_Analitica[[#This Row],[Concepto Anterior]],Conceptos_Analítica_contraloría[#All],5,0),"")</f>
        <v/>
      </c>
      <c r="F1776" s="138" t="str">
        <f>+IFERROR(VLOOKUP(Fact_Analitica[[#This Row],[Concepto Anterior]],Conceptos_Analítica_contraloría[#All],7,0),"")</f>
        <v/>
      </c>
      <c r="I1776" s="138" t="str">
        <f>+IFERROR(VLOOKUP(D1776,Conceptos_Analítica_contraloría[#All],2,0),"")</f>
        <v/>
      </c>
      <c r="J1776" s="138" t="str">
        <f>+IFERROR(VLOOKUP(D1776,Conceptos_Analítica_contraloría[#All],3,0),"")</f>
        <v/>
      </c>
    </row>
    <row r="1777" spans="3:10" x14ac:dyDescent="0.35">
      <c r="C1777" s="144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s="138" t="str">
        <f>+IFERROR(VLOOKUP(Fact_Analitica[[#This Row],[Concepto Anterior]],Conceptos_Analítica_contraloría[#All],5,0),"")</f>
        <v/>
      </c>
      <c r="F1777" s="138" t="str">
        <f>+IFERROR(VLOOKUP(Fact_Analitica[[#This Row],[Concepto Anterior]],Conceptos_Analítica_contraloría[#All],7,0),"")</f>
        <v/>
      </c>
      <c r="I1777" s="138" t="str">
        <f>+IFERROR(VLOOKUP(D1777,Conceptos_Analítica_contraloría[#All],2,0),"")</f>
        <v/>
      </c>
      <c r="J1777" s="138" t="str">
        <f>+IFERROR(VLOOKUP(D1777,Conceptos_Analítica_contraloría[#All],3,0),"")</f>
        <v/>
      </c>
    </row>
    <row r="1778" spans="3:10" x14ac:dyDescent="0.35">
      <c r="C1778" s="144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s="138" t="str">
        <f>+IFERROR(VLOOKUP(Fact_Analitica[[#This Row],[Concepto Anterior]],Conceptos_Analítica_contraloría[#All],5,0),"")</f>
        <v/>
      </c>
      <c r="F1778" s="138" t="str">
        <f>+IFERROR(VLOOKUP(Fact_Analitica[[#This Row],[Concepto Anterior]],Conceptos_Analítica_contraloría[#All],7,0),"")</f>
        <v/>
      </c>
      <c r="I1778" s="138" t="str">
        <f>+IFERROR(VLOOKUP(D1778,Conceptos_Analítica_contraloría[#All],2,0),"")</f>
        <v/>
      </c>
      <c r="J1778" s="138" t="str">
        <f>+IFERROR(VLOOKUP(D1778,Conceptos_Analítica_contraloría[#All],3,0),"")</f>
        <v/>
      </c>
    </row>
    <row r="1779" spans="3:10" x14ac:dyDescent="0.35">
      <c r="C1779" s="144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s="138" t="str">
        <f>+IFERROR(VLOOKUP(Fact_Analitica[[#This Row],[Concepto Anterior]],Conceptos_Analítica_contraloría[#All],5,0),"")</f>
        <v/>
      </c>
      <c r="F1779" s="138" t="str">
        <f>+IFERROR(VLOOKUP(Fact_Analitica[[#This Row],[Concepto Anterior]],Conceptos_Analítica_contraloría[#All],7,0),"")</f>
        <v/>
      </c>
      <c r="I1779" s="138" t="str">
        <f>+IFERROR(VLOOKUP(D1779,Conceptos_Analítica_contraloría[#All],2,0),"")</f>
        <v/>
      </c>
      <c r="J1779" s="138" t="str">
        <f>+IFERROR(VLOOKUP(D1779,Conceptos_Analítica_contraloría[#All],3,0),"")</f>
        <v/>
      </c>
    </row>
    <row r="1780" spans="3:10" x14ac:dyDescent="0.35">
      <c r="C1780" s="144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s="138" t="str">
        <f>+IFERROR(VLOOKUP(Fact_Analitica[[#This Row],[Concepto Anterior]],Conceptos_Analítica_contraloría[#All],5,0),"")</f>
        <v/>
      </c>
      <c r="F1780" s="138" t="str">
        <f>+IFERROR(VLOOKUP(Fact_Analitica[[#This Row],[Concepto Anterior]],Conceptos_Analítica_contraloría[#All],7,0),"")</f>
        <v/>
      </c>
      <c r="I1780" s="138" t="str">
        <f>+IFERROR(VLOOKUP(D1780,Conceptos_Analítica_contraloría[#All],2,0),"")</f>
        <v/>
      </c>
      <c r="J1780" s="138" t="str">
        <f>+IFERROR(VLOOKUP(D1780,Conceptos_Analítica_contraloría[#All],3,0),"")</f>
        <v/>
      </c>
    </row>
    <row r="1781" spans="3:10" x14ac:dyDescent="0.35">
      <c r="C1781" s="144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s="138" t="str">
        <f>+IFERROR(VLOOKUP(Fact_Analitica[[#This Row],[Concepto Anterior]],Conceptos_Analítica_contraloría[#All],5,0),"")</f>
        <v/>
      </c>
      <c r="F1781" s="138" t="str">
        <f>+IFERROR(VLOOKUP(Fact_Analitica[[#This Row],[Concepto Anterior]],Conceptos_Analítica_contraloría[#All],7,0),"")</f>
        <v/>
      </c>
      <c r="I1781" s="138" t="str">
        <f>+IFERROR(VLOOKUP(D1781,Conceptos_Analítica_contraloría[#All],2,0),"")</f>
        <v/>
      </c>
      <c r="J1781" s="138" t="str">
        <f>+IFERROR(VLOOKUP(D1781,Conceptos_Analítica_contraloría[#All],3,0),"")</f>
        <v/>
      </c>
    </row>
    <row r="1782" spans="3:10" x14ac:dyDescent="0.35">
      <c r="C1782" s="144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s="138" t="str">
        <f>+IFERROR(VLOOKUP(Fact_Analitica[[#This Row],[Concepto Anterior]],Conceptos_Analítica_contraloría[#All],5,0),"")</f>
        <v/>
      </c>
      <c r="F1782" s="138" t="str">
        <f>+IFERROR(VLOOKUP(Fact_Analitica[[#This Row],[Concepto Anterior]],Conceptos_Analítica_contraloría[#All],7,0),"")</f>
        <v/>
      </c>
      <c r="I1782" s="138" t="str">
        <f>+IFERROR(VLOOKUP(D1782,Conceptos_Analítica_contraloría[#All],2,0),"")</f>
        <v/>
      </c>
      <c r="J1782" s="138" t="str">
        <f>+IFERROR(VLOOKUP(D1782,Conceptos_Analítica_contraloría[#All],3,0),"")</f>
        <v/>
      </c>
    </row>
    <row r="1783" spans="3:10" x14ac:dyDescent="0.35">
      <c r="C1783" s="144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s="138" t="str">
        <f>+IFERROR(VLOOKUP(Fact_Analitica[[#This Row],[Concepto Anterior]],Conceptos_Analítica_contraloría[#All],5,0),"")</f>
        <v/>
      </c>
      <c r="F1783" s="138" t="str">
        <f>+IFERROR(VLOOKUP(Fact_Analitica[[#This Row],[Concepto Anterior]],Conceptos_Analítica_contraloría[#All],7,0),"")</f>
        <v/>
      </c>
      <c r="I1783" s="138" t="str">
        <f>+IFERROR(VLOOKUP(D1783,Conceptos_Analítica_contraloría[#All],2,0),"")</f>
        <v/>
      </c>
      <c r="J1783" s="138" t="str">
        <f>+IFERROR(VLOOKUP(D1783,Conceptos_Analítica_contraloría[#All],3,0),"")</f>
        <v/>
      </c>
    </row>
    <row r="1784" spans="3:10" x14ac:dyDescent="0.35">
      <c r="C1784" s="144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s="138" t="str">
        <f>+IFERROR(VLOOKUP(Fact_Analitica[[#This Row],[Concepto Anterior]],Conceptos_Analítica_contraloría[#All],5,0),"")</f>
        <v/>
      </c>
      <c r="F1784" s="138" t="str">
        <f>+IFERROR(VLOOKUP(Fact_Analitica[[#This Row],[Concepto Anterior]],Conceptos_Analítica_contraloría[#All],7,0),"")</f>
        <v/>
      </c>
      <c r="I1784" s="138" t="str">
        <f>+IFERROR(VLOOKUP(D1784,Conceptos_Analítica_contraloría[#All],2,0),"")</f>
        <v/>
      </c>
      <c r="J1784" s="138" t="str">
        <f>+IFERROR(VLOOKUP(D1784,Conceptos_Analítica_contraloría[#All],3,0),"")</f>
        <v/>
      </c>
    </row>
    <row r="1785" spans="3:10" x14ac:dyDescent="0.35">
      <c r="C1785" s="144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s="138" t="str">
        <f>+IFERROR(VLOOKUP(Fact_Analitica[[#This Row],[Concepto Anterior]],Conceptos_Analítica_contraloría[#All],5,0),"")</f>
        <v/>
      </c>
      <c r="F1785" s="138" t="str">
        <f>+IFERROR(VLOOKUP(Fact_Analitica[[#This Row],[Concepto Anterior]],Conceptos_Analítica_contraloría[#All],7,0),"")</f>
        <v/>
      </c>
      <c r="I1785" s="138" t="str">
        <f>+IFERROR(VLOOKUP(D1785,Conceptos_Analítica_contraloría[#All],2,0),"")</f>
        <v/>
      </c>
      <c r="J1785" s="138" t="str">
        <f>+IFERROR(VLOOKUP(D1785,Conceptos_Analítica_contraloría[#All],3,0),"")</f>
        <v/>
      </c>
    </row>
    <row r="1786" spans="3:10" x14ac:dyDescent="0.35">
      <c r="C1786" s="144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s="138" t="str">
        <f>+IFERROR(VLOOKUP(Fact_Analitica[[#This Row],[Concepto Anterior]],Conceptos_Analítica_contraloría[#All],5,0),"")</f>
        <v/>
      </c>
      <c r="F1786" s="138" t="str">
        <f>+IFERROR(VLOOKUP(Fact_Analitica[[#This Row],[Concepto Anterior]],Conceptos_Analítica_contraloría[#All],7,0),"")</f>
        <v/>
      </c>
      <c r="I1786" s="138" t="str">
        <f>+IFERROR(VLOOKUP(D1786,Conceptos_Analítica_contraloría[#All],2,0),"")</f>
        <v/>
      </c>
      <c r="J1786" s="138" t="str">
        <f>+IFERROR(VLOOKUP(D1786,Conceptos_Analítica_contraloría[#All],3,0),"")</f>
        <v/>
      </c>
    </row>
    <row r="1787" spans="3:10" x14ac:dyDescent="0.35">
      <c r="C1787" s="144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s="138" t="str">
        <f>+IFERROR(VLOOKUP(Fact_Analitica[[#This Row],[Concepto Anterior]],Conceptos_Analítica_contraloría[#All],5,0),"")</f>
        <v/>
      </c>
      <c r="F1787" s="138" t="str">
        <f>+IFERROR(VLOOKUP(Fact_Analitica[[#This Row],[Concepto Anterior]],Conceptos_Analítica_contraloría[#All],7,0),"")</f>
        <v/>
      </c>
      <c r="I1787" s="138" t="str">
        <f>+IFERROR(VLOOKUP(D1787,Conceptos_Analítica_contraloría[#All],2,0),"")</f>
        <v/>
      </c>
      <c r="J1787" s="138" t="str">
        <f>+IFERROR(VLOOKUP(D1787,Conceptos_Analítica_contraloría[#All],3,0),"")</f>
        <v/>
      </c>
    </row>
    <row r="1788" spans="3:10" x14ac:dyDescent="0.35">
      <c r="C1788" s="144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s="138" t="str">
        <f>+IFERROR(VLOOKUP(Fact_Analitica[[#This Row],[Concepto Anterior]],Conceptos_Analítica_contraloría[#All],5,0),"")</f>
        <v/>
      </c>
      <c r="F1788" s="138" t="str">
        <f>+IFERROR(VLOOKUP(Fact_Analitica[[#This Row],[Concepto Anterior]],Conceptos_Analítica_contraloría[#All],7,0),"")</f>
        <v/>
      </c>
      <c r="I1788" s="138" t="str">
        <f>+IFERROR(VLOOKUP(D1788,Conceptos_Analítica_contraloría[#All],2,0),"")</f>
        <v/>
      </c>
      <c r="J1788" s="138" t="str">
        <f>+IFERROR(VLOOKUP(D1788,Conceptos_Analítica_contraloría[#All],3,0),"")</f>
        <v/>
      </c>
    </row>
    <row r="1789" spans="3:10" x14ac:dyDescent="0.35">
      <c r="C1789" s="144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s="138" t="str">
        <f>+IFERROR(VLOOKUP(Fact_Analitica[[#This Row],[Concepto Anterior]],Conceptos_Analítica_contraloría[#All],5,0),"")</f>
        <v/>
      </c>
      <c r="F1789" s="138" t="str">
        <f>+IFERROR(VLOOKUP(Fact_Analitica[[#This Row],[Concepto Anterior]],Conceptos_Analítica_contraloría[#All],7,0),"")</f>
        <v/>
      </c>
      <c r="I1789" s="138" t="str">
        <f>+IFERROR(VLOOKUP(D1789,Conceptos_Analítica_contraloría[#All],2,0),"")</f>
        <v/>
      </c>
      <c r="J1789" s="138" t="str">
        <f>+IFERROR(VLOOKUP(D1789,Conceptos_Analítica_contraloría[#All],3,0),"")</f>
        <v/>
      </c>
    </row>
    <row r="1790" spans="3:10" x14ac:dyDescent="0.35">
      <c r="C1790" s="144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s="138" t="str">
        <f>+IFERROR(VLOOKUP(Fact_Analitica[[#This Row],[Concepto Anterior]],Conceptos_Analítica_contraloría[#All],5,0),"")</f>
        <v/>
      </c>
      <c r="F1790" s="138" t="str">
        <f>+IFERROR(VLOOKUP(Fact_Analitica[[#This Row],[Concepto Anterior]],Conceptos_Analítica_contraloría[#All],7,0),"")</f>
        <v/>
      </c>
      <c r="I1790" s="138" t="str">
        <f>+IFERROR(VLOOKUP(D1790,Conceptos_Analítica_contraloría[#All],2,0),"")</f>
        <v/>
      </c>
      <c r="J1790" s="138" t="str">
        <f>+IFERROR(VLOOKUP(D1790,Conceptos_Analítica_contraloría[#All],3,0),"")</f>
        <v/>
      </c>
    </row>
    <row r="1791" spans="3:10" x14ac:dyDescent="0.35">
      <c r="C1791" s="144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s="138" t="str">
        <f>+IFERROR(VLOOKUP(Fact_Analitica[[#This Row],[Concepto Anterior]],Conceptos_Analítica_contraloría[#All],5,0),"")</f>
        <v/>
      </c>
      <c r="F1791" s="138" t="str">
        <f>+IFERROR(VLOOKUP(Fact_Analitica[[#This Row],[Concepto Anterior]],Conceptos_Analítica_contraloría[#All],7,0),"")</f>
        <v/>
      </c>
      <c r="I1791" s="138" t="str">
        <f>+IFERROR(VLOOKUP(D1791,Conceptos_Analítica_contraloría[#All],2,0),"")</f>
        <v/>
      </c>
      <c r="J1791" s="138" t="str">
        <f>+IFERROR(VLOOKUP(D1791,Conceptos_Analítica_contraloría[#All],3,0),"")</f>
        <v/>
      </c>
    </row>
    <row r="1792" spans="3:10" x14ac:dyDescent="0.35">
      <c r="C1792" s="144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s="138" t="str">
        <f>+IFERROR(VLOOKUP(Fact_Analitica[[#This Row],[Concepto Anterior]],Conceptos_Analítica_contraloría[#All],5,0),"")</f>
        <v/>
      </c>
      <c r="F1792" s="138" t="str">
        <f>+IFERROR(VLOOKUP(Fact_Analitica[[#This Row],[Concepto Anterior]],Conceptos_Analítica_contraloría[#All],7,0),"")</f>
        <v/>
      </c>
      <c r="I1792" s="138" t="str">
        <f>+IFERROR(VLOOKUP(D1792,Conceptos_Analítica_contraloría[#All],2,0),"")</f>
        <v/>
      </c>
      <c r="J1792" s="138" t="str">
        <f>+IFERROR(VLOOKUP(D1792,Conceptos_Analítica_contraloría[#All],3,0),"")</f>
        <v/>
      </c>
    </row>
    <row r="1793" spans="3:10" x14ac:dyDescent="0.35">
      <c r="C1793" s="144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s="138" t="str">
        <f>+IFERROR(VLOOKUP(Fact_Analitica[[#This Row],[Concepto Anterior]],Conceptos_Analítica_contraloría[#All],5,0),"")</f>
        <v/>
      </c>
      <c r="F1793" s="138" t="str">
        <f>+IFERROR(VLOOKUP(Fact_Analitica[[#This Row],[Concepto Anterior]],Conceptos_Analítica_contraloría[#All],7,0),"")</f>
        <v/>
      </c>
      <c r="I1793" s="138" t="str">
        <f>+IFERROR(VLOOKUP(D1793,Conceptos_Analítica_contraloría[#All],2,0),"")</f>
        <v/>
      </c>
      <c r="J1793" s="138" t="str">
        <f>+IFERROR(VLOOKUP(D1793,Conceptos_Analítica_contraloría[#All],3,0),"")</f>
        <v/>
      </c>
    </row>
    <row r="1794" spans="3:10" x14ac:dyDescent="0.35">
      <c r="C1794" s="144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s="138" t="str">
        <f>+IFERROR(VLOOKUP(Fact_Analitica[[#This Row],[Concepto Anterior]],Conceptos_Analítica_contraloría[#All],5,0),"")</f>
        <v/>
      </c>
      <c r="F1794" s="138" t="str">
        <f>+IFERROR(VLOOKUP(Fact_Analitica[[#This Row],[Concepto Anterior]],Conceptos_Analítica_contraloría[#All],7,0),"")</f>
        <v/>
      </c>
      <c r="I1794" s="138" t="str">
        <f>+IFERROR(VLOOKUP(D1794,Conceptos_Analítica_contraloría[#All],2,0),"")</f>
        <v/>
      </c>
      <c r="J1794" s="138" t="str">
        <f>+IFERROR(VLOOKUP(D1794,Conceptos_Analítica_contraloría[#All],3,0),"")</f>
        <v/>
      </c>
    </row>
    <row r="1795" spans="3:10" x14ac:dyDescent="0.35">
      <c r="C1795" s="144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s="138" t="str">
        <f>+IFERROR(VLOOKUP(Fact_Analitica[[#This Row],[Concepto Anterior]],Conceptos_Analítica_contraloría[#All],5,0),"")</f>
        <v/>
      </c>
      <c r="F1795" s="138" t="str">
        <f>+IFERROR(VLOOKUP(Fact_Analitica[[#This Row],[Concepto Anterior]],Conceptos_Analítica_contraloría[#All],7,0),"")</f>
        <v/>
      </c>
      <c r="I1795" s="138" t="str">
        <f>+IFERROR(VLOOKUP(D1795,Conceptos_Analítica_contraloría[#All],2,0),"")</f>
        <v/>
      </c>
      <c r="J1795" s="138" t="str">
        <f>+IFERROR(VLOOKUP(D1795,Conceptos_Analítica_contraloría[#All],3,0),"")</f>
        <v/>
      </c>
    </row>
    <row r="1796" spans="3:10" x14ac:dyDescent="0.35">
      <c r="C1796" s="144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s="138" t="str">
        <f>+IFERROR(VLOOKUP(Fact_Analitica[[#This Row],[Concepto Anterior]],Conceptos_Analítica_contraloría[#All],5,0),"")</f>
        <v/>
      </c>
      <c r="F1796" s="138" t="str">
        <f>+IFERROR(VLOOKUP(Fact_Analitica[[#This Row],[Concepto Anterior]],Conceptos_Analítica_contraloría[#All],7,0),"")</f>
        <v/>
      </c>
      <c r="I1796" s="138" t="str">
        <f>+IFERROR(VLOOKUP(D1796,Conceptos_Analítica_contraloría[#All],2,0),"")</f>
        <v/>
      </c>
      <c r="J1796" s="138" t="str">
        <f>+IFERROR(VLOOKUP(D1796,Conceptos_Analítica_contraloría[#All],3,0),"")</f>
        <v/>
      </c>
    </row>
    <row r="1797" spans="3:10" x14ac:dyDescent="0.35">
      <c r="C1797" s="144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s="138" t="str">
        <f>+IFERROR(VLOOKUP(Fact_Analitica[[#This Row],[Concepto Anterior]],Conceptos_Analítica_contraloría[#All],5,0),"")</f>
        <v/>
      </c>
      <c r="F1797" s="138" t="str">
        <f>+IFERROR(VLOOKUP(Fact_Analitica[[#This Row],[Concepto Anterior]],Conceptos_Analítica_contraloría[#All],7,0),"")</f>
        <v/>
      </c>
      <c r="I1797" s="138" t="str">
        <f>+IFERROR(VLOOKUP(D1797,Conceptos_Analítica_contraloría[#All],2,0),"")</f>
        <v/>
      </c>
      <c r="J1797" s="138" t="str">
        <f>+IFERROR(VLOOKUP(D1797,Conceptos_Analítica_contraloría[#All],3,0),"")</f>
        <v/>
      </c>
    </row>
    <row r="1798" spans="3:10" x14ac:dyDescent="0.35">
      <c r="C1798" s="144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s="138" t="str">
        <f>+IFERROR(VLOOKUP(Fact_Analitica[[#This Row],[Concepto Anterior]],Conceptos_Analítica_contraloría[#All],5,0),"")</f>
        <v/>
      </c>
      <c r="F1798" s="138" t="str">
        <f>+IFERROR(VLOOKUP(Fact_Analitica[[#This Row],[Concepto Anterior]],Conceptos_Analítica_contraloría[#All],7,0),"")</f>
        <v/>
      </c>
      <c r="I1798" s="138" t="str">
        <f>+IFERROR(VLOOKUP(D1798,Conceptos_Analítica_contraloría[#All],2,0),"")</f>
        <v/>
      </c>
      <c r="J1798" s="138" t="str">
        <f>+IFERROR(VLOOKUP(D1798,Conceptos_Analítica_contraloría[#All],3,0),"")</f>
        <v/>
      </c>
    </row>
    <row r="1799" spans="3:10" x14ac:dyDescent="0.35">
      <c r="C1799" s="144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s="138" t="str">
        <f>+IFERROR(VLOOKUP(Fact_Analitica[[#This Row],[Concepto Anterior]],Conceptos_Analítica_contraloría[#All],5,0),"")</f>
        <v/>
      </c>
      <c r="F1799" s="138" t="str">
        <f>+IFERROR(VLOOKUP(Fact_Analitica[[#This Row],[Concepto Anterior]],Conceptos_Analítica_contraloría[#All],7,0),"")</f>
        <v/>
      </c>
      <c r="I1799" s="138" t="str">
        <f>+IFERROR(VLOOKUP(D1799,Conceptos_Analítica_contraloría[#All],2,0),"")</f>
        <v/>
      </c>
      <c r="J1799" s="138" t="str">
        <f>+IFERROR(VLOOKUP(D1799,Conceptos_Analítica_contraloría[#All],3,0),"")</f>
        <v/>
      </c>
    </row>
    <row r="1800" spans="3:10" x14ac:dyDescent="0.35">
      <c r="C1800" s="144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s="138" t="str">
        <f>+IFERROR(VLOOKUP(Fact_Analitica[[#This Row],[Concepto Anterior]],Conceptos_Analítica_contraloría[#All],5,0),"")</f>
        <v/>
      </c>
      <c r="F1800" s="138" t="str">
        <f>+IFERROR(VLOOKUP(Fact_Analitica[[#This Row],[Concepto Anterior]],Conceptos_Analítica_contraloría[#All],7,0),"")</f>
        <v/>
      </c>
      <c r="I1800" s="138" t="str">
        <f>+IFERROR(VLOOKUP(D1800,Conceptos_Analítica_contraloría[#All],2,0),"")</f>
        <v/>
      </c>
      <c r="J1800" s="138" t="str">
        <f>+IFERROR(VLOOKUP(D1800,Conceptos_Analítica_contraloría[#All],3,0),"")</f>
        <v/>
      </c>
    </row>
    <row r="1801" spans="3:10" x14ac:dyDescent="0.35">
      <c r="C1801" s="144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s="138" t="str">
        <f>+IFERROR(VLOOKUP(Fact_Analitica[[#This Row],[Concepto Anterior]],Conceptos_Analítica_contraloría[#All],5,0),"")</f>
        <v/>
      </c>
      <c r="F1801" s="138" t="str">
        <f>+IFERROR(VLOOKUP(Fact_Analitica[[#This Row],[Concepto Anterior]],Conceptos_Analítica_contraloría[#All],7,0),"")</f>
        <v/>
      </c>
      <c r="I1801" s="138" t="str">
        <f>+IFERROR(VLOOKUP(D1801,Conceptos_Analítica_contraloría[#All],2,0),"")</f>
        <v/>
      </c>
      <c r="J1801" s="138" t="str">
        <f>+IFERROR(VLOOKUP(D1801,Conceptos_Analítica_contraloría[#All],3,0),"")</f>
        <v/>
      </c>
    </row>
    <row r="1802" spans="3:10" x14ac:dyDescent="0.35">
      <c r="C1802" s="144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s="138" t="str">
        <f>+IFERROR(VLOOKUP(Fact_Analitica[[#This Row],[Concepto Anterior]],Conceptos_Analítica_contraloría[#All],5,0),"")</f>
        <v/>
      </c>
      <c r="F1802" s="138" t="str">
        <f>+IFERROR(VLOOKUP(Fact_Analitica[[#This Row],[Concepto Anterior]],Conceptos_Analítica_contraloría[#All],7,0),"")</f>
        <v/>
      </c>
      <c r="I1802" s="138" t="str">
        <f>+IFERROR(VLOOKUP(D1802,Conceptos_Analítica_contraloría[#All],2,0),"")</f>
        <v/>
      </c>
      <c r="J1802" s="138" t="str">
        <f>+IFERROR(VLOOKUP(D1802,Conceptos_Analítica_contraloría[#All],3,0),"")</f>
        <v/>
      </c>
    </row>
    <row r="1803" spans="3:10" x14ac:dyDescent="0.35">
      <c r="C1803" s="144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s="138" t="str">
        <f>+IFERROR(VLOOKUP(Fact_Analitica[[#This Row],[Concepto Anterior]],Conceptos_Analítica_contraloría[#All],5,0),"")</f>
        <v/>
      </c>
      <c r="F1803" s="138" t="str">
        <f>+IFERROR(VLOOKUP(Fact_Analitica[[#This Row],[Concepto Anterior]],Conceptos_Analítica_contraloría[#All],7,0),"")</f>
        <v/>
      </c>
      <c r="I1803" s="138" t="str">
        <f>+IFERROR(VLOOKUP(D1803,Conceptos_Analítica_contraloría[#All],2,0),"")</f>
        <v/>
      </c>
      <c r="J1803" s="138" t="str">
        <f>+IFERROR(VLOOKUP(D1803,Conceptos_Analítica_contraloría[#All],3,0),"")</f>
        <v/>
      </c>
    </row>
    <row r="1804" spans="3:10" x14ac:dyDescent="0.35">
      <c r="C1804" s="144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s="138" t="str">
        <f>+IFERROR(VLOOKUP(Fact_Analitica[[#This Row],[Concepto Anterior]],Conceptos_Analítica_contraloría[#All],5,0),"")</f>
        <v/>
      </c>
      <c r="F1804" s="138" t="str">
        <f>+IFERROR(VLOOKUP(Fact_Analitica[[#This Row],[Concepto Anterior]],Conceptos_Analítica_contraloría[#All],7,0),"")</f>
        <v/>
      </c>
      <c r="I1804" s="138" t="str">
        <f>+IFERROR(VLOOKUP(D1804,Conceptos_Analítica_contraloría[#All],2,0),"")</f>
        <v/>
      </c>
      <c r="J1804" s="138" t="str">
        <f>+IFERROR(VLOOKUP(D1804,Conceptos_Analítica_contraloría[#All],3,0),"")</f>
        <v/>
      </c>
    </row>
    <row r="1805" spans="3:10" x14ac:dyDescent="0.35">
      <c r="C1805" s="144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s="138" t="str">
        <f>+IFERROR(VLOOKUP(Fact_Analitica[[#This Row],[Concepto Anterior]],Conceptos_Analítica_contraloría[#All],5,0),"")</f>
        <v/>
      </c>
      <c r="F1805" s="138" t="str">
        <f>+IFERROR(VLOOKUP(Fact_Analitica[[#This Row],[Concepto Anterior]],Conceptos_Analítica_contraloría[#All],7,0),"")</f>
        <v/>
      </c>
      <c r="I1805" s="138" t="str">
        <f>+IFERROR(VLOOKUP(D1805,Conceptos_Analítica_contraloría[#All],2,0),"")</f>
        <v/>
      </c>
      <c r="J1805" s="138" t="str">
        <f>+IFERROR(VLOOKUP(D1805,Conceptos_Analítica_contraloría[#All],3,0),"")</f>
        <v/>
      </c>
    </row>
    <row r="1806" spans="3:10" x14ac:dyDescent="0.35">
      <c r="C1806" s="144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s="138" t="str">
        <f>+IFERROR(VLOOKUP(Fact_Analitica[[#This Row],[Concepto Anterior]],Conceptos_Analítica_contraloría[#All],5,0),"")</f>
        <v/>
      </c>
      <c r="F1806" s="138" t="str">
        <f>+IFERROR(VLOOKUP(Fact_Analitica[[#This Row],[Concepto Anterior]],Conceptos_Analítica_contraloría[#All],7,0),"")</f>
        <v/>
      </c>
      <c r="I1806" s="138" t="str">
        <f>+IFERROR(VLOOKUP(D1806,Conceptos_Analítica_contraloría[#All],2,0),"")</f>
        <v/>
      </c>
      <c r="J1806" s="138" t="str">
        <f>+IFERROR(VLOOKUP(D1806,Conceptos_Analítica_contraloría[#All],3,0),"")</f>
        <v/>
      </c>
    </row>
    <row r="1807" spans="3:10" x14ac:dyDescent="0.35">
      <c r="C1807" s="144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s="138" t="str">
        <f>+IFERROR(VLOOKUP(Fact_Analitica[[#This Row],[Concepto Anterior]],Conceptos_Analítica_contraloría[#All],5,0),"")</f>
        <v/>
      </c>
      <c r="F1807" s="138" t="str">
        <f>+IFERROR(VLOOKUP(Fact_Analitica[[#This Row],[Concepto Anterior]],Conceptos_Analítica_contraloría[#All],7,0),"")</f>
        <v/>
      </c>
      <c r="I1807" s="138" t="str">
        <f>+IFERROR(VLOOKUP(D1807,Conceptos_Analítica_contraloría[#All],2,0),"")</f>
        <v/>
      </c>
      <c r="J1807" s="138" t="str">
        <f>+IFERROR(VLOOKUP(D1807,Conceptos_Analítica_contraloría[#All],3,0),"")</f>
        <v/>
      </c>
    </row>
    <row r="1808" spans="3:10" x14ac:dyDescent="0.35">
      <c r="C1808" s="144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s="138" t="str">
        <f>+IFERROR(VLOOKUP(Fact_Analitica[[#This Row],[Concepto Anterior]],Conceptos_Analítica_contraloría[#All],5,0),"")</f>
        <v/>
      </c>
      <c r="F1808" s="138" t="str">
        <f>+IFERROR(VLOOKUP(Fact_Analitica[[#This Row],[Concepto Anterior]],Conceptos_Analítica_contraloría[#All],7,0),"")</f>
        <v/>
      </c>
      <c r="I1808" s="138" t="str">
        <f>+IFERROR(VLOOKUP(D1808,Conceptos_Analítica_contraloría[#All],2,0),"")</f>
        <v/>
      </c>
      <c r="J1808" s="138" t="str">
        <f>+IFERROR(VLOOKUP(D1808,Conceptos_Analítica_contraloría[#All],3,0),"")</f>
        <v/>
      </c>
    </row>
    <row r="1809" spans="3:10" x14ac:dyDescent="0.35">
      <c r="C1809" s="144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s="138" t="str">
        <f>+IFERROR(VLOOKUP(Fact_Analitica[[#This Row],[Concepto Anterior]],Conceptos_Analítica_contraloría[#All],5,0),"")</f>
        <v/>
      </c>
      <c r="F1809" s="138" t="str">
        <f>+IFERROR(VLOOKUP(Fact_Analitica[[#This Row],[Concepto Anterior]],Conceptos_Analítica_contraloría[#All],7,0),"")</f>
        <v/>
      </c>
      <c r="I1809" s="138" t="str">
        <f>+IFERROR(VLOOKUP(D1809,Conceptos_Analítica_contraloría[#All],2,0),"")</f>
        <v/>
      </c>
      <c r="J1809" s="138" t="str">
        <f>+IFERROR(VLOOKUP(D1809,Conceptos_Analítica_contraloría[#All],3,0),"")</f>
        <v/>
      </c>
    </row>
    <row r="1810" spans="3:10" x14ac:dyDescent="0.35">
      <c r="C1810" s="144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s="138" t="str">
        <f>+IFERROR(VLOOKUP(Fact_Analitica[[#This Row],[Concepto Anterior]],Conceptos_Analítica_contraloría[#All],5,0),"")</f>
        <v/>
      </c>
      <c r="F1810" s="138" t="str">
        <f>+IFERROR(VLOOKUP(Fact_Analitica[[#This Row],[Concepto Anterior]],Conceptos_Analítica_contraloría[#All],7,0),"")</f>
        <v/>
      </c>
      <c r="I1810" s="138" t="str">
        <f>+IFERROR(VLOOKUP(D1810,Conceptos_Analítica_contraloría[#All],2,0),"")</f>
        <v/>
      </c>
      <c r="J1810" s="138" t="str">
        <f>+IFERROR(VLOOKUP(D1810,Conceptos_Analítica_contraloría[#All],3,0),"")</f>
        <v/>
      </c>
    </row>
    <row r="1811" spans="3:10" x14ac:dyDescent="0.35">
      <c r="C1811" s="144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s="138" t="str">
        <f>+IFERROR(VLOOKUP(Fact_Analitica[[#This Row],[Concepto Anterior]],Conceptos_Analítica_contraloría[#All],5,0),"")</f>
        <v/>
      </c>
      <c r="F1811" s="138" t="str">
        <f>+IFERROR(VLOOKUP(Fact_Analitica[[#This Row],[Concepto Anterior]],Conceptos_Analítica_contraloría[#All],7,0),"")</f>
        <v/>
      </c>
      <c r="I1811" s="138" t="str">
        <f>+IFERROR(VLOOKUP(D1811,Conceptos_Analítica_contraloría[#All],2,0),"")</f>
        <v/>
      </c>
      <c r="J1811" s="138" t="str">
        <f>+IFERROR(VLOOKUP(D1811,Conceptos_Analítica_contraloría[#All],3,0),"")</f>
        <v/>
      </c>
    </row>
    <row r="1812" spans="3:10" x14ac:dyDescent="0.35">
      <c r="C1812" s="144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s="138" t="str">
        <f>+IFERROR(VLOOKUP(Fact_Analitica[[#This Row],[Concepto Anterior]],Conceptos_Analítica_contraloría[#All],5,0),"")</f>
        <v/>
      </c>
      <c r="F1812" s="138" t="str">
        <f>+IFERROR(VLOOKUP(Fact_Analitica[[#This Row],[Concepto Anterior]],Conceptos_Analítica_contraloría[#All],7,0),"")</f>
        <v/>
      </c>
      <c r="I1812" s="138" t="str">
        <f>+IFERROR(VLOOKUP(D1812,Conceptos_Analítica_contraloría[#All],2,0),"")</f>
        <v/>
      </c>
      <c r="J1812" s="138" t="str">
        <f>+IFERROR(VLOOKUP(D1812,Conceptos_Analítica_contraloría[#All],3,0),"")</f>
        <v/>
      </c>
    </row>
    <row r="1813" spans="3:10" x14ac:dyDescent="0.35">
      <c r="C1813" s="144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s="138" t="str">
        <f>+IFERROR(VLOOKUP(Fact_Analitica[[#This Row],[Concepto Anterior]],Conceptos_Analítica_contraloría[#All],5,0),"")</f>
        <v/>
      </c>
      <c r="F1813" s="138" t="str">
        <f>+IFERROR(VLOOKUP(Fact_Analitica[[#This Row],[Concepto Anterior]],Conceptos_Analítica_contraloría[#All],7,0),"")</f>
        <v/>
      </c>
      <c r="I1813" s="138" t="str">
        <f>+IFERROR(VLOOKUP(D1813,Conceptos_Analítica_contraloría[#All],2,0),"")</f>
        <v/>
      </c>
      <c r="J1813" s="138" t="str">
        <f>+IFERROR(VLOOKUP(D1813,Conceptos_Analítica_contraloría[#All],3,0),"")</f>
        <v/>
      </c>
    </row>
    <row r="1814" spans="3:10" x14ac:dyDescent="0.35">
      <c r="C1814" s="144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s="138" t="str">
        <f>+IFERROR(VLOOKUP(Fact_Analitica[[#This Row],[Concepto Anterior]],Conceptos_Analítica_contraloría[#All],5,0),"")</f>
        <v/>
      </c>
      <c r="F1814" s="138" t="str">
        <f>+IFERROR(VLOOKUP(Fact_Analitica[[#This Row],[Concepto Anterior]],Conceptos_Analítica_contraloría[#All],7,0),"")</f>
        <v/>
      </c>
      <c r="I1814" s="138" t="str">
        <f>+IFERROR(VLOOKUP(D1814,Conceptos_Analítica_contraloría[#All],2,0),"")</f>
        <v/>
      </c>
      <c r="J1814" s="138" t="str">
        <f>+IFERROR(VLOOKUP(D1814,Conceptos_Analítica_contraloría[#All],3,0),"")</f>
        <v/>
      </c>
    </row>
    <row r="1815" spans="3:10" x14ac:dyDescent="0.35">
      <c r="C1815" s="144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s="138" t="str">
        <f>+IFERROR(VLOOKUP(Fact_Analitica[[#This Row],[Concepto Anterior]],Conceptos_Analítica_contraloría[#All],5,0),"")</f>
        <v/>
      </c>
      <c r="F1815" s="138" t="str">
        <f>+IFERROR(VLOOKUP(Fact_Analitica[[#This Row],[Concepto Anterior]],Conceptos_Analítica_contraloría[#All],7,0),"")</f>
        <v/>
      </c>
      <c r="I1815" s="138" t="str">
        <f>+IFERROR(VLOOKUP(D1815,Conceptos_Analítica_contraloría[#All],2,0),"")</f>
        <v/>
      </c>
      <c r="J1815" s="138" t="str">
        <f>+IFERROR(VLOOKUP(D1815,Conceptos_Analítica_contraloría[#All],3,0),"")</f>
        <v/>
      </c>
    </row>
    <row r="1816" spans="3:10" x14ac:dyDescent="0.35">
      <c r="C1816" s="144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s="138" t="str">
        <f>+IFERROR(VLOOKUP(Fact_Analitica[[#This Row],[Concepto Anterior]],Conceptos_Analítica_contraloría[#All],5,0),"")</f>
        <v/>
      </c>
      <c r="F1816" s="138" t="str">
        <f>+IFERROR(VLOOKUP(Fact_Analitica[[#This Row],[Concepto Anterior]],Conceptos_Analítica_contraloría[#All],7,0),"")</f>
        <v/>
      </c>
      <c r="I1816" s="138" t="str">
        <f>+IFERROR(VLOOKUP(D1816,Conceptos_Analítica_contraloría[#All],2,0),"")</f>
        <v/>
      </c>
      <c r="J1816" s="138" t="str">
        <f>+IFERROR(VLOOKUP(D1816,Conceptos_Analítica_contraloría[#All],3,0),"")</f>
        <v/>
      </c>
    </row>
    <row r="1817" spans="3:10" x14ac:dyDescent="0.35">
      <c r="C1817" s="144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s="138" t="str">
        <f>+IFERROR(VLOOKUP(Fact_Analitica[[#This Row],[Concepto Anterior]],Conceptos_Analítica_contraloría[#All],5,0),"")</f>
        <v/>
      </c>
      <c r="F1817" s="138" t="str">
        <f>+IFERROR(VLOOKUP(Fact_Analitica[[#This Row],[Concepto Anterior]],Conceptos_Analítica_contraloría[#All],7,0),"")</f>
        <v/>
      </c>
      <c r="I1817" s="138" t="str">
        <f>+IFERROR(VLOOKUP(D1817,Conceptos_Analítica_contraloría[#All],2,0),"")</f>
        <v/>
      </c>
      <c r="J1817" s="138" t="str">
        <f>+IFERROR(VLOOKUP(D1817,Conceptos_Analítica_contraloría[#All],3,0),"")</f>
        <v/>
      </c>
    </row>
    <row r="1818" spans="3:10" x14ac:dyDescent="0.35">
      <c r="C1818" s="144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s="138" t="str">
        <f>+IFERROR(VLOOKUP(Fact_Analitica[[#This Row],[Concepto Anterior]],Conceptos_Analítica_contraloría[#All],5,0),"")</f>
        <v/>
      </c>
      <c r="F1818" s="138" t="str">
        <f>+IFERROR(VLOOKUP(Fact_Analitica[[#This Row],[Concepto Anterior]],Conceptos_Analítica_contraloría[#All],7,0),"")</f>
        <v/>
      </c>
      <c r="I1818" s="138" t="str">
        <f>+IFERROR(VLOOKUP(D1818,Conceptos_Analítica_contraloría[#All],2,0),"")</f>
        <v/>
      </c>
      <c r="J1818" s="138" t="str">
        <f>+IFERROR(VLOOKUP(D1818,Conceptos_Analítica_contraloría[#All],3,0),"")</f>
        <v/>
      </c>
    </row>
    <row r="1819" spans="3:10" x14ac:dyDescent="0.35">
      <c r="C1819" s="144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s="138" t="str">
        <f>+IFERROR(VLOOKUP(Fact_Analitica[[#This Row],[Concepto Anterior]],Conceptos_Analítica_contraloría[#All],5,0),"")</f>
        <v/>
      </c>
      <c r="F1819" s="138" t="str">
        <f>+IFERROR(VLOOKUP(Fact_Analitica[[#This Row],[Concepto Anterior]],Conceptos_Analítica_contraloría[#All],7,0),"")</f>
        <v/>
      </c>
      <c r="I1819" s="138" t="str">
        <f>+IFERROR(VLOOKUP(D1819,Conceptos_Analítica_contraloría[#All],2,0),"")</f>
        <v/>
      </c>
      <c r="J1819" s="138" t="str">
        <f>+IFERROR(VLOOKUP(D1819,Conceptos_Analítica_contraloría[#All],3,0),"")</f>
        <v/>
      </c>
    </row>
    <row r="1820" spans="3:10" x14ac:dyDescent="0.35">
      <c r="C1820" s="144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s="138" t="str">
        <f>+IFERROR(VLOOKUP(Fact_Analitica[[#This Row],[Concepto Anterior]],Conceptos_Analítica_contraloría[#All],5,0),"")</f>
        <v/>
      </c>
      <c r="F1820" s="138" t="str">
        <f>+IFERROR(VLOOKUP(Fact_Analitica[[#This Row],[Concepto Anterior]],Conceptos_Analítica_contraloría[#All],7,0),"")</f>
        <v/>
      </c>
      <c r="I1820" s="138" t="str">
        <f>+IFERROR(VLOOKUP(D1820,Conceptos_Analítica_contraloría[#All],2,0),"")</f>
        <v/>
      </c>
      <c r="J1820" s="138" t="str">
        <f>+IFERROR(VLOOKUP(D1820,Conceptos_Analítica_contraloría[#All],3,0),"")</f>
        <v/>
      </c>
    </row>
    <row r="1821" spans="3:10" x14ac:dyDescent="0.35">
      <c r="C1821" s="144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s="138" t="str">
        <f>+IFERROR(VLOOKUP(Fact_Analitica[[#This Row],[Concepto Anterior]],Conceptos_Analítica_contraloría[#All],5,0),"")</f>
        <v/>
      </c>
      <c r="F1821" s="138" t="str">
        <f>+IFERROR(VLOOKUP(Fact_Analitica[[#This Row],[Concepto Anterior]],Conceptos_Analítica_contraloría[#All],7,0),"")</f>
        <v/>
      </c>
      <c r="I1821" s="138" t="str">
        <f>+IFERROR(VLOOKUP(D1821,Conceptos_Analítica_contraloría[#All],2,0),"")</f>
        <v/>
      </c>
      <c r="J1821" s="138" t="str">
        <f>+IFERROR(VLOOKUP(D1821,Conceptos_Analítica_contraloría[#All],3,0),"")</f>
        <v/>
      </c>
    </row>
    <row r="1822" spans="3:10" x14ac:dyDescent="0.35">
      <c r="C1822" s="144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s="138" t="str">
        <f>+IFERROR(VLOOKUP(Fact_Analitica[[#This Row],[Concepto Anterior]],Conceptos_Analítica_contraloría[#All],5,0),"")</f>
        <v/>
      </c>
      <c r="F1822" s="138" t="str">
        <f>+IFERROR(VLOOKUP(Fact_Analitica[[#This Row],[Concepto Anterior]],Conceptos_Analítica_contraloría[#All],7,0),"")</f>
        <v/>
      </c>
      <c r="I1822" s="138" t="str">
        <f>+IFERROR(VLOOKUP(D1822,Conceptos_Analítica_contraloría[#All],2,0),"")</f>
        <v/>
      </c>
      <c r="J1822" s="138" t="str">
        <f>+IFERROR(VLOOKUP(D1822,Conceptos_Analítica_contraloría[#All],3,0),"")</f>
        <v/>
      </c>
    </row>
    <row r="1823" spans="3:10" x14ac:dyDescent="0.35">
      <c r="C1823" s="144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s="138" t="str">
        <f>+IFERROR(VLOOKUP(Fact_Analitica[[#This Row],[Concepto Anterior]],Conceptos_Analítica_contraloría[#All],5,0),"")</f>
        <v/>
      </c>
      <c r="F1823" s="138" t="str">
        <f>+IFERROR(VLOOKUP(Fact_Analitica[[#This Row],[Concepto Anterior]],Conceptos_Analítica_contraloría[#All],7,0),"")</f>
        <v/>
      </c>
      <c r="I1823" s="138" t="str">
        <f>+IFERROR(VLOOKUP(D1823,Conceptos_Analítica_contraloría[#All],2,0),"")</f>
        <v/>
      </c>
      <c r="J1823" s="138" t="str">
        <f>+IFERROR(VLOOKUP(D1823,Conceptos_Analítica_contraloría[#All],3,0),"")</f>
        <v/>
      </c>
    </row>
    <row r="1824" spans="3:10" x14ac:dyDescent="0.35">
      <c r="C1824" s="144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s="138" t="str">
        <f>+IFERROR(VLOOKUP(Fact_Analitica[[#This Row],[Concepto Anterior]],Conceptos_Analítica_contraloría[#All],5,0),"")</f>
        <v/>
      </c>
      <c r="F1824" s="138" t="str">
        <f>+IFERROR(VLOOKUP(Fact_Analitica[[#This Row],[Concepto Anterior]],Conceptos_Analítica_contraloría[#All],7,0),"")</f>
        <v/>
      </c>
      <c r="I1824" s="138" t="str">
        <f>+IFERROR(VLOOKUP(D1824,Conceptos_Analítica_contraloría[#All],2,0),"")</f>
        <v/>
      </c>
      <c r="J1824" s="138" t="str">
        <f>+IFERROR(VLOOKUP(D1824,Conceptos_Analítica_contraloría[#All],3,0),"")</f>
        <v/>
      </c>
    </row>
    <row r="1825" spans="3:10" x14ac:dyDescent="0.35">
      <c r="C1825" s="144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s="138" t="str">
        <f>+IFERROR(VLOOKUP(Fact_Analitica[[#This Row],[Concepto Anterior]],Conceptos_Analítica_contraloría[#All],5,0),"")</f>
        <v/>
      </c>
      <c r="F1825" s="138" t="str">
        <f>+IFERROR(VLOOKUP(Fact_Analitica[[#This Row],[Concepto Anterior]],Conceptos_Analítica_contraloría[#All],7,0),"")</f>
        <v/>
      </c>
      <c r="I1825" s="138" t="str">
        <f>+IFERROR(VLOOKUP(D1825,Conceptos_Analítica_contraloría[#All],2,0),"")</f>
        <v/>
      </c>
      <c r="J1825" s="138" t="str">
        <f>+IFERROR(VLOOKUP(D1825,Conceptos_Analítica_contraloría[#All],3,0),"")</f>
        <v/>
      </c>
    </row>
    <row r="1826" spans="3:10" x14ac:dyDescent="0.35">
      <c r="C1826" s="144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s="138" t="str">
        <f>+IFERROR(VLOOKUP(Fact_Analitica[[#This Row],[Concepto Anterior]],Conceptos_Analítica_contraloría[#All],5,0),"")</f>
        <v/>
      </c>
      <c r="F1826" s="138" t="str">
        <f>+IFERROR(VLOOKUP(Fact_Analitica[[#This Row],[Concepto Anterior]],Conceptos_Analítica_contraloría[#All],7,0),"")</f>
        <v/>
      </c>
      <c r="I1826" s="138" t="str">
        <f>+IFERROR(VLOOKUP(D1826,Conceptos_Analítica_contraloría[#All],2,0),"")</f>
        <v/>
      </c>
      <c r="J1826" s="138" t="str">
        <f>+IFERROR(VLOOKUP(D1826,Conceptos_Analítica_contraloría[#All],3,0),"")</f>
        <v/>
      </c>
    </row>
    <row r="1827" spans="3:10" x14ac:dyDescent="0.35">
      <c r="C1827" s="144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s="138" t="str">
        <f>+IFERROR(VLOOKUP(Fact_Analitica[[#This Row],[Concepto Anterior]],Conceptos_Analítica_contraloría[#All],5,0),"")</f>
        <v/>
      </c>
      <c r="F1827" s="138" t="str">
        <f>+IFERROR(VLOOKUP(Fact_Analitica[[#This Row],[Concepto Anterior]],Conceptos_Analítica_contraloría[#All],7,0),"")</f>
        <v/>
      </c>
      <c r="I1827" s="138" t="str">
        <f>+IFERROR(VLOOKUP(D1827,Conceptos_Analítica_contraloría[#All],2,0),"")</f>
        <v/>
      </c>
      <c r="J1827" s="138" t="str">
        <f>+IFERROR(VLOOKUP(D1827,Conceptos_Analítica_contraloría[#All],3,0),"")</f>
        <v/>
      </c>
    </row>
    <row r="1828" spans="3:10" x14ac:dyDescent="0.35">
      <c r="C1828" s="144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s="138" t="str">
        <f>+IFERROR(VLOOKUP(Fact_Analitica[[#This Row],[Concepto Anterior]],Conceptos_Analítica_contraloría[#All],5,0),"")</f>
        <v/>
      </c>
      <c r="F1828" s="138" t="str">
        <f>+IFERROR(VLOOKUP(Fact_Analitica[[#This Row],[Concepto Anterior]],Conceptos_Analítica_contraloría[#All],7,0),"")</f>
        <v/>
      </c>
      <c r="I1828" s="138" t="str">
        <f>+IFERROR(VLOOKUP(D1828,Conceptos_Analítica_contraloría[#All],2,0),"")</f>
        <v/>
      </c>
      <c r="J1828" s="138" t="str">
        <f>+IFERROR(VLOOKUP(D1828,Conceptos_Analítica_contraloría[#All],3,0),"")</f>
        <v/>
      </c>
    </row>
    <row r="1829" spans="3:10" x14ac:dyDescent="0.35">
      <c r="C1829" s="144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s="138" t="str">
        <f>+IFERROR(VLOOKUP(Fact_Analitica[[#This Row],[Concepto Anterior]],Conceptos_Analítica_contraloría[#All],5,0),"")</f>
        <v/>
      </c>
      <c r="F1829" s="138" t="str">
        <f>+IFERROR(VLOOKUP(Fact_Analitica[[#This Row],[Concepto Anterior]],Conceptos_Analítica_contraloría[#All],7,0),"")</f>
        <v/>
      </c>
      <c r="I1829" s="138" t="str">
        <f>+IFERROR(VLOOKUP(D1829,Conceptos_Analítica_contraloría[#All],2,0),"")</f>
        <v/>
      </c>
      <c r="J1829" s="138" t="str">
        <f>+IFERROR(VLOOKUP(D1829,Conceptos_Analítica_contraloría[#All],3,0),"")</f>
        <v/>
      </c>
    </row>
    <row r="1830" spans="3:10" x14ac:dyDescent="0.35">
      <c r="C1830" s="144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s="138" t="str">
        <f>+IFERROR(VLOOKUP(Fact_Analitica[[#This Row],[Concepto Anterior]],Conceptos_Analítica_contraloría[#All],5,0),"")</f>
        <v/>
      </c>
      <c r="F1830" s="138" t="str">
        <f>+IFERROR(VLOOKUP(Fact_Analitica[[#This Row],[Concepto Anterior]],Conceptos_Analítica_contraloría[#All],7,0),"")</f>
        <v/>
      </c>
      <c r="I1830" s="138" t="str">
        <f>+IFERROR(VLOOKUP(D1830,Conceptos_Analítica_contraloría[#All],2,0),"")</f>
        <v/>
      </c>
      <c r="J1830" s="138" t="str">
        <f>+IFERROR(VLOOKUP(D1830,Conceptos_Analítica_contraloría[#All],3,0),"")</f>
        <v/>
      </c>
    </row>
    <row r="1831" spans="3:10" x14ac:dyDescent="0.35">
      <c r="C1831" s="144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s="138" t="str">
        <f>+IFERROR(VLOOKUP(Fact_Analitica[[#This Row],[Concepto Anterior]],Conceptos_Analítica_contraloría[#All],5,0),"")</f>
        <v/>
      </c>
      <c r="F1831" s="138" t="str">
        <f>+IFERROR(VLOOKUP(Fact_Analitica[[#This Row],[Concepto Anterior]],Conceptos_Analítica_contraloría[#All],7,0),"")</f>
        <v/>
      </c>
      <c r="I1831" s="138" t="str">
        <f>+IFERROR(VLOOKUP(D1831,Conceptos_Analítica_contraloría[#All],2,0),"")</f>
        <v/>
      </c>
      <c r="J1831" s="138" t="str">
        <f>+IFERROR(VLOOKUP(D1831,Conceptos_Analítica_contraloría[#All],3,0),"")</f>
        <v/>
      </c>
    </row>
    <row r="1832" spans="3:10" x14ac:dyDescent="0.35">
      <c r="C1832" s="144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s="138" t="str">
        <f>+IFERROR(VLOOKUP(Fact_Analitica[[#This Row],[Concepto Anterior]],Conceptos_Analítica_contraloría[#All],5,0),"")</f>
        <v/>
      </c>
      <c r="F1832" s="138" t="str">
        <f>+IFERROR(VLOOKUP(Fact_Analitica[[#This Row],[Concepto Anterior]],Conceptos_Analítica_contraloría[#All],7,0),"")</f>
        <v/>
      </c>
      <c r="I1832" s="138" t="str">
        <f>+IFERROR(VLOOKUP(D1832,Conceptos_Analítica_contraloría[#All],2,0),"")</f>
        <v/>
      </c>
      <c r="J1832" s="138" t="str">
        <f>+IFERROR(VLOOKUP(D1832,Conceptos_Analítica_contraloría[#All],3,0),"")</f>
        <v/>
      </c>
    </row>
    <row r="1833" spans="3:10" x14ac:dyDescent="0.35">
      <c r="C1833" s="144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s="138" t="str">
        <f>+IFERROR(VLOOKUP(Fact_Analitica[[#This Row],[Concepto Anterior]],Conceptos_Analítica_contraloría[#All],5,0),"")</f>
        <v/>
      </c>
      <c r="F1833" s="138" t="str">
        <f>+IFERROR(VLOOKUP(Fact_Analitica[[#This Row],[Concepto Anterior]],Conceptos_Analítica_contraloría[#All],7,0),"")</f>
        <v/>
      </c>
      <c r="I1833" s="138" t="str">
        <f>+IFERROR(VLOOKUP(D1833,Conceptos_Analítica_contraloría[#All],2,0),"")</f>
        <v/>
      </c>
      <c r="J1833" s="138" t="str">
        <f>+IFERROR(VLOOKUP(D1833,Conceptos_Analítica_contraloría[#All],3,0),"")</f>
        <v/>
      </c>
    </row>
    <row r="1834" spans="3:10" x14ac:dyDescent="0.35">
      <c r="C1834" s="144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s="138" t="str">
        <f>+IFERROR(VLOOKUP(Fact_Analitica[[#This Row],[Concepto Anterior]],Conceptos_Analítica_contraloría[#All],5,0),"")</f>
        <v/>
      </c>
      <c r="F1834" s="138" t="str">
        <f>+IFERROR(VLOOKUP(Fact_Analitica[[#This Row],[Concepto Anterior]],Conceptos_Analítica_contraloría[#All],7,0),"")</f>
        <v/>
      </c>
      <c r="I1834" s="138" t="str">
        <f>+IFERROR(VLOOKUP(D1834,Conceptos_Analítica_contraloría[#All],2,0),"")</f>
        <v/>
      </c>
      <c r="J1834" s="138" t="str">
        <f>+IFERROR(VLOOKUP(D1834,Conceptos_Analítica_contraloría[#All],3,0),"")</f>
        <v/>
      </c>
    </row>
    <row r="1835" spans="3:10" x14ac:dyDescent="0.35">
      <c r="C1835" s="144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s="138" t="str">
        <f>+IFERROR(VLOOKUP(Fact_Analitica[[#This Row],[Concepto Anterior]],Conceptos_Analítica_contraloría[#All],5,0),"")</f>
        <v/>
      </c>
      <c r="F1835" s="138" t="str">
        <f>+IFERROR(VLOOKUP(Fact_Analitica[[#This Row],[Concepto Anterior]],Conceptos_Analítica_contraloría[#All],7,0),"")</f>
        <v/>
      </c>
      <c r="I1835" s="138" t="str">
        <f>+IFERROR(VLOOKUP(D1835,Conceptos_Analítica_contraloría[#All],2,0),"")</f>
        <v/>
      </c>
      <c r="J1835" s="138" t="str">
        <f>+IFERROR(VLOOKUP(D1835,Conceptos_Analítica_contraloría[#All],3,0),"")</f>
        <v/>
      </c>
    </row>
    <row r="1836" spans="3:10" x14ac:dyDescent="0.35">
      <c r="C1836" s="144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s="138" t="str">
        <f>+IFERROR(VLOOKUP(Fact_Analitica[[#This Row],[Concepto Anterior]],Conceptos_Analítica_contraloría[#All],5,0),"")</f>
        <v/>
      </c>
      <c r="F1836" s="138" t="str">
        <f>+IFERROR(VLOOKUP(Fact_Analitica[[#This Row],[Concepto Anterior]],Conceptos_Analítica_contraloría[#All],7,0),"")</f>
        <v/>
      </c>
      <c r="I1836" s="138" t="str">
        <f>+IFERROR(VLOOKUP(D1836,Conceptos_Analítica_contraloría[#All],2,0),"")</f>
        <v/>
      </c>
      <c r="J1836" s="138" t="str">
        <f>+IFERROR(VLOOKUP(D1836,Conceptos_Analítica_contraloría[#All],3,0),"")</f>
        <v/>
      </c>
    </row>
    <row r="1837" spans="3:10" x14ac:dyDescent="0.35">
      <c r="C1837" s="144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s="138" t="str">
        <f>+IFERROR(VLOOKUP(Fact_Analitica[[#This Row],[Concepto Anterior]],Conceptos_Analítica_contraloría[#All],5,0),"")</f>
        <v/>
      </c>
      <c r="F1837" s="138" t="str">
        <f>+IFERROR(VLOOKUP(Fact_Analitica[[#This Row],[Concepto Anterior]],Conceptos_Analítica_contraloría[#All],7,0),"")</f>
        <v/>
      </c>
      <c r="I1837" s="138" t="str">
        <f>+IFERROR(VLOOKUP(D1837,Conceptos_Analítica_contraloría[#All],2,0),"")</f>
        <v/>
      </c>
      <c r="J1837" s="138" t="str">
        <f>+IFERROR(VLOOKUP(D1837,Conceptos_Analítica_contraloría[#All],3,0),"")</f>
        <v/>
      </c>
    </row>
    <row r="1838" spans="3:10" x14ac:dyDescent="0.35">
      <c r="C1838" s="144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s="138" t="str">
        <f>+IFERROR(VLOOKUP(Fact_Analitica[[#This Row],[Concepto Anterior]],Conceptos_Analítica_contraloría[#All],5,0),"")</f>
        <v/>
      </c>
      <c r="F1838" s="138" t="str">
        <f>+IFERROR(VLOOKUP(Fact_Analitica[[#This Row],[Concepto Anterior]],Conceptos_Analítica_contraloría[#All],7,0),"")</f>
        <v/>
      </c>
      <c r="I1838" s="138" t="str">
        <f>+IFERROR(VLOOKUP(D1838,Conceptos_Analítica_contraloría[#All],2,0),"")</f>
        <v/>
      </c>
      <c r="J1838" s="138" t="str">
        <f>+IFERROR(VLOOKUP(D1838,Conceptos_Analítica_contraloría[#All],3,0),"")</f>
        <v/>
      </c>
    </row>
    <row r="1839" spans="3:10" x14ac:dyDescent="0.35">
      <c r="C1839" s="144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s="138" t="str">
        <f>+IFERROR(VLOOKUP(Fact_Analitica[[#This Row],[Concepto Anterior]],Conceptos_Analítica_contraloría[#All],5,0),"")</f>
        <v/>
      </c>
      <c r="F1839" s="138" t="str">
        <f>+IFERROR(VLOOKUP(Fact_Analitica[[#This Row],[Concepto Anterior]],Conceptos_Analítica_contraloría[#All],7,0),"")</f>
        <v/>
      </c>
      <c r="I1839" s="138" t="str">
        <f>+IFERROR(VLOOKUP(D1839,Conceptos_Analítica_contraloría[#All],2,0),"")</f>
        <v/>
      </c>
      <c r="J1839" s="138" t="str">
        <f>+IFERROR(VLOOKUP(D1839,Conceptos_Analítica_contraloría[#All],3,0),"")</f>
        <v/>
      </c>
    </row>
    <row r="1840" spans="3:10" x14ac:dyDescent="0.35">
      <c r="C1840" s="144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s="138" t="str">
        <f>+IFERROR(VLOOKUP(Fact_Analitica[[#This Row],[Concepto Anterior]],Conceptos_Analítica_contraloría[#All],5,0),"")</f>
        <v/>
      </c>
      <c r="F1840" s="138" t="str">
        <f>+IFERROR(VLOOKUP(Fact_Analitica[[#This Row],[Concepto Anterior]],Conceptos_Analítica_contraloría[#All],7,0),"")</f>
        <v/>
      </c>
      <c r="I1840" s="138" t="str">
        <f>+IFERROR(VLOOKUP(D1840,Conceptos_Analítica_contraloría[#All],2,0),"")</f>
        <v/>
      </c>
      <c r="J1840" s="138" t="str">
        <f>+IFERROR(VLOOKUP(D1840,Conceptos_Analítica_contraloría[#All],3,0),"")</f>
        <v/>
      </c>
    </row>
    <row r="1841" spans="3:10" x14ac:dyDescent="0.35">
      <c r="C1841" s="144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s="138" t="str">
        <f>+IFERROR(VLOOKUP(Fact_Analitica[[#This Row],[Concepto Anterior]],Conceptos_Analítica_contraloría[#All],5,0),"")</f>
        <v/>
      </c>
      <c r="F1841" s="138" t="str">
        <f>+IFERROR(VLOOKUP(Fact_Analitica[[#This Row],[Concepto Anterior]],Conceptos_Analítica_contraloría[#All],7,0),"")</f>
        <v/>
      </c>
      <c r="I1841" s="138" t="str">
        <f>+IFERROR(VLOOKUP(D1841,Conceptos_Analítica_contraloría[#All],2,0),"")</f>
        <v/>
      </c>
      <c r="J1841" s="138" t="str">
        <f>+IFERROR(VLOOKUP(D1841,Conceptos_Analítica_contraloría[#All],3,0),"")</f>
        <v/>
      </c>
    </row>
    <row r="1842" spans="3:10" x14ac:dyDescent="0.35">
      <c r="C1842" s="144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s="138" t="str">
        <f>+IFERROR(VLOOKUP(Fact_Analitica[[#This Row],[Concepto Anterior]],Conceptos_Analítica_contraloría[#All],5,0),"")</f>
        <v/>
      </c>
      <c r="F1842" s="138" t="str">
        <f>+IFERROR(VLOOKUP(Fact_Analitica[[#This Row],[Concepto Anterior]],Conceptos_Analítica_contraloría[#All],7,0),"")</f>
        <v/>
      </c>
      <c r="I1842" s="138" t="str">
        <f>+IFERROR(VLOOKUP(D1842,Conceptos_Analítica_contraloría[#All],2,0),"")</f>
        <v/>
      </c>
      <c r="J1842" s="138" t="str">
        <f>+IFERROR(VLOOKUP(D1842,Conceptos_Analítica_contraloría[#All],3,0),"")</f>
        <v/>
      </c>
    </row>
    <row r="1843" spans="3:10" x14ac:dyDescent="0.35">
      <c r="C1843" s="144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s="138" t="str">
        <f>+IFERROR(VLOOKUP(Fact_Analitica[[#This Row],[Concepto Anterior]],Conceptos_Analítica_contraloría[#All],5,0),"")</f>
        <v/>
      </c>
      <c r="F1843" s="138" t="str">
        <f>+IFERROR(VLOOKUP(Fact_Analitica[[#This Row],[Concepto Anterior]],Conceptos_Analítica_contraloría[#All],7,0),"")</f>
        <v/>
      </c>
      <c r="I1843" s="138" t="str">
        <f>+IFERROR(VLOOKUP(D1843,Conceptos_Analítica_contraloría[#All],2,0),"")</f>
        <v/>
      </c>
      <c r="J1843" s="138" t="str">
        <f>+IFERROR(VLOOKUP(D1843,Conceptos_Analítica_contraloría[#All],3,0),"")</f>
        <v/>
      </c>
    </row>
    <row r="1844" spans="3:10" x14ac:dyDescent="0.35">
      <c r="C1844" s="144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s="138" t="str">
        <f>+IFERROR(VLOOKUP(Fact_Analitica[[#This Row],[Concepto Anterior]],Conceptos_Analítica_contraloría[#All],5,0),"")</f>
        <v/>
      </c>
      <c r="F1844" s="138" t="str">
        <f>+IFERROR(VLOOKUP(Fact_Analitica[[#This Row],[Concepto Anterior]],Conceptos_Analítica_contraloría[#All],7,0),"")</f>
        <v/>
      </c>
      <c r="I1844" s="138" t="str">
        <f>+IFERROR(VLOOKUP(D1844,Conceptos_Analítica_contraloría[#All],2,0),"")</f>
        <v/>
      </c>
      <c r="J1844" s="138" t="str">
        <f>+IFERROR(VLOOKUP(D1844,Conceptos_Analítica_contraloría[#All],3,0),"")</f>
        <v/>
      </c>
    </row>
    <row r="1845" spans="3:10" x14ac:dyDescent="0.35">
      <c r="C1845" s="144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s="138" t="str">
        <f>+IFERROR(VLOOKUP(Fact_Analitica[[#This Row],[Concepto Anterior]],Conceptos_Analítica_contraloría[#All],5,0),"")</f>
        <v/>
      </c>
      <c r="F1845" s="138" t="str">
        <f>+IFERROR(VLOOKUP(Fact_Analitica[[#This Row],[Concepto Anterior]],Conceptos_Analítica_contraloría[#All],7,0),"")</f>
        <v/>
      </c>
      <c r="I1845" s="138" t="str">
        <f>+IFERROR(VLOOKUP(D1845,Conceptos_Analítica_contraloría[#All],2,0),"")</f>
        <v/>
      </c>
      <c r="J1845" s="138" t="str">
        <f>+IFERROR(VLOOKUP(D1845,Conceptos_Analítica_contraloría[#All],3,0),"")</f>
        <v/>
      </c>
    </row>
    <row r="1846" spans="3:10" x14ac:dyDescent="0.35">
      <c r="C1846" s="144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s="138" t="str">
        <f>+IFERROR(VLOOKUP(Fact_Analitica[[#This Row],[Concepto Anterior]],Conceptos_Analítica_contraloría[#All],5,0),"")</f>
        <v/>
      </c>
      <c r="F1846" s="138" t="str">
        <f>+IFERROR(VLOOKUP(Fact_Analitica[[#This Row],[Concepto Anterior]],Conceptos_Analítica_contraloría[#All],7,0),"")</f>
        <v/>
      </c>
      <c r="I1846" s="138" t="str">
        <f>+IFERROR(VLOOKUP(D1846,Conceptos_Analítica_contraloría[#All],2,0),"")</f>
        <v/>
      </c>
      <c r="J1846" s="138" t="str">
        <f>+IFERROR(VLOOKUP(D1846,Conceptos_Analítica_contraloría[#All],3,0),"")</f>
        <v/>
      </c>
    </row>
    <row r="1847" spans="3:10" x14ac:dyDescent="0.35">
      <c r="C1847" s="144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s="138" t="str">
        <f>+IFERROR(VLOOKUP(Fact_Analitica[[#This Row],[Concepto Anterior]],Conceptos_Analítica_contraloría[#All],5,0),"")</f>
        <v/>
      </c>
      <c r="F1847" s="138" t="str">
        <f>+IFERROR(VLOOKUP(Fact_Analitica[[#This Row],[Concepto Anterior]],Conceptos_Analítica_contraloría[#All],7,0),"")</f>
        <v/>
      </c>
      <c r="I1847" s="138" t="str">
        <f>+IFERROR(VLOOKUP(D1847,Conceptos_Analítica_contraloría[#All],2,0),"")</f>
        <v/>
      </c>
      <c r="J1847" s="138" t="str">
        <f>+IFERROR(VLOOKUP(D1847,Conceptos_Analítica_contraloría[#All],3,0),"")</f>
        <v/>
      </c>
    </row>
    <row r="1848" spans="3:10" x14ac:dyDescent="0.35">
      <c r="C1848" s="144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s="138" t="str">
        <f>+IFERROR(VLOOKUP(Fact_Analitica[[#This Row],[Concepto Anterior]],Conceptos_Analítica_contraloría[#All],5,0),"")</f>
        <v/>
      </c>
      <c r="F1848" s="138" t="str">
        <f>+IFERROR(VLOOKUP(Fact_Analitica[[#This Row],[Concepto Anterior]],Conceptos_Analítica_contraloría[#All],7,0),"")</f>
        <v/>
      </c>
      <c r="I1848" s="138" t="str">
        <f>+IFERROR(VLOOKUP(D1848,Conceptos_Analítica_contraloría[#All],2,0),"")</f>
        <v/>
      </c>
      <c r="J1848" s="138" t="str">
        <f>+IFERROR(VLOOKUP(D1848,Conceptos_Analítica_contraloría[#All],3,0),"")</f>
        <v/>
      </c>
    </row>
    <row r="1849" spans="3:10" x14ac:dyDescent="0.35">
      <c r="C1849" s="144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s="138" t="str">
        <f>+IFERROR(VLOOKUP(Fact_Analitica[[#This Row],[Concepto Anterior]],Conceptos_Analítica_contraloría[#All],5,0),"")</f>
        <v/>
      </c>
      <c r="F1849" s="138" t="str">
        <f>+IFERROR(VLOOKUP(Fact_Analitica[[#This Row],[Concepto Anterior]],Conceptos_Analítica_contraloría[#All],7,0),"")</f>
        <v/>
      </c>
      <c r="I1849" s="138" t="str">
        <f>+IFERROR(VLOOKUP(D1849,Conceptos_Analítica_contraloría[#All],2,0),"")</f>
        <v/>
      </c>
      <c r="J1849" s="138" t="str">
        <f>+IFERROR(VLOOKUP(D1849,Conceptos_Analítica_contraloría[#All],3,0),"")</f>
        <v/>
      </c>
    </row>
    <row r="1850" spans="3:10" x14ac:dyDescent="0.35">
      <c r="C1850" s="144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s="138" t="str">
        <f>+IFERROR(VLOOKUP(Fact_Analitica[[#This Row],[Concepto Anterior]],Conceptos_Analítica_contraloría[#All],5,0),"")</f>
        <v/>
      </c>
      <c r="F1850" s="138" t="str">
        <f>+IFERROR(VLOOKUP(Fact_Analitica[[#This Row],[Concepto Anterior]],Conceptos_Analítica_contraloría[#All],7,0),"")</f>
        <v/>
      </c>
      <c r="I1850" s="138" t="str">
        <f>+IFERROR(VLOOKUP(D1850,Conceptos_Analítica_contraloría[#All],2,0),"")</f>
        <v/>
      </c>
      <c r="J1850" s="138" t="str">
        <f>+IFERROR(VLOOKUP(D1850,Conceptos_Analítica_contraloría[#All],3,0),"")</f>
        <v/>
      </c>
    </row>
    <row r="1851" spans="3:10" x14ac:dyDescent="0.35">
      <c r="C1851" s="144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s="138" t="str">
        <f>+IFERROR(VLOOKUP(Fact_Analitica[[#This Row],[Concepto Anterior]],Conceptos_Analítica_contraloría[#All],5,0),"")</f>
        <v/>
      </c>
      <c r="F1851" s="138" t="str">
        <f>+IFERROR(VLOOKUP(Fact_Analitica[[#This Row],[Concepto Anterior]],Conceptos_Analítica_contraloría[#All],7,0),"")</f>
        <v/>
      </c>
      <c r="I1851" s="138" t="str">
        <f>+IFERROR(VLOOKUP(D1851,Conceptos_Analítica_contraloría[#All],2,0),"")</f>
        <v/>
      </c>
      <c r="J1851" s="138" t="str">
        <f>+IFERROR(VLOOKUP(D1851,Conceptos_Analítica_contraloría[#All],3,0),"")</f>
        <v/>
      </c>
    </row>
    <row r="1852" spans="3:10" x14ac:dyDescent="0.35">
      <c r="C1852" s="144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s="138" t="str">
        <f>+IFERROR(VLOOKUP(Fact_Analitica[[#This Row],[Concepto Anterior]],Conceptos_Analítica_contraloría[#All],5,0),"")</f>
        <v/>
      </c>
      <c r="F1852" s="138" t="str">
        <f>+IFERROR(VLOOKUP(Fact_Analitica[[#This Row],[Concepto Anterior]],Conceptos_Analítica_contraloría[#All],7,0),"")</f>
        <v/>
      </c>
      <c r="I1852" s="138" t="str">
        <f>+IFERROR(VLOOKUP(D1852,Conceptos_Analítica_contraloría[#All],2,0),"")</f>
        <v/>
      </c>
      <c r="J1852" s="138" t="str">
        <f>+IFERROR(VLOOKUP(D1852,Conceptos_Analítica_contraloría[#All],3,0),"")</f>
        <v/>
      </c>
    </row>
    <row r="1853" spans="3:10" x14ac:dyDescent="0.35">
      <c r="C1853" s="144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s="138" t="str">
        <f>+IFERROR(VLOOKUP(Fact_Analitica[[#This Row],[Concepto Anterior]],Conceptos_Analítica_contraloría[#All],5,0),"")</f>
        <v/>
      </c>
      <c r="F1853" s="138" t="str">
        <f>+IFERROR(VLOOKUP(Fact_Analitica[[#This Row],[Concepto Anterior]],Conceptos_Analítica_contraloría[#All],7,0),"")</f>
        <v/>
      </c>
      <c r="I1853" s="138" t="str">
        <f>+IFERROR(VLOOKUP(D1853,Conceptos_Analítica_contraloría[#All],2,0),"")</f>
        <v/>
      </c>
      <c r="J1853" s="138" t="str">
        <f>+IFERROR(VLOOKUP(D1853,Conceptos_Analítica_contraloría[#All],3,0),"")</f>
        <v/>
      </c>
    </row>
    <row r="1854" spans="3:10" x14ac:dyDescent="0.35">
      <c r="C1854" s="144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s="138" t="str">
        <f>+IFERROR(VLOOKUP(Fact_Analitica[[#This Row],[Concepto Anterior]],Conceptos_Analítica_contraloría[#All],5,0),"")</f>
        <v/>
      </c>
      <c r="F1854" s="138" t="str">
        <f>+IFERROR(VLOOKUP(Fact_Analitica[[#This Row],[Concepto Anterior]],Conceptos_Analítica_contraloría[#All],7,0),"")</f>
        <v/>
      </c>
      <c r="I1854" s="138" t="str">
        <f>+IFERROR(VLOOKUP(D1854,Conceptos_Analítica_contraloría[#All],2,0),"")</f>
        <v/>
      </c>
      <c r="J1854" s="138" t="str">
        <f>+IFERROR(VLOOKUP(D1854,Conceptos_Analítica_contraloría[#All],3,0),"")</f>
        <v/>
      </c>
    </row>
    <row r="1855" spans="3:10" x14ac:dyDescent="0.35">
      <c r="C1855" s="144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s="138" t="str">
        <f>+IFERROR(VLOOKUP(Fact_Analitica[[#This Row],[Concepto Anterior]],Conceptos_Analítica_contraloría[#All],5,0),"")</f>
        <v/>
      </c>
      <c r="F1855" s="138" t="str">
        <f>+IFERROR(VLOOKUP(Fact_Analitica[[#This Row],[Concepto Anterior]],Conceptos_Analítica_contraloría[#All],7,0),"")</f>
        <v/>
      </c>
      <c r="I1855" s="138" t="str">
        <f>+IFERROR(VLOOKUP(D1855,Conceptos_Analítica_contraloría[#All],2,0),"")</f>
        <v/>
      </c>
      <c r="J1855" s="138" t="str">
        <f>+IFERROR(VLOOKUP(D1855,Conceptos_Analítica_contraloría[#All],3,0),"")</f>
        <v/>
      </c>
    </row>
    <row r="1856" spans="3:10" x14ac:dyDescent="0.35">
      <c r="C1856" s="144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s="138" t="str">
        <f>+IFERROR(VLOOKUP(Fact_Analitica[[#This Row],[Concepto Anterior]],Conceptos_Analítica_contraloría[#All],5,0),"")</f>
        <v/>
      </c>
      <c r="F1856" s="138" t="str">
        <f>+IFERROR(VLOOKUP(Fact_Analitica[[#This Row],[Concepto Anterior]],Conceptos_Analítica_contraloría[#All],7,0),"")</f>
        <v/>
      </c>
      <c r="I1856" s="138" t="str">
        <f>+IFERROR(VLOOKUP(D1856,Conceptos_Analítica_contraloría[#All],2,0),"")</f>
        <v/>
      </c>
      <c r="J1856" s="138" t="str">
        <f>+IFERROR(VLOOKUP(D1856,Conceptos_Analítica_contraloría[#All],3,0),"")</f>
        <v/>
      </c>
    </row>
    <row r="1857" spans="3:10" x14ac:dyDescent="0.35">
      <c r="C1857" s="144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s="138" t="str">
        <f>+IFERROR(VLOOKUP(Fact_Analitica[[#This Row],[Concepto Anterior]],Conceptos_Analítica_contraloría[#All],5,0),"")</f>
        <v/>
      </c>
      <c r="F1857" s="138" t="str">
        <f>+IFERROR(VLOOKUP(Fact_Analitica[[#This Row],[Concepto Anterior]],Conceptos_Analítica_contraloría[#All],7,0),"")</f>
        <v/>
      </c>
      <c r="I1857" s="138" t="str">
        <f>+IFERROR(VLOOKUP(D1857,Conceptos_Analítica_contraloría[#All],2,0),"")</f>
        <v/>
      </c>
      <c r="J1857" s="138" t="str">
        <f>+IFERROR(VLOOKUP(D1857,Conceptos_Analítica_contraloría[#All],3,0),"")</f>
        <v/>
      </c>
    </row>
    <row r="1858" spans="3:10" x14ac:dyDescent="0.35">
      <c r="C1858" s="144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s="138" t="str">
        <f>+IFERROR(VLOOKUP(Fact_Analitica[[#This Row],[Concepto Anterior]],Conceptos_Analítica_contraloría[#All],5,0),"")</f>
        <v/>
      </c>
      <c r="F1858" s="138" t="str">
        <f>+IFERROR(VLOOKUP(Fact_Analitica[[#This Row],[Concepto Anterior]],Conceptos_Analítica_contraloría[#All],7,0),"")</f>
        <v/>
      </c>
      <c r="I1858" s="138" t="str">
        <f>+IFERROR(VLOOKUP(D1858,Conceptos_Analítica_contraloría[#All],2,0),"")</f>
        <v/>
      </c>
      <c r="J1858" s="138" t="str">
        <f>+IFERROR(VLOOKUP(D1858,Conceptos_Analítica_contraloría[#All],3,0),"")</f>
        <v/>
      </c>
    </row>
    <row r="1859" spans="3:10" x14ac:dyDescent="0.35">
      <c r="C1859" s="144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s="138" t="str">
        <f>+IFERROR(VLOOKUP(Fact_Analitica[[#This Row],[Concepto Anterior]],Conceptos_Analítica_contraloría[#All],5,0),"")</f>
        <v/>
      </c>
      <c r="F1859" s="138" t="str">
        <f>+IFERROR(VLOOKUP(Fact_Analitica[[#This Row],[Concepto Anterior]],Conceptos_Analítica_contraloría[#All],7,0),"")</f>
        <v/>
      </c>
      <c r="I1859" s="138" t="str">
        <f>+IFERROR(VLOOKUP(D1859,Conceptos_Analítica_contraloría[#All],2,0),"")</f>
        <v/>
      </c>
      <c r="J1859" s="138" t="str">
        <f>+IFERROR(VLOOKUP(D1859,Conceptos_Analítica_contraloría[#All],3,0),"")</f>
        <v/>
      </c>
    </row>
    <row r="1860" spans="3:10" x14ac:dyDescent="0.35">
      <c r="C1860" s="144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s="138" t="str">
        <f>+IFERROR(VLOOKUP(Fact_Analitica[[#This Row],[Concepto Anterior]],Conceptos_Analítica_contraloría[#All],5,0),"")</f>
        <v/>
      </c>
      <c r="F1860" s="138" t="str">
        <f>+IFERROR(VLOOKUP(Fact_Analitica[[#This Row],[Concepto Anterior]],Conceptos_Analítica_contraloría[#All],7,0),"")</f>
        <v/>
      </c>
      <c r="I1860" s="138" t="str">
        <f>+IFERROR(VLOOKUP(D1860,Conceptos_Analítica_contraloría[#All],2,0),"")</f>
        <v/>
      </c>
      <c r="J1860" s="138" t="str">
        <f>+IFERROR(VLOOKUP(D1860,Conceptos_Analítica_contraloría[#All],3,0),"")</f>
        <v/>
      </c>
    </row>
    <row r="1861" spans="3:10" x14ac:dyDescent="0.35">
      <c r="C1861" s="144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s="138" t="str">
        <f>+IFERROR(VLOOKUP(Fact_Analitica[[#This Row],[Concepto Anterior]],Conceptos_Analítica_contraloría[#All],5,0),"")</f>
        <v/>
      </c>
      <c r="F1861" s="138" t="str">
        <f>+IFERROR(VLOOKUP(Fact_Analitica[[#This Row],[Concepto Anterior]],Conceptos_Analítica_contraloría[#All],7,0),"")</f>
        <v/>
      </c>
      <c r="I1861" s="138" t="str">
        <f>+IFERROR(VLOOKUP(D1861,Conceptos_Analítica_contraloría[#All],2,0),"")</f>
        <v/>
      </c>
      <c r="J1861" s="138" t="str">
        <f>+IFERROR(VLOOKUP(D1861,Conceptos_Analítica_contraloría[#All],3,0),"")</f>
        <v/>
      </c>
    </row>
    <row r="1862" spans="3:10" x14ac:dyDescent="0.35">
      <c r="C1862" s="144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s="138" t="str">
        <f>+IFERROR(VLOOKUP(Fact_Analitica[[#This Row],[Concepto Anterior]],Conceptos_Analítica_contraloría[#All],5,0),"")</f>
        <v/>
      </c>
      <c r="F1862" s="138" t="str">
        <f>+IFERROR(VLOOKUP(Fact_Analitica[[#This Row],[Concepto Anterior]],Conceptos_Analítica_contraloría[#All],7,0),"")</f>
        <v/>
      </c>
      <c r="I1862" s="138" t="str">
        <f>+IFERROR(VLOOKUP(D1862,Conceptos_Analítica_contraloría[#All],2,0),"")</f>
        <v/>
      </c>
      <c r="J1862" s="138" t="str">
        <f>+IFERROR(VLOOKUP(D1862,Conceptos_Analítica_contraloría[#All],3,0),"")</f>
        <v/>
      </c>
    </row>
    <row r="1863" spans="3:10" x14ac:dyDescent="0.35">
      <c r="C1863" s="144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s="138" t="str">
        <f>+IFERROR(VLOOKUP(Fact_Analitica[[#This Row],[Concepto Anterior]],Conceptos_Analítica_contraloría[#All],5,0),"")</f>
        <v/>
      </c>
      <c r="F1863" s="138" t="str">
        <f>+IFERROR(VLOOKUP(Fact_Analitica[[#This Row],[Concepto Anterior]],Conceptos_Analítica_contraloría[#All],7,0),"")</f>
        <v/>
      </c>
      <c r="I1863" s="138" t="str">
        <f>+IFERROR(VLOOKUP(D1863,Conceptos_Analítica_contraloría[#All],2,0),"")</f>
        <v/>
      </c>
      <c r="J1863" s="138" t="str">
        <f>+IFERROR(VLOOKUP(D1863,Conceptos_Analítica_contraloría[#All],3,0),"")</f>
        <v/>
      </c>
    </row>
    <row r="1864" spans="3:10" x14ac:dyDescent="0.35">
      <c r="C1864" s="144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s="138" t="str">
        <f>+IFERROR(VLOOKUP(Fact_Analitica[[#This Row],[Concepto Anterior]],Conceptos_Analítica_contraloría[#All],5,0),"")</f>
        <v/>
      </c>
      <c r="F1864" s="138" t="str">
        <f>+IFERROR(VLOOKUP(Fact_Analitica[[#This Row],[Concepto Anterior]],Conceptos_Analítica_contraloría[#All],7,0),"")</f>
        <v/>
      </c>
      <c r="I1864" s="138" t="str">
        <f>+IFERROR(VLOOKUP(D1864,Conceptos_Analítica_contraloría[#All],2,0),"")</f>
        <v/>
      </c>
      <c r="J1864" s="138" t="str">
        <f>+IFERROR(VLOOKUP(D1864,Conceptos_Analítica_contraloría[#All],3,0),"")</f>
        <v/>
      </c>
    </row>
    <row r="1865" spans="3:10" x14ac:dyDescent="0.35">
      <c r="C1865" s="144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s="138" t="str">
        <f>+IFERROR(VLOOKUP(Fact_Analitica[[#This Row],[Concepto Anterior]],Conceptos_Analítica_contraloría[#All],5,0),"")</f>
        <v/>
      </c>
      <c r="F1865" s="138" t="str">
        <f>+IFERROR(VLOOKUP(Fact_Analitica[[#This Row],[Concepto Anterior]],Conceptos_Analítica_contraloría[#All],7,0),"")</f>
        <v/>
      </c>
      <c r="I1865" s="138" t="str">
        <f>+IFERROR(VLOOKUP(D1865,Conceptos_Analítica_contraloría[#All],2,0),"")</f>
        <v/>
      </c>
      <c r="J1865" s="138" t="str">
        <f>+IFERROR(VLOOKUP(D1865,Conceptos_Analítica_contraloría[#All],3,0),"")</f>
        <v/>
      </c>
    </row>
    <row r="1866" spans="3:10" x14ac:dyDescent="0.35">
      <c r="C1866" s="144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s="138" t="str">
        <f>+IFERROR(VLOOKUP(Fact_Analitica[[#This Row],[Concepto Anterior]],Conceptos_Analítica_contraloría[#All],5,0),"")</f>
        <v/>
      </c>
      <c r="F1866" s="138" t="str">
        <f>+IFERROR(VLOOKUP(Fact_Analitica[[#This Row],[Concepto Anterior]],Conceptos_Analítica_contraloría[#All],7,0),"")</f>
        <v/>
      </c>
      <c r="I1866" s="138" t="str">
        <f>+IFERROR(VLOOKUP(D1866,Conceptos_Analítica_contraloría[#All],2,0),"")</f>
        <v/>
      </c>
      <c r="J1866" s="138" t="str">
        <f>+IFERROR(VLOOKUP(D1866,Conceptos_Analítica_contraloría[#All],3,0),"")</f>
        <v/>
      </c>
    </row>
    <row r="1867" spans="3:10" x14ac:dyDescent="0.35">
      <c r="C1867" s="144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s="138" t="str">
        <f>+IFERROR(VLOOKUP(Fact_Analitica[[#This Row],[Concepto Anterior]],Conceptos_Analítica_contraloría[#All],5,0),"")</f>
        <v/>
      </c>
      <c r="F1867" s="138" t="str">
        <f>+IFERROR(VLOOKUP(Fact_Analitica[[#This Row],[Concepto Anterior]],Conceptos_Analítica_contraloría[#All],7,0),"")</f>
        <v/>
      </c>
      <c r="I1867" s="138" t="str">
        <f>+IFERROR(VLOOKUP(D1867,Conceptos_Analítica_contraloría[#All],2,0),"")</f>
        <v/>
      </c>
      <c r="J1867" s="138" t="str">
        <f>+IFERROR(VLOOKUP(D1867,Conceptos_Analítica_contraloría[#All],3,0),"")</f>
        <v/>
      </c>
    </row>
    <row r="1868" spans="3:10" x14ac:dyDescent="0.35">
      <c r="C1868" s="144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s="138" t="str">
        <f>+IFERROR(VLOOKUP(Fact_Analitica[[#This Row],[Concepto Anterior]],Conceptos_Analítica_contraloría[#All],5,0),"")</f>
        <v/>
      </c>
      <c r="F1868" s="138" t="str">
        <f>+IFERROR(VLOOKUP(Fact_Analitica[[#This Row],[Concepto Anterior]],Conceptos_Analítica_contraloría[#All],7,0),"")</f>
        <v/>
      </c>
      <c r="I1868" s="138" t="str">
        <f>+IFERROR(VLOOKUP(D1868,Conceptos_Analítica_contraloría[#All],2,0),"")</f>
        <v/>
      </c>
      <c r="J1868" s="138" t="str">
        <f>+IFERROR(VLOOKUP(D1868,Conceptos_Analítica_contraloría[#All],3,0),"")</f>
        <v/>
      </c>
    </row>
    <row r="1869" spans="3:10" x14ac:dyDescent="0.35">
      <c r="C1869" s="144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s="138" t="str">
        <f>+IFERROR(VLOOKUP(Fact_Analitica[[#This Row],[Concepto Anterior]],Conceptos_Analítica_contraloría[#All],5,0),"")</f>
        <v/>
      </c>
      <c r="F1869" s="138" t="str">
        <f>+IFERROR(VLOOKUP(Fact_Analitica[[#This Row],[Concepto Anterior]],Conceptos_Analítica_contraloría[#All],7,0),"")</f>
        <v/>
      </c>
      <c r="I1869" s="138" t="str">
        <f>+IFERROR(VLOOKUP(D1869,Conceptos_Analítica_contraloría[#All],2,0),"")</f>
        <v/>
      </c>
      <c r="J1869" s="138" t="str">
        <f>+IFERROR(VLOOKUP(D1869,Conceptos_Analítica_contraloría[#All],3,0),"")</f>
        <v/>
      </c>
    </row>
    <row r="1870" spans="3:10" x14ac:dyDescent="0.35">
      <c r="C1870" s="144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s="138" t="str">
        <f>+IFERROR(VLOOKUP(Fact_Analitica[[#This Row],[Concepto Anterior]],Conceptos_Analítica_contraloría[#All],5,0),"")</f>
        <v/>
      </c>
      <c r="F1870" s="138" t="str">
        <f>+IFERROR(VLOOKUP(Fact_Analitica[[#This Row],[Concepto Anterior]],Conceptos_Analítica_contraloría[#All],7,0),"")</f>
        <v/>
      </c>
      <c r="I1870" s="138" t="str">
        <f>+IFERROR(VLOOKUP(D1870,Conceptos_Analítica_contraloría[#All],2,0),"")</f>
        <v/>
      </c>
      <c r="J1870" s="138" t="str">
        <f>+IFERROR(VLOOKUP(D1870,Conceptos_Analítica_contraloría[#All],3,0),"")</f>
        <v/>
      </c>
    </row>
    <row r="1871" spans="3:10" x14ac:dyDescent="0.35">
      <c r="C1871" s="144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s="138" t="str">
        <f>+IFERROR(VLOOKUP(Fact_Analitica[[#This Row],[Concepto Anterior]],Conceptos_Analítica_contraloría[#All],5,0),"")</f>
        <v/>
      </c>
      <c r="F1871" s="138" t="str">
        <f>+IFERROR(VLOOKUP(Fact_Analitica[[#This Row],[Concepto Anterior]],Conceptos_Analítica_contraloría[#All],7,0),"")</f>
        <v/>
      </c>
      <c r="I1871" s="138" t="str">
        <f>+IFERROR(VLOOKUP(D1871,Conceptos_Analítica_contraloría[#All],2,0),"")</f>
        <v/>
      </c>
      <c r="J1871" s="138" t="str">
        <f>+IFERROR(VLOOKUP(D1871,Conceptos_Analítica_contraloría[#All],3,0),"")</f>
        <v/>
      </c>
    </row>
    <row r="1872" spans="3:10" x14ac:dyDescent="0.35">
      <c r="C1872" s="144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s="138" t="str">
        <f>+IFERROR(VLOOKUP(Fact_Analitica[[#This Row],[Concepto Anterior]],Conceptos_Analítica_contraloría[#All],5,0),"")</f>
        <v/>
      </c>
      <c r="F1872" s="138" t="str">
        <f>+IFERROR(VLOOKUP(Fact_Analitica[[#This Row],[Concepto Anterior]],Conceptos_Analítica_contraloría[#All],7,0),"")</f>
        <v/>
      </c>
      <c r="I1872" s="138" t="str">
        <f>+IFERROR(VLOOKUP(D1872,Conceptos_Analítica_contraloría[#All],2,0),"")</f>
        <v/>
      </c>
      <c r="J1872" s="138" t="str">
        <f>+IFERROR(VLOOKUP(D1872,Conceptos_Analítica_contraloría[#All],3,0),"")</f>
        <v/>
      </c>
    </row>
    <row r="1873" spans="3:10" x14ac:dyDescent="0.35">
      <c r="C1873" s="144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s="138" t="str">
        <f>+IFERROR(VLOOKUP(Fact_Analitica[[#This Row],[Concepto Anterior]],Conceptos_Analítica_contraloría[#All],5,0),"")</f>
        <v/>
      </c>
      <c r="F1873" s="138" t="str">
        <f>+IFERROR(VLOOKUP(Fact_Analitica[[#This Row],[Concepto Anterior]],Conceptos_Analítica_contraloría[#All],7,0),"")</f>
        <v/>
      </c>
      <c r="I1873" s="138" t="str">
        <f>+IFERROR(VLOOKUP(D1873,Conceptos_Analítica_contraloría[#All],2,0),"")</f>
        <v/>
      </c>
      <c r="J1873" s="138" t="str">
        <f>+IFERROR(VLOOKUP(D1873,Conceptos_Analítica_contraloría[#All],3,0),"")</f>
        <v/>
      </c>
    </row>
    <row r="1874" spans="3:10" x14ac:dyDescent="0.35">
      <c r="C1874" s="144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s="138" t="str">
        <f>+IFERROR(VLOOKUP(Fact_Analitica[[#This Row],[Concepto Anterior]],Conceptos_Analítica_contraloría[#All],5,0),"")</f>
        <v/>
      </c>
      <c r="F1874" s="138" t="str">
        <f>+IFERROR(VLOOKUP(Fact_Analitica[[#This Row],[Concepto Anterior]],Conceptos_Analítica_contraloría[#All],7,0),"")</f>
        <v/>
      </c>
      <c r="I1874" s="138" t="str">
        <f>+IFERROR(VLOOKUP(D1874,Conceptos_Analítica_contraloría[#All],2,0),"")</f>
        <v/>
      </c>
      <c r="J1874" s="138" t="str">
        <f>+IFERROR(VLOOKUP(D1874,Conceptos_Analítica_contraloría[#All],3,0),"")</f>
        <v/>
      </c>
    </row>
    <row r="1875" spans="3:10" x14ac:dyDescent="0.35">
      <c r="C1875" s="144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s="138" t="str">
        <f>+IFERROR(VLOOKUP(Fact_Analitica[[#This Row],[Concepto Anterior]],Conceptos_Analítica_contraloría[#All],5,0),"")</f>
        <v/>
      </c>
      <c r="F1875" s="138" t="str">
        <f>+IFERROR(VLOOKUP(Fact_Analitica[[#This Row],[Concepto Anterior]],Conceptos_Analítica_contraloría[#All],7,0),"")</f>
        <v/>
      </c>
      <c r="I1875" s="138" t="str">
        <f>+IFERROR(VLOOKUP(D1875,Conceptos_Analítica_contraloría[#All],2,0),"")</f>
        <v/>
      </c>
      <c r="J1875" s="138" t="str">
        <f>+IFERROR(VLOOKUP(D1875,Conceptos_Analítica_contraloría[#All],3,0),"")</f>
        <v/>
      </c>
    </row>
    <row r="1876" spans="3:10" x14ac:dyDescent="0.35">
      <c r="C1876" s="144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s="138" t="str">
        <f>+IFERROR(VLOOKUP(Fact_Analitica[[#This Row],[Concepto Anterior]],Conceptos_Analítica_contraloría[#All],5,0),"")</f>
        <v/>
      </c>
      <c r="F1876" s="138" t="str">
        <f>+IFERROR(VLOOKUP(Fact_Analitica[[#This Row],[Concepto Anterior]],Conceptos_Analítica_contraloría[#All],7,0),"")</f>
        <v/>
      </c>
      <c r="I1876" s="138" t="str">
        <f>+IFERROR(VLOOKUP(D1876,Conceptos_Analítica_contraloría[#All],2,0),"")</f>
        <v/>
      </c>
      <c r="J1876" s="138" t="str">
        <f>+IFERROR(VLOOKUP(D1876,Conceptos_Analítica_contraloría[#All],3,0),"")</f>
        <v/>
      </c>
    </row>
    <row r="1877" spans="3:10" x14ac:dyDescent="0.35">
      <c r="C1877" s="144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s="138" t="str">
        <f>+IFERROR(VLOOKUP(Fact_Analitica[[#This Row],[Concepto Anterior]],Conceptos_Analítica_contraloría[#All],5,0),"")</f>
        <v/>
      </c>
      <c r="F1877" s="138" t="str">
        <f>+IFERROR(VLOOKUP(Fact_Analitica[[#This Row],[Concepto Anterior]],Conceptos_Analítica_contraloría[#All],7,0),"")</f>
        <v/>
      </c>
      <c r="I1877" s="138" t="str">
        <f>+IFERROR(VLOOKUP(D1877,Conceptos_Analítica_contraloría[#All],2,0),"")</f>
        <v/>
      </c>
      <c r="J1877" s="138" t="str">
        <f>+IFERROR(VLOOKUP(D1877,Conceptos_Analítica_contraloría[#All],3,0),"")</f>
        <v/>
      </c>
    </row>
    <row r="1878" spans="3:10" x14ac:dyDescent="0.35">
      <c r="C1878" s="144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s="138" t="str">
        <f>+IFERROR(VLOOKUP(Fact_Analitica[[#This Row],[Concepto Anterior]],Conceptos_Analítica_contraloría[#All],5,0),"")</f>
        <v/>
      </c>
      <c r="F1878" s="138" t="str">
        <f>+IFERROR(VLOOKUP(Fact_Analitica[[#This Row],[Concepto Anterior]],Conceptos_Analítica_contraloría[#All],7,0),"")</f>
        <v/>
      </c>
      <c r="I1878" s="138" t="str">
        <f>+IFERROR(VLOOKUP(D1878,Conceptos_Analítica_contraloría[#All],2,0),"")</f>
        <v/>
      </c>
      <c r="J1878" s="138" t="str">
        <f>+IFERROR(VLOOKUP(D1878,Conceptos_Analítica_contraloría[#All],3,0),"")</f>
        <v/>
      </c>
    </row>
    <row r="1879" spans="3:10" x14ac:dyDescent="0.35">
      <c r="C1879" s="144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s="138" t="str">
        <f>+IFERROR(VLOOKUP(Fact_Analitica[[#This Row],[Concepto Anterior]],Conceptos_Analítica_contraloría[#All],5,0),"")</f>
        <v/>
      </c>
      <c r="F1879" s="138" t="str">
        <f>+IFERROR(VLOOKUP(Fact_Analitica[[#This Row],[Concepto Anterior]],Conceptos_Analítica_contraloría[#All],7,0),"")</f>
        <v/>
      </c>
      <c r="I1879" s="138" t="str">
        <f>+IFERROR(VLOOKUP(D1879,Conceptos_Analítica_contraloría[#All],2,0),"")</f>
        <v/>
      </c>
      <c r="J1879" s="138" t="str">
        <f>+IFERROR(VLOOKUP(D1879,Conceptos_Analítica_contraloría[#All],3,0),"")</f>
        <v/>
      </c>
    </row>
    <row r="1880" spans="3:10" x14ac:dyDescent="0.35">
      <c r="C1880" s="144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s="138" t="str">
        <f>+IFERROR(VLOOKUP(Fact_Analitica[[#This Row],[Concepto Anterior]],Conceptos_Analítica_contraloría[#All],5,0),"")</f>
        <v/>
      </c>
      <c r="F1880" s="138" t="str">
        <f>+IFERROR(VLOOKUP(Fact_Analitica[[#This Row],[Concepto Anterior]],Conceptos_Analítica_contraloría[#All],7,0),"")</f>
        <v/>
      </c>
      <c r="I1880" s="138" t="str">
        <f>+IFERROR(VLOOKUP(D1880,Conceptos_Analítica_contraloría[#All],2,0),"")</f>
        <v/>
      </c>
      <c r="J1880" s="138" t="str">
        <f>+IFERROR(VLOOKUP(D1880,Conceptos_Analítica_contraloría[#All],3,0),"")</f>
        <v/>
      </c>
    </row>
    <row r="1881" spans="3:10" x14ac:dyDescent="0.35">
      <c r="C1881" s="144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s="138" t="str">
        <f>+IFERROR(VLOOKUP(Fact_Analitica[[#This Row],[Concepto Anterior]],Conceptos_Analítica_contraloría[#All],5,0),"")</f>
        <v/>
      </c>
      <c r="F1881" s="138" t="str">
        <f>+IFERROR(VLOOKUP(Fact_Analitica[[#This Row],[Concepto Anterior]],Conceptos_Analítica_contraloría[#All],7,0),"")</f>
        <v/>
      </c>
      <c r="I1881" s="138" t="str">
        <f>+IFERROR(VLOOKUP(D1881,Conceptos_Analítica_contraloría[#All],2,0),"")</f>
        <v/>
      </c>
      <c r="J1881" s="138" t="str">
        <f>+IFERROR(VLOOKUP(D1881,Conceptos_Analítica_contraloría[#All],3,0),"")</f>
        <v/>
      </c>
    </row>
    <row r="1882" spans="3:10" x14ac:dyDescent="0.35">
      <c r="C1882" s="144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s="138" t="str">
        <f>+IFERROR(VLOOKUP(Fact_Analitica[[#This Row],[Concepto Anterior]],Conceptos_Analítica_contraloría[#All],5,0),"")</f>
        <v/>
      </c>
      <c r="F1882" s="138" t="str">
        <f>+IFERROR(VLOOKUP(Fact_Analitica[[#This Row],[Concepto Anterior]],Conceptos_Analítica_contraloría[#All],7,0),"")</f>
        <v/>
      </c>
      <c r="I1882" s="138" t="str">
        <f>+IFERROR(VLOOKUP(D1882,Conceptos_Analítica_contraloría[#All],2,0),"")</f>
        <v/>
      </c>
      <c r="J1882" s="138" t="str">
        <f>+IFERROR(VLOOKUP(D1882,Conceptos_Analítica_contraloría[#All],3,0),"")</f>
        <v/>
      </c>
    </row>
    <row r="1883" spans="3:10" x14ac:dyDescent="0.35">
      <c r="C1883" s="144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s="138" t="str">
        <f>+IFERROR(VLOOKUP(Fact_Analitica[[#This Row],[Concepto Anterior]],Conceptos_Analítica_contraloría[#All],5,0),"")</f>
        <v/>
      </c>
      <c r="F1883" s="138" t="str">
        <f>+IFERROR(VLOOKUP(Fact_Analitica[[#This Row],[Concepto Anterior]],Conceptos_Analítica_contraloría[#All],7,0),"")</f>
        <v/>
      </c>
      <c r="I1883" s="138" t="str">
        <f>+IFERROR(VLOOKUP(D1883,Conceptos_Analítica_contraloría[#All],2,0),"")</f>
        <v/>
      </c>
      <c r="J1883" s="138" t="str">
        <f>+IFERROR(VLOOKUP(D1883,Conceptos_Analítica_contraloría[#All],3,0),"")</f>
        <v/>
      </c>
    </row>
    <row r="1884" spans="3:10" x14ac:dyDescent="0.35">
      <c r="C1884" s="144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s="138" t="str">
        <f>+IFERROR(VLOOKUP(Fact_Analitica[[#This Row],[Concepto Anterior]],Conceptos_Analítica_contraloría[#All],5,0),"")</f>
        <v/>
      </c>
      <c r="F1884" s="138" t="str">
        <f>+IFERROR(VLOOKUP(Fact_Analitica[[#This Row],[Concepto Anterior]],Conceptos_Analítica_contraloría[#All],7,0),"")</f>
        <v/>
      </c>
      <c r="I1884" s="138" t="str">
        <f>+IFERROR(VLOOKUP(D1884,Conceptos_Analítica_contraloría[#All],2,0),"")</f>
        <v/>
      </c>
      <c r="J1884" s="138" t="str">
        <f>+IFERROR(VLOOKUP(D1884,Conceptos_Analítica_contraloría[#All],3,0),"")</f>
        <v/>
      </c>
    </row>
    <row r="1885" spans="3:10" x14ac:dyDescent="0.35">
      <c r="C1885" s="144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s="138" t="str">
        <f>+IFERROR(VLOOKUP(Fact_Analitica[[#This Row],[Concepto Anterior]],Conceptos_Analítica_contraloría[#All],5,0),"")</f>
        <v/>
      </c>
      <c r="F1885" s="138" t="str">
        <f>+IFERROR(VLOOKUP(Fact_Analitica[[#This Row],[Concepto Anterior]],Conceptos_Analítica_contraloría[#All],7,0),"")</f>
        <v/>
      </c>
      <c r="I1885" s="138" t="str">
        <f>+IFERROR(VLOOKUP(D1885,Conceptos_Analítica_contraloría[#All],2,0),"")</f>
        <v/>
      </c>
      <c r="J1885" s="138" t="str">
        <f>+IFERROR(VLOOKUP(D1885,Conceptos_Analítica_contraloría[#All],3,0),"")</f>
        <v/>
      </c>
    </row>
    <row r="1886" spans="3:10" x14ac:dyDescent="0.35">
      <c r="C1886" s="144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s="138" t="str">
        <f>+IFERROR(VLOOKUP(Fact_Analitica[[#This Row],[Concepto Anterior]],Conceptos_Analítica_contraloría[#All],5,0),"")</f>
        <v/>
      </c>
      <c r="F1886" s="138" t="str">
        <f>+IFERROR(VLOOKUP(Fact_Analitica[[#This Row],[Concepto Anterior]],Conceptos_Analítica_contraloría[#All],7,0),"")</f>
        <v/>
      </c>
      <c r="I1886" s="138" t="str">
        <f>+IFERROR(VLOOKUP(D1886,Conceptos_Analítica_contraloría[#All],2,0),"")</f>
        <v/>
      </c>
      <c r="J1886" s="138" t="str">
        <f>+IFERROR(VLOOKUP(D1886,Conceptos_Analítica_contraloría[#All],3,0),"")</f>
        <v/>
      </c>
    </row>
    <row r="1887" spans="3:10" x14ac:dyDescent="0.35">
      <c r="C1887" s="144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s="138" t="str">
        <f>+IFERROR(VLOOKUP(Fact_Analitica[[#This Row],[Concepto Anterior]],Conceptos_Analítica_contraloría[#All],5,0),"")</f>
        <v/>
      </c>
      <c r="F1887" s="138" t="str">
        <f>+IFERROR(VLOOKUP(Fact_Analitica[[#This Row],[Concepto Anterior]],Conceptos_Analítica_contraloría[#All],7,0),"")</f>
        <v/>
      </c>
      <c r="I1887" s="138" t="str">
        <f>+IFERROR(VLOOKUP(D1887,Conceptos_Analítica_contraloría[#All],2,0),"")</f>
        <v/>
      </c>
      <c r="J1887" s="138" t="str">
        <f>+IFERROR(VLOOKUP(D1887,Conceptos_Analítica_contraloría[#All],3,0),"")</f>
        <v/>
      </c>
    </row>
    <row r="1888" spans="3:10" x14ac:dyDescent="0.35">
      <c r="C1888" s="144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s="138" t="str">
        <f>+IFERROR(VLOOKUP(Fact_Analitica[[#This Row],[Concepto Anterior]],Conceptos_Analítica_contraloría[#All],5,0),"")</f>
        <v/>
      </c>
      <c r="F1888" s="138" t="str">
        <f>+IFERROR(VLOOKUP(Fact_Analitica[[#This Row],[Concepto Anterior]],Conceptos_Analítica_contraloría[#All],7,0),"")</f>
        <v/>
      </c>
      <c r="I1888" s="138" t="str">
        <f>+IFERROR(VLOOKUP(D1888,Conceptos_Analítica_contraloría[#All],2,0),"")</f>
        <v/>
      </c>
      <c r="J1888" s="138" t="str">
        <f>+IFERROR(VLOOKUP(D1888,Conceptos_Analítica_contraloría[#All],3,0),"")</f>
        <v/>
      </c>
    </row>
    <row r="1889" spans="3:10" x14ac:dyDescent="0.35">
      <c r="C1889" s="144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s="138" t="str">
        <f>+IFERROR(VLOOKUP(Fact_Analitica[[#This Row],[Concepto Anterior]],Conceptos_Analítica_contraloría[#All],5,0),"")</f>
        <v/>
      </c>
      <c r="F1889" s="138" t="str">
        <f>+IFERROR(VLOOKUP(Fact_Analitica[[#This Row],[Concepto Anterior]],Conceptos_Analítica_contraloría[#All],7,0),"")</f>
        <v/>
      </c>
      <c r="I1889" s="138" t="str">
        <f>+IFERROR(VLOOKUP(D1889,Conceptos_Analítica_contraloría[#All],2,0),"")</f>
        <v/>
      </c>
      <c r="J1889" s="138" t="str">
        <f>+IFERROR(VLOOKUP(D1889,Conceptos_Analítica_contraloría[#All],3,0),"")</f>
        <v/>
      </c>
    </row>
    <row r="1890" spans="3:10" x14ac:dyDescent="0.35">
      <c r="C1890" s="144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s="138" t="str">
        <f>+IFERROR(VLOOKUP(Fact_Analitica[[#This Row],[Concepto Anterior]],Conceptos_Analítica_contraloría[#All],5,0),"")</f>
        <v/>
      </c>
      <c r="F1890" s="138" t="str">
        <f>+IFERROR(VLOOKUP(Fact_Analitica[[#This Row],[Concepto Anterior]],Conceptos_Analítica_contraloría[#All],7,0),"")</f>
        <v/>
      </c>
      <c r="I1890" s="138" t="str">
        <f>+IFERROR(VLOOKUP(D1890,Conceptos_Analítica_contraloría[#All],2,0),"")</f>
        <v/>
      </c>
      <c r="J1890" s="138" t="str">
        <f>+IFERROR(VLOOKUP(D1890,Conceptos_Analítica_contraloría[#All],3,0),"")</f>
        <v/>
      </c>
    </row>
    <row r="1891" spans="3:10" x14ac:dyDescent="0.35">
      <c r="C1891" s="144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s="138" t="str">
        <f>+IFERROR(VLOOKUP(Fact_Analitica[[#This Row],[Concepto Anterior]],Conceptos_Analítica_contraloría[#All],5,0),"")</f>
        <v/>
      </c>
      <c r="F1891" s="138" t="str">
        <f>+IFERROR(VLOOKUP(Fact_Analitica[[#This Row],[Concepto Anterior]],Conceptos_Analítica_contraloría[#All],7,0),"")</f>
        <v/>
      </c>
      <c r="I1891" s="138" t="str">
        <f>+IFERROR(VLOOKUP(D1891,Conceptos_Analítica_contraloría[#All],2,0),"")</f>
        <v/>
      </c>
      <c r="J1891" s="138" t="str">
        <f>+IFERROR(VLOOKUP(D1891,Conceptos_Analítica_contraloría[#All],3,0),"")</f>
        <v/>
      </c>
    </row>
    <row r="1892" spans="3:10" x14ac:dyDescent="0.35">
      <c r="C1892" s="144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s="138" t="str">
        <f>+IFERROR(VLOOKUP(Fact_Analitica[[#This Row],[Concepto Anterior]],Conceptos_Analítica_contraloría[#All],5,0),"")</f>
        <v/>
      </c>
      <c r="F1892" s="138" t="str">
        <f>+IFERROR(VLOOKUP(Fact_Analitica[[#This Row],[Concepto Anterior]],Conceptos_Analítica_contraloría[#All],7,0),"")</f>
        <v/>
      </c>
      <c r="I1892" s="138" t="str">
        <f>+IFERROR(VLOOKUP(D1892,Conceptos_Analítica_contraloría[#All],2,0),"")</f>
        <v/>
      </c>
      <c r="J1892" s="138" t="str">
        <f>+IFERROR(VLOOKUP(D1892,Conceptos_Analítica_contraloría[#All],3,0),"")</f>
        <v/>
      </c>
    </row>
    <row r="1893" spans="3:10" x14ac:dyDescent="0.35">
      <c r="C1893" s="144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s="138" t="str">
        <f>+IFERROR(VLOOKUP(Fact_Analitica[[#This Row],[Concepto Anterior]],Conceptos_Analítica_contraloría[#All],5,0),"")</f>
        <v/>
      </c>
      <c r="F1893" s="138" t="str">
        <f>+IFERROR(VLOOKUP(Fact_Analitica[[#This Row],[Concepto Anterior]],Conceptos_Analítica_contraloría[#All],7,0),"")</f>
        <v/>
      </c>
      <c r="I1893" s="138" t="str">
        <f>+IFERROR(VLOOKUP(D1893,Conceptos_Analítica_contraloría[#All],2,0),"")</f>
        <v/>
      </c>
      <c r="J1893" s="138" t="str">
        <f>+IFERROR(VLOOKUP(D1893,Conceptos_Analítica_contraloría[#All],3,0),"")</f>
        <v/>
      </c>
    </row>
    <row r="1894" spans="3:10" x14ac:dyDescent="0.35">
      <c r="C1894" s="144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s="138" t="str">
        <f>+IFERROR(VLOOKUP(Fact_Analitica[[#This Row],[Concepto Anterior]],Conceptos_Analítica_contraloría[#All],5,0),"")</f>
        <v/>
      </c>
      <c r="F1894" s="138" t="str">
        <f>+IFERROR(VLOOKUP(Fact_Analitica[[#This Row],[Concepto Anterior]],Conceptos_Analítica_contraloría[#All],7,0),"")</f>
        <v/>
      </c>
      <c r="I1894" s="138" t="str">
        <f>+IFERROR(VLOOKUP(D1894,Conceptos_Analítica_contraloría[#All],2,0),"")</f>
        <v/>
      </c>
      <c r="J1894" s="138" t="str">
        <f>+IFERROR(VLOOKUP(D1894,Conceptos_Analítica_contraloría[#All],3,0),"")</f>
        <v/>
      </c>
    </row>
    <row r="1895" spans="3:10" x14ac:dyDescent="0.35">
      <c r="C1895" s="144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s="138" t="str">
        <f>+IFERROR(VLOOKUP(Fact_Analitica[[#This Row],[Concepto Anterior]],Conceptos_Analítica_contraloría[#All],5,0),"")</f>
        <v/>
      </c>
      <c r="F1895" s="138" t="str">
        <f>+IFERROR(VLOOKUP(Fact_Analitica[[#This Row],[Concepto Anterior]],Conceptos_Analítica_contraloría[#All],7,0),"")</f>
        <v/>
      </c>
      <c r="I1895" s="138" t="str">
        <f>+IFERROR(VLOOKUP(D1895,Conceptos_Analítica_contraloría[#All],2,0),"")</f>
        <v/>
      </c>
      <c r="J1895" s="138" t="str">
        <f>+IFERROR(VLOOKUP(D1895,Conceptos_Analítica_contraloría[#All],3,0),"")</f>
        <v/>
      </c>
    </row>
    <row r="1896" spans="3:10" x14ac:dyDescent="0.35">
      <c r="C1896" s="144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s="138" t="str">
        <f>+IFERROR(VLOOKUP(Fact_Analitica[[#This Row],[Concepto Anterior]],Conceptos_Analítica_contraloría[#All],5,0),"")</f>
        <v/>
      </c>
      <c r="F1896" s="138" t="str">
        <f>+IFERROR(VLOOKUP(Fact_Analitica[[#This Row],[Concepto Anterior]],Conceptos_Analítica_contraloría[#All],7,0),"")</f>
        <v/>
      </c>
      <c r="I1896" s="138" t="str">
        <f>+IFERROR(VLOOKUP(D1896,Conceptos_Analítica_contraloría[#All],2,0),"")</f>
        <v/>
      </c>
      <c r="J1896" s="138" t="str">
        <f>+IFERROR(VLOOKUP(D1896,Conceptos_Analítica_contraloría[#All],3,0),"")</f>
        <v/>
      </c>
    </row>
    <row r="1897" spans="3:10" x14ac:dyDescent="0.35">
      <c r="C1897" s="144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s="138" t="str">
        <f>+IFERROR(VLOOKUP(Fact_Analitica[[#This Row],[Concepto Anterior]],Conceptos_Analítica_contraloría[#All],5,0),"")</f>
        <v/>
      </c>
      <c r="F1897" s="138" t="str">
        <f>+IFERROR(VLOOKUP(Fact_Analitica[[#This Row],[Concepto Anterior]],Conceptos_Analítica_contraloría[#All],7,0),"")</f>
        <v/>
      </c>
      <c r="I1897" s="138" t="str">
        <f>+IFERROR(VLOOKUP(D1897,Conceptos_Analítica_contraloría[#All],2,0),"")</f>
        <v/>
      </c>
      <c r="J1897" s="138" t="str">
        <f>+IFERROR(VLOOKUP(D1897,Conceptos_Analítica_contraloría[#All],3,0),"")</f>
        <v/>
      </c>
    </row>
    <row r="1898" spans="3:10" x14ac:dyDescent="0.35">
      <c r="C1898" s="144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s="138" t="str">
        <f>+IFERROR(VLOOKUP(Fact_Analitica[[#This Row],[Concepto Anterior]],Conceptos_Analítica_contraloría[#All],5,0),"")</f>
        <v/>
      </c>
      <c r="F1898" s="138" t="str">
        <f>+IFERROR(VLOOKUP(Fact_Analitica[[#This Row],[Concepto Anterior]],Conceptos_Analítica_contraloría[#All],7,0),"")</f>
        <v/>
      </c>
      <c r="I1898" s="138" t="str">
        <f>+IFERROR(VLOOKUP(D1898,Conceptos_Analítica_contraloría[#All],2,0),"")</f>
        <v/>
      </c>
      <c r="J1898" s="138" t="str">
        <f>+IFERROR(VLOOKUP(D1898,Conceptos_Analítica_contraloría[#All],3,0),"")</f>
        <v/>
      </c>
    </row>
    <row r="1899" spans="3:10" x14ac:dyDescent="0.35">
      <c r="C1899" s="144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s="138" t="str">
        <f>+IFERROR(VLOOKUP(Fact_Analitica[[#This Row],[Concepto Anterior]],Conceptos_Analítica_contraloría[#All],5,0),"")</f>
        <v/>
      </c>
      <c r="F1899" s="138" t="str">
        <f>+IFERROR(VLOOKUP(Fact_Analitica[[#This Row],[Concepto Anterior]],Conceptos_Analítica_contraloría[#All],7,0),"")</f>
        <v/>
      </c>
      <c r="I1899" s="138" t="str">
        <f>+IFERROR(VLOOKUP(D1899,Conceptos_Analítica_contraloría[#All],2,0),"")</f>
        <v/>
      </c>
      <c r="J1899" s="138" t="str">
        <f>+IFERROR(VLOOKUP(D1899,Conceptos_Analítica_contraloría[#All],3,0),"")</f>
        <v/>
      </c>
    </row>
    <row r="1900" spans="3:10" x14ac:dyDescent="0.35">
      <c r="C1900" s="144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s="138" t="str">
        <f>+IFERROR(VLOOKUP(Fact_Analitica[[#This Row],[Concepto Anterior]],Conceptos_Analítica_contraloría[#All],5,0),"")</f>
        <v/>
      </c>
      <c r="F1900" s="138" t="str">
        <f>+IFERROR(VLOOKUP(Fact_Analitica[[#This Row],[Concepto Anterior]],Conceptos_Analítica_contraloría[#All],7,0),"")</f>
        <v/>
      </c>
      <c r="I1900" s="138" t="str">
        <f>+IFERROR(VLOOKUP(D1900,Conceptos_Analítica_contraloría[#All],2,0),"")</f>
        <v/>
      </c>
      <c r="J1900" s="138" t="str">
        <f>+IFERROR(VLOOKUP(D1900,Conceptos_Analítica_contraloría[#All],3,0),"")</f>
        <v/>
      </c>
    </row>
    <row r="1901" spans="3:10" x14ac:dyDescent="0.35">
      <c r="C1901" s="144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s="138" t="str">
        <f>+IFERROR(VLOOKUP(Fact_Analitica[[#This Row],[Concepto Anterior]],Conceptos_Analítica_contraloría[#All],5,0),"")</f>
        <v/>
      </c>
      <c r="F1901" s="138" t="str">
        <f>+IFERROR(VLOOKUP(Fact_Analitica[[#This Row],[Concepto Anterior]],Conceptos_Analítica_contraloría[#All],7,0),"")</f>
        <v/>
      </c>
      <c r="I1901" s="138" t="str">
        <f>+IFERROR(VLOOKUP(D1901,Conceptos_Analítica_contraloría[#All],2,0),"")</f>
        <v/>
      </c>
      <c r="J1901" s="138" t="str">
        <f>+IFERROR(VLOOKUP(D1901,Conceptos_Analítica_contraloría[#All],3,0),"")</f>
        <v/>
      </c>
    </row>
    <row r="1902" spans="3:10" x14ac:dyDescent="0.35">
      <c r="C1902" s="144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s="138" t="str">
        <f>+IFERROR(VLOOKUP(Fact_Analitica[[#This Row],[Concepto Anterior]],Conceptos_Analítica_contraloría[#All],5,0),"")</f>
        <v/>
      </c>
      <c r="F1902" s="138" t="str">
        <f>+IFERROR(VLOOKUP(Fact_Analitica[[#This Row],[Concepto Anterior]],Conceptos_Analítica_contraloría[#All],7,0),"")</f>
        <v/>
      </c>
      <c r="I1902" s="138" t="str">
        <f>+IFERROR(VLOOKUP(D1902,Conceptos_Analítica_contraloría[#All],2,0),"")</f>
        <v/>
      </c>
      <c r="J1902" s="138" t="str">
        <f>+IFERROR(VLOOKUP(D1902,Conceptos_Analítica_contraloría[#All],3,0),"")</f>
        <v/>
      </c>
    </row>
    <row r="1903" spans="3:10" x14ac:dyDescent="0.35">
      <c r="C1903" s="144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s="138" t="str">
        <f>+IFERROR(VLOOKUP(Fact_Analitica[[#This Row],[Concepto Anterior]],Conceptos_Analítica_contraloría[#All],5,0),"")</f>
        <v/>
      </c>
      <c r="F1903" s="138" t="str">
        <f>+IFERROR(VLOOKUP(Fact_Analitica[[#This Row],[Concepto Anterior]],Conceptos_Analítica_contraloría[#All],7,0),"")</f>
        <v/>
      </c>
      <c r="I1903" s="138" t="str">
        <f>+IFERROR(VLOOKUP(D1903,Conceptos_Analítica_contraloría[#All],2,0),"")</f>
        <v/>
      </c>
      <c r="J1903" s="138" t="str">
        <f>+IFERROR(VLOOKUP(D1903,Conceptos_Analítica_contraloría[#All],3,0),"")</f>
        <v/>
      </c>
    </row>
    <row r="1904" spans="3:10" x14ac:dyDescent="0.35">
      <c r="C1904" s="144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s="138" t="str">
        <f>+IFERROR(VLOOKUP(Fact_Analitica[[#This Row],[Concepto Anterior]],Conceptos_Analítica_contraloría[#All],5,0),"")</f>
        <v/>
      </c>
      <c r="F1904" s="138" t="str">
        <f>+IFERROR(VLOOKUP(Fact_Analitica[[#This Row],[Concepto Anterior]],Conceptos_Analítica_contraloría[#All],7,0),"")</f>
        <v/>
      </c>
      <c r="I1904" s="138" t="str">
        <f>+IFERROR(VLOOKUP(D1904,Conceptos_Analítica_contraloría[#All],2,0),"")</f>
        <v/>
      </c>
      <c r="J1904" s="138" t="str">
        <f>+IFERROR(VLOOKUP(D1904,Conceptos_Analítica_contraloría[#All],3,0),"")</f>
        <v/>
      </c>
    </row>
    <row r="1905" spans="3:10" x14ac:dyDescent="0.35">
      <c r="C1905" s="144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s="138" t="str">
        <f>+IFERROR(VLOOKUP(Fact_Analitica[[#This Row],[Concepto Anterior]],Conceptos_Analítica_contraloría[#All],5,0),"")</f>
        <v/>
      </c>
      <c r="F1905" s="138" t="str">
        <f>+IFERROR(VLOOKUP(Fact_Analitica[[#This Row],[Concepto Anterior]],Conceptos_Analítica_contraloría[#All],7,0),"")</f>
        <v/>
      </c>
      <c r="I1905" s="138" t="str">
        <f>+IFERROR(VLOOKUP(D1905,Conceptos_Analítica_contraloría[#All],2,0),"")</f>
        <v/>
      </c>
      <c r="J1905" s="138" t="str">
        <f>+IFERROR(VLOOKUP(D1905,Conceptos_Analítica_contraloría[#All],3,0),"")</f>
        <v/>
      </c>
    </row>
    <row r="1906" spans="3:10" x14ac:dyDescent="0.35">
      <c r="C1906" s="144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s="138" t="str">
        <f>+IFERROR(VLOOKUP(Fact_Analitica[[#This Row],[Concepto Anterior]],Conceptos_Analítica_contraloría[#All],5,0),"")</f>
        <v/>
      </c>
      <c r="F1906" s="138" t="str">
        <f>+IFERROR(VLOOKUP(Fact_Analitica[[#This Row],[Concepto Anterior]],Conceptos_Analítica_contraloría[#All],7,0),"")</f>
        <v/>
      </c>
      <c r="I1906" s="138" t="str">
        <f>+IFERROR(VLOOKUP(D1906,Conceptos_Analítica_contraloría[#All],2,0),"")</f>
        <v/>
      </c>
      <c r="J1906" s="138" t="str">
        <f>+IFERROR(VLOOKUP(D1906,Conceptos_Analítica_contraloría[#All],3,0),"")</f>
        <v/>
      </c>
    </row>
    <row r="1907" spans="3:10" x14ac:dyDescent="0.35">
      <c r="C1907" s="144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s="138" t="str">
        <f>+IFERROR(VLOOKUP(Fact_Analitica[[#This Row],[Concepto Anterior]],Conceptos_Analítica_contraloría[#All],5,0),"")</f>
        <v/>
      </c>
      <c r="F1907" s="138" t="str">
        <f>+IFERROR(VLOOKUP(Fact_Analitica[[#This Row],[Concepto Anterior]],Conceptos_Analítica_contraloría[#All],7,0),"")</f>
        <v/>
      </c>
      <c r="I1907" s="138" t="str">
        <f>+IFERROR(VLOOKUP(D1907,Conceptos_Analítica_contraloría[#All],2,0),"")</f>
        <v/>
      </c>
      <c r="J1907" s="138" t="str">
        <f>+IFERROR(VLOOKUP(D1907,Conceptos_Analítica_contraloría[#All],3,0),"")</f>
        <v/>
      </c>
    </row>
    <row r="1908" spans="3:10" x14ac:dyDescent="0.35">
      <c r="C1908" s="144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s="138" t="str">
        <f>+IFERROR(VLOOKUP(Fact_Analitica[[#This Row],[Concepto Anterior]],Conceptos_Analítica_contraloría[#All],5,0),"")</f>
        <v/>
      </c>
      <c r="F1908" s="138" t="str">
        <f>+IFERROR(VLOOKUP(Fact_Analitica[[#This Row],[Concepto Anterior]],Conceptos_Analítica_contraloría[#All],7,0),"")</f>
        <v/>
      </c>
      <c r="I1908" s="138" t="str">
        <f>+IFERROR(VLOOKUP(D1908,Conceptos_Analítica_contraloría[#All],2,0),"")</f>
        <v/>
      </c>
      <c r="J1908" s="138" t="str">
        <f>+IFERROR(VLOOKUP(D1908,Conceptos_Analítica_contraloría[#All],3,0),"")</f>
        <v/>
      </c>
    </row>
    <row r="1909" spans="3:10" x14ac:dyDescent="0.35">
      <c r="C1909" s="144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s="138" t="str">
        <f>+IFERROR(VLOOKUP(Fact_Analitica[[#This Row],[Concepto Anterior]],Conceptos_Analítica_contraloría[#All],5,0),"")</f>
        <v/>
      </c>
      <c r="F1909" s="138" t="str">
        <f>+IFERROR(VLOOKUP(Fact_Analitica[[#This Row],[Concepto Anterior]],Conceptos_Analítica_contraloría[#All],7,0),"")</f>
        <v/>
      </c>
      <c r="I1909" s="138" t="str">
        <f>+IFERROR(VLOOKUP(D1909,Conceptos_Analítica_contraloría[#All],2,0),"")</f>
        <v/>
      </c>
      <c r="J1909" s="138" t="str">
        <f>+IFERROR(VLOOKUP(D1909,Conceptos_Analítica_contraloría[#All],3,0),"")</f>
        <v/>
      </c>
    </row>
    <row r="1910" spans="3:10" x14ac:dyDescent="0.35">
      <c r="C1910" s="144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s="138" t="str">
        <f>+IFERROR(VLOOKUP(Fact_Analitica[[#This Row],[Concepto Anterior]],Conceptos_Analítica_contraloría[#All],5,0),"")</f>
        <v/>
      </c>
      <c r="F1910" s="138" t="str">
        <f>+IFERROR(VLOOKUP(Fact_Analitica[[#This Row],[Concepto Anterior]],Conceptos_Analítica_contraloría[#All],7,0),"")</f>
        <v/>
      </c>
      <c r="I1910" s="138" t="str">
        <f>+IFERROR(VLOOKUP(D1910,Conceptos_Analítica_contraloría[#All],2,0),"")</f>
        <v/>
      </c>
      <c r="J1910" s="138" t="str">
        <f>+IFERROR(VLOOKUP(D1910,Conceptos_Analítica_contraloría[#All],3,0),"")</f>
        <v/>
      </c>
    </row>
    <row r="1911" spans="3:10" x14ac:dyDescent="0.35">
      <c r="C1911" s="144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s="138" t="str">
        <f>+IFERROR(VLOOKUP(Fact_Analitica[[#This Row],[Concepto Anterior]],Conceptos_Analítica_contraloría[#All],5,0),"")</f>
        <v/>
      </c>
      <c r="F1911" s="138" t="str">
        <f>+IFERROR(VLOOKUP(Fact_Analitica[[#This Row],[Concepto Anterior]],Conceptos_Analítica_contraloría[#All],7,0),"")</f>
        <v/>
      </c>
      <c r="I1911" s="138" t="str">
        <f>+IFERROR(VLOOKUP(D1911,Conceptos_Analítica_contraloría[#All],2,0),"")</f>
        <v/>
      </c>
      <c r="J1911" s="138" t="str">
        <f>+IFERROR(VLOOKUP(D1911,Conceptos_Analítica_contraloría[#All],3,0),"")</f>
        <v/>
      </c>
    </row>
    <row r="1912" spans="3:10" x14ac:dyDescent="0.35">
      <c r="C1912" s="144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s="138" t="str">
        <f>+IFERROR(VLOOKUP(Fact_Analitica[[#This Row],[Concepto Anterior]],Conceptos_Analítica_contraloría[#All],5,0),"")</f>
        <v/>
      </c>
      <c r="F1912" s="138" t="str">
        <f>+IFERROR(VLOOKUP(Fact_Analitica[[#This Row],[Concepto Anterior]],Conceptos_Analítica_contraloría[#All],7,0),"")</f>
        <v/>
      </c>
      <c r="I1912" s="138" t="str">
        <f>+IFERROR(VLOOKUP(D1912,Conceptos_Analítica_contraloría[#All],2,0),"")</f>
        <v/>
      </c>
      <c r="J1912" s="138" t="str">
        <f>+IFERROR(VLOOKUP(D1912,Conceptos_Analítica_contraloría[#All],3,0),"")</f>
        <v/>
      </c>
    </row>
    <row r="1913" spans="3:10" x14ac:dyDescent="0.35">
      <c r="C1913" s="144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s="138" t="str">
        <f>+IFERROR(VLOOKUP(Fact_Analitica[[#This Row],[Concepto Anterior]],Conceptos_Analítica_contraloría[#All],5,0),"")</f>
        <v/>
      </c>
      <c r="F1913" s="138" t="str">
        <f>+IFERROR(VLOOKUP(Fact_Analitica[[#This Row],[Concepto Anterior]],Conceptos_Analítica_contraloría[#All],7,0),"")</f>
        <v/>
      </c>
      <c r="I1913" s="138" t="str">
        <f>+IFERROR(VLOOKUP(D1913,Conceptos_Analítica_contraloría[#All],2,0),"")</f>
        <v/>
      </c>
      <c r="J1913" s="138" t="str">
        <f>+IFERROR(VLOOKUP(D1913,Conceptos_Analítica_contraloría[#All],3,0),"")</f>
        <v/>
      </c>
    </row>
    <row r="1914" spans="3:10" x14ac:dyDescent="0.35">
      <c r="C1914" s="144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s="138" t="str">
        <f>+IFERROR(VLOOKUP(Fact_Analitica[[#This Row],[Concepto Anterior]],Conceptos_Analítica_contraloría[#All],5,0),"")</f>
        <v/>
      </c>
      <c r="F1914" s="138" t="str">
        <f>+IFERROR(VLOOKUP(Fact_Analitica[[#This Row],[Concepto Anterior]],Conceptos_Analítica_contraloría[#All],7,0),"")</f>
        <v/>
      </c>
      <c r="I1914" s="138" t="str">
        <f>+IFERROR(VLOOKUP(D1914,Conceptos_Analítica_contraloría[#All],2,0),"")</f>
        <v/>
      </c>
      <c r="J1914" s="138" t="str">
        <f>+IFERROR(VLOOKUP(D1914,Conceptos_Analítica_contraloría[#All],3,0),"")</f>
        <v/>
      </c>
    </row>
    <row r="1915" spans="3:10" x14ac:dyDescent="0.35">
      <c r="C1915" s="144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s="138" t="str">
        <f>+IFERROR(VLOOKUP(Fact_Analitica[[#This Row],[Concepto Anterior]],Conceptos_Analítica_contraloría[#All],5,0),"")</f>
        <v/>
      </c>
      <c r="F1915" s="138" t="str">
        <f>+IFERROR(VLOOKUP(Fact_Analitica[[#This Row],[Concepto Anterior]],Conceptos_Analítica_contraloría[#All],7,0),"")</f>
        <v/>
      </c>
      <c r="I1915" s="138" t="str">
        <f>+IFERROR(VLOOKUP(D1915,Conceptos_Analítica_contraloría[#All],2,0),"")</f>
        <v/>
      </c>
      <c r="J1915" s="138" t="str">
        <f>+IFERROR(VLOOKUP(D1915,Conceptos_Analítica_contraloría[#All],3,0),"")</f>
        <v/>
      </c>
    </row>
    <row r="1916" spans="3:10" x14ac:dyDescent="0.35">
      <c r="C1916" s="144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s="138" t="str">
        <f>+IFERROR(VLOOKUP(Fact_Analitica[[#This Row],[Concepto Anterior]],Conceptos_Analítica_contraloría[#All],5,0),"")</f>
        <v/>
      </c>
      <c r="F1916" s="138" t="str">
        <f>+IFERROR(VLOOKUP(Fact_Analitica[[#This Row],[Concepto Anterior]],Conceptos_Analítica_contraloría[#All],7,0),"")</f>
        <v/>
      </c>
      <c r="I1916" s="138" t="str">
        <f>+IFERROR(VLOOKUP(D1916,Conceptos_Analítica_contraloría[#All],2,0),"")</f>
        <v/>
      </c>
      <c r="J1916" s="138" t="str">
        <f>+IFERROR(VLOOKUP(D1916,Conceptos_Analítica_contraloría[#All],3,0),"")</f>
        <v/>
      </c>
    </row>
    <row r="1917" spans="3:10" x14ac:dyDescent="0.35">
      <c r="C1917" s="144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s="138" t="str">
        <f>+IFERROR(VLOOKUP(Fact_Analitica[[#This Row],[Concepto Anterior]],Conceptos_Analítica_contraloría[#All],5,0),"")</f>
        <v/>
      </c>
      <c r="F1917" s="138" t="str">
        <f>+IFERROR(VLOOKUP(Fact_Analitica[[#This Row],[Concepto Anterior]],Conceptos_Analítica_contraloría[#All],7,0),"")</f>
        <v/>
      </c>
      <c r="I1917" s="138" t="str">
        <f>+IFERROR(VLOOKUP(D1917,Conceptos_Analítica_contraloría[#All],2,0),"")</f>
        <v/>
      </c>
      <c r="J1917" s="138" t="str">
        <f>+IFERROR(VLOOKUP(D1917,Conceptos_Analítica_contraloría[#All],3,0),"")</f>
        <v/>
      </c>
    </row>
    <row r="1918" spans="3:10" x14ac:dyDescent="0.35">
      <c r="C1918" s="144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s="138" t="str">
        <f>+IFERROR(VLOOKUP(Fact_Analitica[[#This Row],[Concepto Anterior]],Conceptos_Analítica_contraloría[#All],5,0),"")</f>
        <v/>
      </c>
      <c r="F1918" s="138" t="str">
        <f>+IFERROR(VLOOKUP(Fact_Analitica[[#This Row],[Concepto Anterior]],Conceptos_Analítica_contraloría[#All],7,0),"")</f>
        <v/>
      </c>
      <c r="I1918" s="138" t="str">
        <f>+IFERROR(VLOOKUP(D1918,Conceptos_Analítica_contraloría[#All],2,0),"")</f>
        <v/>
      </c>
      <c r="J1918" s="138" t="str">
        <f>+IFERROR(VLOOKUP(D1918,Conceptos_Analítica_contraloría[#All],3,0),"")</f>
        <v/>
      </c>
    </row>
    <row r="1919" spans="3:10" x14ac:dyDescent="0.35">
      <c r="C1919" s="144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s="138" t="str">
        <f>+IFERROR(VLOOKUP(Fact_Analitica[[#This Row],[Concepto Anterior]],Conceptos_Analítica_contraloría[#All],5,0),"")</f>
        <v/>
      </c>
      <c r="F1919" s="138" t="str">
        <f>+IFERROR(VLOOKUP(Fact_Analitica[[#This Row],[Concepto Anterior]],Conceptos_Analítica_contraloría[#All],7,0),"")</f>
        <v/>
      </c>
      <c r="I1919" s="138" t="str">
        <f>+IFERROR(VLOOKUP(D1919,Conceptos_Analítica_contraloría[#All],2,0),"")</f>
        <v/>
      </c>
      <c r="J1919" s="138" t="str">
        <f>+IFERROR(VLOOKUP(D1919,Conceptos_Analítica_contraloría[#All],3,0),"")</f>
        <v/>
      </c>
    </row>
    <row r="1920" spans="3:10" x14ac:dyDescent="0.35">
      <c r="C1920" s="144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s="138" t="str">
        <f>+IFERROR(VLOOKUP(Fact_Analitica[[#This Row],[Concepto Anterior]],Conceptos_Analítica_contraloría[#All],5,0),"")</f>
        <v/>
      </c>
      <c r="F1920" s="138" t="str">
        <f>+IFERROR(VLOOKUP(Fact_Analitica[[#This Row],[Concepto Anterior]],Conceptos_Analítica_contraloría[#All],7,0),"")</f>
        <v/>
      </c>
      <c r="I1920" s="138" t="str">
        <f>+IFERROR(VLOOKUP(D1920,Conceptos_Analítica_contraloría[#All],2,0),"")</f>
        <v/>
      </c>
      <c r="J1920" s="138" t="str">
        <f>+IFERROR(VLOOKUP(D1920,Conceptos_Analítica_contraloría[#All],3,0),"")</f>
        <v/>
      </c>
    </row>
    <row r="1921" spans="3:10" x14ac:dyDescent="0.35">
      <c r="C1921" s="144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s="138" t="str">
        <f>+IFERROR(VLOOKUP(Fact_Analitica[[#This Row],[Concepto Anterior]],Conceptos_Analítica_contraloría[#All],5,0),"")</f>
        <v/>
      </c>
      <c r="F1921" s="138" t="str">
        <f>+IFERROR(VLOOKUP(Fact_Analitica[[#This Row],[Concepto Anterior]],Conceptos_Analítica_contraloría[#All],7,0),"")</f>
        <v/>
      </c>
      <c r="I1921" s="138" t="str">
        <f>+IFERROR(VLOOKUP(D1921,Conceptos_Analítica_contraloría[#All],2,0),"")</f>
        <v/>
      </c>
      <c r="J1921" s="138" t="str">
        <f>+IFERROR(VLOOKUP(D1921,Conceptos_Analítica_contraloría[#All],3,0),"")</f>
        <v/>
      </c>
    </row>
    <row r="1922" spans="3:10" x14ac:dyDescent="0.35">
      <c r="C1922" s="144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s="138" t="str">
        <f>+IFERROR(VLOOKUP(Fact_Analitica[[#This Row],[Concepto Anterior]],Conceptos_Analítica_contraloría[#All],5,0),"")</f>
        <v/>
      </c>
      <c r="F1922" s="138" t="str">
        <f>+IFERROR(VLOOKUP(Fact_Analitica[[#This Row],[Concepto Anterior]],Conceptos_Analítica_contraloría[#All],7,0),"")</f>
        <v/>
      </c>
      <c r="I1922" s="138" t="str">
        <f>+IFERROR(VLOOKUP(D1922,Conceptos_Analítica_contraloría[#All],2,0),"")</f>
        <v/>
      </c>
      <c r="J1922" s="138" t="str">
        <f>+IFERROR(VLOOKUP(D1922,Conceptos_Analítica_contraloría[#All],3,0),"")</f>
        <v/>
      </c>
    </row>
    <row r="1923" spans="3:10" x14ac:dyDescent="0.35">
      <c r="C1923" s="144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s="138" t="str">
        <f>+IFERROR(VLOOKUP(Fact_Analitica[[#This Row],[Concepto Anterior]],Conceptos_Analítica_contraloría[#All],5,0),"")</f>
        <v/>
      </c>
      <c r="F1923" s="138" t="str">
        <f>+IFERROR(VLOOKUP(Fact_Analitica[[#This Row],[Concepto Anterior]],Conceptos_Analítica_contraloría[#All],7,0),"")</f>
        <v/>
      </c>
      <c r="I1923" s="138" t="str">
        <f>+IFERROR(VLOOKUP(D1923,Conceptos_Analítica_contraloría[#All],2,0),"")</f>
        <v/>
      </c>
      <c r="J1923" s="138" t="str">
        <f>+IFERROR(VLOOKUP(D1923,Conceptos_Analítica_contraloría[#All],3,0),"")</f>
        <v/>
      </c>
    </row>
    <row r="1924" spans="3:10" x14ac:dyDescent="0.35">
      <c r="C1924" s="144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s="138" t="str">
        <f>+IFERROR(VLOOKUP(Fact_Analitica[[#This Row],[Concepto Anterior]],Conceptos_Analítica_contraloría[#All],5,0),"")</f>
        <v/>
      </c>
      <c r="F1924" s="138" t="str">
        <f>+IFERROR(VLOOKUP(Fact_Analitica[[#This Row],[Concepto Anterior]],Conceptos_Analítica_contraloría[#All],7,0),"")</f>
        <v/>
      </c>
      <c r="I1924" s="138" t="str">
        <f>+IFERROR(VLOOKUP(D1924,Conceptos_Analítica_contraloría[#All],2,0),"")</f>
        <v/>
      </c>
      <c r="J1924" s="138" t="str">
        <f>+IFERROR(VLOOKUP(D1924,Conceptos_Analítica_contraloría[#All],3,0),"")</f>
        <v/>
      </c>
    </row>
    <row r="1925" spans="3:10" x14ac:dyDescent="0.35">
      <c r="C1925" s="144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s="138" t="str">
        <f>+IFERROR(VLOOKUP(Fact_Analitica[[#This Row],[Concepto Anterior]],Conceptos_Analítica_contraloría[#All],5,0),"")</f>
        <v/>
      </c>
      <c r="F1925" s="138" t="str">
        <f>+IFERROR(VLOOKUP(Fact_Analitica[[#This Row],[Concepto Anterior]],Conceptos_Analítica_contraloría[#All],7,0),"")</f>
        <v/>
      </c>
      <c r="I1925" s="138" t="str">
        <f>+IFERROR(VLOOKUP(D1925,Conceptos_Analítica_contraloría[#All],2,0),"")</f>
        <v/>
      </c>
      <c r="J1925" s="138" t="str">
        <f>+IFERROR(VLOOKUP(D1925,Conceptos_Analítica_contraloría[#All],3,0),"")</f>
        <v/>
      </c>
    </row>
    <row r="1926" spans="3:10" x14ac:dyDescent="0.35">
      <c r="C1926" s="144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s="138" t="str">
        <f>+IFERROR(VLOOKUP(Fact_Analitica[[#This Row],[Concepto Anterior]],Conceptos_Analítica_contraloría[#All],5,0),"")</f>
        <v/>
      </c>
      <c r="F1926" s="138" t="str">
        <f>+IFERROR(VLOOKUP(Fact_Analitica[[#This Row],[Concepto Anterior]],Conceptos_Analítica_contraloría[#All],7,0),"")</f>
        <v/>
      </c>
      <c r="I1926" s="138" t="str">
        <f>+IFERROR(VLOOKUP(D1926,Conceptos_Analítica_contraloría[#All],2,0),"")</f>
        <v/>
      </c>
      <c r="J1926" s="138" t="str">
        <f>+IFERROR(VLOOKUP(D1926,Conceptos_Analítica_contraloría[#All],3,0),"")</f>
        <v/>
      </c>
    </row>
    <row r="1927" spans="3:10" x14ac:dyDescent="0.35">
      <c r="C1927" s="144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s="138" t="str">
        <f>+IFERROR(VLOOKUP(Fact_Analitica[[#This Row],[Concepto Anterior]],Conceptos_Analítica_contraloría[#All],5,0),"")</f>
        <v/>
      </c>
      <c r="F1927" s="138" t="str">
        <f>+IFERROR(VLOOKUP(Fact_Analitica[[#This Row],[Concepto Anterior]],Conceptos_Analítica_contraloría[#All],7,0),"")</f>
        <v/>
      </c>
      <c r="I1927" s="138" t="str">
        <f>+IFERROR(VLOOKUP(D1927,Conceptos_Analítica_contraloría[#All],2,0),"")</f>
        <v/>
      </c>
      <c r="J1927" s="138" t="str">
        <f>+IFERROR(VLOOKUP(D1927,Conceptos_Analítica_contraloría[#All],3,0),"")</f>
        <v/>
      </c>
    </row>
    <row r="1928" spans="3:10" x14ac:dyDescent="0.35">
      <c r="C1928" s="144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s="138" t="str">
        <f>+IFERROR(VLOOKUP(Fact_Analitica[[#This Row],[Concepto Anterior]],Conceptos_Analítica_contraloría[#All],5,0),"")</f>
        <v/>
      </c>
      <c r="F1928" s="138" t="str">
        <f>+IFERROR(VLOOKUP(Fact_Analitica[[#This Row],[Concepto Anterior]],Conceptos_Analítica_contraloría[#All],7,0),"")</f>
        <v/>
      </c>
      <c r="I1928" s="138" t="str">
        <f>+IFERROR(VLOOKUP(D1928,Conceptos_Analítica_contraloría[#All],2,0),"")</f>
        <v/>
      </c>
      <c r="J1928" s="138" t="str">
        <f>+IFERROR(VLOOKUP(D1928,Conceptos_Analítica_contraloría[#All],3,0),"")</f>
        <v/>
      </c>
    </row>
    <row r="1929" spans="3:10" x14ac:dyDescent="0.35">
      <c r="C1929" s="144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s="138" t="str">
        <f>+IFERROR(VLOOKUP(Fact_Analitica[[#This Row],[Concepto Anterior]],Conceptos_Analítica_contraloría[#All],5,0),"")</f>
        <v/>
      </c>
      <c r="F1929" s="138" t="str">
        <f>+IFERROR(VLOOKUP(Fact_Analitica[[#This Row],[Concepto Anterior]],Conceptos_Analítica_contraloría[#All],7,0),"")</f>
        <v/>
      </c>
      <c r="I1929" s="138" t="str">
        <f>+IFERROR(VLOOKUP(D1929,Conceptos_Analítica_contraloría[#All],2,0),"")</f>
        <v/>
      </c>
      <c r="J1929" s="138" t="str">
        <f>+IFERROR(VLOOKUP(D1929,Conceptos_Analítica_contraloría[#All],3,0),"")</f>
        <v/>
      </c>
    </row>
    <row r="1930" spans="3:10" x14ac:dyDescent="0.35">
      <c r="C1930" s="144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s="138" t="str">
        <f>+IFERROR(VLOOKUP(Fact_Analitica[[#This Row],[Concepto Anterior]],Conceptos_Analítica_contraloría[#All],5,0),"")</f>
        <v/>
      </c>
      <c r="F1930" s="138" t="str">
        <f>+IFERROR(VLOOKUP(Fact_Analitica[[#This Row],[Concepto Anterior]],Conceptos_Analítica_contraloría[#All],7,0),"")</f>
        <v/>
      </c>
      <c r="I1930" s="138" t="str">
        <f>+IFERROR(VLOOKUP(D1930,Conceptos_Analítica_contraloría[#All],2,0),"")</f>
        <v/>
      </c>
      <c r="J1930" s="138" t="str">
        <f>+IFERROR(VLOOKUP(D1930,Conceptos_Analítica_contraloría[#All],3,0),"")</f>
        <v/>
      </c>
    </row>
    <row r="1931" spans="3:10" x14ac:dyDescent="0.35">
      <c r="C1931" s="144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s="138" t="str">
        <f>+IFERROR(VLOOKUP(Fact_Analitica[[#This Row],[Concepto Anterior]],Conceptos_Analítica_contraloría[#All],5,0),"")</f>
        <v/>
      </c>
      <c r="F1931" s="138" t="str">
        <f>+IFERROR(VLOOKUP(Fact_Analitica[[#This Row],[Concepto Anterior]],Conceptos_Analítica_contraloría[#All],7,0),"")</f>
        <v/>
      </c>
      <c r="I1931" s="138" t="str">
        <f>+IFERROR(VLOOKUP(D1931,Conceptos_Analítica_contraloría[#All],2,0),"")</f>
        <v/>
      </c>
      <c r="J1931" s="138" t="str">
        <f>+IFERROR(VLOOKUP(D1931,Conceptos_Analítica_contraloría[#All],3,0),"")</f>
        <v/>
      </c>
    </row>
    <row r="1932" spans="3:10" x14ac:dyDescent="0.35">
      <c r="C1932" s="144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s="138" t="str">
        <f>+IFERROR(VLOOKUP(Fact_Analitica[[#This Row],[Concepto Anterior]],Conceptos_Analítica_contraloría[#All],5,0),"")</f>
        <v/>
      </c>
      <c r="F1932" s="138" t="str">
        <f>+IFERROR(VLOOKUP(Fact_Analitica[[#This Row],[Concepto Anterior]],Conceptos_Analítica_contraloría[#All],7,0),"")</f>
        <v/>
      </c>
      <c r="I1932" s="138" t="str">
        <f>+IFERROR(VLOOKUP(D1932,Conceptos_Analítica_contraloría[#All],2,0),"")</f>
        <v/>
      </c>
      <c r="J1932" s="138" t="str">
        <f>+IFERROR(VLOOKUP(D1932,Conceptos_Analítica_contraloría[#All],3,0),"")</f>
        <v/>
      </c>
    </row>
    <row r="1933" spans="3:10" x14ac:dyDescent="0.35">
      <c r="C1933" s="144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s="138" t="str">
        <f>+IFERROR(VLOOKUP(Fact_Analitica[[#This Row],[Concepto Anterior]],Conceptos_Analítica_contraloría[#All],5,0),"")</f>
        <v/>
      </c>
      <c r="F1933" s="138" t="str">
        <f>+IFERROR(VLOOKUP(Fact_Analitica[[#This Row],[Concepto Anterior]],Conceptos_Analítica_contraloría[#All],7,0),"")</f>
        <v/>
      </c>
      <c r="I1933" s="138" t="str">
        <f>+IFERROR(VLOOKUP(D1933,Conceptos_Analítica_contraloría[#All],2,0),"")</f>
        <v/>
      </c>
      <c r="J1933" s="138" t="str">
        <f>+IFERROR(VLOOKUP(D1933,Conceptos_Analítica_contraloría[#All],3,0),"")</f>
        <v/>
      </c>
    </row>
    <row r="1934" spans="3:10" x14ac:dyDescent="0.35">
      <c r="C1934" s="144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s="138" t="str">
        <f>+IFERROR(VLOOKUP(Fact_Analitica[[#This Row],[Concepto Anterior]],Conceptos_Analítica_contraloría[#All],5,0),"")</f>
        <v/>
      </c>
      <c r="F1934" s="138" t="str">
        <f>+IFERROR(VLOOKUP(Fact_Analitica[[#This Row],[Concepto Anterior]],Conceptos_Analítica_contraloría[#All],7,0),"")</f>
        <v/>
      </c>
      <c r="I1934" s="138" t="str">
        <f>+IFERROR(VLOOKUP(D1934,Conceptos_Analítica_contraloría[#All],2,0),"")</f>
        <v/>
      </c>
      <c r="J1934" s="138" t="str">
        <f>+IFERROR(VLOOKUP(D1934,Conceptos_Analítica_contraloría[#All],3,0),"")</f>
        <v/>
      </c>
    </row>
    <row r="1935" spans="3:10" x14ac:dyDescent="0.35">
      <c r="C1935" s="144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s="138" t="str">
        <f>+IFERROR(VLOOKUP(Fact_Analitica[[#This Row],[Concepto Anterior]],Conceptos_Analítica_contraloría[#All],5,0),"")</f>
        <v/>
      </c>
      <c r="F1935" s="138" t="str">
        <f>+IFERROR(VLOOKUP(Fact_Analitica[[#This Row],[Concepto Anterior]],Conceptos_Analítica_contraloría[#All],7,0),"")</f>
        <v/>
      </c>
      <c r="I1935" s="138" t="str">
        <f>+IFERROR(VLOOKUP(D1935,Conceptos_Analítica_contraloría[#All],2,0),"")</f>
        <v/>
      </c>
      <c r="J1935" s="138" t="str">
        <f>+IFERROR(VLOOKUP(D1935,Conceptos_Analítica_contraloría[#All],3,0),"")</f>
        <v/>
      </c>
    </row>
    <row r="1936" spans="3:10" x14ac:dyDescent="0.35">
      <c r="C1936" s="144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s="138" t="str">
        <f>+IFERROR(VLOOKUP(Fact_Analitica[[#This Row],[Concepto Anterior]],Conceptos_Analítica_contraloría[#All],5,0),"")</f>
        <v/>
      </c>
      <c r="F1936" s="138" t="str">
        <f>+IFERROR(VLOOKUP(Fact_Analitica[[#This Row],[Concepto Anterior]],Conceptos_Analítica_contraloría[#All],7,0),"")</f>
        <v/>
      </c>
      <c r="I1936" s="138" t="str">
        <f>+IFERROR(VLOOKUP(D1936,Conceptos_Analítica_contraloría[#All],2,0),"")</f>
        <v/>
      </c>
      <c r="J1936" s="138" t="str">
        <f>+IFERROR(VLOOKUP(D1936,Conceptos_Analítica_contraloría[#All],3,0),"")</f>
        <v/>
      </c>
    </row>
    <row r="1937" spans="3:10" x14ac:dyDescent="0.35">
      <c r="C1937" s="144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s="138" t="str">
        <f>+IFERROR(VLOOKUP(Fact_Analitica[[#This Row],[Concepto Anterior]],Conceptos_Analítica_contraloría[#All],5,0),"")</f>
        <v/>
      </c>
      <c r="F1937" s="138" t="str">
        <f>+IFERROR(VLOOKUP(Fact_Analitica[[#This Row],[Concepto Anterior]],Conceptos_Analítica_contraloría[#All],7,0),"")</f>
        <v/>
      </c>
      <c r="I1937" s="138" t="str">
        <f>+IFERROR(VLOOKUP(D1937,Conceptos_Analítica_contraloría[#All],2,0),"")</f>
        <v/>
      </c>
      <c r="J1937" s="138" t="str">
        <f>+IFERROR(VLOOKUP(D1937,Conceptos_Analítica_contraloría[#All],3,0),"")</f>
        <v/>
      </c>
    </row>
    <row r="1938" spans="3:10" x14ac:dyDescent="0.35">
      <c r="C1938" s="144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s="138" t="str">
        <f>+IFERROR(VLOOKUP(Fact_Analitica[[#This Row],[Concepto Anterior]],Conceptos_Analítica_contraloría[#All],5,0),"")</f>
        <v/>
      </c>
      <c r="F1938" s="138" t="str">
        <f>+IFERROR(VLOOKUP(Fact_Analitica[[#This Row],[Concepto Anterior]],Conceptos_Analítica_contraloría[#All],7,0),"")</f>
        <v/>
      </c>
      <c r="I1938" s="138" t="str">
        <f>+IFERROR(VLOOKUP(D1938,Conceptos_Analítica_contraloría[#All],2,0),"")</f>
        <v/>
      </c>
      <c r="J1938" s="138" t="str">
        <f>+IFERROR(VLOOKUP(D1938,Conceptos_Analítica_contraloría[#All],3,0),"")</f>
        <v/>
      </c>
    </row>
    <row r="1939" spans="3:10" x14ac:dyDescent="0.35">
      <c r="C1939" s="144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s="138" t="str">
        <f>+IFERROR(VLOOKUP(Fact_Analitica[[#This Row],[Concepto Anterior]],Conceptos_Analítica_contraloría[#All],5,0),"")</f>
        <v/>
      </c>
      <c r="F1939" s="138" t="str">
        <f>+IFERROR(VLOOKUP(Fact_Analitica[[#This Row],[Concepto Anterior]],Conceptos_Analítica_contraloría[#All],7,0),"")</f>
        <v/>
      </c>
      <c r="I1939" s="138" t="str">
        <f>+IFERROR(VLOOKUP(D1939,Conceptos_Analítica_contraloría[#All],2,0),"")</f>
        <v/>
      </c>
      <c r="J1939" s="138" t="str">
        <f>+IFERROR(VLOOKUP(D1939,Conceptos_Analítica_contraloría[#All],3,0),"")</f>
        <v/>
      </c>
    </row>
    <row r="1940" spans="3:10" x14ac:dyDescent="0.35">
      <c r="C1940" s="144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s="138" t="str">
        <f>+IFERROR(VLOOKUP(Fact_Analitica[[#This Row],[Concepto Anterior]],Conceptos_Analítica_contraloría[#All],5,0),"")</f>
        <v/>
      </c>
      <c r="F1940" s="138" t="str">
        <f>+IFERROR(VLOOKUP(Fact_Analitica[[#This Row],[Concepto Anterior]],Conceptos_Analítica_contraloría[#All],7,0),"")</f>
        <v/>
      </c>
      <c r="I1940" s="138" t="str">
        <f>+IFERROR(VLOOKUP(D1940,Conceptos_Analítica_contraloría[#All],2,0),"")</f>
        <v/>
      </c>
      <c r="J1940" s="138" t="str">
        <f>+IFERROR(VLOOKUP(D1940,Conceptos_Analítica_contraloría[#All],3,0),"")</f>
        <v/>
      </c>
    </row>
    <row r="1941" spans="3:10" x14ac:dyDescent="0.35">
      <c r="C1941" s="144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s="138" t="str">
        <f>+IFERROR(VLOOKUP(Fact_Analitica[[#This Row],[Concepto Anterior]],Conceptos_Analítica_contraloría[#All],5,0),"")</f>
        <v/>
      </c>
      <c r="F1941" s="138" t="str">
        <f>+IFERROR(VLOOKUP(Fact_Analitica[[#This Row],[Concepto Anterior]],Conceptos_Analítica_contraloría[#All],7,0),"")</f>
        <v/>
      </c>
      <c r="I1941" s="138" t="str">
        <f>+IFERROR(VLOOKUP(D1941,Conceptos_Analítica_contraloría[#All],2,0),"")</f>
        <v/>
      </c>
      <c r="J1941" s="138" t="str">
        <f>+IFERROR(VLOOKUP(D1941,Conceptos_Analítica_contraloría[#All],3,0),"")</f>
        <v/>
      </c>
    </row>
    <row r="1942" spans="3:10" x14ac:dyDescent="0.35">
      <c r="C1942" s="144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s="138" t="str">
        <f>+IFERROR(VLOOKUP(Fact_Analitica[[#This Row],[Concepto Anterior]],Conceptos_Analítica_contraloría[#All],5,0),"")</f>
        <v/>
      </c>
      <c r="F1942" s="138" t="str">
        <f>+IFERROR(VLOOKUP(Fact_Analitica[[#This Row],[Concepto Anterior]],Conceptos_Analítica_contraloría[#All],7,0),"")</f>
        <v/>
      </c>
      <c r="I1942" s="138" t="str">
        <f>+IFERROR(VLOOKUP(D1942,Conceptos_Analítica_contraloría[#All],2,0),"")</f>
        <v/>
      </c>
      <c r="J1942" s="138" t="str">
        <f>+IFERROR(VLOOKUP(D1942,Conceptos_Analítica_contraloría[#All],3,0),"")</f>
        <v/>
      </c>
    </row>
    <row r="1943" spans="3:10" x14ac:dyDescent="0.35">
      <c r="C1943" s="144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s="138" t="str">
        <f>+IFERROR(VLOOKUP(Fact_Analitica[[#This Row],[Concepto Anterior]],Conceptos_Analítica_contraloría[#All],5,0),"")</f>
        <v/>
      </c>
      <c r="F1943" s="138" t="str">
        <f>+IFERROR(VLOOKUP(Fact_Analitica[[#This Row],[Concepto Anterior]],Conceptos_Analítica_contraloría[#All],7,0),"")</f>
        <v/>
      </c>
      <c r="I1943" s="138" t="str">
        <f>+IFERROR(VLOOKUP(D1943,Conceptos_Analítica_contraloría[#All],2,0),"")</f>
        <v/>
      </c>
      <c r="J1943" s="138" t="str">
        <f>+IFERROR(VLOOKUP(D1943,Conceptos_Analítica_contraloría[#All],3,0),"")</f>
        <v/>
      </c>
    </row>
    <row r="1944" spans="3:10" x14ac:dyDescent="0.35">
      <c r="C1944" s="144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s="138" t="str">
        <f>+IFERROR(VLOOKUP(Fact_Analitica[[#This Row],[Concepto Anterior]],Conceptos_Analítica_contraloría[#All],5,0),"")</f>
        <v/>
      </c>
      <c r="F1944" s="138" t="str">
        <f>+IFERROR(VLOOKUP(Fact_Analitica[[#This Row],[Concepto Anterior]],Conceptos_Analítica_contraloría[#All],7,0),"")</f>
        <v/>
      </c>
      <c r="I1944" s="138" t="str">
        <f>+IFERROR(VLOOKUP(D1944,Conceptos_Analítica_contraloría[#All],2,0),"")</f>
        <v/>
      </c>
      <c r="J1944" s="138" t="str">
        <f>+IFERROR(VLOOKUP(D1944,Conceptos_Analítica_contraloría[#All],3,0),"")</f>
        <v/>
      </c>
    </row>
    <row r="1945" spans="3:10" x14ac:dyDescent="0.35">
      <c r="C1945" s="144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s="138" t="str">
        <f>+IFERROR(VLOOKUP(Fact_Analitica[[#This Row],[Concepto Anterior]],Conceptos_Analítica_contraloría[#All],5,0),"")</f>
        <v/>
      </c>
      <c r="F1945" s="138" t="str">
        <f>+IFERROR(VLOOKUP(Fact_Analitica[[#This Row],[Concepto Anterior]],Conceptos_Analítica_contraloría[#All],7,0),"")</f>
        <v/>
      </c>
      <c r="I1945" s="138" t="str">
        <f>+IFERROR(VLOOKUP(D1945,Conceptos_Analítica_contraloría[#All],2,0),"")</f>
        <v/>
      </c>
      <c r="J1945" s="138" t="str">
        <f>+IFERROR(VLOOKUP(D1945,Conceptos_Analítica_contraloría[#All],3,0),"")</f>
        <v/>
      </c>
    </row>
    <row r="1946" spans="3:10" x14ac:dyDescent="0.35">
      <c r="C1946" s="144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s="138" t="str">
        <f>+IFERROR(VLOOKUP(Fact_Analitica[[#This Row],[Concepto Anterior]],Conceptos_Analítica_contraloría[#All],5,0),"")</f>
        <v/>
      </c>
      <c r="F1946" s="138" t="str">
        <f>+IFERROR(VLOOKUP(Fact_Analitica[[#This Row],[Concepto Anterior]],Conceptos_Analítica_contraloría[#All],7,0),"")</f>
        <v/>
      </c>
      <c r="I1946" s="138" t="str">
        <f>+IFERROR(VLOOKUP(D1946,Conceptos_Analítica_contraloría[#All],2,0),"")</f>
        <v/>
      </c>
      <c r="J1946" s="138" t="str">
        <f>+IFERROR(VLOOKUP(D1946,Conceptos_Analítica_contraloría[#All],3,0),"")</f>
        <v/>
      </c>
    </row>
    <row r="1947" spans="3:10" x14ac:dyDescent="0.35">
      <c r="C1947" s="144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s="138" t="str">
        <f>+IFERROR(VLOOKUP(Fact_Analitica[[#This Row],[Concepto Anterior]],Conceptos_Analítica_contraloría[#All],5,0),"")</f>
        <v/>
      </c>
      <c r="F1947" s="138" t="str">
        <f>+IFERROR(VLOOKUP(Fact_Analitica[[#This Row],[Concepto Anterior]],Conceptos_Analítica_contraloría[#All],7,0),"")</f>
        <v/>
      </c>
      <c r="I1947" s="138" t="str">
        <f>+IFERROR(VLOOKUP(D1947,Conceptos_Analítica_contraloría[#All],2,0),"")</f>
        <v/>
      </c>
      <c r="J1947" s="138" t="str">
        <f>+IFERROR(VLOOKUP(D1947,Conceptos_Analítica_contraloría[#All],3,0),"")</f>
        <v/>
      </c>
    </row>
    <row r="1948" spans="3:10" x14ac:dyDescent="0.35">
      <c r="C1948" s="144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s="138" t="str">
        <f>+IFERROR(VLOOKUP(Fact_Analitica[[#This Row],[Concepto Anterior]],Conceptos_Analítica_contraloría[#All],5,0),"")</f>
        <v/>
      </c>
      <c r="F1948" s="138" t="str">
        <f>+IFERROR(VLOOKUP(Fact_Analitica[[#This Row],[Concepto Anterior]],Conceptos_Analítica_contraloría[#All],7,0),"")</f>
        <v/>
      </c>
      <c r="I1948" s="138" t="str">
        <f>+IFERROR(VLOOKUP(D1948,Conceptos_Analítica_contraloría[#All],2,0),"")</f>
        <v/>
      </c>
      <c r="J1948" s="138" t="str">
        <f>+IFERROR(VLOOKUP(D1948,Conceptos_Analítica_contraloría[#All],3,0),"")</f>
        <v/>
      </c>
    </row>
    <row r="1949" spans="3:10" x14ac:dyDescent="0.35">
      <c r="C1949" s="144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s="138" t="str">
        <f>+IFERROR(VLOOKUP(Fact_Analitica[[#This Row],[Concepto Anterior]],Conceptos_Analítica_contraloría[#All],5,0),"")</f>
        <v/>
      </c>
      <c r="F1949" s="138" t="str">
        <f>+IFERROR(VLOOKUP(Fact_Analitica[[#This Row],[Concepto Anterior]],Conceptos_Analítica_contraloría[#All],7,0),"")</f>
        <v/>
      </c>
      <c r="I1949" s="138" t="str">
        <f>+IFERROR(VLOOKUP(D1949,Conceptos_Analítica_contraloría[#All],2,0),"")</f>
        <v/>
      </c>
      <c r="J1949" s="138" t="str">
        <f>+IFERROR(VLOOKUP(D1949,Conceptos_Analítica_contraloría[#All],3,0),"")</f>
        <v/>
      </c>
    </row>
    <row r="1950" spans="3:10" x14ac:dyDescent="0.35">
      <c r="C1950" s="144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s="138" t="str">
        <f>+IFERROR(VLOOKUP(Fact_Analitica[[#This Row],[Concepto Anterior]],Conceptos_Analítica_contraloría[#All],5,0),"")</f>
        <v/>
      </c>
      <c r="F1950" s="138" t="str">
        <f>+IFERROR(VLOOKUP(Fact_Analitica[[#This Row],[Concepto Anterior]],Conceptos_Analítica_contraloría[#All],7,0),"")</f>
        <v/>
      </c>
      <c r="I1950" s="138" t="str">
        <f>+IFERROR(VLOOKUP(D1950,Conceptos_Analítica_contraloría[#All],2,0),"")</f>
        <v/>
      </c>
      <c r="J1950" s="138" t="str">
        <f>+IFERROR(VLOOKUP(D1950,Conceptos_Analítica_contraloría[#All],3,0),"")</f>
        <v/>
      </c>
    </row>
    <row r="1951" spans="3:10" x14ac:dyDescent="0.35">
      <c r="C1951" s="144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s="138" t="str">
        <f>+IFERROR(VLOOKUP(Fact_Analitica[[#This Row],[Concepto Anterior]],Conceptos_Analítica_contraloría[#All],5,0),"")</f>
        <v/>
      </c>
      <c r="F1951" s="138" t="str">
        <f>+IFERROR(VLOOKUP(Fact_Analitica[[#This Row],[Concepto Anterior]],Conceptos_Analítica_contraloría[#All],7,0),"")</f>
        <v/>
      </c>
      <c r="I1951" s="138" t="str">
        <f>+IFERROR(VLOOKUP(D1951,Conceptos_Analítica_contraloría[#All],2,0),"")</f>
        <v/>
      </c>
      <c r="J1951" s="138" t="str">
        <f>+IFERROR(VLOOKUP(D1951,Conceptos_Analítica_contraloría[#All],3,0),"")</f>
        <v/>
      </c>
    </row>
    <row r="1952" spans="3:10" x14ac:dyDescent="0.35">
      <c r="C1952" s="144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s="138" t="str">
        <f>+IFERROR(VLOOKUP(Fact_Analitica[[#This Row],[Concepto Anterior]],Conceptos_Analítica_contraloría[#All],5,0),"")</f>
        <v/>
      </c>
      <c r="F1952" s="138" t="str">
        <f>+IFERROR(VLOOKUP(Fact_Analitica[[#This Row],[Concepto Anterior]],Conceptos_Analítica_contraloría[#All],7,0),"")</f>
        <v/>
      </c>
      <c r="I1952" s="138" t="str">
        <f>+IFERROR(VLOOKUP(D1952,Conceptos_Analítica_contraloría[#All],2,0),"")</f>
        <v/>
      </c>
      <c r="J1952" s="138" t="str">
        <f>+IFERROR(VLOOKUP(D1952,Conceptos_Analítica_contraloría[#All],3,0),"")</f>
        <v/>
      </c>
    </row>
    <row r="1953" spans="3:10" x14ac:dyDescent="0.35">
      <c r="C1953" s="144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s="138" t="str">
        <f>+IFERROR(VLOOKUP(Fact_Analitica[[#This Row],[Concepto Anterior]],Conceptos_Analítica_contraloría[#All],5,0),"")</f>
        <v/>
      </c>
      <c r="F1953" s="138" t="str">
        <f>+IFERROR(VLOOKUP(Fact_Analitica[[#This Row],[Concepto Anterior]],Conceptos_Analítica_contraloría[#All],7,0),"")</f>
        <v/>
      </c>
      <c r="I1953" s="138" t="str">
        <f>+IFERROR(VLOOKUP(D1953,Conceptos_Analítica_contraloría[#All],2,0),"")</f>
        <v/>
      </c>
      <c r="J1953" s="138" t="str">
        <f>+IFERROR(VLOOKUP(D1953,Conceptos_Analítica_contraloría[#All],3,0),"")</f>
        <v/>
      </c>
    </row>
    <row r="1954" spans="3:10" x14ac:dyDescent="0.35">
      <c r="C1954" s="144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s="138" t="str">
        <f>+IFERROR(VLOOKUP(Fact_Analitica[[#This Row],[Concepto Anterior]],Conceptos_Analítica_contraloría[#All],5,0),"")</f>
        <v/>
      </c>
      <c r="F1954" s="138" t="str">
        <f>+IFERROR(VLOOKUP(Fact_Analitica[[#This Row],[Concepto Anterior]],Conceptos_Analítica_contraloría[#All],7,0),"")</f>
        <v/>
      </c>
      <c r="I1954" s="138" t="str">
        <f>+IFERROR(VLOOKUP(D1954,Conceptos_Analítica_contraloría[#All],2,0),"")</f>
        <v/>
      </c>
      <c r="J1954" s="138" t="str">
        <f>+IFERROR(VLOOKUP(D1954,Conceptos_Analítica_contraloría[#All],3,0),"")</f>
        <v/>
      </c>
    </row>
    <row r="1955" spans="3:10" x14ac:dyDescent="0.35">
      <c r="C1955" s="144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s="138" t="str">
        <f>+IFERROR(VLOOKUP(Fact_Analitica[[#This Row],[Concepto Anterior]],Conceptos_Analítica_contraloría[#All],5,0),"")</f>
        <v/>
      </c>
      <c r="F1955" s="138" t="str">
        <f>+IFERROR(VLOOKUP(Fact_Analitica[[#This Row],[Concepto Anterior]],Conceptos_Analítica_contraloría[#All],7,0),"")</f>
        <v/>
      </c>
      <c r="I1955" s="138" t="str">
        <f>+IFERROR(VLOOKUP(D1955,Conceptos_Analítica_contraloría[#All],2,0),"")</f>
        <v/>
      </c>
      <c r="J1955" s="138" t="str">
        <f>+IFERROR(VLOOKUP(D1955,Conceptos_Analítica_contraloría[#All],3,0),"")</f>
        <v/>
      </c>
    </row>
    <row r="1956" spans="3:10" x14ac:dyDescent="0.35">
      <c r="C1956" s="144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s="138" t="str">
        <f>+IFERROR(VLOOKUP(Fact_Analitica[[#This Row],[Concepto Anterior]],Conceptos_Analítica_contraloría[#All],5,0),"")</f>
        <v/>
      </c>
      <c r="F1956" s="138" t="str">
        <f>+IFERROR(VLOOKUP(Fact_Analitica[[#This Row],[Concepto Anterior]],Conceptos_Analítica_contraloría[#All],7,0),"")</f>
        <v/>
      </c>
      <c r="I1956" s="138" t="str">
        <f>+IFERROR(VLOOKUP(D1956,Conceptos_Analítica_contraloría[#All],2,0),"")</f>
        <v/>
      </c>
      <c r="J1956" s="138" t="str">
        <f>+IFERROR(VLOOKUP(D1956,Conceptos_Analítica_contraloría[#All],3,0),"")</f>
        <v/>
      </c>
    </row>
    <row r="1957" spans="3:10" x14ac:dyDescent="0.35">
      <c r="C1957" s="144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s="138" t="str">
        <f>+IFERROR(VLOOKUP(Fact_Analitica[[#This Row],[Concepto Anterior]],Conceptos_Analítica_contraloría[#All],5,0),"")</f>
        <v/>
      </c>
      <c r="F1957" s="138" t="str">
        <f>+IFERROR(VLOOKUP(Fact_Analitica[[#This Row],[Concepto Anterior]],Conceptos_Analítica_contraloría[#All],7,0),"")</f>
        <v/>
      </c>
      <c r="I1957" s="138" t="str">
        <f>+IFERROR(VLOOKUP(D1957,Conceptos_Analítica_contraloría[#All],2,0),"")</f>
        <v/>
      </c>
      <c r="J1957" s="138" t="str">
        <f>+IFERROR(VLOOKUP(D1957,Conceptos_Analítica_contraloría[#All],3,0),"")</f>
        <v/>
      </c>
    </row>
    <row r="1958" spans="3:10" x14ac:dyDescent="0.35">
      <c r="C1958" s="144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s="138" t="str">
        <f>+IFERROR(VLOOKUP(Fact_Analitica[[#This Row],[Concepto Anterior]],Conceptos_Analítica_contraloría[#All],5,0),"")</f>
        <v/>
      </c>
      <c r="F1958" s="138" t="str">
        <f>+IFERROR(VLOOKUP(Fact_Analitica[[#This Row],[Concepto Anterior]],Conceptos_Analítica_contraloría[#All],7,0),"")</f>
        <v/>
      </c>
      <c r="I1958" s="138" t="str">
        <f>+IFERROR(VLOOKUP(D1958,Conceptos_Analítica_contraloría[#All],2,0),"")</f>
        <v/>
      </c>
      <c r="J1958" s="138" t="str">
        <f>+IFERROR(VLOOKUP(D1958,Conceptos_Analítica_contraloría[#All],3,0),"")</f>
        <v/>
      </c>
    </row>
    <row r="1959" spans="3:10" x14ac:dyDescent="0.35">
      <c r="C1959" s="144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s="138" t="str">
        <f>+IFERROR(VLOOKUP(Fact_Analitica[[#This Row],[Concepto Anterior]],Conceptos_Analítica_contraloría[#All],5,0),"")</f>
        <v/>
      </c>
      <c r="F1959" s="138" t="str">
        <f>+IFERROR(VLOOKUP(Fact_Analitica[[#This Row],[Concepto Anterior]],Conceptos_Analítica_contraloría[#All],7,0),"")</f>
        <v/>
      </c>
      <c r="I1959" s="138" t="str">
        <f>+IFERROR(VLOOKUP(D1959,Conceptos_Analítica_contraloría[#All],2,0),"")</f>
        <v/>
      </c>
      <c r="J1959" s="138" t="str">
        <f>+IFERROR(VLOOKUP(D1959,Conceptos_Analítica_contraloría[#All],3,0),"")</f>
        <v/>
      </c>
    </row>
    <row r="1960" spans="3:10" x14ac:dyDescent="0.35">
      <c r="C1960" s="144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s="138" t="str">
        <f>+IFERROR(VLOOKUP(Fact_Analitica[[#This Row],[Concepto Anterior]],Conceptos_Analítica_contraloría[#All],5,0),"")</f>
        <v/>
      </c>
      <c r="F1960" s="138" t="str">
        <f>+IFERROR(VLOOKUP(Fact_Analitica[[#This Row],[Concepto Anterior]],Conceptos_Analítica_contraloría[#All],7,0),"")</f>
        <v/>
      </c>
      <c r="I1960" s="138" t="str">
        <f>+IFERROR(VLOOKUP(D1960,Conceptos_Analítica_contraloría[#All],2,0),"")</f>
        <v/>
      </c>
      <c r="J1960" s="138" t="str">
        <f>+IFERROR(VLOOKUP(D1960,Conceptos_Analítica_contraloría[#All],3,0),"")</f>
        <v/>
      </c>
    </row>
    <row r="1961" spans="3:10" x14ac:dyDescent="0.35">
      <c r="C1961" s="144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s="138" t="str">
        <f>+IFERROR(VLOOKUP(Fact_Analitica[[#This Row],[Concepto Anterior]],Conceptos_Analítica_contraloría[#All],5,0),"")</f>
        <v/>
      </c>
      <c r="F1961" s="138" t="str">
        <f>+IFERROR(VLOOKUP(Fact_Analitica[[#This Row],[Concepto Anterior]],Conceptos_Analítica_contraloría[#All],7,0),"")</f>
        <v/>
      </c>
      <c r="I1961" s="138" t="str">
        <f>+IFERROR(VLOOKUP(D1961,Conceptos_Analítica_contraloría[#All],2,0),"")</f>
        <v/>
      </c>
      <c r="J1961" s="138" t="str">
        <f>+IFERROR(VLOOKUP(D1961,Conceptos_Analítica_contraloría[#All],3,0),"")</f>
        <v/>
      </c>
    </row>
    <row r="1962" spans="3:10" x14ac:dyDescent="0.35">
      <c r="C1962" s="144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s="138" t="str">
        <f>+IFERROR(VLOOKUP(Fact_Analitica[[#This Row],[Concepto Anterior]],Conceptos_Analítica_contraloría[#All],5,0),"")</f>
        <v/>
      </c>
      <c r="F1962" s="138" t="str">
        <f>+IFERROR(VLOOKUP(Fact_Analitica[[#This Row],[Concepto Anterior]],Conceptos_Analítica_contraloría[#All],7,0),"")</f>
        <v/>
      </c>
      <c r="I1962" s="138" t="str">
        <f>+IFERROR(VLOOKUP(D1962,Conceptos_Analítica_contraloría[#All],2,0),"")</f>
        <v/>
      </c>
      <c r="J1962" s="138" t="str">
        <f>+IFERROR(VLOOKUP(D1962,Conceptos_Analítica_contraloría[#All],3,0),"")</f>
        <v/>
      </c>
    </row>
    <row r="1963" spans="3:10" x14ac:dyDescent="0.35">
      <c r="C1963" s="144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s="138" t="str">
        <f>+IFERROR(VLOOKUP(Fact_Analitica[[#This Row],[Concepto Anterior]],Conceptos_Analítica_contraloría[#All],5,0),"")</f>
        <v/>
      </c>
      <c r="F1963" s="138" t="str">
        <f>+IFERROR(VLOOKUP(Fact_Analitica[[#This Row],[Concepto Anterior]],Conceptos_Analítica_contraloría[#All],7,0),"")</f>
        <v/>
      </c>
      <c r="I1963" s="138" t="str">
        <f>+IFERROR(VLOOKUP(D1963,Conceptos_Analítica_contraloría[#All],2,0),"")</f>
        <v/>
      </c>
      <c r="J1963" s="138" t="str">
        <f>+IFERROR(VLOOKUP(D1963,Conceptos_Analítica_contraloría[#All],3,0),"")</f>
        <v/>
      </c>
    </row>
    <row r="1964" spans="3:10" x14ac:dyDescent="0.35">
      <c r="C1964" s="144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s="138" t="str">
        <f>+IFERROR(VLOOKUP(Fact_Analitica[[#This Row],[Concepto Anterior]],Conceptos_Analítica_contraloría[#All],5,0),"")</f>
        <v/>
      </c>
      <c r="F1964" s="138" t="str">
        <f>+IFERROR(VLOOKUP(Fact_Analitica[[#This Row],[Concepto Anterior]],Conceptos_Analítica_contraloría[#All],7,0),"")</f>
        <v/>
      </c>
      <c r="I1964" s="138" t="str">
        <f>+IFERROR(VLOOKUP(D1964,Conceptos_Analítica_contraloría[#All],2,0),"")</f>
        <v/>
      </c>
      <c r="J1964" s="138" t="str">
        <f>+IFERROR(VLOOKUP(D1964,Conceptos_Analítica_contraloría[#All],3,0),"")</f>
        <v/>
      </c>
    </row>
    <row r="1965" spans="3:10" x14ac:dyDescent="0.35">
      <c r="C1965" s="144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s="138" t="str">
        <f>+IFERROR(VLOOKUP(Fact_Analitica[[#This Row],[Concepto Anterior]],Conceptos_Analítica_contraloría[#All],5,0),"")</f>
        <v/>
      </c>
      <c r="F1965" s="138" t="str">
        <f>+IFERROR(VLOOKUP(Fact_Analitica[[#This Row],[Concepto Anterior]],Conceptos_Analítica_contraloría[#All],7,0),"")</f>
        <v/>
      </c>
      <c r="I1965" s="138" t="str">
        <f>+IFERROR(VLOOKUP(D1965,Conceptos_Analítica_contraloría[#All],2,0),"")</f>
        <v/>
      </c>
      <c r="J1965" s="138" t="str">
        <f>+IFERROR(VLOOKUP(D1965,Conceptos_Analítica_contraloría[#All],3,0),"")</f>
        <v/>
      </c>
    </row>
    <row r="1966" spans="3:10" x14ac:dyDescent="0.35">
      <c r="C1966" s="144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s="138" t="str">
        <f>+IFERROR(VLOOKUP(Fact_Analitica[[#This Row],[Concepto Anterior]],Conceptos_Analítica_contraloría[#All],5,0),"")</f>
        <v/>
      </c>
      <c r="F1966" s="138" t="str">
        <f>+IFERROR(VLOOKUP(Fact_Analitica[[#This Row],[Concepto Anterior]],Conceptos_Analítica_contraloría[#All],7,0),"")</f>
        <v/>
      </c>
      <c r="I1966" s="138" t="str">
        <f>+IFERROR(VLOOKUP(D1966,Conceptos_Analítica_contraloría[#All],2,0),"")</f>
        <v/>
      </c>
      <c r="J1966" s="138" t="str">
        <f>+IFERROR(VLOOKUP(D1966,Conceptos_Analítica_contraloría[#All],3,0),"")</f>
        <v/>
      </c>
    </row>
    <row r="1967" spans="3:10" x14ac:dyDescent="0.35">
      <c r="C1967" s="144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s="138" t="str">
        <f>+IFERROR(VLOOKUP(Fact_Analitica[[#This Row],[Concepto Anterior]],Conceptos_Analítica_contraloría[#All],5,0),"")</f>
        <v/>
      </c>
      <c r="F1967" s="138" t="str">
        <f>+IFERROR(VLOOKUP(Fact_Analitica[[#This Row],[Concepto Anterior]],Conceptos_Analítica_contraloría[#All],7,0),"")</f>
        <v/>
      </c>
      <c r="I1967" s="138" t="str">
        <f>+IFERROR(VLOOKUP(D1967,Conceptos_Analítica_contraloría[#All],2,0),"")</f>
        <v/>
      </c>
      <c r="J1967" s="138" t="str">
        <f>+IFERROR(VLOOKUP(D1967,Conceptos_Analítica_contraloría[#All],3,0),"")</f>
        <v/>
      </c>
    </row>
    <row r="1968" spans="3:10" x14ac:dyDescent="0.35">
      <c r="C1968" s="144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s="138" t="str">
        <f>+IFERROR(VLOOKUP(Fact_Analitica[[#This Row],[Concepto Anterior]],Conceptos_Analítica_contraloría[#All],5,0),"")</f>
        <v/>
      </c>
      <c r="F1968" s="138" t="str">
        <f>+IFERROR(VLOOKUP(Fact_Analitica[[#This Row],[Concepto Anterior]],Conceptos_Analítica_contraloría[#All],7,0),"")</f>
        <v/>
      </c>
      <c r="I1968" s="138" t="str">
        <f>+IFERROR(VLOOKUP(D1968,Conceptos_Analítica_contraloría[#All],2,0),"")</f>
        <v/>
      </c>
      <c r="J1968" s="138" t="str">
        <f>+IFERROR(VLOOKUP(D1968,Conceptos_Analítica_contraloría[#All],3,0),"")</f>
        <v/>
      </c>
    </row>
    <row r="1969" spans="3:10" x14ac:dyDescent="0.35">
      <c r="C1969" s="144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s="138" t="str">
        <f>+IFERROR(VLOOKUP(Fact_Analitica[[#This Row],[Concepto Anterior]],Conceptos_Analítica_contraloría[#All],5,0),"")</f>
        <v/>
      </c>
      <c r="F1969" s="138" t="str">
        <f>+IFERROR(VLOOKUP(Fact_Analitica[[#This Row],[Concepto Anterior]],Conceptos_Analítica_contraloría[#All],7,0),"")</f>
        <v/>
      </c>
      <c r="I1969" s="138" t="str">
        <f>+IFERROR(VLOOKUP(D1969,Conceptos_Analítica_contraloría[#All],2,0),"")</f>
        <v/>
      </c>
      <c r="J1969" s="138" t="str">
        <f>+IFERROR(VLOOKUP(D1969,Conceptos_Analítica_contraloría[#All],3,0),"")</f>
        <v/>
      </c>
    </row>
    <row r="1970" spans="3:10" x14ac:dyDescent="0.35">
      <c r="C1970" s="144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s="138" t="str">
        <f>+IFERROR(VLOOKUP(Fact_Analitica[[#This Row],[Concepto Anterior]],Conceptos_Analítica_contraloría[#All],5,0),"")</f>
        <v/>
      </c>
      <c r="F1970" s="138" t="str">
        <f>+IFERROR(VLOOKUP(Fact_Analitica[[#This Row],[Concepto Anterior]],Conceptos_Analítica_contraloría[#All],7,0),"")</f>
        <v/>
      </c>
      <c r="I1970" s="138" t="str">
        <f>+IFERROR(VLOOKUP(D1970,Conceptos_Analítica_contraloría[#All],2,0),"")</f>
        <v/>
      </c>
      <c r="J1970" s="138" t="str">
        <f>+IFERROR(VLOOKUP(D1970,Conceptos_Analítica_contraloría[#All],3,0),"")</f>
        <v/>
      </c>
    </row>
    <row r="1971" spans="3:10" x14ac:dyDescent="0.35">
      <c r="C1971" s="144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s="138" t="str">
        <f>+IFERROR(VLOOKUP(Fact_Analitica[[#This Row],[Concepto Anterior]],Conceptos_Analítica_contraloría[#All],5,0),"")</f>
        <v/>
      </c>
      <c r="F1971" s="138" t="str">
        <f>+IFERROR(VLOOKUP(Fact_Analitica[[#This Row],[Concepto Anterior]],Conceptos_Analítica_contraloría[#All],7,0),"")</f>
        <v/>
      </c>
      <c r="I1971" s="138" t="str">
        <f>+IFERROR(VLOOKUP(D1971,Conceptos_Analítica_contraloría[#All],2,0),"")</f>
        <v/>
      </c>
      <c r="J1971" s="138" t="str">
        <f>+IFERROR(VLOOKUP(D1971,Conceptos_Analítica_contraloría[#All],3,0),"")</f>
        <v/>
      </c>
    </row>
    <row r="1972" spans="3:10" x14ac:dyDescent="0.35">
      <c r="C1972" s="144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s="138" t="str">
        <f>+IFERROR(VLOOKUP(Fact_Analitica[[#This Row],[Concepto Anterior]],Conceptos_Analítica_contraloría[#All],5,0),"")</f>
        <v/>
      </c>
      <c r="F1972" s="138" t="str">
        <f>+IFERROR(VLOOKUP(Fact_Analitica[[#This Row],[Concepto Anterior]],Conceptos_Analítica_contraloría[#All],7,0),"")</f>
        <v/>
      </c>
      <c r="I1972" s="138" t="str">
        <f>+IFERROR(VLOOKUP(D1972,Conceptos_Analítica_contraloría[#All],2,0),"")</f>
        <v/>
      </c>
      <c r="J1972" s="138" t="str">
        <f>+IFERROR(VLOOKUP(D1972,Conceptos_Analítica_contraloría[#All],3,0),"")</f>
        <v/>
      </c>
    </row>
    <row r="1973" spans="3:10" x14ac:dyDescent="0.35">
      <c r="C1973" s="144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s="138" t="str">
        <f>+IFERROR(VLOOKUP(Fact_Analitica[[#This Row],[Concepto Anterior]],Conceptos_Analítica_contraloría[#All],5,0),"")</f>
        <v/>
      </c>
      <c r="F1973" s="138" t="str">
        <f>+IFERROR(VLOOKUP(Fact_Analitica[[#This Row],[Concepto Anterior]],Conceptos_Analítica_contraloría[#All],7,0),"")</f>
        <v/>
      </c>
      <c r="I1973" s="138" t="str">
        <f>+IFERROR(VLOOKUP(D1973,Conceptos_Analítica_contraloría[#All],2,0),"")</f>
        <v/>
      </c>
      <c r="J1973" s="138" t="str">
        <f>+IFERROR(VLOOKUP(D1973,Conceptos_Analítica_contraloría[#All],3,0),"")</f>
        <v/>
      </c>
    </row>
    <row r="1974" spans="3:10" x14ac:dyDescent="0.35">
      <c r="C1974" s="144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s="138" t="str">
        <f>+IFERROR(VLOOKUP(Fact_Analitica[[#This Row],[Concepto Anterior]],Conceptos_Analítica_contraloría[#All],5,0),"")</f>
        <v/>
      </c>
      <c r="F1974" s="138" t="str">
        <f>+IFERROR(VLOOKUP(Fact_Analitica[[#This Row],[Concepto Anterior]],Conceptos_Analítica_contraloría[#All],7,0),"")</f>
        <v/>
      </c>
      <c r="I1974" s="138" t="str">
        <f>+IFERROR(VLOOKUP(D1974,Conceptos_Analítica_contraloría[#All],2,0),"")</f>
        <v/>
      </c>
      <c r="J1974" s="138" t="str">
        <f>+IFERROR(VLOOKUP(D1974,Conceptos_Analítica_contraloría[#All],3,0),"")</f>
        <v/>
      </c>
    </row>
    <row r="1975" spans="3:10" x14ac:dyDescent="0.35">
      <c r="C1975" s="144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s="138" t="str">
        <f>+IFERROR(VLOOKUP(Fact_Analitica[[#This Row],[Concepto Anterior]],Conceptos_Analítica_contraloría[#All],5,0),"")</f>
        <v/>
      </c>
      <c r="F1975" s="138" t="str">
        <f>+IFERROR(VLOOKUP(Fact_Analitica[[#This Row],[Concepto Anterior]],Conceptos_Analítica_contraloría[#All],7,0),"")</f>
        <v/>
      </c>
      <c r="I1975" s="138" t="str">
        <f>+IFERROR(VLOOKUP(D1975,Conceptos_Analítica_contraloría[#All],2,0),"")</f>
        <v/>
      </c>
      <c r="J1975" s="138" t="str">
        <f>+IFERROR(VLOOKUP(D1975,Conceptos_Analítica_contraloría[#All],3,0),"")</f>
        <v/>
      </c>
    </row>
    <row r="1976" spans="3:10" x14ac:dyDescent="0.35">
      <c r="C1976" s="144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s="138" t="str">
        <f>+IFERROR(VLOOKUP(Fact_Analitica[[#This Row],[Concepto Anterior]],Conceptos_Analítica_contraloría[#All],5,0),"")</f>
        <v/>
      </c>
      <c r="F1976" s="138" t="str">
        <f>+IFERROR(VLOOKUP(Fact_Analitica[[#This Row],[Concepto Anterior]],Conceptos_Analítica_contraloría[#All],7,0),"")</f>
        <v/>
      </c>
      <c r="I1976" s="138" t="str">
        <f>+IFERROR(VLOOKUP(D1976,Conceptos_Analítica_contraloría[#All],2,0),"")</f>
        <v/>
      </c>
      <c r="J1976" s="138" t="str">
        <f>+IFERROR(VLOOKUP(D1976,Conceptos_Analítica_contraloría[#All],3,0),"")</f>
        <v/>
      </c>
    </row>
    <row r="1977" spans="3:10" x14ac:dyDescent="0.35">
      <c r="C1977" s="144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s="138" t="str">
        <f>+IFERROR(VLOOKUP(Fact_Analitica[[#This Row],[Concepto Anterior]],Conceptos_Analítica_contraloría[#All],5,0),"")</f>
        <v/>
      </c>
      <c r="F1977" s="138" t="str">
        <f>+IFERROR(VLOOKUP(Fact_Analitica[[#This Row],[Concepto Anterior]],Conceptos_Analítica_contraloría[#All],7,0),"")</f>
        <v/>
      </c>
      <c r="I1977" s="138" t="str">
        <f>+IFERROR(VLOOKUP(D1977,Conceptos_Analítica_contraloría[#All],2,0),"")</f>
        <v/>
      </c>
      <c r="J1977" s="138" t="str">
        <f>+IFERROR(VLOOKUP(D1977,Conceptos_Analítica_contraloría[#All],3,0),"")</f>
        <v/>
      </c>
    </row>
    <row r="1978" spans="3:10" x14ac:dyDescent="0.35">
      <c r="C1978" s="144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s="138" t="str">
        <f>+IFERROR(VLOOKUP(Fact_Analitica[[#This Row],[Concepto Anterior]],Conceptos_Analítica_contraloría[#All],5,0),"")</f>
        <v/>
      </c>
      <c r="F1978" s="138" t="str">
        <f>+IFERROR(VLOOKUP(Fact_Analitica[[#This Row],[Concepto Anterior]],Conceptos_Analítica_contraloría[#All],7,0),"")</f>
        <v/>
      </c>
      <c r="I1978" s="138" t="str">
        <f>+IFERROR(VLOOKUP(D1978,Conceptos_Analítica_contraloría[#All],2,0),"")</f>
        <v/>
      </c>
      <c r="J1978" s="138" t="str">
        <f>+IFERROR(VLOOKUP(D1978,Conceptos_Analítica_contraloría[#All],3,0),"")</f>
        <v/>
      </c>
    </row>
    <row r="1979" spans="3:10" x14ac:dyDescent="0.35">
      <c r="C1979" s="144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s="138" t="str">
        <f>+IFERROR(VLOOKUP(Fact_Analitica[[#This Row],[Concepto Anterior]],Conceptos_Analítica_contraloría[#All],5,0),"")</f>
        <v/>
      </c>
      <c r="F1979" s="138" t="str">
        <f>+IFERROR(VLOOKUP(Fact_Analitica[[#This Row],[Concepto Anterior]],Conceptos_Analítica_contraloría[#All],7,0),"")</f>
        <v/>
      </c>
      <c r="I1979" s="138" t="str">
        <f>+IFERROR(VLOOKUP(D1979,Conceptos_Analítica_contraloría[#All],2,0),"")</f>
        <v/>
      </c>
      <c r="J1979" s="138" t="str">
        <f>+IFERROR(VLOOKUP(D1979,Conceptos_Analítica_contraloría[#All],3,0),"")</f>
        <v/>
      </c>
    </row>
    <row r="1980" spans="3:10" x14ac:dyDescent="0.35">
      <c r="C1980" s="144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s="138" t="str">
        <f>+IFERROR(VLOOKUP(Fact_Analitica[[#This Row],[Concepto Anterior]],Conceptos_Analítica_contraloría[#All],5,0),"")</f>
        <v/>
      </c>
      <c r="F1980" s="138" t="str">
        <f>+IFERROR(VLOOKUP(Fact_Analitica[[#This Row],[Concepto Anterior]],Conceptos_Analítica_contraloría[#All],7,0),"")</f>
        <v/>
      </c>
      <c r="I1980" s="138" t="str">
        <f>+IFERROR(VLOOKUP(D1980,Conceptos_Analítica_contraloría[#All],2,0),"")</f>
        <v/>
      </c>
      <c r="J1980" s="138" t="str">
        <f>+IFERROR(VLOOKUP(D1980,Conceptos_Analítica_contraloría[#All],3,0),"")</f>
        <v/>
      </c>
    </row>
    <row r="1981" spans="3:10" x14ac:dyDescent="0.35">
      <c r="C1981" s="144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s="138" t="str">
        <f>+IFERROR(VLOOKUP(Fact_Analitica[[#This Row],[Concepto Anterior]],Conceptos_Analítica_contraloría[#All],5,0),"")</f>
        <v/>
      </c>
      <c r="F1981" s="138" t="str">
        <f>+IFERROR(VLOOKUP(Fact_Analitica[[#This Row],[Concepto Anterior]],Conceptos_Analítica_contraloría[#All],7,0),"")</f>
        <v/>
      </c>
      <c r="I1981" s="138" t="str">
        <f>+IFERROR(VLOOKUP(D1981,Conceptos_Analítica_contraloría[#All],2,0),"")</f>
        <v/>
      </c>
      <c r="J1981" s="138" t="str">
        <f>+IFERROR(VLOOKUP(D1981,Conceptos_Analítica_contraloría[#All],3,0),"")</f>
        <v/>
      </c>
    </row>
    <row r="1982" spans="3:10" x14ac:dyDescent="0.35">
      <c r="C1982" s="144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s="138" t="str">
        <f>+IFERROR(VLOOKUP(Fact_Analitica[[#This Row],[Concepto Anterior]],Conceptos_Analítica_contraloría[#All],5,0),"")</f>
        <v/>
      </c>
      <c r="F1982" s="138" t="str">
        <f>+IFERROR(VLOOKUP(Fact_Analitica[[#This Row],[Concepto Anterior]],Conceptos_Analítica_contraloría[#All],7,0),"")</f>
        <v/>
      </c>
      <c r="I1982" s="138" t="str">
        <f>+IFERROR(VLOOKUP(D1982,Conceptos_Analítica_contraloría[#All],2,0),"")</f>
        <v/>
      </c>
      <c r="J1982" s="138" t="str">
        <f>+IFERROR(VLOOKUP(D1982,Conceptos_Analítica_contraloría[#All],3,0),"")</f>
        <v/>
      </c>
    </row>
    <row r="1983" spans="3:10" x14ac:dyDescent="0.35">
      <c r="C1983" s="144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s="138" t="str">
        <f>+IFERROR(VLOOKUP(Fact_Analitica[[#This Row],[Concepto Anterior]],Conceptos_Analítica_contraloría[#All],5,0),"")</f>
        <v/>
      </c>
      <c r="F1983" s="138" t="str">
        <f>+IFERROR(VLOOKUP(Fact_Analitica[[#This Row],[Concepto Anterior]],Conceptos_Analítica_contraloría[#All],7,0),"")</f>
        <v/>
      </c>
      <c r="I1983" s="138" t="str">
        <f>+IFERROR(VLOOKUP(D1983,Conceptos_Analítica_contraloría[#All],2,0),"")</f>
        <v/>
      </c>
      <c r="J1983" s="138" t="str">
        <f>+IFERROR(VLOOKUP(D1983,Conceptos_Analítica_contraloría[#All],3,0),"")</f>
        <v/>
      </c>
    </row>
    <row r="1984" spans="3:10" x14ac:dyDescent="0.35">
      <c r="C1984" s="144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s="138" t="str">
        <f>+IFERROR(VLOOKUP(Fact_Analitica[[#This Row],[Concepto Anterior]],Conceptos_Analítica_contraloría[#All],5,0),"")</f>
        <v/>
      </c>
      <c r="F1984" s="138" t="str">
        <f>+IFERROR(VLOOKUP(Fact_Analitica[[#This Row],[Concepto Anterior]],Conceptos_Analítica_contraloría[#All],7,0),"")</f>
        <v/>
      </c>
      <c r="I1984" s="138" t="str">
        <f>+IFERROR(VLOOKUP(D1984,Conceptos_Analítica_contraloría[#All],2,0),"")</f>
        <v/>
      </c>
      <c r="J1984" s="138" t="str">
        <f>+IFERROR(VLOOKUP(D1984,Conceptos_Analítica_contraloría[#All],3,0),"")</f>
        <v/>
      </c>
    </row>
    <row r="1985" spans="3:10" x14ac:dyDescent="0.35">
      <c r="C1985" s="144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s="138" t="str">
        <f>+IFERROR(VLOOKUP(Fact_Analitica[[#This Row],[Concepto Anterior]],Conceptos_Analítica_contraloría[#All],5,0),"")</f>
        <v/>
      </c>
      <c r="F1985" s="138" t="str">
        <f>+IFERROR(VLOOKUP(Fact_Analitica[[#This Row],[Concepto Anterior]],Conceptos_Analítica_contraloría[#All],7,0),"")</f>
        <v/>
      </c>
      <c r="I1985" s="138" t="str">
        <f>+IFERROR(VLOOKUP(D1985,Conceptos_Analítica_contraloría[#All],2,0),"")</f>
        <v/>
      </c>
      <c r="J1985" s="138" t="str">
        <f>+IFERROR(VLOOKUP(D1985,Conceptos_Analítica_contraloría[#All],3,0),"")</f>
        <v/>
      </c>
    </row>
    <row r="1986" spans="3:10" x14ac:dyDescent="0.35">
      <c r="C1986" s="144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s="138" t="str">
        <f>+IFERROR(VLOOKUP(Fact_Analitica[[#This Row],[Concepto Anterior]],Conceptos_Analítica_contraloría[#All],5,0),"")</f>
        <v/>
      </c>
      <c r="F1986" s="138" t="str">
        <f>+IFERROR(VLOOKUP(Fact_Analitica[[#This Row],[Concepto Anterior]],Conceptos_Analítica_contraloría[#All],7,0),"")</f>
        <v/>
      </c>
      <c r="I1986" s="138" t="str">
        <f>+IFERROR(VLOOKUP(D1986,Conceptos_Analítica_contraloría[#All],2,0),"")</f>
        <v/>
      </c>
      <c r="J1986" s="138" t="str">
        <f>+IFERROR(VLOOKUP(D1986,Conceptos_Analítica_contraloría[#All],3,0),"")</f>
        <v/>
      </c>
    </row>
    <row r="1987" spans="3:10" x14ac:dyDescent="0.35">
      <c r="C1987" s="144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s="138" t="str">
        <f>+IFERROR(VLOOKUP(Fact_Analitica[[#This Row],[Concepto Anterior]],Conceptos_Analítica_contraloría[#All],5,0),"")</f>
        <v/>
      </c>
      <c r="F1987" s="138" t="str">
        <f>+IFERROR(VLOOKUP(Fact_Analitica[[#This Row],[Concepto Anterior]],Conceptos_Analítica_contraloría[#All],7,0),"")</f>
        <v/>
      </c>
      <c r="I1987" s="138" t="str">
        <f>+IFERROR(VLOOKUP(D1987,Conceptos_Analítica_contraloría[#All],2,0),"")</f>
        <v/>
      </c>
      <c r="J1987" s="138" t="str">
        <f>+IFERROR(VLOOKUP(D1987,Conceptos_Analítica_contraloría[#All],3,0),"")</f>
        <v/>
      </c>
    </row>
    <row r="1988" spans="3:10" x14ac:dyDescent="0.35">
      <c r="C1988" s="144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s="138" t="str">
        <f>+IFERROR(VLOOKUP(Fact_Analitica[[#This Row],[Concepto Anterior]],Conceptos_Analítica_contraloría[#All],5,0),"")</f>
        <v/>
      </c>
      <c r="F1988" s="138" t="str">
        <f>+IFERROR(VLOOKUP(Fact_Analitica[[#This Row],[Concepto Anterior]],Conceptos_Analítica_contraloría[#All],7,0),"")</f>
        <v/>
      </c>
      <c r="I1988" s="138" t="str">
        <f>+IFERROR(VLOOKUP(D1988,Conceptos_Analítica_contraloría[#All],2,0),"")</f>
        <v/>
      </c>
      <c r="J1988" s="138" t="str">
        <f>+IFERROR(VLOOKUP(D1988,Conceptos_Analítica_contraloría[#All],3,0),"")</f>
        <v/>
      </c>
    </row>
    <row r="1989" spans="3:10" x14ac:dyDescent="0.35">
      <c r="C1989" s="144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s="138" t="str">
        <f>+IFERROR(VLOOKUP(Fact_Analitica[[#This Row],[Concepto Anterior]],Conceptos_Analítica_contraloría[#All],5,0),"")</f>
        <v/>
      </c>
      <c r="F1989" s="138" t="str">
        <f>+IFERROR(VLOOKUP(Fact_Analitica[[#This Row],[Concepto Anterior]],Conceptos_Analítica_contraloría[#All],7,0),"")</f>
        <v/>
      </c>
      <c r="I1989" s="138" t="str">
        <f>+IFERROR(VLOOKUP(D1989,Conceptos_Analítica_contraloría[#All],2,0),"")</f>
        <v/>
      </c>
      <c r="J1989" s="138" t="str">
        <f>+IFERROR(VLOOKUP(D1989,Conceptos_Analítica_contraloría[#All],3,0),"")</f>
        <v/>
      </c>
    </row>
    <row r="1990" spans="3:10" x14ac:dyDescent="0.35">
      <c r="C1990" s="144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s="138" t="str">
        <f>+IFERROR(VLOOKUP(Fact_Analitica[[#This Row],[Concepto Anterior]],Conceptos_Analítica_contraloría[#All],5,0),"")</f>
        <v/>
      </c>
      <c r="F1990" s="138" t="str">
        <f>+IFERROR(VLOOKUP(Fact_Analitica[[#This Row],[Concepto Anterior]],Conceptos_Analítica_contraloría[#All],7,0),"")</f>
        <v/>
      </c>
      <c r="I1990" s="138" t="str">
        <f>+IFERROR(VLOOKUP(D1990,Conceptos_Analítica_contraloría[#All],2,0),"")</f>
        <v/>
      </c>
      <c r="J1990" s="138" t="str">
        <f>+IFERROR(VLOOKUP(D1990,Conceptos_Analítica_contraloría[#All],3,0),"")</f>
        <v/>
      </c>
    </row>
    <row r="1991" spans="3:10" x14ac:dyDescent="0.35">
      <c r="C1991" s="144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s="138" t="str">
        <f>+IFERROR(VLOOKUP(Fact_Analitica[[#This Row],[Concepto Anterior]],Conceptos_Analítica_contraloría[#All],5,0),"")</f>
        <v/>
      </c>
      <c r="F1991" s="138" t="str">
        <f>+IFERROR(VLOOKUP(Fact_Analitica[[#This Row],[Concepto Anterior]],Conceptos_Analítica_contraloría[#All],7,0),"")</f>
        <v/>
      </c>
      <c r="I1991" s="138" t="str">
        <f>+IFERROR(VLOOKUP(D1991,Conceptos_Analítica_contraloría[#All],2,0),"")</f>
        <v/>
      </c>
      <c r="J1991" s="138" t="str">
        <f>+IFERROR(VLOOKUP(D1991,Conceptos_Analítica_contraloría[#All],3,0),"")</f>
        <v/>
      </c>
    </row>
    <row r="1992" spans="3:10" x14ac:dyDescent="0.35">
      <c r="C1992" s="144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s="138" t="str">
        <f>+IFERROR(VLOOKUP(Fact_Analitica[[#This Row],[Concepto Anterior]],Conceptos_Analítica_contraloría[#All],5,0),"")</f>
        <v/>
      </c>
      <c r="F1992" s="138" t="str">
        <f>+IFERROR(VLOOKUP(Fact_Analitica[[#This Row],[Concepto Anterior]],Conceptos_Analítica_contraloría[#All],7,0),"")</f>
        <v/>
      </c>
      <c r="I1992" s="138" t="str">
        <f>+IFERROR(VLOOKUP(D1992,Conceptos_Analítica_contraloría[#All],2,0),"")</f>
        <v/>
      </c>
      <c r="J1992" s="138" t="str">
        <f>+IFERROR(VLOOKUP(D1992,Conceptos_Analítica_contraloría[#All],3,0),"")</f>
        <v/>
      </c>
    </row>
    <row r="1993" spans="3:10" x14ac:dyDescent="0.35">
      <c r="C1993" s="144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s="138" t="str">
        <f>+IFERROR(VLOOKUP(Fact_Analitica[[#This Row],[Concepto Anterior]],Conceptos_Analítica_contraloría[#All],5,0),"")</f>
        <v/>
      </c>
      <c r="F1993" s="138" t="str">
        <f>+IFERROR(VLOOKUP(Fact_Analitica[[#This Row],[Concepto Anterior]],Conceptos_Analítica_contraloría[#All],7,0),"")</f>
        <v/>
      </c>
      <c r="I1993" s="138" t="str">
        <f>+IFERROR(VLOOKUP(D1993,Conceptos_Analítica_contraloría[#All],2,0),"")</f>
        <v/>
      </c>
      <c r="J1993" s="138" t="str">
        <f>+IFERROR(VLOOKUP(D1993,Conceptos_Analítica_contraloría[#All],3,0),"")</f>
        <v/>
      </c>
    </row>
    <row r="1994" spans="3:10" x14ac:dyDescent="0.35">
      <c r="C1994" s="144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s="138" t="str">
        <f>+IFERROR(VLOOKUP(Fact_Analitica[[#This Row],[Concepto Anterior]],Conceptos_Analítica_contraloría[#All],5,0),"")</f>
        <v/>
      </c>
      <c r="F1994" s="138" t="str">
        <f>+IFERROR(VLOOKUP(Fact_Analitica[[#This Row],[Concepto Anterior]],Conceptos_Analítica_contraloría[#All],7,0),"")</f>
        <v/>
      </c>
      <c r="I1994" s="138" t="str">
        <f>+IFERROR(VLOOKUP(D1994,Conceptos_Analítica_contraloría[#All],2,0),"")</f>
        <v/>
      </c>
      <c r="J1994" s="138" t="str">
        <f>+IFERROR(VLOOKUP(D1994,Conceptos_Analítica_contraloría[#All],3,0),"")</f>
        <v/>
      </c>
    </row>
    <row r="1995" spans="3:10" x14ac:dyDescent="0.35">
      <c r="C1995" s="144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s="138" t="str">
        <f>+IFERROR(VLOOKUP(Fact_Analitica[[#This Row],[Concepto Anterior]],Conceptos_Analítica_contraloría[#All],5,0),"")</f>
        <v/>
      </c>
      <c r="F1995" s="138" t="str">
        <f>+IFERROR(VLOOKUP(Fact_Analitica[[#This Row],[Concepto Anterior]],Conceptos_Analítica_contraloría[#All],7,0),"")</f>
        <v/>
      </c>
      <c r="I1995" s="138" t="str">
        <f>+IFERROR(VLOOKUP(D1995,Conceptos_Analítica_contraloría[#All],2,0),"")</f>
        <v/>
      </c>
      <c r="J1995" s="138" t="str">
        <f>+IFERROR(VLOOKUP(D1995,Conceptos_Analítica_contraloría[#All],3,0),"")</f>
        <v/>
      </c>
    </row>
    <row r="1996" spans="3:10" x14ac:dyDescent="0.35">
      <c r="C1996" s="144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s="138" t="str">
        <f>+IFERROR(VLOOKUP(Fact_Analitica[[#This Row],[Concepto Anterior]],Conceptos_Analítica_contraloría[#All],5,0),"")</f>
        <v/>
      </c>
      <c r="F1996" s="138" t="str">
        <f>+IFERROR(VLOOKUP(Fact_Analitica[[#This Row],[Concepto Anterior]],Conceptos_Analítica_contraloría[#All],7,0),"")</f>
        <v/>
      </c>
      <c r="I1996" s="138" t="str">
        <f>+IFERROR(VLOOKUP(D1996,Conceptos_Analítica_contraloría[#All],2,0),"")</f>
        <v/>
      </c>
      <c r="J1996" s="138" t="str">
        <f>+IFERROR(VLOOKUP(D1996,Conceptos_Analítica_contraloría[#All],3,0),"")</f>
        <v/>
      </c>
    </row>
    <row r="1997" spans="3:10" x14ac:dyDescent="0.35">
      <c r="C1997" s="144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s="138" t="str">
        <f>+IFERROR(VLOOKUP(Fact_Analitica[[#This Row],[Concepto Anterior]],Conceptos_Analítica_contraloría[#All],5,0),"")</f>
        <v/>
      </c>
      <c r="F1997" s="138" t="str">
        <f>+IFERROR(VLOOKUP(Fact_Analitica[[#This Row],[Concepto Anterior]],Conceptos_Analítica_contraloría[#All],7,0),"")</f>
        <v/>
      </c>
      <c r="I1997" s="138" t="str">
        <f>+IFERROR(VLOOKUP(D1997,Conceptos_Analítica_contraloría[#All],2,0),"")</f>
        <v/>
      </c>
      <c r="J1997" s="138" t="str">
        <f>+IFERROR(VLOOKUP(D1997,Conceptos_Analítica_contraloría[#All],3,0),"")</f>
        <v/>
      </c>
    </row>
    <row r="1998" spans="3:10" x14ac:dyDescent="0.35">
      <c r="C1998" s="144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s="138" t="str">
        <f>+IFERROR(VLOOKUP(Fact_Analitica[[#This Row],[Concepto Anterior]],Conceptos_Analítica_contraloría[#All],5,0),"")</f>
        <v/>
      </c>
      <c r="F1998" s="138" t="str">
        <f>+IFERROR(VLOOKUP(Fact_Analitica[[#This Row],[Concepto Anterior]],Conceptos_Analítica_contraloría[#All],7,0),"")</f>
        <v/>
      </c>
      <c r="I1998" s="138" t="str">
        <f>+IFERROR(VLOOKUP(D1998,Conceptos_Analítica_contraloría[#All],2,0),"")</f>
        <v/>
      </c>
      <c r="J1998" s="138" t="str">
        <f>+IFERROR(VLOOKUP(D1998,Conceptos_Analítica_contraloría[#All],3,0),"")</f>
        <v/>
      </c>
    </row>
    <row r="1999" spans="3:10" x14ac:dyDescent="0.35">
      <c r="C1999" s="144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s="138" t="str">
        <f>+IFERROR(VLOOKUP(Fact_Analitica[[#This Row],[Concepto Anterior]],Conceptos_Analítica_contraloría[#All],5,0),"")</f>
        <v/>
      </c>
      <c r="F1999" s="138" t="str">
        <f>+IFERROR(VLOOKUP(Fact_Analitica[[#This Row],[Concepto Anterior]],Conceptos_Analítica_contraloría[#All],7,0),"")</f>
        <v/>
      </c>
      <c r="I1999" s="138" t="str">
        <f>+IFERROR(VLOOKUP(D1999,Conceptos_Analítica_contraloría[#All],2,0),"")</f>
        <v/>
      </c>
      <c r="J1999" s="138" t="str">
        <f>+IFERROR(VLOOKUP(D1999,Conceptos_Analítica_contraloría[#All],3,0),"")</f>
        <v/>
      </c>
    </row>
    <row r="2000" spans="3:10" x14ac:dyDescent="0.35">
      <c r="C2000" s="144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s="138" t="str">
        <f>+IFERROR(VLOOKUP(Fact_Analitica[[#This Row],[Concepto Anterior]],Conceptos_Analítica_contraloría[#All],5,0),"")</f>
        <v/>
      </c>
      <c r="F2000" s="138" t="str">
        <f>+IFERROR(VLOOKUP(Fact_Analitica[[#This Row],[Concepto Anterior]],Conceptos_Analítica_contraloría[#All],7,0),"")</f>
        <v/>
      </c>
      <c r="I2000" s="138" t="str">
        <f>+IFERROR(VLOOKUP(D2000,Conceptos_Analítica_contraloría[#All],2,0),"")</f>
        <v/>
      </c>
      <c r="J2000" s="138" t="str">
        <f>+IFERROR(VLOOKUP(D2000,Conceptos_Analítica_contraloría[#All],3,0),"")</f>
        <v/>
      </c>
    </row>
    <row r="2001" spans="3:10" x14ac:dyDescent="0.35">
      <c r="C2001" s="144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s="138" t="str">
        <f>+IFERROR(VLOOKUP(Fact_Analitica[[#This Row],[Concepto Anterior]],Conceptos_Analítica_contraloría[#All],5,0),"")</f>
        <v/>
      </c>
      <c r="F2001" s="138" t="str">
        <f>+IFERROR(VLOOKUP(Fact_Analitica[[#This Row],[Concepto Anterior]],Conceptos_Analítica_contraloría[#All],7,0),"")</f>
        <v/>
      </c>
      <c r="I2001" s="138" t="str">
        <f>+IFERROR(VLOOKUP(D2001,Conceptos_Analítica_contraloría[#All],2,0),"")</f>
        <v/>
      </c>
      <c r="J2001" s="138" t="str">
        <f>+IFERROR(VLOOKUP(D2001,Conceptos_Analítica_contraloría[#All],3,0),"")</f>
        <v/>
      </c>
    </row>
    <row r="2002" spans="3:10" x14ac:dyDescent="0.35">
      <c r="C2002" s="144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s="138" t="str">
        <f>+IFERROR(VLOOKUP(Fact_Analitica[[#This Row],[Concepto Anterior]],Conceptos_Analítica_contraloría[#All],5,0),"")</f>
        <v/>
      </c>
      <c r="F2002" s="138" t="str">
        <f>+IFERROR(VLOOKUP(Fact_Analitica[[#This Row],[Concepto Anterior]],Conceptos_Analítica_contraloría[#All],7,0),"")</f>
        <v/>
      </c>
      <c r="I2002" s="138" t="str">
        <f>+IFERROR(VLOOKUP(D2002,Conceptos_Analítica_contraloría[#All],2,0),"")</f>
        <v/>
      </c>
      <c r="J2002" s="138" t="str">
        <f>+IFERROR(VLOOKUP(D2002,Conceptos_Analítica_contraloría[#All],3,0),"")</f>
        <v/>
      </c>
    </row>
    <row r="2003" spans="3:10" x14ac:dyDescent="0.35">
      <c r="C2003" s="144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s="138" t="str">
        <f>+IFERROR(VLOOKUP(Fact_Analitica[[#This Row],[Concepto Anterior]],Conceptos_Analítica_contraloría[#All],5,0),"")</f>
        <v/>
      </c>
      <c r="F2003" s="138" t="str">
        <f>+IFERROR(VLOOKUP(Fact_Analitica[[#This Row],[Concepto Anterior]],Conceptos_Analítica_contraloría[#All],7,0),"")</f>
        <v/>
      </c>
      <c r="I2003" s="138" t="str">
        <f>+IFERROR(VLOOKUP(D2003,Conceptos_Analítica_contraloría[#All],2,0),"")</f>
        <v/>
      </c>
      <c r="J2003" s="138" t="str">
        <f>+IFERROR(VLOOKUP(D2003,Conceptos_Analítica_contraloría[#All],3,0),"")</f>
        <v/>
      </c>
    </row>
    <row r="2004" spans="3:10" x14ac:dyDescent="0.35">
      <c r="C2004" s="144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s="138" t="str">
        <f>+IFERROR(VLOOKUP(Fact_Analitica[[#This Row],[Concepto Anterior]],Conceptos_Analítica_contraloría[#All],5,0),"")</f>
        <v/>
      </c>
      <c r="F2004" s="138" t="str">
        <f>+IFERROR(VLOOKUP(Fact_Analitica[[#This Row],[Concepto Anterior]],Conceptos_Analítica_contraloría[#All],7,0),"")</f>
        <v/>
      </c>
      <c r="I2004" s="138" t="str">
        <f>+IFERROR(VLOOKUP(D2004,Conceptos_Analítica_contraloría[#All],2,0),"")</f>
        <v/>
      </c>
      <c r="J2004" s="138" t="str">
        <f>+IFERROR(VLOOKUP(D2004,Conceptos_Analítica_contraloría[#All],3,0),"")</f>
        <v/>
      </c>
    </row>
    <row r="2005" spans="3:10" x14ac:dyDescent="0.35">
      <c r="C2005" s="144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s="138" t="str">
        <f>+IFERROR(VLOOKUP(Fact_Analitica[[#This Row],[Concepto Anterior]],Conceptos_Analítica_contraloría[#All],5,0),"")</f>
        <v/>
      </c>
      <c r="F2005" s="138" t="str">
        <f>+IFERROR(VLOOKUP(Fact_Analitica[[#This Row],[Concepto Anterior]],Conceptos_Analítica_contraloría[#All],7,0),"")</f>
        <v/>
      </c>
      <c r="I2005" s="138" t="str">
        <f>+IFERROR(VLOOKUP(D2005,Conceptos_Analítica_contraloría[#All],2,0),"")</f>
        <v/>
      </c>
      <c r="J2005" s="138" t="str">
        <f>+IFERROR(VLOOKUP(D2005,Conceptos_Analítica_contraloría[#All],3,0),"")</f>
        <v/>
      </c>
    </row>
    <row r="2006" spans="3:10" x14ac:dyDescent="0.35">
      <c r="C2006" s="144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s="138" t="str">
        <f>+IFERROR(VLOOKUP(Fact_Analitica[[#This Row],[Concepto Anterior]],Conceptos_Analítica_contraloría[#All],5,0),"")</f>
        <v/>
      </c>
      <c r="F2006" s="138" t="str">
        <f>+IFERROR(VLOOKUP(Fact_Analitica[[#This Row],[Concepto Anterior]],Conceptos_Analítica_contraloría[#All],7,0),"")</f>
        <v/>
      </c>
      <c r="I2006" s="138" t="str">
        <f>+IFERROR(VLOOKUP(D2006,Conceptos_Analítica_contraloría[#All],2,0),"")</f>
        <v/>
      </c>
      <c r="J2006" s="138" t="str">
        <f>+IFERROR(VLOOKUP(D2006,Conceptos_Analítica_contraloría[#All],3,0),"")</f>
        <v/>
      </c>
    </row>
    <row r="2007" spans="3:10" x14ac:dyDescent="0.35">
      <c r="C2007" s="144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s="138" t="str">
        <f>+IFERROR(VLOOKUP(Fact_Analitica[[#This Row],[Concepto Anterior]],Conceptos_Analítica_contraloría[#All],5,0),"")</f>
        <v/>
      </c>
      <c r="F2007" s="138" t="str">
        <f>+IFERROR(VLOOKUP(Fact_Analitica[[#This Row],[Concepto Anterior]],Conceptos_Analítica_contraloría[#All],7,0),"")</f>
        <v/>
      </c>
      <c r="I2007" s="138" t="str">
        <f>+IFERROR(VLOOKUP(D2007,Conceptos_Analítica_contraloría[#All],2,0),"")</f>
        <v/>
      </c>
      <c r="J2007" s="138" t="str">
        <f>+IFERROR(VLOOKUP(D2007,Conceptos_Analítica_contraloría[#All],3,0),"")</f>
        <v/>
      </c>
    </row>
    <row r="2008" spans="3:10" x14ac:dyDescent="0.35">
      <c r="C2008" s="144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s="138" t="str">
        <f>+IFERROR(VLOOKUP(Fact_Analitica[[#This Row],[Concepto Anterior]],Conceptos_Analítica_contraloría[#All],5,0),"")</f>
        <v/>
      </c>
      <c r="F2008" s="138" t="str">
        <f>+IFERROR(VLOOKUP(Fact_Analitica[[#This Row],[Concepto Anterior]],Conceptos_Analítica_contraloría[#All],7,0),"")</f>
        <v/>
      </c>
      <c r="I2008" s="138" t="str">
        <f>+IFERROR(VLOOKUP(D2008,Conceptos_Analítica_contraloría[#All],2,0),"")</f>
        <v/>
      </c>
      <c r="J2008" s="138" t="str">
        <f>+IFERROR(VLOOKUP(D2008,Conceptos_Analítica_contraloría[#All],3,0),"")</f>
        <v/>
      </c>
    </row>
    <row r="2009" spans="3:10" x14ac:dyDescent="0.35">
      <c r="C2009" s="144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s="138" t="str">
        <f>+IFERROR(VLOOKUP(Fact_Analitica[[#This Row],[Concepto Anterior]],Conceptos_Analítica_contraloría[#All],5,0),"")</f>
        <v/>
      </c>
      <c r="F2009" s="138" t="str">
        <f>+IFERROR(VLOOKUP(Fact_Analitica[[#This Row],[Concepto Anterior]],Conceptos_Analítica_contraloría[#All],7,0),"")</f>
        <v/>
      </c>
      <c r="I2009" s="138" t="str">
        <f>+IFERROR(VLOOKUP(D2009,Conceptos_Analítica_contraloría[#All],2,0),"")</f>
        <v/>
      </c>
      <c r="J2009" s="138" t="str">
        <f>+IFERROR(VLOOKUP(D2009,Conceptos_Analítica_contraloría[#All],3,0),"")</f>
        <v/>
      </c>
    </row>
    <row r="2010" spans="3:10" x14ac:dyDescent="0.35">
      <c r="C2010" s="144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s="138" t="str">
        <f>+IFERROR(VLOOKUP(Fact_Analitica[[#This Row],[Concepto Anterior]],Conceptos_Analítica_contraloría[#All],5,0),"")</f>
        <v/>
      </c>
      <c r="F2010" s="138" t="str">
        <f>+IFERROR(VLOOKUP(Fact_Analitica[[#This Row],[Concepto Anterior]],Conceptos_Analítica_contraloría[#All],7,0),"")</f>
        <v/>
      </c>
      <c r="I2010" s="138" t="str">
        <f>+IFERROR(VLOOKUP(D2010,Conceptos_Analítica_contraloría[#All],2,0),"")</f>
        <v/>
      </c>
      <c r="J2010" s="138" t="str">
        <f>+IFERROR(VLOOKUP(D2010,Conceptos_Analítica_contraloría[#All],3,0),"")</f>
        <v/>
      </c>
    </row>
    <row r="2011" spans="3:10" x14ac:dyDescent="0.35">
      <c r="C2011" s="144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s="138" t="str">
        <f>+IFERROR(VLOOKUP(Fact_Analitica[[#This Row],[Concepto Anterior]],Conceptos_Analítica_contraloría[#All],5,0),"")</f>
        <v/>
      </c>
      <c r="F2011" s="138" t="str">
        <f>+IFERROR(VLOOKUP(Fact_Analitica[[#This Row],[Concepto Anterior]],Conceptos_Analítica_contraloría[#All],7,0),"")</f>
        <v/>
      </c>
      <c r="I2011" s="138" t="str">
        <f>+IFERROR(VLOOKUP(D2011,Conceptos_Analítica_contraloría[#All],2,0),"")</f>
        <v/>
      </c>
      <c r="J2011" s="138" t="str">
        <f>+IFERROR(VLOOKUP(D2011,Conceptos_Analítica_contraloría[#All],3,0),"")</f>
        <v/>
      </c>
    </row>
    <row r="2012" spans="3:10" x14ac:dyDescent="0.35">
      <c r="C2012" s="144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s="138" t="str">
        <f>+IFERROR(VLOOKUP(Fact_Analitica[[#This Row],[Concepto Anterior]],Conceptos_Analítica_contraloría[#All],5,0),"")</f>
        <v/>
      </c>
      <c r="F2012" s="138" t="str">
        <f>+IFERROR(VLOOKUP(Fact_Analitica[[#This Row],[Concepto Anterior]],Conceptos_Analítica_contraloría[#All],7,0),"")</f>
        <v/>
      </c>
      <c r="I2012" s="138" t="str">
        <f>+IFERROR(VLOOKUP(D2012,Conceptos_Analítica_contraloría[#All],2,0),"")</f>
        <v/>
      </c>
      <c r="J2012" s="138" t="str">
        <f>+IFERROR(VLOOKUP(D2012,Conceptos_Analítica_contraloría[#All],3,0),"")</f>
        <v/>
      </c>
    </row>
    <row r="2013" spans="3:10" x14ac:dyDescent="0.35">
      <c r="C2013" s="144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s="138" t="str">
        <f>+IFERROR(VLOOKUP(Fact_Analitica[[#This Row],[Concepto Anterior]],Conceptos_Analítica_contraloría[#All],5,0),"")</f>
        <v/>
      </c>
      <c r="F2013" s="138" t="str">
        <f>+IFERROR(VLOOKUP(Fact_Analitica[[#This Row],[Concepto Anterior]],Conceptos_Analítica_contraloría[#All],7,0),"")</f>
        <v/>
      </c>
      <c r="I2013" s="138" t="str">
        <f>+IFERROR(VLOOKUP(D2013,Conceptos_Analítica_contraloría[#All],2,0),"")</f>
        <v/>
      </c>
      <c r="J2013" s="138" t="str">
        <f>+IFERROR(VLOOKUP(D2013,Conceptos_Analítica_contraloría[#All],3,0),"")</f>
        <v/>
      </c>
    </row>
    <row r="2014" spans="3:10" x14ac:dyDescent="0.35">
      <c r="C2014" s="144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s="138" t="str">
        <f>+IFERROR(VLOOKUP(Fact_Analitica[[#This Row],[Concepto Anterior]],Conceptos_Analítica_contraloría[#All],5,0),"")</f>
        <v/>
      </c>
      <c r="F2014" s="138" t="str">
        <f>+IFERROR(VLOOKUP(Fact_Analitica[[#This Row],[Concepto Anterior]],Conceptos_Analítica_contraloría[#All],7,0),"")</f>
        <v/>
      </c>
      <c r="I2014" s="138" t="str">
        <f>+IFERROR(VLOOKUP(D2014,Conceptos_Analítica_contraloría[#All],2,0),"")</f>
        <v/>
      </c>
      <c r="J2014" s="138" t="str">
        <f>+IFERROR(VLOOKUP(D2014,Conceptos_Analítica_contraloría[#All],3,0),"")</f>
        <v/>
      </c>
    </row>
    <row r="2015" spans="3:10" x14ac:dyDescent="0.35">
      <c r="C2015" s="144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s="138" t="str">
        <f>+IFERROR(VLOOKUP(Fact_Analitica[[#This Row],[Concepto Anterior]],Conceptos_Analítica_contraloría[#All],5,0),"")</f>
        <v/>
      </c>
      <c r="F2015" s="138" t="str">
        <f>+IFERROR(VLOOKUP(Fact_Analitica[[#This Row],[Concepto Anterior]],Conceptos_Analítica_contraloría[#All],7,0),"")</f>
        <v/>
      </c>
      <c r="I2015" s="138" t="str">
        <f>+IFERROR(VLOOKUP(D2015,Conceptos_Analítica_contraloría[#All],2,0),"")</f>
        <v/>
      </c>
      <c r="J2015" s="138" t="str">
        <f>+IFERROR(VLOOKUP(D2015,Conceptos_Analítica_contraloría[#All],3,0),"")</f>
        <v/>
      </c>
    </row>
    <row r="2016" spans="3:10" x14ac:dyDescent="0.35">
      <c r="C2016" s="144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s="138" t="str">
        <f>+IFERROR(VLOOKUP(Fact_Analitica[[#This Row],[Concepto Anterior]],Conceptos_Analítica_contraloría[#All],5,0),"")</f>
        <v/>
      </c>
      <c r="F2016" s="138" t="str">
        <f>+IFERROR(VLOOKUP(Fact_Analitica[[#This Row],[Concepto Anterior]],Conceptos_Analítica_contraloría[#All],7,0),"")</f>
        <v/>
      </c>
      <c r="I2016" s="138" t="str">
        <f>+IFERROR(VLOOKUP(D2016,Conceptos_Analítica_contraloría[#All],2,0),"")</f>
        <v/>
      </c>
      <c r="J2016" s="138" t="str">
        <f>+IFERROR(VLOOKUP(D2016,Conceptos_Analítica_contraloría[#All],3,0),"")</f>
        <v/>
      </c>
    </row>
    <row r="2017" spans="3:10" x14ac:dyDescent="0.35">
      <c r="C2017" s="144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s="138" t="str">
        <f>+IFERROR(VLOOKUP(Fact_Analitica[[#This Row],[Concepto Anterior]],Conceptos_Analítica_contraloría[#All],5,0),"")</f>
        <v/>
      </c>
      <c r="F2017" s="138" t="str">
        <f>+IFERROR(VLOOKUP(Fact_Analitica[[#This Row],[Concepto Anterior]],Conceptos_Analítica_contraloría[#All],7,0),"")</f>
        <v/>
      </c>
      <c r="I2017" s="138" t="str">
        <f>+IFERROR(VLOOKUP(D2017,Conceptos_Analítica_contraloría[#All],2,0),"")</f>
        <v/>
      </c>
      <c r="J2017" s="138" t="str">
        <f>+IFERROR(VLOOKUP(D2017,Conceptos_Analítica_contraloría[#All],3,0),"")</f>
        <v/>
      </c>
    </row>
    <row r="2018" spans="3:10" x14ac:dyDescent="0.35">
      <c r="C2018" s="144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s="138" t="str">
        <f>+IFERROR(VLOOKUP(Fact_Analitica[[#This Row],[Concepto Anterior]],Conceptos_Analítica_contraloría[#All],5,0),"")</f>
        <v/>
      </c>
      <c r="F2018" s="138" t="str">
        <f>+IFERROR(VLOOKUP(Fact_Analitica[[#This Row],[Concepto Anterior]],Conceptos_Analítica_contraloría[#All],7,0),"")</f>
        <v/>
      </c>
      <c r="I2018" s="138" t="str">
        <f>+IFERROR(VLOOKUP(D2018,Conceptos_Analítica_contraloría[#All],2,0),"")</f>
        <v/>
      </c>
      <c r="J2018" s="138" t="str">
        <f>+IFERROR(VLOOKUP(D2018,Conceptos_Analítica_contraloría[#All],3,0),"")</f>
        <v/>
      </c>
    </row>
    <row r="2019" spans="3:10" x14ac:dyDescent="0.35">
      <c r="C2019" s="144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s="138" t="str">
        <f>+IFERROR(VLOOKUP(Fact_Analitica[[#This Row],[Concepto Anterior]],Conceptos_Analítica_contraloría[#All],5,0),"")</f>
        <v/>
      </c>
      <c r="F2019" s="138" t="str">
        <f>+IFERROR(VLOOKUP(Fact_Analitica[[#This Row],[Concepto Anterior]],Conceptos_Analítica_contraloría[#All],7,0),"")</f>
        <v/>
      </c>
      <c r="I2019" s="138" t="str">
        <f>+IFERROR(VLOOKUP(D2019,Conceptos_Analítica_contraloría[#All],2,0),"")</f>
        <v/>
      </c>
      <c r="J2019" s="138" t="str">
        <f>+IFERROR(VLOOKUP(D2019,Conceptos_Analítica_contraloría[#All],3,0),"")</f>
        <v/>
      </c>
    </row>
    <row r="2020" spans="3:10" x14ac:dyDescent="0.35">
      <c r="C2020" s="144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s="138" t="str">
        <f>+IFERROR(VLOOKUP(Fact_Analitica[[#This Row],[Concepto Anterior]],Conceptos_Analítica_contraloría[#All],5,0),"")</f>
        <v/>
      </c>
      <c r="F2020" s="138" t="str">
        <f>+IFERROR(VLOOKUP(Fact_Analitica[[#This Row],[Concepto Anterior]],Conceptos_Analítica_contraloría[#All],7,0),"")</f>
        <v/>
      </c>
      <c r="I2020" s="138" t="str">
        <f>+IFERROR(VLOOKUP(D2020,Conceptos_Analítica_contraloría[#All],2,0),"")</f>
        <v/>
      </c>
      <c r="J2020" s="138" t="str">
        <f>+IFERROR(VLOOKUP(D2020,Conceptos_Analítica_contraloría[#All],3,0),"")</f>
        <v/>
      </c>
    </row>
    <row r="2021" spans="3:10" x14ac:dyDescent="0.35">
      <c r="C2021" s="144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s="138" t="str">
        <f>+IFERROR(VLOOKUP(Fact_Analitica[[#This Row],[Concepto Anterior]],Conceptos_Analítica_contraloría[#All],5,0),"")</f>
        <v/>
      </c>
      <c r="F2021" s="138" t="str">
        <f>+IFERROR(VLOOKUP(Fact_Analitica[[#This Row],[Concepto Anterior]],Conceptos_Analítica_contraloría[#All],7,0),"")</f>
        <v/>
      </c>
      <c r="I2021" s="138" t="str">
        <f>+IFERROR(VLOOKUP(D2021,Conceptos_Analítica_contraloría[#All],2,0),"")</f>
        <v/>
      </c>
      <c r="J2021" s="138" t="str">
        <f>+IFERROR(VLOOKUP(D2021,Conceptos_Analítica_contraloría[#All],3,0),"")</f>
        <v/>
      </c>
    </row>
    <row r="2022" spans="3:10" x14ac:dyDescent="0.35">
      <c r="C2022" s="144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s="138" t="str">
        <f>+IFERROR(VLOOKUP(Fact_Analitica[[#This Row],[Concepto Anterior]],Conceptos_Analítica_contraloría[#All],5,0),"")</f>
        <v/>
      </c>
      <c r="F2022" s="138" t="str">
        <f>+IFERROR(VLOOKUP(Fact_Analitica[[#This Row],[Concepto Anterior]],Conceptos_Analítica_contraloría[#All],7,0),"")</f>
        <v/>
      </c>
      <c r="I2022" s="138" t="str">
        <f>+IFERROR(VLOOKUP(D2022,Conceptos_Analítica_contraloría[#All],2,0),"")</f>
        <v/>
      </c>
      <c r="J2022" s="138" t="str">
        <f>+IFERROR(VLOOKUP(D2022,Conceptos_Analítica_contraloría[#All],3,0),"")</f>
        <v/>
      </c>
    </row>
    <row r="2023" spans="3:10" x14ac:dyDescent="0.35">
      <c r="C2023" s="144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s="138" t="str">
        <f>+IFERROR(VLOOKUP(Fact_Analitica[[#This Row],[Concepto Anterior]],Conceptos_Analítica_contraloría[#All],5,0),"")</f>
        <v/>
      </c>
      <c r="F2023" s="138" t="str">
        <f>+IFERROR(VLOOKUP(Fact_Analitica[[#This Row],[Concepto Anterior]],Conceptos_Analítica_contraloría[#All],7,0),"")</f>
        <v/>
      </c>
      <c r="I2023" s="138" t="str">
        <f>+IFERROR(VLOOKUP(D2023,Conceptos_Analítica_contraloría[#All],2,0),"")</f>
        <v/>
      </c>
      <c r="J2023" s="138" t="str">
        <f>+IFERROR(VLOOKUP(D2023,Conceptos_Analítica_contraloría[#All],3,0),"")</f>
        <v/>
      </c>
    </row>
    <row r="2024" spans="3:10" x14ac:dyDescent="0.35">
      <c r="C2024" s="144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s="138" t="str">
        <f>+IFERROR(VLOOKUP(Fact_Analitica[[#This Row],[Concepto Anterior]],Conceptos_Analítica_contraloría[#All],5,0),"")</f>
        <v/>
      </c>
      <c r="F2024" s="138" t="str">
        <f>+IFERROR(VLOOKUP(Fact_Analitica[[#This Row],[Concepto Anterior]],Conceptos_Analítica_contraloría[#All],7,0),"")</f>
        <v/>
      </c>
      <c r="I2024" s="138" t="str">
        <f>+IFERROR(VLOOKUP(D2024,Conceptos_Analítica_contraloría[#All],2,0),"")</f>
        <v/>
      </c>
      <c r="J2024" s="138" t="str">
        <f>+IFERROR(VLOOKUP(D2024,Conceptos_Analítica_contraloría[#All],3,0),"")</f>
        <v/>
      </c>
    </row>
    <row r="2025" spans="3:10" x14ac:dyDescent="0.35">
      <c r="C2025" s="144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s="138" t="str">
        <f>+IFERROR(VLOOKUP(Fact_Analitica[[#This Row],[Concepto Anterior]],Conceptos_Analítica_contraloría[#All],5,0),"")</f>
        <v/>
      </c>
      <c r="F2025" s="138" t="str">
        <f>+IFERROR(VLOOKUP(Fact_Analitica[[#This Row],[Concepto Anterior]],Conceptos_Analítica_contraloría[#All],7,0),"")</f>
        <v/>
      </c>
      <c r="I2025" s="138" t="str">
        <f>+IFERROR(VLOOKUP(D2025,Conceptos_Analítica_contraloría[#All],2,0),"")</f>
        <v/>
      </c>
      <c r="J2025" s="138" t="str">
        <f>+IFERROR(VLOOKUP(D2025,Conceptos_Analítica_contraloría[#All],3,0),"")</f>
        <v/>
      </c>
    </row>
    <row r="2026" spans="3:10" x14ac:dyDescent="0.35">
      <c r="C2026" s="144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s="138" t="str">
        <f>+IFERROR(VLOOKUP(Fact_Analitica[[#This Row],[Concepto Anterior]],Conceptos_Analítica_contraloría[#All],5,0),"")</f>
        <v/>
      </c>
      <c r="F2026" s="138" t="str">
        <f>+IFERROR(VLOOKUP(Fact_Analitica[[#This Row],[Concepto Anterior]],Conceptos_Analítica_contraloría[#All],7,0),"")</f>
        <v/>
      </c>
      <c r="I2026" s="138" t="str">
        <f>+IFERROR(VLOOKUP(D2026,Conceptos_Analítica_contraloría[#All],2,0),"")</f>
        <v/>
      </c>
      <c r="J2026" s="138" t="str">
        <f>+IFERROR(VLOOKUP(D2026,Conceptos_Analítica_contraloría[#All],3,0),"")</f>
        <v/>
      </c>
    </row>
    <row r="2027" spans="3:10" x14ac:dyDescent="0.35">
      <c r="C2027" s="144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s="138" t="str">
        <f>+IFERROR(VLOOKUP(Fact_Analitica[[#This Row],[Concepto Anterior]],Conceptos_Analítica_contraloría[#All],5,0),"")</f>
        <v/>
      </c>
      <c r="F2027" s="138" t="str">
        <f>+IFERROR(VLOOKUP(Fact_Analitica[[#This Row],[Concepto Anterior]],Conceptos_Analítica_contraloría[#All],7,0),"")</f>
        <v/>
      </c>
      <c r="I2027" s="138" t="str">
        <f>+IFERROR(VLOOKUP(D2027,Conceptos_Analítica_contraloría[#All],2,0),"")</f>
        <v/>
      </c>
      <c r="J2027" s="138" t="str">
        <f>+IFERROR(VLOOKUP(D2027,Conceptos_Analítica_contraloría[#All],3,0),"")</f>
        <v/>
      </c>
    </row>
    <row r="2028" spans="3:10" x14ac:dyDescent="0.35">
      <c r="C2028" s="144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s="138" t="str">
        <f>+IFERROR(VLOOKUP(Fact_Analitica[[#This Row],[Concepto Anterior]],Conceptos_Analítica_contraloría[#All],5,0),"")</f>
        <v/>
      </c>
      <c r="F2028" s="138" t="str">
        <f>+IFERROR(VLOOKUP(Fact_Analitica[[#This Row],[Concepto Anterior]],Conceptos_Analítica_contraloría[#All],7,0),"")</f>
        <v/>
      </c>
      <c r="I2028" s="138" t="str">
        <f>+IFERROR(VLOOKUP(D2028,Conceptos_Analítica_contraloría[#All],2,0),"")</f>
        <v/>
      </c>
      <c r="J2028" s="138" t="str">
        <f>+IFERROR(VLOOKUP(D2028,Conceptos_Analítica_contraloría[#All],3,0),"")</f>
        <v/>
      </c>
    </row>
    <row r="2029" spans="3:10" x14ac:dyDescent="0.35">
      <c r="C2029" s="144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s="138" t="str">
        <f>+IFERROR(VLOOKUP(Fact_Analitica[[#This Row],[Concepto Anterior]],Conceptos_Analítica_contraloría[#All],5,0),"")</f>
        <v/>
      </c>
      <c r="F2029" s="138" t="str">
        <f>+IFERROR(VLOOKUP(Fact_Analitica[[#This Row],[Concepto Anterior]],Conceptos_Analítica_contraloría[#All],7,0),"")</f>
        <v/>
      </c>
      <c r="I2029" s="138" t="str">
        <f>+IFERROR(VLOOKUP(D2029,Conceptos_Analítica_contraloría[#All],2,0),"")</f>
        <v/>
      </c>
      <c r="J2029" s="138" t="str">
        <f>+IFERROR(VLOOKUP(D2029,Conceptos_Analítica_contraloría[#All],3,0),"")</f>
        <v/>
      </c>
    </row>
    <row r="2030" spans="3:10" x14ac:dyDescent="0.35">
      <c r="C2030" s="144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s="138" t="str">
        <f>+IFERROR(VLOOKUP(Fact_Analitica[[#This Row],[Concepto Anterior]],Conceptos_Analítica_contraloría[#All],5,0),"")</f>
        <v/>
      </c>
      <c r="F2030" s="138" t="str">
        <f>+IFERROR(VLOOKUP(Fact_Analitica[[#This Row],[Concepto Anterior]],Conceptos_Analítica_contraloría[#All],7,0),"")</f>
        <v/>
      </c>
      <c r="I2030" s="138" t="str">
        <f>+IFERROR(VLOOKUP(D2030,Conceptos_Analítica_contraloría[#All],2,0),"")</f>
        <v/>
      </c>
      <c r="J2030" s="138" t="str">
        <f>+IFERROR(VLOOKUP(D2030,Conceptos_Analítica_contraloría[#All],3,0),"")</f>
        <v/>
      </c>
    </row>
    <row r="2031" spans="3:10" x14ac:dyDescent="0.35">
      <c r="C2031" s="144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s="138" t="str">
        <f>+IFERROR(VLOOKUP(Fact_Analitica[[#This Row],[Concepto Anterior]],Conceptos_Analítica_contraloría[#All],5,0),"")</f>
        <v/>
      </c>
      <c r="F2031" s="138" t="str">
        <f>+IFERROR(VLOOKUP(Fact_Analitica[[#This Row],[Concepto Anterior]],Conceptos_Analítica_contraloría[#All],7,0),"")</f>
        <v/>
      </c>
      <c r="I2031" s="138" t="str">
        <f>+IFERROR(VLOOKUP(D2031,Conceptos_Analítica_contraloría[#All],2,0),"")</f>
        <v/>
      </c>
      <c r="J2031" s="138" t="str">
        <f>+IFERROR(VLOOKUP(D2031,Conceptos_Analítica_contraloría[#All],3,0),"")</f>
        <v/>
      </c>
    </row>
    <row r="2032" spans="3:10" x14ac:dyDescent="0.35">
      <c r="C2032" s="144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s="138" t="str">
        <f>+IFERROR(VLOOKUP(Fact_Analitica[[#This Row],[Concepto Anterior]],Conceptos_Analítica_contraloría[#All],5,0),"")</f>
        <v/>
      </c>
      <c r="F2032" s="138" t="str">
        <f>+IFERROR(VLOOKUP(Fact_Analitica[[#This Row],[Concepto Anterior]],Conceptos_Analítica_contraloría[#All],7,0),"")</f>
        <v/>
      </c>
      <c r="I2032" s="138" t="str">
        <f>+IFERROR(VLOOKUP(D2032,Conceptos_Analítica_contraloría[#All],2,0),"")</f>
        <v/>
      </c>
      <c r="J2032" s="138" t="str">
        <f>+IFERROR(VLOOKUP(D2032,Conceptos_Analítica_contraloría[#All],3,0),"")</f>
        <v/>
      </c>
    </row>
    <row r="2033" spans="3:10" x14ac:dyDescent="0.35">
      <c r="C2033" s="144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s="138" t="str">
        <f>+IFERROR(VLOOKUP(Fact_Analitica[[#This Row],[Concepto Anterior]],Conceptos_Analítica_contraloría[#All],5,0),"")</f>
        <v/>
      </c>
      <c r="F2033" s="138" t="str">
        <f>+IFERROR(VLOOKUP(Fact_Analitica[[#This Row],[Concepto Anterior]],Conceptos_Analítica_contraloría[#All],7,0),"")</f>
        <v/>
      </c>
      <c r="I2033" s="138" t="str">
        <f>+IFERROR(VLOOKUP(D2033,Conceptos_Analítica_contraloría[#All],2,0),"")</f>
        <v/>
      </c>
      <c r="J2033" s="138" t="str">
        <f>+IFERROR(VLOOKUP(D2033,Conceptos_Analítica_contraloría[#All],3,0),"")</f>
        <v/>
      </c>
    </row>
    <row r="2034" spans="3:10" x14ac:dyDescent="0.35">
      <c r="C2034" s="144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s="138" t="str">
        <f>+IFERROR(VLOOKUP(Fact_Analitica[[#This Row],[Concepto Anterior]],Conceptos_Analítica_contraloría[#All],5,0),"")</f>
        <v/>
      </c>
      <c r="F2034" s="138" t="str">
        <f>+IFERROR(VLOOKUP(Fact_Analitica[[#This Row],[Concepto Anterior]],Conceptos_Analítica_contraloría[#All],7,0),"")</f>
        <v/>
      </c>
      <c r="I2034" s="138" t="str">
        <f>+IFERROR(VLOOKUP(D2034,Conceptos_Analítica_contraloría[#All],2,0),"")</f>
        <v/>
      </c>
      <c r="J2034" s="138" t="str">
        <f>+IFERROR(VLOOKUP(D2034,Conceptos_Analítica_contraloría[#All],3,0),"")</f>
        <v/>
      </c>
    </row>
    <row r="2035" spans="3:10" x14ac:dyDescent="0.35">
      <c r="C2035" s="144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s="138" t="str">
        <f>+IFERROR(VLOOKUP(Fact_Analitica[[#This Row],[Concepto Anterior]],Conceptos_Analítica_contraloría[#All],5,0),"")</f>
        <v/>
      </c>
      <c r="F2035" s="138" t="str">
        <f>+IFERROR(VLOOKUP(Fact_Analitica[[#This Row],[Concepto Anterior]],Conceptos_Analítica_contraloría[#All],7,0),"")</f>
        <v/>
      </c>
      <c r="I2035" s="138" t="str">
        <f>+IFERROR(VLOOKUP(D2035,Conceptos_Analítica_contraloría[#All],2,0),"")</f>
        <v/>
      </c>
      <c r="J2035" s="138" t="str">
        <f>+IFERROR(VLOOKUP(D2035,Conceptos_Analítica_contraloría[#All],3,0),"")</f>
        <v/>
      </c>
    </row>
    <row r="2036" spans="3:10" x14ac:dyDescent="0.35">
      <c r="C2036" s="144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s="138" t="str">
        <f>+IFERROR(VLOOKUP(Fact_Analitica[[#This Row],[Concepto Anterior]],Conceptos_Analítica_contraloría[#All],5,0),"")</f>
        <v/>
      </c>
      <c r="F2036" s="138" t="str">
        <f>+IFERROR(VLOOKUP(Fact_Analitica[[#This Row],[Concepto Anterior]],Conceptos_Analítica_contraloría[#All],7,0),"")</f>
        <v/>
      </c>
      <c r="I2036" s="138" t="str">
        <f>+IFERROR(VLOOKUP(D2036,Conceptos_Analítica_contraloría[#All],2,0),"")</f>
        <v/>
      </c>
      <c r="J2036" s="138" t="str">
        <f>+IFERROR(VLOOKUP(D2036,Conceptos_Analítica_contraloría[#All],3,0),"")</f>
        <v/>
      </c>
    </row>
    <row r="2037" spans="3:10" x14ac:dyDescent="0.35">
      <c r="C2037" s="144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s="138" t="str">
        <f>+IFERROR(VLOOKUP(Fact_Analitica[[#This Row],[Concepto Anterior]],Conceptos_Analítica_contraloría[#All],5,0),"")</f>
        <v/>
      </c>
      <c r="F2037" s="138" t="str">
        <f>+IFERROR(VLOOKUP(Fact_Analitica[[#This Row],[Concepto Anterior]],Conceptos_Analítica_contraloría[#All],7,0),"")</f>
        <v/>
      </c>
      <c r="I2037" s="138" t="str">
        <f>+IFERROR(VLOOKUP(D2037,Conceptos_Analítica_contraloría[#All],2,0),"")</f>
        <v/>
      </c>
      <c r="J2037" s="138" t="str">
        <f>+IFERROR(VLOOKUP(D2037,Conceptos_Analítica_contraloría[#All],3,0),"")</f>
        <v/>
      </c>
    </row>
    <row r="2038" spans="3:10" x14ac:dyDescent="0.35">
      <c r="C2038" s="144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s="138" t="str">
        <f>+IFERROR(VLOOKUP(Fact_Analitica[[#This Row],[Concepto Anterior]],Conceptos_Analítica_contraloría[#All],5,0),"")</f>
        <v/>
      </c>
      <c r="F2038" s="138" t="str">
        <f>+IFERROR(VLOOKUP(Fact_Analitica[[#This Row],[Concepto Anterior]],Conceptos_Analítica_contraloría[#All],7,0),"")</f>
        <v/>
      </c>
      <c r="I2038" s="138" t="str">
        <f>+IFERROR(VLOOKUP(D2038,Conceptos_Analítica_contraloría[#All],2,0),"")</f>
        <v/>
      </c>
      <c r="J2038" s="138" t="str">
        <f>+IFERROR(VLOOKUP(D2038,Conceptos_Analítica_contraloría[#All],3,0),"")</f>
        <v/>
      </c>
    </row>
    <row r="2039" spans="3:10" x14ac:dyDescent="0.35">
      <c r="C2039" s="144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s="138" t="str">
        <f>+IFERROR(VLOOKUP(Fact_Analitica[[#This Row],[Concepto Anterior]],Conceptos_Analítica_contraloría[#All],5,0),"")</f>
        <v/>
      </c>
      <c r="F2039" s="138" t="str">
        <f>+IFERROR(VLOOKUP(Fact_Analitica[[#This Row],[Concepto Anterior]],Conceptos_Analítica_contraloría[#All],7,0),"")</f>
        <v/>
      </c>
      <c r="I2039" s="138" t="str">
        <f>+IFERROR(VLOOKUP(D2039,Conceptos_Analítica_contraloría[#All],2,0),"")</f>
        <v/>
      </c>
      <c r="J2039" s="138" t="str">
        <f>+IFERROR(VLOOKUP(D2039,Conceptos_Analítica_contraloría[#All],3,0),"")</f>
        <v/>
      </c>
    </row>
    <row r="2040" spans="3:10" x14ac:dyDescent="0.35">
      <c r="C2040" s="144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s="138" t="str">
        <f>+IFERROR(VLOOKUP(Fact_Analitica[[#This Row],[Concepto Anterior]],Conceptos_Analítica_contraloría[#All],5,0),"")</f>
        <v/>
      </c>
      <c r="F2040" s="138" t="str">
        <f>+IFERROR(VLOOKUP(Fact_Analitica[[#This Row],[Concepto Anterior]],Conceptos_Analítica_contraloría[#All],7,0),"")</f>
        <v/>
      </c>
      <c r="I2040" s="138" t="str">
        <f>+IFERROR(VLOOKUP(D2040,Conceptos_Analítica_contraloría[#All],2,0),"")</f>
        <v/>
      </c>
      <c r="J2040" s="138" t="str">
        <f>+IFERROR(VLOOKUP(D2040,Conceptos_Analítica_contraloría[#All],3,0),"")</f>
        <v/>
      </c>
    </row>
    <row r="2041" spans="3:10" x14ac:dyDescent="0.35">
      <c r="C2041" s="144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s="138" t="str">
        <f>+IFERROR(VLOOKUP(Fact_Analitica[[#This Row],[Concepto Anterior]],Conceptos_Analítica_contraloría[#All],5,0),"")</f>
        <v/>
      </c>
      <c r="F2041" s="138" t="str">
        <f>+IFERROR(VLOOKUP(Fact_Analitica[[#This Row],[Concepto Anterior]],Conceptos_Analítica_contraloría[#All],7,0),"")</f>
        <v/>
      </c>
      <c r="I2041" s="138" t="str">
        <f>+IFERROR(VLOOKUP(D2041,Conceptos_Analítica_contraloría[#All],2,0),"")</f>
        <v/>
      </c>
      <c r="J2041" s="138" t="str">
        <f>+IFERROR(VLOOKUP(D2041,Conceptos_Analítica_contraloría[#All],3,0),"")</f>
        <v/>
      </c>
    </row>
    <row r="2042" spans="3:10" x14ac:dyDescent="0.35">
      <c r="C2042" s="144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s="138" t="str">
        <f>+IFERROR(VLOOKUP(Fact_Analitica[[#This Row],[Concepto Anterior]],Conceptos_Analítica_contraloría[#All],5,0),"")</f>
        <v/>
      </c>
      <c r="F2042" s="138" t="str">
        <f>+IFERROR(VLOOKUP(Fact_Analitica[[#This Row],[Concepto Anterior]],Conceptos_Analítica_contraloría[#All],7,0),"")</f>
        <v/>
      </c>
      <c r="I2042" s="138" t="str">
        <f>+IFERROR(VLOOKUP(D2042,Conceptos_Analítica_contraloría[#All],2,0),"")</f>
        <v/>
      </c>
      <c r="J2042" s="138" t="str">
        <f>+IFERROR(VLOOKUP(D2042,Conceptos_Analítica_contraloría[#All],3,0),"")</f>
        <v/>
      </c>
    </row>
    <row r="2043" spans="3:10" x14ac:dyDescent="0.35">
      <c r="C2043" s="144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s="138" t="str">
        <f>+IFERROR(VLOOKUP(Fact_Analitica[[#This Row],[Concepto Anterior]],Conceptos_Analítica_contraloría[#All],5,0),"")</f>
        <v/>
      </c>
      <c r="F2043" s="138" t="str">
        <f>+IFERROR(VLOOKUP(Fact_Analitica[[#This Row],[Concepto Anterior]],Conceptos_Analítica_contraloría[#All],7,0),"")</f>
        <v/>
      </c>
      <c r="I2043" s="138" t="str">
        <f>+IFERROR(VLOOKUP(D2043,Conceptos_Analítica_contraloría[#All],2,0),"")</f>
        <v/>
      </c>
      <c r="J2043" s="138" t="str">
        <f>+IFERROR(VLOOKUP(D2043,Conceptos_Analítica_contraloría[#All],3,0),"")</f>
        <v/>
      </c>
    </row>
    <row r="2044" spans="3:10" x14ac:dyDescent="0.35">
      <c r="C2044" s="144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s="138" t="str">
        <f>+IFERROR(VLOOKUP(Fact_Analitica[[#This Row],[Concepto Anterior]],Conceptos_Analítica_contraloría[#All],5,0),"")</f>
        <v/>
      </c>
      <c r="F2044" s="138" t="str">
        <f>+IFERROR(VLOOKUP(Fact_Analitica[[#This Row],[Concepto Anterior]],Conceptos_Analítica_contraloría[#All],7,0),"")</f>
        <v/>
      </c>
      <c r="I2044" s="138" t="str">
        <f>+IFERROR(VLOOKUP(D2044,Conceptos_Analítica_contraloría[#All],2,0),"")</f>
        <v/>
      </c>
      <c r="J2044" s="138" t="str">
        <f>+IFERROR(VLOOKUP(D2044,Conceptos_Analítica_contraloría[#All],3,0),"")</f>
        <v/>
      </c>
    </row>
    <row r="2045" spans="3:10" x14ac:dyDescent="0.35">
      <c r="C2045" s="144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s="138" t="str">
        <f>+IFERROR(VLOOKUP(Fact_Analitica[[#This Row],[Concepto Anterior]],Conceptos_Analítica_contraloría[#All],5,0),"")</f>
        <v/>
      </c>
      <c r="F2045" s="138" t="str">
        <f>+IFERROR(VLOOKUP(Fact_Analitica[[#This Row],[Concepto Anterior]],Conceptos_Analítica_contraloría[#All],7,0),"")</f>
        <v/>
      </c>
      <c r="I2045" s="138" t="str">
        <f>+IFERROR(VLOOKUP(D2045,Conceptos_Analítica_contraloría[#All],2,0),"")</f>
        <v/>
      </c>
      <c r="J2045" s="138" t="str">
        <f>+IFERROR(VLOOKUP(D2045,Conceptos_Analítica_contraloría[#All],3,0),"")</f>
        <v/>
      </c>
    </row>
    <row r="2046" spans="3:10" x14ac:dyDescent="0.35">
      <c r="C2046" s="144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s="138" t="str">
        <f>+IFERROR(VLOOKUP(Fact_Analitica[[#This Row],[Concepto Anterior]],Conceptos_Analítica_contraloría[#All],5,0),"")</f>
        <v/>
      </c>
      <c r="F2046" s="138" t="str">
        <f>+IFERROR(VLOOKUP(Fact_Analitica[[#This Row],[Concepto Anterior]],Conceptos_Analítica_contraloría[#All],7,0),"")</f>
        <v/>
      </c>
      <c r="I2046" s="138" t="str">
        <f>+IFERROR(VLOOKUP(D2046,Conceptos_Analítica_contraloría[#All],2,0),"")</f>
        <v/>
      </c>
      <c r="J2046" s="138" t="str">
        <f>+IFERROR(VLOOKUP(D2046,Conceptos_Analítica_contraloría[#All],3,0),"")</f>
        <v/>
      </c>
    </row>
    <row r="2047" spans="3:10" x14ac:dyDescent="0.35">
      <c r="C2047" s="144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s="138" t="str">
        <f>+IFERROR(VLOOKUP(Fact_Analitica[[#This Row],[Concepto Anterior]],Conceptos_Analítica_contraloría[#All],5,0),"")</f>
        <v/>
      </c>
      <c r="F2047" s="138" t="str">
        <f>+IFERROR(VLOOKUP(Fact_Analitica[[#This Row],[Concepto Anterior]],Conceptos_Analítica_contraloría[#All],7,0),"")</f>
        <v/>
      </c>
      <c r="I2047" s="138" t="str">
        <f>+IFERROR(VLOOKUP(D2047,Conceptos_Analítica_contraloría[#All],2,0),"")</f>
        <v/>
      </c>
      <c r="J2047" s="138" t="str">
        <f>+IFERROR(VLOOKUP(D2047,Conceptos_Analítica_contraloría[#All],3,0),"")</f>
        <v/>
      </c>
    </row>
    <row r="2048" spans="3:10" x14ac:dyDescent="0.35">
      <c r="C2048" s="144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s="138" t="str">
        <f>+IFERROR(VLOOKUP(Fact_Analitica[[#This Row],[Concepto Anterior]],Conceptos_Analítica_contraloría[#All],5,0),"")</f>
        <v/>
      </c>
      <c r="F2048" s="138" t="str">
        <f>+IFERROR(VLOOKUP(Fact_Analitica[[#This Row],[Concepto Anterior]],Conceptos_Analítica_contraloría[#All],7,0),"")</f>
        <v/>
      </c>
      <c r="I2048" s="138" t="str">
        <f>+IFERROR(VLOOKUP(D2048,Conceptos_Analítica_contraloría[#All],2,0),"")</f>
        <v/>
      </c>
      <c r="J2048" s="138" t="str">
        <f>+IFERROR(VLOOKUP(D2048,Conceptos_Analítica_contraloría[#All],3,0),"")</f>
        <v/>
      </c>
    </row>
    <row r="2049" spans="3:10" x14ac:dyDescent="0.35">
      <c r="C2049" s="144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s="138" t="str">
        <f>+IFERROR(VLOOKUP(Fact_Analitica[[#This Row],[Concepto Anterior]],Conceptos_Analítica_contraloría[#All],5,0),"")</f>
        <v/>
      </c>
      <c r="F2049" s="138" t="str">
        <f>+IFERROR(VLOOKUP(Fact_Analitica[[#This Row],[Concepto Anterior]],Conceptos_Analítica_contraloría[#All],7,0),"")</f>
        <v/>
      </c>
      <c r="I2049" s="138" t="str">
        <f>+IFERROR(VLOOKUP(D2049,Conceptos_Analítica_contraloría[#All],2,0),"")</f>
        <v/>
      </c>
      <c r="J2049" s="138" t="str">
        <f>+IFERROR(VLOOKUP(D2049,Conceptos_Analítica_contraloría[#All],3,0),"")</f>
        <v/>
      </c>
    </row>
    <row r="2050" spans="3:10" x14ac:dyDescent="0.35">
      <c r="C2050" s="144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s="138" t="str">
        <f>+IFERROR(VLOOKUP(Fact_Analitica[[#This Row],[Concepto Anterior]],Conceptos_Analítica_contraloría[#All],5,0),"")</f>
        <v/>
      </c>
      <c r="F2050" s="138" t="str">
        <f>+IFERROR(VLOOKUP(Fact_Analitica[[#This Row],[Concepto Anterior]],Conceptos_Analítica_contraloría[#All],7,0),"")</f>
        <v/>
      </c>
      <c r="I2050" s="138" t="str">
        <f>+IFERROR(VLOOKUP(D2050,Conceptos_Analítica_contraloría[#All],2,0),"")</f>
        <v/>
      </c>
      <c r="J2050" s="138" t="str">
        <f>+IFERROR(VLOOKUP(D2050,Conceptos_Analítica_contraloría[#All],3,0),"")</f>
        <v/>
      </c>
    </row>
    <row r="2051" spans="3:10" x14ac:dyDescent="0.35">
      <c r="C2051" s="144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s="138" t="str">
        <f>+IFERROR(VLOOKUP(Fact_Analitica[[#This Row],[Concepto Anterior]],Conceptos_Analítica_contraloría[#All],5,0),"")</f>
        <v/>
      </c>
      <c r="F2051" s="138" t="str">
        <f>+IFERROR(VLOOKUP(Fact_Analitica[[#This Row],[Concepto Anterior]],Conceptos_Analítica_contraloría[#All],7,0),"")</f>
        <v/>
      </c>
      <c r="I2051" s="138" t="str">
        <f>+IFERROR(VLOOKUP(D2051,Conceptos_Analítica_contraloría[#All],2,0),"")</f>
        <v/>
      </c>
      <c r="J2051" s="138" t="str">
        <f>+IFERROR(VLOOKUP(D2051,Conceptos_Analítica_contraloría[#All],3,0),"")</f>
        <v/>
      </c>
    </row>
    <row r="2052" spans="3:10" x14ac:dyDescent="0.35">
      <c r="C2052" s="144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s="138" t="str">
        <f>+IFERROR(VLOOKUP(Fact_Analitica[[#This Row],[Concepto Anterior]],Conceptos_Analítica_contraloría[#All],5,0),"")</f>
        <v/>
      </c>
      <c r="F2052" s="138" t="str">
        <f>+IFERROR(VLOOKUP(Fact_Analitica[[#This Row],[Concepto Anterior]],Conceptos_Analítica_contraloría[#All],7,0),"")</f>
        <v/>
      </c>
      <c r="I2052" s="138" t="str">
        <f>+IFERROR(VLOOKUP(D2052,Conceptos_Analítica_contraloría[#All],2,0),"")</f>
        <v/>
      </c>
      <c r="J2052" s="138" t="str">
        <f>+IFERROR(VLOOKUP(D2052,Conceptos_Analítica_contraloría[#All],3,0),"")</f>
        <v/>
      </c>
    </row>
    <row r="2053" spans="3:10" x14ac:dyDescent="0.35">
      <c r="C2053" s="144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s="138" t="str">
        <f>+IFERROR(VLOOKUP(Fact_Analitica[[#This Row],[Concepto Anterior]],Conceptos_Analítica_contraloría[#All],5,0),"")</f>
        <v/>
      </c>
      <c r="F2053" s="138" t="str">
        <f>+IFERROR(VLOOKUP(Fact_Analitica[[#This Row],[Concepto Anterior]],Conceptos_Analítica_contraloría[#All],7,0),"")</f>
        <v/>
      </c>
      <c r="I2053" s="138" t="str">
        <f>+IFERROR(VLOOKUP(D2053,Conceptos_Analítica_contraloría[#All],2,0),"")</f>
        <v/>
      </c>
      <c r="J2053" s="138" t="str">
        <f>+IFERROR(VLOOKUP(D2053,Conceptos_Analítica_contraloría[#All],3,0),"")</f>
        <v/>
      </c>
    </row>
    <row r="2054" spans="3:10" x14ac:dyDescent="0.35">
      <c r="C2054" s="144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s="138" t="str">
        <f>+IFERROR(VLOOKUP(Fact_Analitica[[#This Row],[Concepto Anterior]],Conceptos_Analítica_contraloría[#All],5,0),"")</f>
        <v/>
      </c>
      <c r="F2054" s="138" t="str">
        <f>+IFERROR(VLOOKUP(Fact_Analitica[[#This Row],[Concepto Anterior]],Conceptos_Analítica_contraloría[#All],7,0),"")</f>
        <v/>
      </c>
      <c r="I2054" s="138" t="str">
        <f>+IFERROR(VLOOKUP(D2054,Conceptos_Analítica_contraloría[#All],2,0),"")</f>
        <v/>
      </c>
      <c r="J2054" s="138" t="str">
        <f>+IFERROR(VLOOKUP(D2054,Conceptos_Analítica_contraloría[#All],3,0),"")</f>
        <v/>
      </c>
    </row>
    <row r="2055" spans="3:10" x14ac:dyDescent="0.35">
      <c r="C2055" s="144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s="138" t="str">
        <f>+IFERROR(VLOOKUP(Fact_Analitica[[#This Row],[Concepto Anterior]],Conceptos_Analítica_contraloría[#All],5,0),"")</f>
        <v/>
      </c>
      <c r="F2055" s="138" t="str">
        <f>+IFERROR(VLOOKUP(Fact_Analitica[[#This Row],[Concepto Anterior]],Conceptos_Analítica_contraloría[#All],7,0),"")</f>
        <v/>
      </c>
      <c r="I2055" s="138" t="str">
        <f>+IFERROR(VLOOKUP(D2055,Conceptos_Analítica_contraloría[#All],2,0),"")</f>
        <v/>
      </c>
      <c r="J2055" s="138" t="str">
        <f>+IFERROR(VLOOKUP(D2055,Conceptos_Analítica_contraloría[#All],3,0),"")</f>
        <v/>
      </c>
    </row>
    <row r="2056" spans="3:10" x14ac:dyDescent="0.35">
      <c r="C2056" s="144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s="138" t="str">
        <f>+IFERROR(VLOOKUP(Fact_Analitica[[#This Row],[Concepto Anterior]],Conceptos_Analítica_contraloría[#All],5,0),"")</f>
        <v/>
      </c>
      <c r="F2056" s="138" t="str">
        <f>+IFERROR(VLOOKUP(Fact_Analitica[[#This Row],[Concepto Anterior]],Conceptos_Analítica_contraloría[#All],7,0),"")</f>
        <v/>
      </c>
      <c r="I2056" s="138" t="str">
        <f>+IFERROR(VLOOKUP(D2056,Conceptos_Analítica_contraloría[#All],2,0),"")</f>
        <v/>
      </c>
      <c r="J2056" s="138" t="str">
        <f>+IFERROR(VLOOKUP(D2056,Conceptos_Analítica_contraloría[#All],3,0),"")</f>
        <v/>
      </c>
    </row>
    <row r="2057" spans="3:10" x14ac:dyDescent="0.35">
      <c r="C2057" s="144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s="138" t="str">
        <f>+IFERROR(VLOOKUP(Fact_Analitica[[#This Row],[Concepto Anterior]],Conceptos_Analítica_contraloría[#All],5,0),"")</f>
        <v/>
      </c>
      <c r="F2057" s="138" t="str">
        <f>+IFERROR(VLOOKUP(Fact_Analitica[[#This Row],[Concepto Anterior]],Conceptos_Analítica_contraloría[#All],7,0),"")</f>
        <v/>
      </c>
      <c r="I2057" s="138" t="str">
        <f>+IFERROR(VLOOKUP(D2057,Conceptos_Analítica_contraloría[#All],2,0),"")</f>
        <v/>
      </c>
      <c r="J2057" s="138" t="str">
        <f>+IFERROR(VLOOKUP(D2057,Conceptos_Analítica_contraloría[#All],3,0),"")</f>
        <v/>
      </c>
    </row>
    <row r="2058" spans="3:10" x14ac:dyDescent="0.35">
      <c r="C2058" s="144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s="138" t="str">
        <f>+IFERROR(VLOOKUP(Fact_Analitica[[#This Row],[Concepto Anterior]],Conceptos_Analítica_contraloría[#All],5,0),"")</f>
        <v/>
      </c>
      <c r="F2058" s="138" t="str">
        <f>+IFERROR(VLOOKUP(Fact_Analitica[[#This Row],[Concepto Anterior]],Conceptos_Analítica_contraloría[#All],7,0),"")</f>
        <v/>
      </c>
      <c r="I2058" s="138" t="str">
        <f>+IFERROR(VLOOKUP(D2058,Conceptos_Analítica_contraloría[#All],2,0),"")</f>
        <v/>
      </c>
      <c r="J2058" s="138" t="str">
        <f>+IFERROR(VLOOKUP(D2058,Conceptos_Analítica_contraloría[#All],3,0),"")</f>
        <v/>
      </c>
    </row>
    <row r="2059" spans="3:10" x14ac:dyDescent="0.35">
      <c r="C2059" s="144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s="138" t="str">
        <f>+IFERROR(VLOOKUP(Fact_Analitica[[#This Row],[Concepto Anterior]],Conceptos_Analítica_contraloría[#All],5,0),"")</f>
        <v/>
      </c>
      <c r="F2059" s="138" t="str">
        <f>+IFERROR(VLOOKUP(Fact_Analitica[[#This Row],[Concepto Anterior]],Conceptos_Analítica_contraloría[#All],7,0),"")</f>
        <v/>
      </c>
      <c r="I2059" s="138" t="str">
        <f>+IFERROR(VLOOKUP(D2059,Conceptos_Analítica_contraloría[#All],2,0),"")</f>
        <v/>
      </c>
      <c r="J2059" s="138" t="str">
        <f>+IFERROR(VLOOKUP(D2059,Conceptos_Analítica_contraloría[#All],3,0),"")</f>
        <v/>
      </c>
    </row>
    <row r="2060" spans="3:10" x14ac:dyDescent="0.35">
      <c r="C2060" s="144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s="138" t="str">
        <f>+IFERROR(VLOOKUP(Fact_Analitica[[#This Row],[Concepto Anterior]],Conceptos_Analítica_contraloría[#All],5,0),"")</f>
        <v/>
      </c>
      <c r="F2060" s="138" t="str">
        <f>+IFERROR(VLOOKUP(Fact_Analitica[[#This Row],[Concepto Anterior]],Conceptos_Analítica_contraloría[#All],7,0),"")</f>
        <v/>
      </c>
      <c r="I2060" s="138" t="str">
        <f>+IFERROR(VLOOKUP(D2060,Conceptos_Analítica_contraloría[#All],2,0),"")</f>
        <v/>
      </c>
      <c r="J2060" s="138" t="str">
        <f>+IFERROR(VLOOKUP(D2060,Conceptos_Analítica_contraloría[#All],3,0),"")</f>
        <v/>
      </c>
    </row>
    <row r="2061" spans="3:10" x14ac:dyDescent="0.35">
      <c r="C2061" s="144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s="138" t="str">
        <f>+IFERROR(VLOOKUP(Fact_Analitica[[#This Row],[Concepto Anterior]],Conceptos_Analítica_contraloría[#All],5,0),"")</f>
        <v/>
      </c>
      <c r="F2061" s="138" t="str">
        <f>+IFERROR(VLOOKUP(Fact_Analitica[[#This Row],[Concepto Anterior]],Conceptos_Analítica_contraloría[#All],7,0),"")</f>
        <v/>
      </c>
      <c r="I2061" s="138" t="str">
        <f>+IFERROR(VLOOKUP(D2061,Conceptos_Analítica_contraloría[#All],2,0),"")</f>
        <v/>
      </c>
      <c r="J2061" s="138" t="str">
        <f>+IFERROR(VLOOKUP(D2061,Conceptos_Analítica_contraloría[#All],3,0),"")</f>
        <v/>
      </c>
    </row>
    <row r="2062" spans="3:10" x14ac:dyDescent="0.35">
      <c r="C2062" s="144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s="138" t="str">
        <f>+IFERROR(VLOOKUP(Fact_Analitica[[#This Row],[Concepto Anterior]],Conceptos_Analítica_contraloría[#All],5,0),"")</f>
        <v/>
      </c>
      <c r="F2062" s="138" t="str">
        <f>+IFERROR(VLOOKUP(Fact_Analitica[[#This Row],[Concepto Anterior]],Conceptos_Analítica_contraloría[#All],7,0),"")</f>
        <v/>
      </c>
      <c r="I2062" s="138" t="str">
        <f>+IFERROR(VLOOKUP(D2062,Conceptos_Analítica_contraloría[#All],2,0),"")</f>
        <v/>
      </c>
      <c r="J2062" s="138" t="str">
        <f>+IFERROR(VLOOKUP(D2062,Conceptos_Analítica_contraloría[#All],3,0),"")</f>
        <v/>
      </c>
    </row>
    <row r="2063" spans="3:10" x14ac:dyDescent="0.35">
      <c r="C2063" s="144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s="138" t="str">
        <f>+IFERROR(VLOOKUP(Fact_Analitica[[#This Row],[Concepto Anterior]],Conceptos_Analítica_contraloría[#All],5,0),"")</f>
        <v/>
      </c>
      <c r="F2063" s="138" t="str">
        <f>+IFERROR(VLOOKUP(Fact_Analitica[[#This Row],[Concepto Anterior]],Conceptos_Analítica_contraloría[#All],7,0),"")</f>
        <v/>
      </c>
      <c r="I2063" s="138" t="str">
        <f>+IFERROR(VLOOKUP(D2063,Conceptos_Analítica_contraloría[#All],2,0),"")</f>
        <v/>
      </c>
      <c r="J2063" s="138" t="str">
        <f>+IFERROR(VLOOKUP(D2063,Conceptos_Analítica_contraloría[#All],3,0),"")</f>
        <v/>
      </c>
    </row>
    <row r="2064" spans="3:10" x14ac:dyDescent="0.35">
      <c r="C2064" s="144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s="138" t="str">
        <f>+IFERROR(VLOOKUP(Fact_Analitica[[#This Row],[Concepto Anterior]],Conceptos_Analítica_contraloría[#All],5,0),"")</f>
        <v/>
      </c>
      <c r="F2064" s="138" t="str">
        <f>+IFERROR(VLOOKUP(Fact_Analitica[[#This Row],[Concepto Anterior]],Conceptos_Analítica_contraloría[#All],7,0),"")</f>
        <v/>
      </c>
      <c r="I2064" s="138" t="str">
        <f>+IFERROR(VLOOKUP(D2064,Conceptos_Analítica_contraloría[#All],2,0),"")</f>
        <v/>
      </c>
      <c r="J2064" s="138" t="str">
        <f>+IFERROR(VLOOKUP(D2064,Conceptos_Analítica_contraloría[#All],3,0),"")</f>
        <v/>
      </c>
    </row>
    <row r="2065" spans="3:10" x14ac:dyDescent="0.35">
      <c r="C2065" s="144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s="138" t="str">
        <f>+IFERROR(VLOOKUP(Fact_Analitica[[#This Row],[Concepto Anterior]],Conceptos_Analítica_contraloría[#All],5,0),"")</f>
        <v/>
      </c>
      <c r="F2065" s="138" t="str">
        <f>+IFERROR(VLOOKUP(Fact_Analitica[[#This Row],[Concepto Anterior]],Conceptos_Analítica_contraloría[#All],7,0),"")</f>
        <v/>
      </c>
      <c r="I2065" s="138" t="str">
        <f>+IFERROR(VLOOKUP(D2065,Conceptos_Analítica_contraloría[#All],2,0),"")</f>
        <v/>
      </c>
      <c r="J2065" s="138" t="str">
        <f>+IFERROR(VLOOKUP(D2065,Conceptos_Analítica_contraloría[#All],3,0),"")</f>
        <v/>
      </c>
    </row>
    <row r="2066" spans="3:10" x14ac:dyDescent="0.35">
      <c r="C2066" s="144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s="138" t="str">
        <f>+IFERROR(VLOOKUP(Fact_Analitica[[#This Row],[Concepto Anterior]],Conceptos_Analítica_contraloría[#All],5,0),"")</f>
        <v/>
      </c>
      <c r="F2066" s="138" t="str">
        <f>+IFERROR(VLOOKUP(Fact_Analitica[[#This Row],[Concepto Anterior]],Conceptos_Analítica_contraloría[#All],7,0),"")</f>
        <v/>
      </c>
      <c r="I2066" s="138" t="str">
        <f>+IFERROR(VLOOKUP(D2066,Conceptos_Analítica_contraloría[#All],2,0),"")</f>
        <v/>
      </c>
      <c r="J2066" s="138" t="str">
        <f>+IFERROR(VLOOKUP(D2066,Conceptos_Analítica_contraloría[#All],3,0),"")</f>
        <v/>
      </c>
    </row>
    <row r="2067" spans="3:10" x14ac:dyDescent="0.35">
      <c r="C2067" s="144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s="138" t="str">
        <f>+IFERROR(VLOOKUP(Fact_Analitica[[#This Row],[Concepto Anterior]],Conceptos_Analítica_contraloría[#All],5,0),"")</f>
        <v/>
      </c>
      <c r="F2067" s="138" t="str">
        <f>+IFERROR(VLOOKUP(Fact_Analitica[[#This Row],[Concepto Anterior]],Conceptos_Analítica_contraloría[#All],7,0),"")</f>
        <v/>
      </c>
      <c r="I2067" s="138" t="str">
        <f>+IFERROR(VLOOKUP(D2067,Conceptos_Analítica_contraloría[#All],2,0),"")</f>
        <v/>
      </c>
      <c r="J2067" s="138" t="str">
        <f>+IFERROR(VLOOKUP(D2067,Conceptos_Analítica_contraloría[#All],3,0),"")</f>
        <v/>
      </c>
    </row>
    <row r="2068" spans="3:10" x14ac:dyDescent="0.35">
      <c r="C2068" s="144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s="138" t="str">
        <f>+IFERROR(VLOOKUP(Fact_Analitica[[#This Row],[Concepto Anterior]],Conceptos_Analítica_contraloría[#All],5,0),"")</f>
        <v/>
      </c>
      <c r="F2068" s="138" t="str">
        <f>+IFERROR(VLOOKUP(Fact_Analitica[[#This Row],[Concepto Anterior]],Conceptos_Analítica_contraloría[#All],7,0),"")</f>
        <v/>
      </c>
      <c r="I2068" s="138" t="str">
        <f>+IFERROR(VLOOKUP(D2068,Conceptos_Analítica_contraloría[#All],2,0),"")</f>
        <v/>
      </c>
      <c r="J2068" s="138" t="str">
        <f>+IFERROR(VLOOKUP(D2068,Conceptos_Analítica_contraloría[#All],3,0),"")</f>
        <v/>
      </c>
    </row>
    <row r="2069" spans="3:10" x14ac:dyDescent="0.35">
      <c r="C2069" s="144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s="138" t="str">
        <f>+IFERROR(VLOOKUP(Fact_Analitica[[#This Row],[Concepto Anterior]],Conceptos_Analítica_contraloría[#All],5,0),"")</f>
        <v/>
      </c>
      <c r="F2069" s="138" t="str">
        <f>+IFERROR(VLOOKUP(Fact_Analitica[[#This Row],[Concepto Anterior]],Conceptos_Analítica_contraloría[#All],7,0),"")</f>
        <v/>
      </c>
      <c r="I2069" s="138" t="str">
        <f>+IFERROR(VLOOKUP(D2069,Conceptos_Analítica_contraloría[#All],2,0),"")</f>
        <v/>
      </c>
      <c r="J2069" s="138" t="str">
        <f>+IFERROR(VLOOKUP(D2069,Conceptos_Analítica_contraloría[#All],3,0),"")</f>
        <v/>
      </c>
    </row>
    <row r="2070" spans="3:10" x14ac:dyDescent="0.35">
      <c r="C2070" s="144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s="138" t="str">
        <f>+IFERROR(VLOOKUP(Fact_Analitica[[#This Row],[Concepto Anterior]],Conceptos_Analítica_contraloría[#All],5,0),"")</f>
        <v/>
      </c>
      <c r="F2070" s="138" t="str">
        <f>+IFERROR(VLOOKUP(Fact_Analitica[[#This Row],[Concepto Anterior]],Conceptos_Analítica_contraloría[#All],7,0),"")</f>
        <v/>
      </c>
      <c r="I2070" s="138" t="str">
        <f>+IFERROR(VLOOKUP(D2070,Conceptos_Analítica_contraloría[#All],2,0),"")</f>
        <v/>
      </c>
      <c r="J2070" s="138" t="str">
        <f>+IFERROR(VLOOKUP(D2070,Conceptos_Analítica_contraloría[#All],3,0),"")</f>
        <v/>
      </c>
    </row>
    <row r="2071" spans="3:10" x14ac:dyDescent="0.35">
      <c r="C2071" s="144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s="138" t="str">
        <f>+IFERROR(VLOOKUP(Fact_Analitica[[#This Row],[Concepto Anterior]],Conceptos_Analítica_contraloría[#All],5,0),"")</f>
        <v/>
      </c>
      <c r="F2071" s="138" t="str">
        <f>+IFERROR(VLOOKUP(Fact_Analitica[[#This Row],[Concepto Anterior]],Conceptos_Analítica_contraloría[#All],7,0),"")</f>
        <v/>
      </c>
      <c r="I2071" s="138" t="str">
        <f>+IFERROR(VLOOKUP(D2071,Conceptos_Analítica_contraloría[#All],2,0),"")</f>
        <v/>
      </c>
      <c r="J2071" s="138" t="str">
        <f>+IFERROR(VLOOKUP(D2071,Conceptos_Analítica_contraloría[#All],3,0),"")</f>
        <v/>
      </c>
    </row>
    <row r="2072" spans="3:10" x14ac:dyDescent="0.35">
      <c r="C2072" s="144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s="138" t="str">
        <f>+IFERROR(VLOOKUP(Fact_Analitica[[#This Row],[Concepto Anterior]],Conceptos_Analítica_contraloría[#All],5,0),"")</f>
        <v/>
      </c>
      <c r="F2072" s="138" t="str">
        <f>+IFERROR(VLOOKUP(Fact_Analitica[[#This Row],[Concepto Anterior]],Conceptos_Analítica_contraloría[#All],7,0),"")</f>
        <v/>
      </c>
      <c r="I2072" s="138" t="str">
        <f>+IFERROR(VLOOKUP(D2072,Conceptos_Analítica_contraloría[#All],2,0),"")</f>
        <v/>
      </c>
      <c r="J2072" s="138" t="str">
        <f>+IFERROR(VLOOKUP(D2072,Conceptos_Analítica_contraloría[#All],3,0),"")</f>
        <v/>
      </c>
    </row>
    <row r="2073" spans="3:10" x14ac:dyDescent="0.35">
      <c r="C2073" s="144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s="138" t="str">
        <f>+IFERROR(VLOOKUP(Fact_Analitica[[#This Row],[Concepto Anterior]],Conceptos_Analítica_contraloría[#All],5,0),"")</f>
        <v/>
      </c>
      <c r="F2073" s="138" t="str">
        <f>+IFERROR(VLOOKUP(Fact_Analitica[[#This Row],[Concepto Anterior]],Conceptos_Analítica_contraloría[#All],7,0),"")</f>
        <v/>
      </c>
      <c r="I2073" s="138" t="str">
        <f>+IFERROR(VLOOKUP(D2073,Conceptos_Analítica_contraloría[#All],2,0),"")</f>
        <v/>
      </c>
      <c r="J2073" s="138" t="str">
        <f>+IFERROR(VLOOKUP(D2073,Conceptos_Analítica_contraloría[#All],3,0),"")</f>
        <v/>
      </c>
    </row>
    <row r="2074" spans="3:10" x14ac:dyDescent="0.35">
      <c r="C2074" s="144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s="138" t="str">
        <f>+IFERROR(VLOOKUP(Fact_Analitica[[#This Row],[Concepto Anterior]],Conceptos_Analítica_contraloría[#All],5,0),"")</f>
        <v/>
      </c>
      <c r="F2074" s="138" t="str">
        <f>+IFERROR(VLOOKUP(Fact_Analitica[[#This Row],[Concepto Anterior]],Conceptos_Analítica_contraloría[#All],7,0),"")</f>
        <v/>
      </c>
      <c r="I2074" s="138" t="str">
        <f>+IFERROR(VLOOKUP(D2074,Conceptos_Analítica_contraloría[#All],2,0),"")</f>
        <v/>
      </c>
      <c r="J2074" s="138" t="str">
        <f>+IFERROR(VLOOKUP(D2074,Conceptos_Analítica_contraloría[#All],3,0),"")</f>
        <v/>
      </c>
    </row>
    <row r="2075" spans="3:10" x14ac:dyDescent="0.35">
      <c r="C2075" s="144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s="138" t="str">
        <f>+IFERROR(VLOOKUP(Fact_Analitica[[#This Row],[Concepto Anterior]],Conceptos_Analítica_contraloría[#All],5,0),"")</f>
        <v/>
      </c>
      <c r="F2075" s="138" t="str">
        <f>+IFERROR(VLOOKUP(Fact_Analitica[[#This Row],[Concepto Anterior]],Conceptos_Analítica_contraloría[#All],7,0),"")</f>
        <v/>
      </c>
      <c r="I2075" s="138" t="str">
        <f>+IFERROR(VLOOKUP(D2075,Conceptos_Analítica_contraloría[#All],2,0),"")</f>
        <v/>
      </c>
      <c r="J2075" s="138" t="str">
        <f>+IFERROR(VLOOKUP(D2075,Conceptos_Analítica_contraloría[#All],3,0),"")</f>
        <v/>
      </c>
    </row>
    <row r="2076" spans="3:10" x14ac:dyDescent="0.35">
      <c r="C2076" s="144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s="138" t="str">
        <f>+IFERROR(VLOOKUP(Fact_Analitica[[#This Row],[Concepto Anterior]],Conceptos_Analítica_contraloría[#All],5,0),"")</f>
        <v/>
      </c>
      <c r="F2076" s="138" t="str">
        <f>+IFERROR(VLOOKUP(Fact_Analitica[[#This Row],[Concepto Anterior]],Conceptos_Analítica_contraloría[#All],7,0),"")</f>
        <v/>
      </c>
      <c r="I2076" s="138" t="str">
        <f>+IFERROR(VLOOKUP(D2076,Conceptos_Analítica_contraloría[#All],2,0),"")</f>
        <v/>
      </c>
      <c r="J2076" s="138" t="str">
        <f>+IFERROR(VLOOKUP(D2076,Conceptos_Analítica_contraloría[#All],3,0),"")</f>
        <v/>
      </c>
    </row>
    <row r="2077" spans="3:10" x14ac:dyDescent="0.35">
      <c r="C2077" s="144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s="138" t="str">
        <f>+IFERROR(VLOOKUP(Fact_Analitica[[#This Row],[Concepto Anterior]],Conceptos_Analítica_contraloría[#All],5,0),"")</f>
        <v/>
      </c>
      <c r="F2077" s="138" t="str">
        <f>+IFERROR(VLOOKUP(Fact_Analitica[[#This Row],[Concepto Anterior]],Conceptos_Analítica_contraloría[#All],7,0),"")</f>
        <v/>
      </c>
      <c r="I2077" s="138" t="str">
        <f>+IFERROR(VLOOKUP(D2077,Conceptos_Analítica_contraloría[#All],2,0),"")</f>
        <v/>
      </c>
      <c r="J2077" s="138" t="str">
        <f>+IFERROR(VLOOKUP(D2077,Conceptos_Analítica_contraloría[#All],3,0),"")</f>
        <v/>
      </c>
    </row>
    <row r="2078" spans="3:10" x14ac:dyDescent="0.35">
      <c r="C2078" s="144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s="138" t="str">
        <f>+IFERROR(VLOOKUP(Fact_Analitica[[#This Row],[Concepto Anterior]],Conceptos_Analítica_contraloría[#All],5,0),"")</f>
        <v/>
      </c>
      <c r="F2078" s="138" t="str">
        <f>+IFERROR(VLOOKUP(Fact_Analitica[[#This Row],[Concepto Anterior]],Conceptos_Analítica_contraloría[#All],7,0),"")</f>
        <v/>
      </c>
      <c r="I2078" s="138" t="str">
        <f>+IFERROR(VLOOKUP(D2078,Conceptos_Analítica_contraloría[#All],2,0),"")</f>
        <v/>
      </c>
      <c r="J2078" s="138" t="str">
        <f>+IFERROR(VLOOKUP(D2078,Conceptos_Analítica_contraloría[#All],3,0),"")</f>
        <v/>
      </c>
    </row>
    <row r="2079" spans="3:10" x14ac:dyDescent="0.35">
      <c r="C2079" s="144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s="138" t="str">
        <f>+IFERROR(VLOOKUP(Fact_Analitica[[#This Row],[Concepto Anterior]],Conceptos_Analítica_contraloría[#All],5,0),"")</f>
        <v/>
      </c>
      <c r="F2079" s="138" t="str">
        <f>+IFERROR(VLOOKUP(Fact_Analitica[[#This Row],[Concepto Anterior]],Conceptos_Analítica_contraloría[#All],7,0),"")</f>
        <v/>
      </c>
      <c r="I2079" s="138" t="str">
        <f>+IFERROR(VLOOKUP(D2079,Conceptos_Analítica_contraloría[#All],2,0),"")</f>
        <v/>
      </c>
      <c r="J2079" s="138" t="str">
        <f>+IFERROR(VLOOKUP(D2079,Conceptos_Analítica_contraloría[#All],3,0),"")</f>
        <v/>
      </c>
    </row>
    <row r="2080" spans="3:10" x14ac:dyDescent="0.35">
      <c r="C2080" s="144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s="138" t="str">
        <f>+IFERROR(VLOOKUP(Fact_Analitica[[#This Row],[Concepto Anterior]],Conceptos_Analítica_contraloría[#All],5,0),"")</f>
        <v/>
      </c>
      <c r="F2080" s="138" t="str">
        <f>+IFERROR(VLOOKUP(Fact_Analitica[[#This Row],[Concepto Anterior]],Conceptos_Analítica_contraloría[#All],7,0),"")</f>
        <v/>
      </c>
      <c r="I2080" s="138" t="str">
        <f>+IFERROR(VLOOKUP(D2080,Conceptos_Analítica_contraloría[#All],2,0),"")</f>
        <v/>
      </c>
      <c r="J2080" s="138" t="str">
        <f>+IFERROR(VLOOKUP(D2080,Conceptos_Analítica_contraloría[#All],3,0),"")</f>
        <v/>
      </c>
    </row>
    <row r="2081" spans="3:10" x14ac:dyDescent="0.35">
      <c r="C2081" s="144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s="138" t="str">
        <f>+IFERROR(VLOOKUP(Fact_Analitica[[#This Row],[Concepto Anterior]],Conceptos_Analítica_contraloría[#All],5,0),"")</f>
        <v/>
      </c>
      <c r="F2081" s="138" t="str">
        <f>+IFERROR(VLOOKUP(Fact_Analitica[[#This Row],[Concepto Anterior]],Conceptos_Analítica_contraloría[#All],7,0),"")</f>
        <v/>
      </c>
      <c r="I2081" s="138" t="str">
        <f>+IFERROR(VLOOKUP(D2081,Conceptos_Analítica_contraloría[#All],2,0),"")</f>
        <v/>
      </c>
      <c r="J2081" s="138" t="str">
        <f>+IFERROR(VLOOKUP(D2081,Conceptos_Analítica_contraloría[#All],3,0),"")</f>
        <v/>
      </c>
    </row>
    <row r="2082" spans="3:10" x14ac:dyDescent="0.35">
      <c r="C2082" s="144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s="138" t="str">
        <f>+IFERROR(VLOOKUP(Fact_Analitica[[#This Row],[Concepto Anterior]],Conceptos_Analítica_contraloría[#All],5,0),"")</f>
        <v/>
      </c>
      <c r="F2082" s="138" t="str">
        <f>+IFERROR(VLOOKUP(Fact_Analitica[[#This Row],[Concepto Anterior]],Conceptos_Analítica_contraloría[#All],7,0),"")</f>
        <v/>
      </c>
      <c r="I2082" s="138" t="str">
        <f>+IFERROR(VLOOKUP(D2082,Conceptos_Analítica_contraloría[#All],2,0),"")</f>
        <v/>
      </c>
      <c r="J2082" s="138" t="str">
        <f>+IFERROR(VLOOKUP(D2082,Conceptos_Analítica_contraloría[#All],3,0),"")</f>
        <v/>
      </c>
    </row>
    <row r="2083" spans="3:10" x14ac:dyDescent="0.35">
      <c r="C2083" s="144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s="138" t="str">
        <f>+IFERROR(VLOOKUP(Fact_Analitica[[#This Row],[Concepto Anterior]],Conceptos_Analítica_contraloría[#All],5,0),"")</f>
        <v/>
      </c>
      <c r="F2083" s="138" t="str">
        <f>+IFERROR(VLOOKUP(Fact_Analitica[[#This Row],[Concepto Anterior]],Conceptos_Analítica_contraloría[#All],7,0),"")</f>
        <v/>
      </c>
      <c r="I2083" s="138" t="str">
        <f>+IFERROR(VLOOKUP(D2083,Conceptos_Analítica_contraloría[#All],2,0),"")</f>
        <v/>
      </c>
      <c r="J2083" s="138" t="str">
        <f>+IFERROR(VLOOKUP(D2083,Conceptos_Analítica_contraloría[#All],3,0),"")</f>
        <v/>
      </c>
    </row>
    <row r="2084" spans="3:10" x14ac:dyDescent="0.35">
      <c r="C2084" s="144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s="138" t="str">
        <f>+IFERROR(VLOOKUP(Fact_Analitica[[#This Row],[Concepto Anterior]],Conceptos_Analítica_contraloría[#All],5,0),"")</f>
        <v/>
      </c>
      <c r="F2084" s="138" t="str">
        <f>+IFERROR(VLOOKUP(Fact_Analitica[[#This Row],[Concepto Anterior]],Conceptos_Analítica_contraloría[#All],7,0),"")</f>
        <v/>
      </c>
      <c r="I2084" s="138" t="str">
        <f>+IFERROR(VLOOKUP(D2084,Conceptos_Analítica_contraloría[#All],2,0),"")</f>
        <v/>
      </c>
      <c r="J2084" s="138" t="str">
        <f>+IFERROR(VLOOKUP(D2084,Conceptos_Analítica_contraloría[#All],3,0),"")</f>
        <v/>
      </c>
    </row>
    <row r="2085" spans="3:10" x14ac:dyDescent="0.35">
      <c r="C2085" s="144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s="138" t="str">
        <f>+IFERROR(VLOOKUP(Fact_Analitica[[#This Row],[Concepto Anterior]],Conceptos_Analítica_contraloría[#All],5,0),"")</f>
        <v/>
      </c>
      <c r="F2085" s="138" t="str">
        <f>+IFERROR(VLOOKUP(Fact_Analitica[[#This Row],[Concepto Anterior]],Conceptos_Analítica_contraloría[#All],7,0),"")</f>
        <v/>
      </c>
      <c r="I2085" s="138" t="str">
        <f>+IFERROR(VLOOKUP(D2085,Conceptos_Analítica_contraloría[#All],2,0),"")</f>
        <v/>
      </c>
      <c r="J2085" s="138" t="str">
        <f>+IFERROR(VLOOKUP(D2085,Conceptos_Analítica_contraloría[#All],3,0),"")</f>
        <v/>
      </c>
    </row>
    <row r="2086" spans="3:10" x14ac:dyDescent="0.35">
      <c r="C2086" s="144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s="138" t="str">
        <f>+IFERROR(VLOOKUP(Fact_Analitica[[#This Row],[Concepto Anterior]],Conceptos_Analítica_contraloría[#All],5,0),"")</f>
        <v/>
      </c>
      <c r="F2086" s="138" t="str">
        <f>+IFERROR(VLOOKUP(Fact_Analitica[[#This Row],[Concepto Anterior]],Conceptos_Analítica_contraloría[#All],7,0),"")</f>
        <v/>
      </c>
      <c r="I2086" s="138" t="str">
        <f>+IFERROR(VLOOKUP(D2086,Conceptos_Analítica_contraloría[#All],2,0),"")</f>
        <v/>
      </c>
      <c r="J2086" s="138" t="str">
        <f>+IFERROR(VLOOKUP(D2086,Conceptos_Analítica_contraloría[#All],3,0),"")</f>
        <v/>
      </c>
    </row>
    <row r="2087" spans="3:10" x14ac:dyDescent="0.35">
      <c r="C2087" s="144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s="138" t="str">
        <f>+IFERROR(VLOOKUP(Fact_Analitica[[#This Row],[Concepto Anterior]],Conceptos_Analítica_contraloría[#All],5,0),"")</f>
        <v/>
      </c>
      <c r="F2087" s="138" t="str">
        <f>+IFERROR(VLOOKUP(Fact_Analitica[[#This Row],[Concepto Anterior]],Conceptos_Analítica_contraloría[#All],7,0),"")</f>
        <v/>
      </c>
      <c r="I2087" s="138" t="str">
        <f>+IFERROR(VLOOKUP(D2087,Conceptos_Analítica_contraloría[#All],2,0),"")</f>
        <v/>
      </c>
      <c r="J2087" s="138" t="str">
        <f>+IFERROR(VLOOKUP(D2087,Conceptos_Analítica_contraloría[#All],3,0),"")</f>
        <v/>
      </c>
    </row>
    <row r="2088" spans="3:10" x14ac:dyDescent="0.35">
      <c r="C2088" s="144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s="138" t="str">
        <f>+IFERROR(VLOOKUP(Fact_Analitica[[#This Row],[Concepto Anterior]],Conceptos_Analítica_contraloría[#All],5,0),"")</f>
        <v/>
      </c>
      <c r="F2088" s="138" t="str">
        <f>+IFERROR(VLOOKUP(Fact_Analitica[[#This Row],[Concepto Anterior]],Conceptos_Analítica_contraloría[#All],7,0),"")</f>
        <v/>
      </c>
      <c r="I2088" s="138" t="str">
        <f>+IFERROR(VLOOKUP(D2088,Conceptos_Analítica_contraloría[#All],2,0),"")</f>
        <v/>
      </c>
      <c r="J2088" s="138" t="str">
        <f>+IFERROR(VLOOKUP(D2088,Conceptos_Analítica_contraloría[#All],3,0),"")</f>
        <v/>
      </c>
    </row>
    <row r="2089" spans="3:10" x14ac:dyDescent="0.35">
      <c r="C2089" s="144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s="138" t="str">
        <f>+IFERROR(VLOOKUP(Fact_Analitica[[#This Row],[Concepto Anterior]],Conceptos_Analítica_contraloría[#All],5,0),"")</f>
        <v/>
      </c>
      <c r="F2089" s="138" t="str">
        <f>+IFERROR(VLOOKUP(Fact_Analitica[[#This Row],[Concepto Anterior]],Conceptos_Analítica_contraloría[#All],7,0),"")</f>
        <v/>
      </c>
      <c r="I2089" s="138" t="str">
        <f>+IFERROR(VLOOKUP(D2089,Conceptos_Analítica_contraloría[#All],2,0),"")</f>
        <v/>
      </c>
      <c r="J2089" s="138" t="str">
        <f>+IFERROR(VLOOKUP(D2089,Conceptos_Analítica_contraloría[#All],3,0),"")</f>
        <v/>
      </c>
    </row>
    <row r="2090" spans="3:10" x14ac:dyDescent="0.35">
      <c r="C2090" s="144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s="138" t="str">
        <f>+IFERROR(VLOOKUP(Fact_Analitica[[#This Row],[Concepto Anterior]],Conceptos_Analítica_contraloría[#All],5,0),"")</f>
        <v/>
      </c>
      <c r="F2090" s="138" t="str">
        <f>+IFERROR(VLOOKUP(Fact_Analitica[[#This Row],[Concepto Anterior]],Conceptos_Analítica_contraloría[#All],7,0),"")</f>
        <v/>
      </c>
      <c r="I2090" s="138" t="str">
        <f>+IFERROR(VLOOKUP(D2090,Conceptos_Analítica_contraloría[#All],2,0),"")</f>
        <v/>
      </c>
      <c r="J2090" s="138" t="str">
        <f>+IFERROR(VLOOKUP(D2090,Conceptos_Analítica_contraloría[#All],3,0),"")</f>
        <v/>
      </c>
    </row>
    <row r="2091" spans="3:10" x14ac:dyDescent="0.35">
      <c r="C2091" s="144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s="138" t="str">
        <f>+IFERROR(VLOOKUP(Fact_Analitica[[#This Row],[Concepto Anterior]],Conceptos_Analítica_contraloría[#All],5,0),"")</f>
        <v/>
      </c>
      <c r="F2091" s="138" t="str">
        <f>+IFERROR(VLOOKUP(Fact_Analitica[[#This Row],[Concepto Anterior]],Conceptos_Analítica_contraloría[#All],7,0),"")</f>
        <v/>
      </c>
      <c r="I2091" s="138" t="str">
        <f>+IFERROR(VLOOKUP(D2091,Conceptos_Analítica_contraloría[#All],2,0),"")</f>
        <v/>
      </c>
      <c r="J2091" s="138" t="str">
        <f>+IFERROR(VLOOKUP(D2091,Conceptos_Analítica_contraloría[#All],3,0),"")</f>
        <v/>
      </c>
    </row>
    <row r="2092" spans="3:10" x14ac:dyDescent="0.35">
      <c r="C2092" s="144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s="138" t="str">
        <f>+IFERROR(VLOOKUP(Fact_Analitica[[#This Row],[Concepto Anterior]],Conceptos_Analítica_contraloría[#All],5,0),"")</f>
        <v/>
      </c>
      <c r="F2092" s="138" t="str">
        <f>+IFERROR(VLOOKUP(Fact_Analitica[[#This Row],[Concepto Anterior]],Conceptos_Analítica_contraloría[#All],7,0),"")</f>
        <v/>
      </c>
      <c r="I2092" s="138" t="str">
        <f>+IFERROR(VLOOKUP(D2092,Conceptos_Analítica_contraloría[#All],2,0),"")</f>
        <v/>
      </c>
      <c r="J2092" s="138" t="str">
        <f>+IFERROR(VLOOKUP(D2092,Conceptos_Analítica_contraloría[#All],3,0),"")</f>
        <v/>
      </c>
    </row>
    <row r="2093" spans="3:10" x14ac:dyDescent="0.35">
      <c r="C2093" s="144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s="138" t="str">
        <f>+IFERROR(VLOOKUP(Fact_Analitica[[#This Row],[Concepto Anterior]],Conceptos_Analítica_contraloría[#All],5,0),"")</f>
        <v/>
      </c>
      <c r="F2093" s="138" t="str">
        <f>+IFERROR(VLOOKUP(Fact_Analitica[[#This Row],[Concepto Anterior]],Conceptos_Analítica_contraloría[#All],7,0),"")</f>
        <v/>
      </c>
      <c r="I2093" s="138" t="str">
        <f>+IFERROR(VLOOKUP(D2093,Conceptos_Analítica_contraloría[#All],2,0),"")</f>
        <v/>
      </c>
      <c r="J2093" s="138" t="str">
        <f>+IFERROR(VLOOKUP(D2093,Conceptos_Analítica_contraloría[#All],3,0),"")</f>
        <v/>
      </c>
    </row>
    <row r="2094" spans="3:10" x14ac:dyDescent="0.35">
      <c r="C2094" s="144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s="138" t="str">
        <f>+IFERROR(VLOOKUP(Fact_Analitica[[#This Row],[Concepto Anterior]],Conceptos_Analítica_contraloría[#All],5,0),"")</f>
        <v/>
      </c>
      <c r="F2094" s="138" t="str">
        <f>+IFERROR(VLOOKUP(Fact_Analitica[[#This Row],[Concepto Anterior]],Conceptos_Analítica_contraloría[#All],7,0),"")</f>
        <v/>
      </c>
      <c r="I2094" s="138" t="str">
        <f>+IFERROR(VLOOKUP(D2094,Conceptos_Analítica_contraloría[#All],2,0),"")</f>
        <v/>
      </c>
      <c r="J2094" s="138" t="str">
        <f>+IFERROR(VLOOKUP(D2094,Conceptos_Analítica_contraloría[#All],3,0),"")</f>
        <v/>
      </c>
    </row>
    <row r="2095" spans="3:10" x14ac:dyDescent="0.35">
      <c r="C2095" s="144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s="138" t="str">
        <f>+IFERROR(VLOOKUP(Fact_Analitica[[#This Row],[Concepto Anterior]],Conceptos_Analítica_contraloría[#All],5,0),"")</f>
        <v/>
      </c>
      <c r="F2095" s="138" t="str">
        <f>+IFERROR(VLOOKUP(Fact_Analitica[[#This Row],[Concepto Anterior]],Conceptos_Analítica_contraloría[#All],7,0),"")</f>
        <v/>
      </c>
      <c r="I2095" s="138" t="str">
        <f>+IFERROR(VLOOKUP(D2095,Conceptos_Analítica_contraloría[#All],2,0),"")</f>
        <v/>
      </c>
      <c r="J2095" s="138" t="str">
        <f>+IFERROR(VLOOKUP(D2095,Conceptos_Analítica_contraloría[#All],3,0),"")</f>
        <v/>
      </c>
    </row>
    <row r="2096" spans="3:10" x14ac:dyDescent="0.35">
      <c r="C2096" s="144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s="138" t="str">
        <f>+IFERROR(VLOOKUP(Fact_Analitica[[#This Row],[Concepto Anterior]],Conceptos_Analítica_contraloría[#All],5,0),"")</f>
        <v/>
      </c>
      <c r="F2096" s="138" t="str">
        <f>+IFERROR(VLOOKUP(Fact_Analitica[[#This Row],[Concepto Anterior]],Conceptos_Analítica_contraloría[#All],7,0),"")</f>
        <v/>
      </c>
      <c r="I2096" s="138" t="str">
        <f>+IFERROR(VLOOKUP(D2096,Conceptos_Analítica_contraloría[#All],2,0),"")</f>
        <v/>
      </c>
      <c r="J2096" s="138" t="str">
        <f>+IFERROR(VLOOKUP(D2096,Conceptos_Analítica_contraloría[#All],3,0),"")</f>
        <v/>
      </c>
    </row>
    <row r="2097" spans="3:10" x14ac:dyDescent="0.35">
      <c r="C2097" s="144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s="138" t="str">
        <f>+IFERROR(VLOOKUP(Fact_Analitica[[#This Row],[Concepto Anterior]],Conceptos_Analítica_contraloría[#All],5,0),"")</f>
        <v/>
      </c>
      <c r="F2097" s="138" t="str">
        <f>+IFERROR(VLOOKUP(Fact_Analitica[[#This Row],[Concepto Anterior]],Conceptos_Analítica_contraloría[#All],7,0),"")</f>
        <v/>
      </c>
      <c r="I2097" s="138" t="str">
        <f>+IFERROR(VLOOKUP(D2097,Conceptos_Analítica_contraloría[#All],2,0),"")</f>
        <v/>
      </c>
      <c r="J2097" s="138" t="str">
        <f>+IFERROR(VLOOKUP(D2097,Conceptos_Analítica_contraloría[#All],3,0),"")</f>
        <v/>
      </c>
    </row>
    <row r="2098" spans="3:10" x14ac:dyDescent="0.35">
      <c r="C2098" s="144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s="138" t="str">
        <f>+IFERROR(VLOOKUP(Fact_Analitica[[#This Row],[Concepto Anterior]],Conceptos_Analítica_contraloría[#All],5,0),"")</f>
        <v/>
      </c>
      <c r="F2098" s="138" t="str">
        <f>+IFERROR(VLOOKUP(Fact_Analitica[[#This Row],[Concepto Anterior]],Conceptos_Analítica_contraloría[#All],7,0),"")</f>
        <v/>
      </c>
      <c r="I2098" s="138" t="str">
        <f>+IFERROR(VLOOKUP(D2098,Conceptos_Analítica_contraloría[#All],2,0),"")</f>
        <v/>
      </c>
      <c r="J2098" s="138" t="str">
        <f>+IFERROR(VLOOKUP(D2098,Conceptos_Analítica_contraloría[#All],3,0),"")</f>
        <v/>
      </c>
    </row>
    <row r="2099" spans="3:10" x14ac:dyDescent="0.35">
      <c r="C2099" s="144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s="138" t="str">
        <f>+IFERROR(VLOOKUP(Fact_Analitica[[#This Row],[Concepto Anterior]],Conceptos_Analítica_contraloría[#All],5,0),"")</f>
        <v/>
      </c>
      <c r="F2099" s="138" t="str">
        <f>+IFERROR(VLOOKUP(Fact_Analitica[[#This Row],[Concepto Anterior]],Conceptos_Analítica_contraloría[#All],7,0),"")</f>
        <v/>
      </c>
      <c r="I2099" s="138" t="str">
        <f>+IFERROR(VLOOKUP(D2099,Conceptos_Analítica_contraloría[#All],2,0),"")</f>
        <v/>
      </c>
      <c r="J2099" s="138" t="str">
        <f>+IFERROR(VLOOKUP(D2099,Conceptos_Analítica_contraloría[#All],3,0),"")</f>
        <v/>
      </c>
    </row>
    <row r="2100" spans="3:10" x14ac:dyDescent="0.35">
      <c r="C2100" s="144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s="138" t="str">
        <f>+IFERROR(VLOOKUP(Fact_Analitica[[#This Row],[Concepto Anterior]],Conceptos_Analítica_contraloría[#All],5,0),"")</f>
        <v/>
      </c>
      <c r="F2100" s="138" t="str">
        <f>+IFERROR(VLOOKUP(Fact_Analitica[[#This Row],[Concepto Anterior]],Conceptos_Analítica_contraloría[#All],7,0),"")</f>
        <v/>
      </c>
      <c r="I2100" s="138" t="str">
        <f>+IFERROR(VLOOKUP(D2100,Conceptos_Analítica_contraloría[#All],2,0),"")</f>
        <v/>
      </c>
      <c r="J2100" s="138" t="str">
        <f>+IFERROR(VLOOKUP(D2100,Conceptos_Analítica_contraloría[#All],3,0),"")</f>
        <v/>
      </c>
    </row>
    <row r="2101" spans="3:10" x14ac:dyDescent="0.35">
      <c r="C2101" s="144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s="138" t="str">
        <f>+IFERROR(VLOOKUP(Fact_Analitica[[#This Row],[Concepto Anterior]],Conceptos_Analítica_contraloría[#All],5,0),"")</f>
        <v/>
      </c>
      <c r="F2101" s="138" t="str">
        <f>+IFERROR(VLOOKUP(Fact_Analitica[[#This Row],[Concepto Anterior]],Conceptos_Analítica_contraloría[#All],7,0),"")</f>
        <v/>
      </c>
      <c r="I2101" s="138" t="str">
        <f>+IFERROR(VLOOKUP(D2101,Conceptos_Analítica_contraloría[#All],2,0),"")</f>
        <v/>
      </c>
      <c r="J2101" s="138" t="str">
        <f>+IFERROR(VLOOKUP(D2101,Conceptos_Analítica_contraloría[#All],3,0),"")</f>
        <v/>
      </c>
    </row>
    <row r="2102" spans="3:10" x14ac:dyDescent="0.35">
      <c r="C2102" s="144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s="138" t="str">
        <f>+IFERROR(VLOOKUP(Fact_Analitica[[#This Row],[Concepto Anterior]],Conceptos_Analítica_contraloría[#All],5,0),"")</f>
        <v/>
      </c>
      <c r="F2102" s="138" t="str">
        <f>+IFERROR(VLOOKUP(Fact_Analitica[[#This Row],[Concepto Anterior]],Conceptos_Analítica_contraloría[#All],7,0),"")</f>
        <v/>
      </c>
      <c r="I2102" s="138" t="str">
        <f>+IFERROR(VLOOKUP(D2102,Conceptos_Analítica_contraloría[#All],2,0),"")</f>
        <v/>
      </c>
      <c r="J2102" s="138" t="str">
        <f>+IFERROR(VLOOKUP(D2102,Conceptos_Analítica_contraloría[#All],3,0),"")</f>
        <v/>
      </c>
    </row>
    <row r="2103" spans="3:10" x14ac:dyDescent="0.35">
      <c r="C2103" s="144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s="138" t="str">
        <f>+IFERROR(VLOOKUP(Fact_Analitica[[#This Row],[Concepto Anterior]],Conceptos_Analítica_contraloría[#All],5,0),"")</f>
        <v/>
      </c>
      <c r="F2103" s="138" t="str">
        <f>+IFERROR(VLOOKUP(Fact_Analitica[[#This Row],[Concepto Anterior]],Conceptos_Analítica_contraloría[#All],7,0),"")</f>
        <v/>
      </c>
      <c r="I2103" s="138" t="str">
        <f>+IFERROR(VLOOKUP(D2103,Conceptos_Analítica_contraloría[#All],2,0),"")</f>
        <v/>
      </c>
      <c r="J2103" s="138" t="str">
        <f>+IFERROR(VLOOKUP(D2103,Conceptos_Analítica_contraloría[#All],3,0),"")</f>
        <v/>
      </c>
    </row>
    <row r="2104" spans="3:10" x14ac:dyDescent="0.35">
      <c r="C2104" s="144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s="138" t="str">
        <f>+IFERROR(VLOOKUP(Fact_Analitica[[#This Row],[Concepto Anterior]],Conceptos_Analítica_contraloría[#All],5,0),"")</f>
        <v/>
      </c>
      <c r="F2104" s="138" t="str">
        <f>+IFERROR(VLOOKUP(Fact_Analitica[[#This Row],[Concepto Anterior]],Conceptos_Analítica_contraloría[#All],7,0),"")</f>
        <v/>
      </c>
      <c r="I2104" s="138" t="str">
        <f>+IFERROR(VLOOKUP(D2104,Conceptos_Analítica_contraloría[#All],2,0),"")</f>
        <v/>
      </c>
      <c r="J2104" s="138" t="str">
        <f>+IFERROR(VLOOKUP(D2104,Conceptos_Analítica_contraloría[#All],3,0),"")</f>
        <v/>
      </c>
    </row>
    <row r="2105" spans="3:10" x14ac:dyDescent="0.35">
      <c r="C2105" s="144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s="138" t="str">
        <f>+IFERROR(VLOOKUP(Fact_Analitica[[#This Row],[Concepto Anterior]],Conceptos_Analítica_contraloría[#All],5,0),"")</f>
        <v/>
      </c>
      <c r="F2105" s="138" t="str">
        <f>+IFERROR(VLOOKUP(Fact_Analitica[[#This Row],[Concepto Anterior]],Conceptos_Analítica_contraloría[#All],7,0),"")</f>
        <v/>
      </c>
      <c r="I2105" s="138" t="str">
        <f>+IFERROR(VLOOKUP(D2105,Conceptos_Analítica_contraloría[#All],2,0),"")</f>
        <v/>
      </c>
      <c r="J2105" s="138" t="str">
        <f>+IFERROR(VLOOKUP(D2105,Conceptos_Analítica_contraloría[#All],3,0),"")</f>
        <v/>
      </c>
    </row>
    <row r="2106" spans="3:10" x14ac:dyDescent="0.35">
      <c r="C2106" s="144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s="138" t="str">
        <f>+IFERROR(VLOOKUP(Fact_Analitica[[#This Row],[Concepto Anterior]],Conceptos_Analítica_contraloría[#All],5,0),"")</f>
        <v/>
      </c>
      <c r="F2106" s="138" t="str">
        <f>+IFERROR(VLOOKUP(Fact_Analitica[[#This Row],[Concepto Anterior]],Conceptos_Analítica_contraloría[#All],7,0),"")</f>
        <v/>
      </c>
      <c r="I2106" s="138" t="str">
        <f>+IFERROR(VLOOKUP(D2106,Conceptos_Analítica_contraloría[#All],2,0),"")</f>
        <v/>
      </c>
      <c r="J2106" s="138" t="str">
        <f>+IFERROR(VLOOKUP(D2106,Conceptos_Analítica_contraloría[#All],3,0),"")</f>
        <v/>
      </c>
    </row>
    <row r="2107" spans="3:10" x14ac:dyDescent="0.35">
      <c r="C2107" s="144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s="138" t="str">
        <f>+IFERROR(VLOOKUP(Fact_Analitica[[#This Row],[Concepto Anterior]],Conceptos_Analítica_contraloría[#All],5,0),"")</f>
        <v/>
      </c>
      <c r="F2107" s="138" t="str">
        <f>+IFERROR(VLOOKUP(Fact_Analitica[[#This Row],[Concepto Anterior]],Conceptos_Analítica_contraloría[#All],7,0),"")</f>
        <v/>
      </c>
      <c r="I2107" s="138" t="str">
        <f>+IFERROR(VLOOKUP(D2107,Conceptos_Analítica_contraloría[#All],2,0),"")</f>
        <v/>
      </c>
      <c r="J2107" s="138" t="str">
        <f>+IFERROR(VLOOKUP(D2107,Conceptos_Analítica_contraloría[#All],3,0),"")</f>
        <v/>
      </c>
    </row>
    <row r="2108" spans="3:10" x14ac:dyDescent="0.35">
      <c r="C2108" s="144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s="138" t="str">
        <f>+IFERROR(VLOOKUP(Fact_Analitica[[#This Row],[Concepto Anterior]],Conceptos_Analítica_contraloría[#All],5,0),"")</f>
        <v/>
      </c>
      <c r="F2108" s="138" t="str">
        <f>+IFERROR(VLOOKUP(Fact_Analitica[[#This Row],[Concepto Anterior]],Conceptos_Analítica_contraloría[#All],7,0),"")</f>
        <v/>
      </c>
      <c r="I2108" s="138" t="str">
        <f>+IFERROR(VLOOKUP(D2108,Conceptos_Analítica_contraloría[#All],2,0),"")</f>
        <v/>
      </c>
      <c r="J2108" s="138" t="str">
        <f>+IFERROR(VLOOKUP(D2108,Conceptos_Analítica_contraloría[#All],3,0),"")</f>
        <v/>
      </c>
    </row>
    <row r="2109" spans="3:10" x14ac:dyDescent="0.35">
      <c r="C2109" s="144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s="138" t="str">
        <f>+IFERROR(VLOOKUP(Fact_Analitica[[#This Row],[Concepto Anterior]],Conceptos_Analítica_contraloría[#All],5,0),"")</f>
        <v/>
      </c>
      <c r="F2109" s="138" t="str">
        <f>+IFERROR(VLOOKUP(Fact_Analitica[[#This Row],[Concepto Anterior]],Conceptos_Analítica_contraloría[#All],7,0),"")</f>
        <v/>
      </c>
      <c r="I2109" s="138" t="str">
        <f>+IFERROR(VLOOKUP(D2109,Conceptos_Analítica_contraloría[#All],2,0),"")</f>
        <v/>
      </c>
      <c r="J2109" s="138" t="str">
        <f>+IFERROR(VLOOKUP(D2109,Conceptos_Analítica_contraloría[#All],3,0),"")</f>
        <v/>
      </c>
    </row>
    <row r="2110" spans="3:10" x14ac:dyDescent="0.35">
      <c r="C2110" s="144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s="138" t="str">
        <f>+IFERROR(VLOOKUP(Fact_Analitica[[#This Row],[Concepto Anterior]],Conceptos_Analítica_contraloría[#All],5,0),"")</f>
        <v/>
      </c>
      <c r="F2110" s="138" t="str">
        <f>+IFERROR(VLOOKUP(Fact_Analitica[[#This Row],[Concepto Anterior]],Conceptos_Analítica_contraloría[#All],7,0),"")</f>
        <v/>
      </c>
      <c r="I2110" s="138" t="str">
        <f>+IFERROR(VLOOKUP(D2110,Conceptos_Analítica_contraloría[#All],2,0),"")</f>
        <v/>
      </c>
      <c r="J2110" s="138" t="str">
        <f>+IFERROR(VLOOKUP(D2110,Conceptos_Analítica_contraloría[#All],3,0),"")</f>
        <v/>
      </c>
    </row>
    <row r="2111" spans="3:10" x14ac:dyDescent="0.35">
      <c r="C2111" s="144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s="138" t="str">
        <f>+IFERROR(VLOOKUP(Fact_Analitica[[#This Row],[Concepto Anterior]],Conceptos_Analítica_contraloría[#All],5,0),"")</f>
        <v/>
      </c>
      <c r="F2111" s="138" t="str">
        <f>+IFERROR(VLOOKUP(Fact_Analitica[[#This Row],[Concepto Anterior]],Conceptos_Analítica_contraloría[#All],7,0),"")</f>
        <v/>
      </c>
      <c r="I2111" s="138" t="str">
        <f>+IFERROR(VLOOKUP(D2111,Conceptos_Analítica_contraloría[#All],2,0),"")</f>
        <v/>
      </c>
      <c r="J2111" s="138" t="str">
        <f>+IFERROR(VLOOKUP(D2111,Conceptos_Analítica_contraloría[#All],3,0),"")</f>
        <v/>
      </c>
    </row>
    <row r="2112" spans="3:10" x14ac:dyDescent="0.35">
      <c r="C2112" s="144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s="138" t="str">
        <f>+IFERROR(VLOOKUP(Fact_Analitica[[#This Row],[Concepto Anterior]],Conceptos_Analítica_contraloría[#All],5,0),"")</f>
        <v/>
      </c>
      <c r="F2112" s="138" t="str">
        <f>+IFERROR(VLOOKUP(Fact_Analitica[[#This Row],[Concepto Anterior]],Conceptos_Analítica_contraloría[#All],7,0),"")</f>
        <v/>
      </c>
      <c r="I2112" s="138" t="str">
        <f>+IFERROR(VLOOKUP(D2112,Conceptos_Analítica_contraloría[#All],2,0),"")</f>
        <v/>
      </c>
      <c r="J2112" s="138" t="str">
        <f>+IFERROR(VLOOKUP(D2112,Conceptos_Analítica_contraloría[#All],3,0),"")</f>
        <v/>
      </c>
    </row>
    <row r="2113" spans="3:10" x14ac:dyDescent="0.35">
      <c r="C2113" s="144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s="138" t="str">
        <f>+IFERROR(VLOOKUP(Fact_Analitica[[#This Row],[Concepto Anterior]],Conceptos_Analítica_contraloría[#All],5,0),"")</f>
        <v/>
      </c>
      <c r="F2113" s="138" t="str">
        <f>+IFERROR(VLOOKUP(Fact_Analitica[[#This Row],[Concepto Anterior]],Conceptos_Analítica_contraloría[#All],7,0),"")</f>
        <v/>
      </c>
      <c r="I2113" s="138" t="str">
        <f>+IFERROR(VLOOKUP(D2113,Conceptos_Analítica_contraloría[#All],2,0),"")</f>
        <v/>
      </c>
      <c r="J2113" s="138" t="str">
        <f>+IFERROR(VLOOKUP(D2113,Conceptos_Analítica_contraloría[#All],3,0),"")</f>
        <v/>
      </c>
    </row>
    <row r="2114" spans="3:10" x14ac:dyDescent="0.35">
      <c r="C2114" s="144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s="138" t="str">
        <f>+IFERROR(VLOOKUP(Fact_Analitica[[#This Row],[Concepto Anterior]],Conceptos_Analítica_contraloría[#All],5,0),"")</f>
        <v/>
      </c>
      <c r="F2114" s="138" t="str">
        <f>+IFERROR(VLOOKUP(Fact_Analitica[[#This Row],[Concepto Anterior]],Conceptos_Analítica_contraloría[#All],7,0),"")</f>
        <v/>
      </c>
      <c r="I2114" s="138" t="str">
        <f>+IFERROR(VLOOKUP(D2114,Conceptos_Analítica_contraloría[#All],2,0),"")</f>
        <v/>
      </c>
      <c r="J2114" s="138" t="str">
        <f>+IFERROR(VLOOKUP(D2114,Conceptos_Analítica_contraloría[#All],3,0),"")</f>
        <v/>
      </c>
    </row>
    <row r="2115" spans="3:10" x14ac:dyDescent="0.35">
      <c r="C2115" s="144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s="138" t="str">
        <f>+IFERROR(VLOOKUP(Fact_Analitica[[#This Row],[Concepto Anterior]],Conceptos_Analítica_contraloría[#All],5,0),"")</f>
        <v/>
      </c>
      <c r="F2115" s="138" t="str">
        <f>+IFERROR(VLOOKUP(Fact_Analitica[[#This Row],[Concepto Anterior]],Conceptos_Analítica_contraloría[#All],7,0),"")</f>
        <v/>
      </c>
      <c r="I2115" s="138" t="str">
        <f>+IFERROR(VLOOKUP(D2115,Conceptos_Analítica_contraloría[#All],2,0),"")</f>
        <v/>
      </c>
      <c r="J2115" s="138" t="str">
        <f>+IFERROR(VLOOKUP(D2115,Conceptos_Analítica_contraloría[#All],3,0),"")</f>
        <v/>
      </c>
    </row>
    <row r="2116" spans="3:10" x14ac:dyDescent="0.35">
      <c r="C2116" s="144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s="138" t="str">
        <f>+IFERROR(VLOOKUP(Fact_Analitica[[#This Row],[Concepto Anterior]],Conceptos_Analítica_contraloría[#All],5,0),"")</f>
        <v/>
      </c>
      <c r="F2116" s="138" t="str">
        <f>+IFERROR(VLOOKUP(Fact_Analitica[[#This Row],[Concepto Anterior]],Conceptos_Analítica_contraloría[#All],7,0),"")</f>
        <v/>
      </c>
      <c r="I2116" s="138" t="str">
        <f>+IFERROR(VLOOKUP(D2116,Conceptos_Analítica_contraloría[#All],2,0),"")</f>
        <v/>
      </c>
      <c r="J2116" s="138" t="str">
        <f>+IFERROR(VLOOKUP(D2116,Conceptos_Analítica_contraloría[#All],3,0),"")</f>
        <v/>
      </c>
    </row>
    <row r="2117" spans="3:10" x14ac:dyDescent="0.35">
      <c r="C2117" s="144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s="138" t="str">
        <f>+IFERROR(VLOOKUP(Fact_Analitica[[#This Row],[Concepto Anterior]],Conceptos_Analítica_contraloría[#All],5,0),"")</f>
        <v/>
      </c>
      <c r="F2117" s="138" t="str">
        <f>+IFERROR(VLOOKUP(Fact_Analitica[[#This Row],[Concepto Anterior]],Conceptos_Analítica_contraloría[#All],7,0),"")</f>
        <v/>
      </c>
      <c r="I2117" s="138" t="str">
        <f>+IFERROR(VLOOKUP(D2117,Conceptos_Analítica_contraloría[#All],2,0),"")</f>
        <v/>
      </c>
      <c r="J2117" s="138" t="str">
        <f>+IFERROR(VLOOKUP(D2117,Conceptos_Analítica_contraloría[#All],3,0),"")</f>
        <v/>
      </c>
    </row>
    <row r="2118" spans="3:10" x14ac:dyDescent="0.35">
      <c r="C2118" s="144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s="138" t="str">
        <f>+IFERROR(VLOOKUP(Fact_Analitica[[#This Row],[Concepto Anterior]],Conceptos_Analítica_contraloría[#All],5,0),"")</f>
        <v/>
      </c>
      <c r="F2118" s="138" t="str">
        <f>+IFERROR(VLOOKUP(Fact_Analitica[[#This Row],[Concepto Anterior]],Conceptos_Analítica_contraloría[#All],7,0),"")</f>
        <v/>
      </c>
      <c r="I2118" s="138" t="str">
        <f>+IFERROR(VLOOKUP(D2118,Conceptos_Analítica_contraloría[#All],2,0),"")</f>
        <v/>
      </c>
      <c r="J2118" s="138" t="str">
        <f>+IFERROR(VLOOKUP(D2118,Conceptos_Analítica_contraloría[#All],3,0),"")</f>
        <v/>
      </c>
    </row>
    <row r="2119" spans="3:10" x14ac:dyDescent="0.35">
      <c r="C2119" s="144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s="138" t="str">
        <f>+IFERROR(VLOOKUP(Fact_Analitica[[#This Row],[Concepto Anterior]],Conceptos_Analítica_contraloría[#All],5,0),"")</f>
        <v/>
      </c>
      <c r="F2119" s="138" t="str">
        <f>+IFERROR(VLOOKUP(Fact_Analitica[[#This Row],[Concepto Anterior]],Conceptos_Analítica_contraloría[#All],7,0),"")</f>
        <v/>
      </c>
      <c r="I2119" s="138" t="str">
        <f>+IFERROR(VLOOKUP(D2119,Conceptos_Analítica_contraloría[#All],2,0),"")</f>
        <v/>
      </c>
      <c r="J2119" s="138" t="str">
        <f>+IFERROR(VLOOKUP(D2119,Conceptos_Analítica_contraloría[#All],3,0),"")</f>
        <v/>
      </c>
    </row>
    <row r="2120" spans="3:10" x14ac:dyDescent="0.35">
      <c r="C2120" s="144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s="138" t="str">
        <f>+IFERROR(VLOOKUP(Fact_Analitica[[#This Row],[Concepto Anterior]],Conceptos_Analítica_contraloría[#All],5,0),"")</f>
        <v/>
      </c>
      <c r="F2120" s="138" t="str">
        <f>+IFERROR(VLOOKUP(Fact_Analitica[[#This Row],[Concepto Anterior]],Conceptos_Analítica_contraloría[#All],7,0),"")</f>
        <v/>
      </c>
      <c r="I2120" s="138" t="str">
        <f>+IFERROR(VLOOKUP(D2120,Conceptos_Analítica_contraloría[#All],2,0),"")</f>
        <v/>
      </c>
      <c r="J2120" s="138" t="str">
        <f>+IFERROR(VLOOKUP(D2120,Conceptos_Analítica_contraloría[#All],3,0),"")</f>
        <v/>
      </c>
    </row>
    <row r="2121" spans="3:10" x14ac:dyDescent="0.35">
      <c r="C2121" s="144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s="138" t="str">
        <f>+IFERROR(VLOOKUP(Fact_Analitica[[#This Row],[Concepto Anterior]],Conceptos_Analítica_contraloría[#All],5,0),"")</f>
        <v/>
      </c>
      <c r="F2121" s="138" t="str">
        <f>+IFERROR(VLOOKUP(Fact_Analitica[[#This Row],[Concepto Anterior]],Conceptos_Analítica_contraloría[#All],7,0),"")</f>
        <v/>
      </c>
      <c r="I2121" s="138" t="str">
        <f>+IFERROR(VLOOKUP(D2121,Conceptos_Analítica_contraloría[#All],2,0),"")</f>
        <v/>
      </c>
      <c r="J2121" s="138" t="str">
        <f>+IFERROR(VLOOKUP(D2121,Conceptos_Analítica_contraloría[#All],3,0),"")</f>
        <v/>
      </c>
    </row>
    <row r="2122" spans="3:10" x14ac:dyDescent="0.35">
      <c r="C2122" s="144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s="138" t="str">
        <f>+IFERROR(VLOOKUP(Fact_Analitica[[#This Row],[Concepto Anterior]],Conceptos_Analítica_contraloría[#All],5,0),"")</f>
        <v/>
      </c>
      <c r="F2122" s="138" t="str">
        <f>+IFERROR(VLOOKUP(Fact_Analitica[[#This Row],[Concepto Anterior]],Conceptos_Analítica_contraloría[#All],7,0),"")</f>
        <v/>
      </c>
      <c r="I2122" s="138" t="str">
        <f>+IFERROR(VLOOKUP(D2122,Conceptos_Analítica_contraloría[#All],2,0),"")</f>
        <v/>
      </c>
      <c r="J2122" s="138" t="str">
        <f>+IFERROR(VLOOKUP(D2122,Conceptos_Analítica_contraloría[#All],3,0),"")</f>
        <v/>
      </c>
    </row>
    <row r="2123" spans="3:10" x14ac:dyDescent="0.35">
      <c r="C2123" s="144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s="138" t="str">
        <f>+IFERROR(VLOOKUP(Fact_Analitica[[#This Row],[Concepto Anterior]],Conceptos_Analítica_contraloría[#All],5,0),"")</f>
        <v/>
      </c>
      <c r="F2123" s="138" t="str">
        <f>+IFERROR(VLOOKUP(Fact_Analitica[[#This Row],[Concepto Anterior]],Conceptos_Analítica_contraloría[#All],7,0),"")</f>
        <v/>
      </c>
      <c r="I2123" s="138" t="str">
        <f>+IFERROR(VLOOKUP(D2123,Conceptos_Analítica_contraloría[#All],2,0),"")</f>
        <v/>
      </c>
      <c r="J2123" s="138" t="str">
        <f>+IFERROR(VLOOKUP(D2123,Conceptos_Analítica_contraloría[#All],3,0),"")</f>
        <v/>
      </c>
    </row>
    <row r="2124" spans="3:10" x14ac:dyDescent="0.35">
      <c r="C2124" s="144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s="138" t="str">
        <f>+IFERROR(VLOOKUP(Fact_Analitica[[#This Row],[Concepto Anterior]],Conceptos_Analítica_contraloría[#All],5,0),"")</f>
        <v/>
      </c>
      <c r="F2124" s="138" t="str">
        <f>+IFERROR(VLOOKUP(Fact_Analitica[[#This Row],[Concepto Anterior]],Conceptos_Analítica_contraloría[#All],7,0),"")</f>
        <v/>
      </c>
      <c r="I2124" s="138" t="str">
        <f>+IFERROR(VLOOKUP(D2124,Conceptos_Analítica_contraloría[#All],2,0),"")</f>
        <v/>
      </c>
      <c r="J2124" s="138" t="str">
        <f>+IFERROR(VLOOKUP(D2124,Conceptos_Analítica_contraloría[#All],3,0),"")</f>
        <v/>
      </c>
    </row>
    <row r="2125" spans="3:10" x14ac:dyDescent="0.35">
      <c r="C2125" s="144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s="138" t="str">
        <f>+IFERROR(VLOOKUP(Fact_Analitica[[#This Row],[Concepto Anterior]],Conceptos_Analítica_contraloría[#All],5,0),"")</f>
        <v/>
      </c>
      <c r="F2125" s="138" t="str">
        <f>+IFERROR(VLOOKUP(Fact_Analitica[[#This Row],[Concepto Anterior]],Conceptos_Analítica_contraloría[#All],7,0),"")</f>
        <v/>
      </c>
      <c r="I2125" s="138" t="str">
        <f>+IFERROR(VLOOKUP(D2125,Conceptos_Analítica_contraloría[#All],2,0),"")</f>
        <v/>
      </c>
      <c r="J2125" s="138" t="str">
        <f>+IFERROR(VLOOKUP(D2125,Conceptos_Analítica_contraloría[#All],3,0),"")</f>
        <v/>
      </c>
    </row>
    <row r="2126" spans="3:10" x14ac:dyDescent="0.35">
      <c r="C2126" s="144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s="138" t="str">
        <f>+IFERROR(VLOOKUP(Fact_Analitica[[#This Row],[Concepto Anterior]],Conceptos_Analítica_contraloría[#All],5,0),"")</f>
        <v/>
      </c>
      <c r="F2126" s="138" t="str">
        <f>+IFERROR(VLOOKUP(Fact_Analitica[[#This Row],[Concepto Anterior]],Conceptos_Analítica_contraloría[#All],7,0),"")</f>
        <v/>
      </c>
      <c r="I2126" s="138" t="str">
        <f>+IFERROR(VLOOKUP(D2126,Conceptos_Analítica_contraloría[#All],2,0),"")</f>
        <v/>
      </c>
      <c r="J2126" s="138" t="str">
        <f>+IFERROR(VLOOKUP(D2126,Conceptos_Analítica_contraloría[#All],3,0),"")</f>
        <v/>
      </c>
    </row>
    <row r="2127" spans="3:10" x14ac:dyDescent="0.35">
      <c r="C2127" s="144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s="138" t="str">
        <f>+IFERROR(VLOOKUP(Fact_Analitica[[#This Row],[Concepto Anterior]],Conceptos_Analítica_contraloría[#All],5,0),"")</f>
        <v/>
      </c>
      <c r="F2127" s="138" t="str">
        <f>+IFERROR(VLOOKUP(Fact_Analitica[[#This Row],[Concepto Anterior]],Conceptos_Analítica_contraloría[#All],7,0),"")</f>
        <v/>
      </c>
      <c r="I2127" s="138" t="str">
        <f>+IFERROR(VLOOKUP(D2127,Conceptos_Analítica_contraloría[#All],2,0),"")</f>
        <v/>
      </c>
      <c r="J2127" s="138" t="str">
        <f>+IFERROR(VLOOKUP(D2127,Conceptos_Analítica_contraloría[#All],3,0),"")</f>
        <v/>
      </c>
    </row>
    <row r="2128" spans="3:10" x14ac:dyDescent="0.35">
      <c r="C2128" s="144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s="138" t="str">
        <f>+IFERROR(VLOOKUP(Fact_Analitica[[#This Row],[Concepto Anterior]],Conceptos_Analítica_contraloría[#All],5,0),"")</f>
        <v/>
      </c>
      <c r="F2128" s="138" t="str">
        <f>+IFERROR(VLOOKUP(Fact_Analitica[[#This Row],[Concepto Anterior]],Conceptos_Analítica_contraloría[#All],7,0),"")</f>
        <v/>
      </c>
      <c r="I2128" s="138" t="str">
        <f>+IFERROR(VLOOKUP(D2128,Conceptos_Analítica_contraloría[#All],2,0),"")</f>
        <v/>
      </c>
      <c r="J2128" s="138" t="str">
        <f>+IFERROR(VLOOKUP(D2128,Conceptos_Analítica_contraloría[#All],3,0),"")</f>
        <v/>
      </c>
    </row>
    <row r="2129" spans="3:10" x14ac:dyDescent="0.35">
      <c r="C2129" s="144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s="138" t="str">
        <f>+IFERROR(VLOOKUP(Fact_Analitica[[#This Row],[Concepto Anterior]],Conceptos_Analítica_contraloría[#All],5,0),"")</f>
        <v/>
      </c>
      <c r="F2129" s="138" t="str">
        <f>+IFERROR(VLOOKUP(Fact_Analitica[[#This Row],[Concepto Anterior]],Conceptos_Analítica_contraloría[#All],7,0),"")</f>
        <v/>
      </c>
      <c r="I2129" s="138" t="str">
        <f>+IFERROR(VLOOKUP(D2129,Conceptos_Analítica_contraloría[#All],2,0),"")</f>
        <v/>
      </c>
      <c r="J2129" s="138" t="str">
        <f>+IFERROR(VLOOKUP(D2129,Conceptos_Analítica_contraloría[#All],3,0),"")</f>
        <v/>
      </c>
    </row>
    <row r="2130" spans="3:10" x14ac:dyDescent="0.35">
      <c r="C2130" s="144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s="138" t="str">
        <f>+IFERROR(VLOOKUP(Fact_Analitica[[#This Row],[Concepto Anterior]],Conceptos_Analítica_contraloría[#All],5,0),"")</f>
        <v/>
      </c>
      <c r="F2130" s="138" t="str">
        <f>+IFERROR(VLOOKUP(Fact_Analitica[[#This Row],[Concepto Anterior]],Conceptos_Analítica_contraloría[#All],7,0),"")</f>
        <v/>
      </c>
      <c r="I2130" s="138" t="str">
        <f>+IFERROR(VLOOKUP(D2130,Conceptos_Analítica_contraloría[#All],2,0),"")</f>
        <v/>
      </c>
      <c r="J2130" s="138" t="str">
        <f>+IFERROR(VLOOKUP(D2130,Conceptos_Analítica_contraloría[#All],3,0),"")</f>
        <v/>
      </c>
    </row>
    <row r="2131" spans="3:10" x14ac:dyDescent="0.35">
      <c r="C2131" s="144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s="138" t="str">
        <f>+IFERROR(VLOOKUP(Fact_Analitica[[#This Row],[Concepto Anterior]],Conceptos_Analítica_contraloría[#All],5,0),"")</f>
        <v/>
      </c>
      <c r="F2131" s="138" t="str">
        <f>+IFERROR(VLOOKUP(Fact_Analitica[[#This Row],[Concepto Anterior]],Conceptos_Analítica_contraloría[#All],7,0),"")</f>
        <v/>
      </c>
      <c r="I2131" s="138" t="str">
        <f>+IFERROR(VLOOKUP(D2131,Conceptos_Analítica_contraloría[#All],2,0),"")</f>
        <v/>
      </c>
      <c r="J2131" s="138" t="str">
        <f>+IFERROR(VLOOKUP(D2131,Conceptos_Analítica_contraloría[#All],3,0),"")</f>
        <v/>
      </c>
    </row>
    <row r="2132" spans="3:10" x14ac:dyDescent="0.35">
      <c r="C2132" s="144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s="138" t="str">
        <f>+IFERROR(VLOOKUP(Fact_Analitica[[#This Row],[Concepto Anterior]],Conceptos_Analítica_contraloría[#All],5,0),"")</f>
        <v/>
      </c>
      <c r="F2132" s="138" t="str">
        <f>+IFERROR(VLOOKUP(Fact_Analitica[[#This Row],[Concepto Anterior]],Conceptos_Analítica_contraloría[#All],7,0),"")</f>
        <v/>
      </c>
      <c r="I2132" s="138" t="str">
        <f>+IFERROR(VLOOKUP(D2132,Conceptos_Analítica_contraloría[#All],2,0),"")</f>
        <v/>
      </c>
      <c r="J2132" s="138" t="str">
        <f>+IFERROR(VLOOKUP(D2132,Conceptos_Analítica_contraloría[#All],3,0),"")</f>
        <v/>
      </c>
    </row>
    <row r="2133" spans="3:10" x14ac:dyDescent="0.35">
      <c r="C2133" s="144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s="138" t="str">
        <f>+IFERROR(VLOOKUP(Fact_Analitica[[#This Row],[Concepto Anterior]],Conceptos_Analítica_contraloría[#All],5,0),"")</f>
        <v/>
      </c>
      <c r="F2133" s="138" t="str">
        <f>+IFERROR(VLOOKUP(Fact_Analitica[[#This Row],[Concepto Anterior]],Conceptos_Analítica_contraloría[#All],7,0),"")</f>
        <v/>
      </c>
      <c r="I2133" s="138" t="str">
        <f>+IFERROR(VLOOKUP(D2133,Conceptos_Analítica_contraloría[#All],2,0),"")</f>
        <v/>
      </c>
      <c r="J2133" s="138" t="str">
        <f>+IFERROR(VLOOKUP(D2133,Conceptos_Analítica_contraloría[#All],3,0),"")</f>
        <v/>
      </c>
    </row>
    <row r="2134" spans="3:10" x14ac:dyDescent="0.35">
      <c r="C2134" s="144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s="138" t="str">
        <f>+IFERROR(VLOOKUP(Fact_Analitica[[#This Row],[Concepto Anterior]],Conceptos_Analítica_contraloría[#All],5,0),"")</f>
        <v/>
      </c>
      <c r="F2134" s="138" t="str">
        <f>+IFERROR(VLOOKUP(Fact_Analitica[[#This Row],[Concepto Anterior]],Conceptos_Analítica_contraloría[#All],7,0),"")</f>
        <v/>
      </c>
      <c r="I2134" s="138" t="str">
        <f>+IFERROR(VLOOKUP(D2134,Conceptos_Analítica_contraloría[#All],2,0),"")</f>
        <v/>
      </c>
      <c r="J2134" s="138" t="str">
        <f>+IFERROR(VLOOKUP(D2134,Conceptos_Analítica_contraloría[#All],3,0),"")</f>
        <v/>
      </c>
    </row>
    <row r="2135" spans="3:10" x14ac:dyDescent="0.35">
      <c r="C2135" s="144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s="138" t="str">
        <f>+IFERROR(VLOOKUP(Fact_Analitica[[#This Row],[Concepto Anterior]],Conceptos_Analítica_contraloría[#All],5,0),"")</f>
        <v/>
      </c>
      <c r="F2135" s="138" t="str">
        <f>+IFERROR(VLOOKUP(Fact_Analitica[[#This Row],[Concepto Anterior]],Conceptos_Analítica_contraloría[#All],7,0),"")</f>
        <v/>
      </c>
      <c r="I2135" s="138" t="str">
        <f>+IFERROR(VLOOKUP(D2135,Conceptos_Analítica_contraloría[#All],2,0),"")</f>
        <v/>
      </c>
      <c r="J2135" s="138" t="str">
        <f>+IFERROR(VLOOKUP(D2135,Conceptos_Analítica_contraloría[#All],3,0),"")</f>
        <v/>
      </c>
    </row>
    <row r="2136" spans="3:10" x14ac:dyDescent="0.35">
      <c r="C2136" s="144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s="138" t="str">
        <f>+IFERROR(VLOOKUP(Fact_Analitica[[#This Row],[Concepto Anterior]],Conceptos_Analítica_contraloría[#All],5,0),"")</f>
        <v/>
      </c>
      <c r="F2136" s="138" t="str">
        <f>+IFERROR(VLOOKUP(Fact_Analitica[[#This Row],[Concepto Anterior]],Conceptos_Analítica_contraloría[#All],7,0),"")</f>
        <v/>
      </c>
      <c r="I2136" s="138" t="str">
        <f>+IFERROR(VLOOKUP(D2136,Conceptos_Analítica_contraloría[#All],2,0),"")</f>
        <v/>
      </c>
      <c r="J2136" s="138" t="str">
        <f>+IFERROR(VLOOKUP(D2136,Conceptos_Analítica_contraloría[#All],3,0),"")</f>
        <v/>
      </c>
    </row>
    <row r="2137" spans="3:10" x14ac:dyDescent="0.35">
      <c r="C2137" s="144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s="138" t="str">
        <f>+IFERROR(VLOOKUP(Fact_Analitica[[#This Row],[Concepto Anterior]],Conceptos_Analítica_contraloría[#All],5,0),"")</f>
        <v/>
      </c>
      <c r="F2137" s="138" t="str">
        <f>+IFERROR(VLOOKUP(Fact_Analitica[[#This Row],[Concepto Anterior]],Conceptos_Analítica_contraloría[#All],7,0),"")</f>
        <v/>
      </c>
      <c r="I2137" s="138" t="str">
        <f>+IFERROR(VLOOKUP(D2137,Conceptos_Analítica_contraloría[#All],2,0),"")</f>
        <v/>
      </c>
      <c r="J2137" s="138" t="str">
        <f>+IFERROR(VLOOKUP(D2137,Conceptos_Analítica_contraloría[#All],3,0),"")</f>
        <v/>
      </c>
    </row>
    <row r="2138" spans="3:10" x14ac:dyDescent="0.35">
      <c r="C2138" s="144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s="138" t="str">
        <f>+IFERROR(VLOOKUP(Fact_Analitica[[#This Row],[Concepto Anterior]],Conceptos_Analítica_contraloría[#All],5,0),"")</f>
        <v/>
      </c>
      <c r="F2138" s="138" t="str">
        <f>+IFERROR(VLOOKUP(Fact_Analitica[[#This Row],[Concepto Anterior]],Conceptos_Analítica_contraloría[#All],7,0),"")</f>
        <v/>
      </c>
      <c r="I2138" s="138" t="str">
        <f>+IFERROR(VLOOKUP(D2138,Conceptos_Analítica_contraloría[#All],2,0),"")</f>
        <v/>
      </c>
      <c r="J2138" s="138" t="str">
        <f>+IFERROR(VLOOKUP(D2138,Conceptos_Analítica_contraloría[#All],3,0),"")</f>
        <v/>
      </c>
    </row>
    <row r="2139" spans="3:10" x14ac:dyDescent="0.35">
      <c r="C2139" s="144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s="138" t="str">
        <f>+IFERROR(VLOOKUP(Fact_Analitica[[#This Row],[Concepto Anterior]],Conceptos_Analítica_contraloría[#All],5,0),"")</f>
        <v/>
      </c>
      <c r="F2139" s="138" t="str">
        <f>+IFERROR(VLOOKUP(Fact_Analitica[[#This Row],[Concepto Anterior]],Conceptos_Analítica_contraloría[#All],7,0),"")</f>
        <v/>
      </c>
      <c r="I2139" s="138" t="str">
        <f>+IFERROR(VLOOKUP(D2139,Conceptos_Analítica_contraloría[#All],2,0),"")</f>
        <v/>
      </c>
      <c r="J2139" s="138" t="str">
        <f>+IFERROR(VLOOKUP(D2139,Conceptos_Analítica_contraloría[#All],3,0),"")</f>
        <v/>
      </c>
    </row>
    <row r="2140" spans="3:10" x14ac:dyDescent="0.35">
      <c r="C2140" s="144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s="138" t="str">
        <f>+IFERROR(VLOOKUP(Fact_Analitica[[#This Row],[Concepto Anterior]],Conceptos_Analítica_contraloría[#All],5,0),"")</f>
        <v/>
      </c>
      <c r="F2140" s="138" t="str">
        <f>+IFERROR(VLOOKUP(Fact_Analitica[[#This Row],[Concepto Anterior]],Conceptos_Analítica_contraloría[#All],7,0),"")</f>
        <v/>
      </c>
      <c r="I2140" s="138" t="str">
        <f>+IFERROR(VLOOKUP(D2140,Conceptos_Analítica_contraloría[#All],2,0),"")</f>
        <v/>
      </c>
      <c r="J2140" s="138" t="str">
        <f>+IFERROR(VLOOKUP(D2140,Conceptos_Analítica_contraloría[#All],3,0),"")</f>
        <v/>
      </c>
    </row>
    <row r="2141" spans="3:10" x14ac:dyDescent="0.35">
      <c r="C2141" s="144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s="138" t="str">
        <f>+IFERROR(VLOOKUP(Fact_Analitica[[#This Row],[Concepto Anterior]],Conceptos_Analítica_contraloría[#All],5,0),"")</f>
        <v/>
      </c>
      <c r="F2141" s="138" t="str">
        <f>+IFERROR(VLOOKUP(Fact_Analitica[[#This Row],[Concepto Anterior]],Conceptos_Analítica_contraloría[#All],7,0),"")</f>
        <v/>
      </c>
      <c r="I2141" s="138" t="str">
        <f>+IFERROR(VLOOKUP(D2141,Conceptos_Analítica_contraloría[#All],2,0),"")</f>
        <v/>
      </c>
      <c r="J2141" s="138" t="str">
        <f>+IFERROR(VLOOKUP(D2141,Conceptos_Analítica_contraloría[#All],3,0),"")</f>
        <v/>
      </c>
    </row>
    <row r="2142" spans="3:10" x14ac:dyDescent="0.35">
      <c r="C2142" s="144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s="138" t="str">
        <f>+IFERROR(VLOOKUP(Fact_Analitica[[#This Row],[Concepto Anterior]],Conceptos_Analítica_contraloría[#All],5,0),"")</f>
        <v/>
      </c>
      <c r="F2142" s="138" t="str">
        <f>+IFERROR(VLOOKUP(Fact_Analitica[[#This Row],[Concepto Anterior]],Conceptos_Analítica_contraloría[#All],7,0),"")</f>
        <v/>
      </c>
      <c r="I2142" s="138" t="str">
        <f>+IFERROR(VLOOKUP(D2142,Conceptos_Analítica_contraloría[#All],2,0),"")</f>
        <v/>
      </c>
      <c r="J2142" s="138" t="str">
        <f>+IFERROR(VLOOKUP(D2142,Conceptos_Analítica_contraloría[#All],3,0),"")</f>
        <v/>
      </c>
    </row>
    <row r="2143" spans="3:10" x14ac:dyDescent="0.35">
      <c r="C2143" s="144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s="138" t="str">
        <f>+IFERROR(VLOOKUP(Fact_Analitica[[#This Row],[Concepto Anterior]],Conceptos_Analítica_contraloría[#All],5,0),"")</f>
        <v/>
      </c>
      <c r="F2143" s="138" t="str">
        <f>+IFERROR(VLOOKUP(Fact_Analitica[[#This Row],[Concepto Anterior]],Conceptos_Analítica_contraloría[#All],7,0),"")</f>
        <v/>
      </c>
      <c r="I2143" s="138" t="str">
        <f>+IFERROR(VLOOKUP(D2143,Conceptos_Analítica_contraloría[#All],2,0),"")</f>
        <v/>
      </c>
      <c r="J2143" s="138" t="str">
        <f>+IFERROR(VLOOKUP(D2143,Conceptos_Analítica_contraloría[#All],3,0),"")</f>
        <v/>
      </c>
    </row>
    <row r="2144" spans="3:10" x14ac:dyDescent="0.35">
      <c r="C2144" s="144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s="138" t="str">
        <f>+IFERROR(VLOOKUP(Fact_Analitica[[#This Row],[Concepto Anterior]],Conceptos_Analítica_contraloría[#All],5,0),"")</f>
        <v/>
      </c>
      <c r="F2144" s="138" t="str">
        <f>+IFERROR(VLOOKUP(Fact_Analitica[[#This Row],[Concepto Anterior]],Conceptos_Analítica_contraloría[#All],7,0),"")</f>
        <v/>
      </c>
      <c r="I2144" s="138" t="str">
        <f>+IFERROR(VLOOKUP(D2144,Conceptos_Analítica_contraloría[#All],2,0),"")</f>
        <v/>
      </c>
      <c r="J2144" s="138" t="str">
        <f>+IFERROR(VLOOKUP(D2144,Conceptos_Analítica_contraloría[#All],3,0),"")</f>
        <v/>
      </c>
    </row>
    <row r="2145" spans="3:10" x14ac:dyDescent="0.35">
      <c r="C2145" s="144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s="138" t="str">
        <f>+IFERROR(VLOOKUP(Fact_Analitica[[#This Row],[Concepto Anterior]],Conceptos_Analítica_contraloría[#All],5,0),"")</f>
        <v/>
      </c>
      <c r="F2145" s="138" t="str">
        <f>+IFERROR(VLOOKUP(Fact_Analitica[[#This Row],[Concepto Anterior]],Conceptos_Analítica_contraloría[#All],7,0),"")</f>
        <v/>
      </c>
      <c r="I2145" s="138" t="str">
        <f>+IFERROR(VLOOKUP(D2145,Conceptos_Analítica_contraloría[#All],2,0),"")</f>
        <v/>
      </c>
      <c r="J2145" s="138" t="str">
        <f>+IFERROR(VLOOKUP(D2145,Conceptos_Analítica_contraloría[#All],3,0),"")</f>
        <v/>
      </c>
    </row>
    <row r="2146" spans="3:10" x14ac:dyDescent="0.35">
      <c r="C2146" s="144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s="138" t="str">
        <f>+IFERROR(VLOOKUP(Fact_Analitica[[#This Row],[Concepto Anterior]],Conceptos_Analítica_contraloría[#All],5,0),"")</f>
        <v/>
      </c>
      <c r="F2146" s="138" t="str">
        <f>+IFERROR(VLOOKUP(Fact_Analitica[[#This Row],[Concepto Anterior]],Conceptos_Analítica_contraloría[#All],7,0),"")</f>
        <v/>
      </c>
      <c r="I2146" s="138" t="str">
        <f>+IFERROR(VLOOKUP(D2146,Conceptos_Analítica_contraloría[#All],2,0),"")</f>
        <v/>
      </c>
      <c r="J2146" s="138" t="str">
        <f>+IFERROR(VLOOKUP(D2146,Conceptos_Analítica_contraloría[#All],3,0),"")</f>
        <v/>
      </c>
    </row>
    <row r="2147" spans="3:10" x14ac:dyDescent="0.35">
      <c r="C2147" s="144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s="138" t="str">
        <f>+IFERROR(VLOOKUP(Fact_Analitica[[#This Row],[Concepto Anterior]],Conceptos_Analítica_contraloría[#All],5,0),"")</f>
        <v/>
      </c>
      <c r="F2147" s="138" t="str">
        <f>+IFERROR(VLOOKUP(Fact_Analitica[[#This Row],[Concepto Anterior]],Conceptos_Analítica_contraloría[#All],7,0),"")</f>
        <v/>
      </c>
      <c r="I2147" s="138" t="str">
        <f>+IFERROR(VLOOKUP(D2147,Conceptos_Analítica_contraloría[#All],2,0),"")</f>
        <v/>
      </c>
      <c r="J2147" s="138" t="str">
        <f>+IFERROR(VLOOKUP(D2147,Conceptos_Analítica_contraloría[#All],3,0),"")</f>
        <v/>
      </c>
    </row>
    <row r="2148" spans="3:10" x14ac:dyDescent="0.35">
      <c r="C2148" s="144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s="138" t="str">
        <f>+IFERROR(VLOOKUP(Fact_Analitica[[#This Row],[Concepto Anterior]],Conceptos_Analítica_contraloría[#All],5,0),"")</f>
        <v/>
      </c>
      <c r="F2148" s="138" t="str">
        <f>+IFERROR(VLOOKUP(Fact_Analitica[[#This Row],[Concepto Anterior]],Conceptos_Analítica_contraloría[#All],7,0),"")</f>
        <v/>
      </c>
      <c r="I2148" s="138" t="str">
        <f>+IFERROR(VLOOKUP(D2148,Conceptos_Analítica_contraloría[#All],2,0),"")</f>
        <v/>
      </c>
      <c r="J2148" s="138" t="str">
        <f>+IFERROR(VLOOKUP(D2148,Conceptos_Analítica_contraloría[#All],3,0),"")</f>
        <v/>
      </c>
    </row>
    <row r="2149" spans="3:10" x14ac:dyDescent="0.35">
      <c r="C2149" s="144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s="138" t="str">
        <f>+IFERROR(VLOOKUP(Fact_Analitica[[#This Row],[Concepto Anterior]],Conceptos_Analítica_contraloría[#All],5,0),"")</f>
        <v/>
      </c>
      <c r="F2149" s="138" t="str">
        <f>+IFERROR(VLOOKUP(Fact_Analitica[[#This Row],[Concepto Anterior]],Conceptos_Analítica_contraloría[#All],7,0),"")</f>
        <v/>
      </c>
      <c r="I2149" s="138" t="str">
        <f>+IFERROR(VLOOKUP(D2149,Conceptos_Analítica_contraloría[#All],2,0),"")</f>
        <v/>
      </c>
      <c r="J2149" s="138" t="str">
        <f>+IFERROR(VLOOKUP(D2149,Conceptos_Analítica_contraloría[#All],3,0),"")</f>
        <v/>
      </c>
    </row>
    <row r="2150" spans="3:10" x14ac:dyDescent="0.35">
      <c r="C2150" s="144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s="138" t="str">
        <f>+IFERROR(VLOOKUP(Fact_Analitica[[#This Row],[Concepto Anterior]],Conceptos_Analítica_contraloría[#All],5,0),"")</f>
        <v/>
      </c>
      <c r="F2150" s="138" t="str">
        <f>+IFERROR(VLOOKUP(Fact_Analitica[[#This Row],[Concepto Anterior]],Conceptos_Analítica_contraloría[#All],7,0),"")</f>
        <v/>
      </c>
      <c r="I2150" s="138" t="str">
        <f>+IFERROR(VLOOKUP(D2150,Conceptos_Analítica_contraloría[#All],2,0),"")</f>
        <v/>
      </c>
      <c r="J2150" s="138" t="str">
        <f>+IFERROR(VLOOKUP(D2150,Conceptos_Analítica_contraloría[#All],3,0),"")</f>
        <v/>
      </c>
    </row>
    <row r="2151" spans="3:10" x14ac:dyDescent="0.35">
      <c r="C2151" s="144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s="138" t="str">
        <f>+IFERROR(VLOOKUP(Fact_Analitica[[#This Row],[Concepto Anterior]],Conceptos_Analítica_contraloría[#All],5,0),"")</f>
        <v/>
      </c>
      <c r="F2151" s="138" t="str">
        <f>+IFERROR(VLOOKUP(Fact_Analitica[[#This Row],[Concepto Anterior]],Conceptos_Analítica_contraloría[#All],7,0),"")</f>
        <v/>
      </c>
      <c r="I2151" s="138" t="str">
        <f>+IFERROR(VLOOKUP(D2151,Conceptos_Analítica_contraloría[#All],2,0),"")</f>
        <v/>
      </c>
      <c r="J2151" s="138" t="str">
        <f>+IFERROR(VLOOKUP(D2151,Conceptos_Analítica_contraloría[#All],3,0),"")</f>
        <v/>
      </c>
    </row>
    <row r="2152" spans="3:10" x14ac:dyDescent="0.35">
      <c r="C2152" s="144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s="138" t="str">
        <f>+IFERROR(VLOOKUP(Fact_Analitica[[#This Row],[Concepto Anterior]],Conceptos_Analítica_contraloría[#All],5,0),"")</f>
        <v/>
      </c>
      <c r="F2152" s="138" t="str">
        <f>+IFERROR(VLOOKUP(Fact_Analitica[[#This Row],[Concepto Anterior]],Conceptos_Analítica_contraloría[#All],7,0),"")</f>
        <v/>
      </c>
      <c r="I2152" s="138" t="str">
        <f>+IFERROR(VLOOKUP(D2152,Conceptos_Analítica_contraloría[#All],2,0),"")</f>
        <v/>
      </c>
      <c r="J2152" s="138" t="str">
        <f>+IFERROR(VLOOKUP(D2152,Conceptos_Analítica_contraloría[#All],3,0),"")</f>
        <v/>
      </c>
    </row>
    <row r="2153" spans="3:10" x14ac:dyDescent="0.35">
      <c r="C2153" s="144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s="138" t="str">
        <f>+IFERROR(VLOOKUP(Fact_Analitica[[#This Row],[Concepto Anterior]],Conceptos_Analítica_contraloría[#All],5,0),"")</f>
        <v/>
      </c>
      <c r="F2153" s="138" t="str">
        <f>+IFERROR(VLOOKUP(Fact_Analitica[[#This Row],[Concepto Anterior]],Conceptos_Analítica_contraloría[#All],7,0),"")</f>
        <v/>
      </c>
      <c r="I2153" s="138" t="str">
        <f>+IFERROR(VLOOKUP(D2153,Conceptos_Analítica_contraloría[#All],2,0),"")</f>
        <v/>
      </c>
      <c r="J2153" s="138" t="str">
        <f>+IFERROR(VLOOKUP(D2153,Conceptos_Analítica_contraloría[#All],3,0),"")</f>
        <v/>
      </c>
    </row>
    <row r="2154" spans="3:10" x14ac:dyDescent="0.35">
      <c r="C2154" s="144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s="138" t="str">
        <f>+IFERROR(VLOOKUP(Fact_Analitica[[#This Row],[Concepto Anterior]],Conceptos_Analítica_contraloría[#All],5,0),"")</f>
        <v/>
      </c>
      <c r="F2154" s="138" t="str">
        <f>+IFERROR(VLOOKUP(Fact_Analitica[[#This Row],[Concepto Anterior]],Conceptos_Analítica_contraloría[#All],7,0),"")</f>
        <v/>
      </c>
      <c r="I2154" s="138" t="str">
        <f>+IFERROR(VLOOKUP(D2154,Conceptos_Analítica_contraloría[#All],2,0),"")</f>
        <v/>
      </c>
      <c r="J2154" s="138" t="str">
        <f>+IFERROR(VLOOKUP(D2154,Conceptos_Analítica_contraloría[#All],3,0),"")</f>
        <v/>
      </c>
    </row>
    <row r="2155" spans="3:10" x14ac:dyDescent="0.35">
      <c r="C2155" s="144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s="138" t="str">
        <f>+IFERROR(VLOOKUP(Fact_Analitica[[#This Row],[Concepto Anterior]],Conceptos_Analítica_contraloría[#All],5,0),"")</f>
        <v/>
      </c>
      <c r="F2155" s="138" t="str">
        <f>+IFERROR(VLOOKUP(Fact_Analitica[[#This Row],[Concepto Anterior]],Conceptos_Analítica_contraloría[#All],7,0),"")</f>
        <v/>
      </c>
      <c r="I2155" s="138" t="str">
        <f>+IFERROR(VLOOKUP(D2155,Conceptos_Analítica_contraloría[#All],2,0),"")</f>
        <v/>
      </c>
      <c r="J2155" s="138" t="str">
        <f>+IFERROR(VLOOKUP(D2155,Conceptos_Analítica_contraloría[#All],3,0),"")</f>
        <v/>
      </c>
    </row>
    <row r="2156" spans="3:10" x14ac:dyDescent="0.35">
      <c r="C2156" s="144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s="138" t="str">
        <f>+IFERROR(VLOOKUP(Fact_Analitica[[#This Row],[Concepto Anterior]],Conceptos_Analítica_contraloría[#All],5,0),"")</f>
        <v/>
      </c>
      <c r="F2156" s="138" t="str">
        <f>+IFERROR(VLOOKUP(Fact_Analitica[[#This Row],[Concepto Anterior]],Conceptos_Analítica_contraloría[#All],7,0),"")</f>
        <v/>
      </c>
      <c r="I2156" s="138" t="str">
        <f>+IFERROR(VLOOKUP(D2156,Conceptos_Analítica_contraloría[#All],2,0),"")</f>
        <v/>
      </c>
      <c r="J2156" s="138" t="str">
        <f>+IFERROR(VLOOKUP(D2156,Conceptos_Analítica_contraloría[#All],3,0),"")</f>
        <v/>
      </c>
    </row>
    <row r="2157" spans="3:10" x14ac:dyDescent="0.35">
      <c r="C2157" s="144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s="138" t="str">
        <f>+IFERROR(VLOOKUP(Fact_Analitica[[#This Row],[Concepto Anterior]],Conceptos_Analítica_contraloría[#All],5,0),"")</f>
        <v/>
      </c>
      <c r="F2157" s="138" t="str">
        <f>+IFERROR(VLOOKUP(Fact_Analitica[[#This Row],[Concepto Anterior]],Conceptos_Analítica_contraloría[#All],7,0),"")</f>
        <v/>
      </c>
      <c r="I2157" s="138" t="str">
        <f>+IFERROR(VLOOKUP(D2157,Conceptos_Analítica_contraloría[#All],2,0),"")</f>
        <v/>
      </c>
      <c r="J2157" s="138" t="str">
        <f>+IFERROR(VLOOKUP(D2157,Conceptos_Analítica_contraloría[#All],3,0),"")</f>
        <v/>
      </c>
    </row>
    <row r="2158" spans="3:10" x14ac:dyDescent="0.35">
      <c r="C2158" s="144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s="138" t="str">
        <f>+IFERROR(VLOOKUP(Fact_Analitica[[#This Row],[Concepto Anterior]],Conceptos_Analítica_contraloría[#All],5,0),"")</f>
        <v/>
      </c>
      <c r="F2158" s="138" t="str">
        <f>+IFERROR(VLOOKUP(Fact_Analitica[[#This Row],[Concepto Anterior]],Conceptos_Analítica_contraloría[#All],7,0),"")</f>
        <v/>
      </c>
      <c r="I2158" s="138" t="str">
        <f>+IFERROR(VLOOKUP(D2158,Conceptos_Analítica_contraloría[#All],2,0),"")</f>
        <v/>
      </c>
      <c r="J2158" s="138" t="str">
        <f>+IFERROR(VLOOKUP(D2158,Conceptos_Analítica_contraloría[#All],3,0),"")</f>
        <v/>
      </c>
    </row>
    <row r="2159" spans="3:10" x14ac:dyDescent="0.35">
      <c r="C2159" s="144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s="138" t="str">
        <f>+IFERROR(VLOOKUP(Fact_Analitica[[#This Row],[Concepto Anterior]],Conceptos_Analítica_contraloría[#All],5,0),"")</f>
        <v/>
      </c>
      <c r="F2159" s="138" t="str">
        <f>+IFERROR(VLOOKUP(Fact_Analitica[[#This Row],[Concepto Anterior]],Conceptos_Analítica_contraloría[#All],7,0),"")</f>
        <v/>
      </c>
      <c r="I2159" s="138" t="str">
        <f>+IFERROR(VLOOKUP(D2159,Conceptos_Analítica_contraloría[#All],2,0),"")</f>
        <v/>
      </c>
      <c r="J2159" s="138" t="str">
        <f>+IFERROR(VLOOKUP(D2159,Conceptos_Analítica_contraloría[#All],3,0),"")</f>
        <v/>
      </c>
    </row>
    <row r="2160" spans="3:10" x14ac:dyDescent="0.35">
      <c r="C2160" s="144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s="138" t="str">
        <f>+IFERROR(VLOOKUP(Fact_Analitica[[#This Row],[Concepto Anterior]],Conceptos_Analítica_contraloría[#All],5,0),"")</f>
        <v/>
      </c>
      <c r="F2160" s="138" t="str">
        <f>+IFERROR(VLOOKUP(Fact_Analitica[[#This Row],[Concepto Anterior]],Conceptos_Analítica_contraloría[#All],7,0),"")</f>
        <v/>
      </c>
      <c r="I2160" s="138" t="str">
        <f>+IFERROR(VLOOKUP(D2160,Conceptos_Analítica_contraloría[#All],2,0),"")</f>
        <v/>
      </c>
      <c r="J2160" s="138" t="str">
        <f>+IFERROR(VLOOKUP(D2160,Conceptos_Analítica_contraloría[#All],3,0),"")</f>
        <v/>
      </c>
    </row>
    <row r="2161" spans="3:10" x14ac:dyDescent="0.35">
      <c r="C2161" s="144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s="138" t="str">
        <f>+IFERROR(VLOOKUP(Fact_Analitica[[#This Row],[Concepto Anterior]],Conceptos_Analítica_contraloría[#All],5,0),"")</f>
        <v/>
      </c>
      <c r="F2161" s="138" t="str">
        <f>+IFERROR(VLOOKUP(Fact_Analitica[[#This Row],[Concepto Anterior]],Conceptos_Analítica_contraloría[#All],7,0),"")</f>
        <v/>
      </c>
      <c r="I2161" s="138" t="str">
        <f>+IFERROR(VLOOKUP(D2161,Conceptos_Analítica_contraloría[#All],2,0),"")</f>
        <v/>
      </c>
      <c r="J2161" s="138" t="str">
        <f>+IFERROR(VLOOKUP(D2161,Conceptos_Analítica_contraloría[#All],3,0),"")</f>
        <v/>
      </c>
    </row>
    <row r="2162" spans="3:10" x14ac:dyDescent="0.35">
      <c r="C2162" s="144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s="138" t="str">
        <f>+IFERROR(VLOOKUP(Fact_Analitica[[#This Row],[Concepto Anterior]],Conceptos_Analítica_contraloría[#All],5,0),"")</f>
        <v/>
      </c>
      <c r="F2162" s="138" t="str">
        <f>+IFERROR(VLOOKUP(Fact_Analitica[[#This Row],[Concepto Anterior]],Conceptos_Analítica_contraloría[#All],7,0),"")</f>
        <v/>
      </c>
      <c r="I2162" s="138" t="str">
        <f>+IFERROR(VLOOKUP(D2162,Conceptos_Analítica_contraloría[#All],2,0),"")</f>
        <v/>
      </c>
      <c r="J2162" s="138" t="str">
        <f>+IFERROR(VLOOKUP(D2162,Conceptos_Analítica_contraloría[#All],3,0),"")</f>
        <v/>
      </c>
    </row>
    <row r="2163" spans="3:10" x14ac:dyDescent="0.35">
      <c r="C2163" s="144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s="138" t="str">
        <f>+IFERROR(VLOOKUP(Fact_Analitica[[#This Row],[Concepto Anterior]],Conceptos_Analítica_contraloría[#All],5,0),"")</f>
        <v/>
      </c>
      <c r="F2163" s="138" t="str">
        <f>+IFERROR(VLOOKUP(Fact_Analitica[[#This Row],[Concepto Anterior]],Conceptos_Analítica_contraloría[#All],7,0),"")</f>
        <v/>
      </c>
      <c r="I2163" s="138" t="str">
        <f>+IFERROR(VLOOKUP(D2163,Conceptos_Analítica_contraloría[#All],2,0),"")</f>
        <v/>
      </c>
      <c r="J2163" s="138" t="str">
        <f>+IFERROR(VLOOKUP(D2163,Conceptos_Analítica_contraloría[#All],3,0),"")</f>
        <v/>
      </c>
    </row>
    <row r="2164" spans="3:10" x14ac:dyDescent="0.35">
      <c r="C2164" s="144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s="138" t="str">
        <f>+IFERROR(VLOOKUP(Fact_Analitica[[#This Row],[Concepto Anterior]],Conceptos_Analítica_contraloría[#All],5,0),"")</f>
        <v/>
      </c>
      <c r="F2164" s="138" t="str">
        <f>+IFERROR(VLOOKUP(Fact_Analitica[[#This Row],[Concepto Anterior]],Conceptos_Analítica_contraloría[#All],7,0),"")</f>
        <v/>
      </c>
      <c r="I2164" s="138" t="str">
        <f>+IFERROR(VLOOKUP(D2164,Conceptos_Analítica_contraloría[#All],2,0),"")</f>
        <v/>
      </c>
      <c r="J2164" s="138" t="str">
        <f>+IFERROR(VLOOKUP(D2164,Conceptos_Analítica_contraloría[#All],3,0),"")</f>
        <v/>
      </c>
    </row>
    <row r="2165" spans="3:10" x14ac:dyDescent="0.35">
      <c r="C2165" s="144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s="138" t="str">
        <f>+IFERROR(VLOOKUP(Fact_Analitica[[#This Row],[Concepto Anterior]],Conceptos_Analítica_contraloría[#All],5,0),"")</f>
        <v/>
      </c>
      <c r="F2165" s="138" t="str">
        <f>+IFERROR(VLOOKUP(Fact_Analitica[[#This Row],[Concepto Anterior]],Conceptos_Analítica_contraloría[#All],7,0),"")</f>
        <v/>
      </c>
      <c r="I2165" s="138" t="str">
        <f>+IFERROR(VLOOKUP(D2165,Conceptos_Analítica_contraloría[#All],2,0),"")</f>
        <v/>
      </c>
      <c r="J2165" s="138" t="str">
        <f>+IFERROR(VLOOKUP(D2165,Conceptos_Analítica_contraloría[#All],3,0),"")</f>
        <v/>
      </c>
    </row>
    <row r="2166" spans="3:10" x14ac:dyDescent="0.35">
      <c r="C2166" s="144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s="138" t="str">
        <f>+IFERROR(VLOOKUP(Fact_Analitica[[#This Row],[Concepto Anterior]],Conceptos_Analítica_contraloría[#All],5,0),"")</f>
        <v/>
      </c>
      <c r="F2166" s="138" t="str">
        <f>+IFERROR(VLOOKUP(Fact_Analitica[[#This Row],[Concepto Anterior]],Conceptos_Analítica_contraloría[#All],7,0),"")</f>
        <v/>
      </c>
      <c r="I2166" s="138" t="str">
        <f>+IFERROR(VLOOKUP(D2166,Conceptos_Analítica_contraloría[#All],2,0),"")</f>
        <v/>
      </c>
      <c r="J2166" s="138" t="str">
        <f>+IFERROR(VLOOKUP(D2166,Conceptos_Analítica_contraloría[#All],3,0),"")</f>
        <v/>
      </c>
    </row>
    <row r="2167" spans="3:10" x14ac:dyDescent="0.35">
      <c r="C2167" s="144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s="138" t="str">
        <f>+IFERROR(VLOOKUP(Fact_Analitica[[#This Row],[Concepto Anterior]],Conceptos_Analítica_contraloría[#All],5,0),"")</f>
        <v/>
      </c>
      <c r="F2167" s="138" t="str">
        <f>+IFERROR(VLOOKUP(Fact_Analitica[[#This Row],[Concepto Anterior]],Conceptos_Analítica_contraloría[#All],7,0),"")</f>
        <v/>
      </c>
      <c r="I2167" s="138" t="str">
        <f>+IFERROR(VLOOKUP(D2167,Conceptos_Analítica_contraloría[#All],2,0),"")</f>
        <v/>
      </c>
      <c r="J2167" s="138" t="str">
        <f>+IFERROR(VLOOKUP(D2167,Conceptos_Analítica_contraloría[#All],3,0),"")</f>
        <v/>
      </c>
    </row>
    <row r="2168" spans="3:10" x14ac:dyDescent="0.35">
      <c r="C2168" s="144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s="138" t="str">
        <f>+IFERROR(VLOOKUP(Fact_Analitica[[#This Row],[Concepto Anterior]],Conceptos_Analítica_contraloría[#All],5,0),"")</f>
        <v/>
      </c>
      <c r="F2168" s="138" t="str">
        <f>+IFERROR(VLOOKUP(Fact_Analitica[[#This Row],[Concepto Anterior]],Conceptos_Analítica_contraloría[#All],7,0),"")</f>
        <v/>
      </c>
      <c r="I2168" s="138" t="str">
        <f>+IFERROR(VLOOKUP(D2168,Conceptos_Analítica_contraloría[#All],2,0),"")</f>
        <v/>
      </c>
      <c r="J2168" s="138" t="str">
        <f>+IFERROR(VLOOKUP(D2168,Conceptos_Analítica_contraloría[#All],3,0),"")</f>
        <v/>
      </c>
    </row>
    <row r="2169" spans="3:10" x14ac:dyDescent="0.35">
      <c r="C2169" s="144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s="138" t="str">
        <f>+IFERROR(VLOOKUP(Fact_Analitica[[#This Row],[Concepto Anterior]],Conceptos_Analítica_contraloría[#All],5,0),"")</f>
        <v/>
      </c>
      <c r="F2169" s="138" t="str">
        <f>+IFERROR(VLOOKUP(Fact_Analitica[[#This Row],[Concepto Anterior]],Conceptos_Analítica_contraloría[#All],7,0),"")</f>
        <v/>
      </c>
      <c r="I2169" s="138" t="str">
        <f>+IFERROR(VLOOKUP(D2169,Conceptos_Analítica_contraloría[#All],2,0),"")</f>
        <v/>
      </c>
      <c r="J2169" s="138" t="str">
        <f>+IFERROR(VLOOKUP(D2169,Conceptos_Analítica_contraloría[#All],3,0),"")</f>
        <v/>
      </c>
    </row>
    <row r="2170" spans="3:10" x14ac:dyDescent="0.35">
      <c r="C2170" s="144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s="138" t="str">
        <f>+IFERROR(VLOOKUP(Fact_Analitica[[#This Row],[Concepto Anterior]],Conceptos_Analítica_contraloría[#All],5,0),"")</f>
        <v/>
      </c>
      <c r="F2170" s="138" t="str">
        <f>+IFERROR(VLOOKUP(Fact_Analitica[[#This Row],[Concepto Anterior]],Conceptos_Analítica_contraloría[#All],7,0),"")</f>
        <v/>
      </c>
      <c r="I2170" s="138" t="str">
        <f>+IFERROR(VLOOKUP(D2170,Conceptos_Analítica_contraloría[#All],2,0),"")</f>
        <v/>
      </c>
      <c r="J2170" s="138" t="str">
        <f>+IFERROR(VLOOKUP(D2170,Conceptos_Analítica_contraloría[#All],3,0),"")</f>
        <v/>
      </c>
    </row>
    <row r="2171" spans="3:10" x14ac:dyDescent="0.35">
      <c r="C2171" s="144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s="138" t="str">
        <f>+IFERROR(VLOOKUP(Fact_Analitica[[#This Row],[Concepto Anterior]],Conceptos_Analítica_contraloría[#All],5,0),"")</f>
        <v/>
      </c>
      <c r="F2171" s="138" t="str">
        <f>+IFERROR(VLOOKUP(Fact_Analitica[[#This Row],[Concepto Anterior]],Conceptos_Analítica_contraloría[#All],7,0),"")</f>
        <v/>
      </c>
      <c r="I2171" s="138" t="str">
        <f>+IFERROR(VLOOKUP(D2171,Conceptos_Analítica_contraloría[#All],2,0),"")</f>
        <v/>
      </c>
      <c r="J2171" s="138" t="str">
        <f>+IFERROR(VLOOKUP(D2171,Conceptos_Analítica_contraloría[#All],3,0),"")</f>
        <v/>
      </c>
    </row>
    <row r="2172" spans="3:10" x14ac:dyDescent="0.35">
      <c r="C2172" s="144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s="138" t="str">
        <f>+IFERROR(VLOOKUP(Fact_Analitica[[#This Row],[Concepto Anterior]],Conceptos_Analítica_contraloría[#All],5,0),"")</f>
        <v/>
      </c>
      <c r="F2172" s="138" t="str">
        <f>+IFERROR(VLOOKUP(Fact_Analitica[[#This Row],[Concepto Anterior]],Conceptos_Analítica_contraloría[#All],7,0),"")</f>
        <v/>
      </c>
      <c r="I2172" s="138" t="str">
        <f>+IFERROR(VLOOKUP(D2172,Conceptos_Analítica_contraloría[#All],2,0),"")</f>
        <v/>
      </c>
      <c r="J2172" s="138" t="str">
        <f>+IFERROR(VLOOKUP(D2172,Conceptos_Analítica_contraloría[#All],3,0),"")</f>
        <v/>
      </c>
    </row>
    <row r="2173" spans="3:10" x14ac:dyDescent="0.35">
      <c r="C2173" s="144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s="138" t="str">
        <f>+IFERROR(VLOOKUP(Fact_Analitica[[#This Row],[Concepto Anterior]],Conceptos_Analítica_contraloría[#All],5,0),"")</f>
        <v/>
      </c>
      <c r="F2173" s="138" t="str">
        <f>+IFERROR(VLOOKUP(Fact_Analitica[[#This Row],[Concepto Anterior]],Conceptos_Analítica_contraloría[#All],7,0),"")</f>
        <v/>
      </c>
      <c r="I2173" s="138" t="str">
        <f>+IFERROR(VLOOKUP(D2173,Conceptos_Analítica_contraloría[#All],2,0),"")</f>
        <v/>
      </c>
      <c r="J2173" s="138" t="str">
        <f>+IFERROR(VLOOKUP(D2173,Conceptos_Analítica_contraloría[#All],3,0),"")</f>
        <v/>
      </c>
    </row>
    <row r="2174" spans="3:10" x14ac:dyDescent="0.35">
      <c r="C2174" s="144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s="138" t="str">
        <f>+IFERROR(VLOOKUP(Fact_Analitica[[#This Row],[Concepto Anterior]],Conceptos_Analítica_contraloría[#All],5,0),"")</f>
        <v/>
      </c>
      <c r="F2174" s="138" t="str">
        <f>+IFERROR(VLOOKUP(Fact_Analitica[[#This Row],[Concepto Anterior]],Conceptos_Analítica_contraloría[#All],7,0),"")</f>
        <v/>
      </c>
      <c r="I2174" s="138" t="str">
        <f>+IFERROR(VLOOKUP(D2174,Conceptos_Analítica_contraloría[#All],2,0),"")</f>
        <v/>
      </c>
      <c r="J2174" s="138" t="str">
        <f>+IFERROR(VLOOKUP(D2174,Conceptos_Analítica_contraloría[#All],3,0),"")</f>
        <v/>
      </c>
    </row>
    <row r="2175" spans="3:10" x14ac:dyDescent="0.35">
      <c r="C2175" s="144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s="138" t="str">
        <f>+IFERROR(VLOOKUP(Fact_Analitica[[#This Row],[Concepto Anterior]],Conceptos_Analítica_contraloría[#All],5,0),"")</f>
        <v/>
      </c>
      <c r="F2175" s="138" t="str">
        <f>+IFERROR(VLOOKUP(Fact_Analitica[[#This Row],[Concepto Anterior]],Conceptos_Analítica_contraloría[#All],7,0),"")</f>
        <v/>
      </c>
      <c r="I2175" s="138" t="str">
        <f>+IFERROR(VLOOKUP(D2175,Conceptos_Analítica_contraloría[#All],2,0),"")</f>
        <v/>
      </c>
      <c r="J2175" s="138" t="str">
        <f>+IFERROR(VLOOKUP(D2175,Conceptos_Analítica_contraloría[#All],3,0),"")</f>
        <v/>
      </c>
    </row>
    <row r="2176" spans="3:10" x14ac:dyDescent="0.35">
      <c r="C2176" s="144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s="138" t="str">
        <f>+IFERROR(VLOOKUP(Fact_Analitica[[#This Row],[Concepto Anterior]],Conceptos_Analítica_contraloría[#All],5,0),"")</f>
        <v/>
      </c>
      <c r="F2176" s="138" t="str">
        <f>+IFERROR(VLOOKUP(Fact_Analitica[[#This Row],[Concepto Anterior]],Conceptos_Analítica_contraloría[#All],7,0),"")</f>
        <v/>
      </c>
      <c r="I2176" s="138" t="str">
        <f>+IFERROR(VLOOKUP(D2176,Conceptos_Analítica_contraloría[#All],2,0),"")</f>
        <v/>
      </c>
      <c r="J2176" s="138" t="str">
        <f>+IFERROR(VLOOKUP(D2176,Conceptos_Analítica_contraloría[#All],3,0),"")</f>
        <v/>
      </c>
    </row>
    <row r="2177" spans="3:10" x14ac:dyDescent="0.35">
      <c r="C2177" s="144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s="138" t="str">
        <f>+IFERROR(VLOOKUP(Fact_Analitica[[#This Row],[Concepto Anterior]],Conceptos_Analítica_contraloría[#All],5,0),"")</f>
        <v/>
      </c>
      <c r="F2177" s="138" t="str">
        <f>+IFERROR(VLOOKUP(Fact_Analitica[[#This Row],[Concepto Anterior]],Conceptos_Analítica_contraloría[#All],7,0),"")</f>
        <v/>
      </c>
      <c r="I2177" s="138" t="str">
        <f>+IFERROR(VLOOKUP(D2177,Conceptos_Analítica_contraloría[#All],2,0),"")</f>
        <v/>
      </c>
      <c r="J2177" s="138" t="str">
        <f>+IFERROR(VLOOKUP(D2177,Conceptos_Analítica_contraloría[#All],3,0),"")</f>
        <v/>
      </c>
    </row>
    <row r="2178" spans="3:10" x14ac:dyDescent="0.35">
      <c r="C2178" s="144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s="138" t="str">
        <f>+IFERROR(VLOOKUP(Fact_Analitica[[#This Row],[Concepto Anterior]],Conceptos_Analítica_contraloría[#All],5,0),"")</f>
        <v/>
      </c>
      <c r="F2178" s="138" t="str">
        <f>+IFERROR(VLOOKUP(Fact_Analitica[[#This Row],[Concepto Anterior]],Conceptos_Analítica_contraloría[#All],7,0),"")</f>
        <v/>
      </c>
      <c r="I2178" s="138" t="str">
        <f>+IFERROR(VLOOKUP(D2178,Conceptos_Analítica_contraloría[#All],2,0),"")</f>
        <v/>
      </c>
      <c r="J2178" s="138" t="str">
        <f>+IFERROR(VLOOKUP(D2178,Conceptos_Analítica_contraloría[#All],3,0),"")</f>
        <v/>
      </c>
    </row>
    <row r="2179" spans="3:10" x14ac:dyDescent="0.35">
      <c r="C2179" s="144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s="138" t="str">
        <f>+IFERROR(VLOOKUP(Fact_Analitica[[#This Row],[Concepto Anterior]],Conceptos_Analítica_contraloría[#All],5,0),"")</f>
        <v/>
      </c>
      <c r="F2179" s="138" t="str">
        <f>+IFERROR(VLOOKUP(Fact_Analitica[[#This Row],[Concepto Anterior]],Conceptos_Analítica_contraloría[#All],7,0),"")</f>
        <v/>
      </c>
      <c r="I2179" s="138" t="str">
        <f>+IFERROR(VLOOKUP(D2179,Conceptos_Analítica_contraloría[#All],2,0),"")</f>
        <v/>
      </c>
      <c r="J2179" s="138" t="str">
        <f>+IFERROR(VLOOKUP(D2179,Conceptos_Analítica_contraloría[#All],3,0),"")</f>
        <v/>
      </c>
    </row>
    <row r="2180" spans="3:10" x14ac:dyDescent="0.35">
      <c r="C2180" s="144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s="138" t="str">
        <f>+IFERROR(VLOOKUP(Fact_Analitica[[#This Row],[Concepto Anterior]],Conceptos_Analítica_contraloría[#All],5,0),"")</f>
        <v/>
      </c>
      <c r="F2180" s="138" t="str">
        <f>+IFERROR(VLOOKUP(Fact_Analitica[[#This Row],[Concepto Anterior]],Conceptos_Analítica_contraloría[#All],7,0),"")</f>
        <v/>
      </c>
      <c r="I2180" s="138" t="str">
        <f>+IFERROR(VLOOKUP(D2180,Conceptos_Analítica_contraloría[#All],2,0),"")</f>
        <v/>
      </c>
      <c r="J2180" s="138" t="str">
        <f>+IFERROR(VLOOKUP(D2180,Conceptos_Analítica_contraloría[#All],3,0),"")</f>
        <v/>
      </c>
    </row>
    <row r="2181" spans="3:10" x14ac:dyDescent="0.35">
      <c r="C2181" s="144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s="138" t="str">
        <f>+IFERROR(VLOOKUP(Fact_Analitica[[#This Row],[Concepto Anterior]],Conceptos_Analítica_contraloría[#All],5,0),"")</f>
        <v/>
      </c>
      <c r="F2181" s="138" t="str">
        <f>+IFERROR(VLOOKUP(Fact_Analitica[[#This Row],[Concepto Anterior]],Conceptos_Analítica_contraloría[#All],7,0),"")</f>
        <v/>
      </c>
      <c r="I2181" s="138" t="str">
        <f>+IFERROR(VLOOKUP(D2181,Conceptos_Analítica_contraloría[#All],2,0),"")</f>
        <v/>
      </c>
      <c r="J2181" s="138" t="str">
        <f>+IFERROR(VLOOKUP(D2181,Conceptos_Analítica_contraloría[#All],3,0),"")</f>
        <v/>
      </c>
    </row>
    <row r="2182" spans="3:10" x14ac:dyDescent="0.35">
      <c r="C2182" s="144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s="138" t="str">
        <f>+IFERROR(VLOOKUP(Fact_Analitica[[#This Row],[Concepto Anterior]],Conceptos_Analítica_contraloría[#All],5,0),"")</f>
        <v/>
      </c>
      <c r="F2182" s="138" t="str">
        <f>+IFERROR(VLOOKUP(Fact_Analitica[[#This Row],[Concepto Anterior]],Conceptos_Analítica_contraloría[#All],7,0),"")</f>
        <v/>
      </c>
      <c r="I2182" s="138" t="str">
        <f>+IFERROR(VLOOKUP(D2182,Conceptos_Analítica_contraloría[#All],2,0),"")</f>
        <v/>
      </c>
      <c r="J2182" s="138" t="str">
        <f>+IFERROR(VLOOKUP(D2182,Conceptos_Analítica_contraloría[#All],3,0),"")</f>
        <v/>
      </c>
    </row>
    <row r="2183" spans="3:10" x14ac:dyDescent="0.35">
      <c r="C2183" s="144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s="138" t="str">
        <f>+IFERROR(VLOOKUP(Fact_Analitica[[#This Row],[Concepto Anterior]],Conceptos_Analítica_contraloría[#All],5,0),"")</f>
        <v/>
      </c>
      <c r="F2183" s="138" t="str">
        <f>+IFERROR(VLOOKUP(Fact_Analitica[[#This Row],[Concepto Anterior]],Conceptos_Analítica_contraloría[#All],7,0),"")</f>
        <v/>
      </c>
      <c r="I2183" s="138" t="str">
        <f>+IFERROR(VLOOKUP(D2183,Conceptos_Analítica_contraloría[#All],2,0),"")</f>
        <v/>
      </c>
      <c r="J2183" s="138" t="str">
        <f>+IFERROR(VLOOKUP(D2183,Conceptos_Analítica_contraloría[#All],3,0),"")</f>
        <v/>
      </c>
    </row>
    <row r="2184" spans="3:10" x14ac:dyDescent="0.35">
      <c r="C2184" s="144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s="138" t="str">
        <f>+IFERROR(VLOOKUP(Fact_Analitica[[#This Row],[Concepto Anterior]],Conceptos_Analítica_contraloría[#All],5,0),"")</f>
        <v/>
      </c>
      <c r="F2184" s="138" t="str">
        <f>+IFERROR(VLOOKUP(Fact_Analitica[[#This Row],[Concepto Anterior]],Conceptos_Analítica_contraloría[#All],7,0),"")</f>
        <v/>
      </c>
      <c r="I2184" s="138" t="str">
        <f>+IFERROR(VLOOKUP(D2184,Conceptos_Analítica_contraloría[#All],2,0),"")</f>
        <v/>
      </c>
      <c r="J2184" s="138" t="str">
        <f>+IFERROR(VLOOKUP(D2184,Conceptos_Analítica_contraloría[#All],3,0),"")</f>
        <v/>
      </c>
    </row>
    <row r="2185" spans="3:10" x14ac:dyDescent="0.35">
      <c r="C2185" s="144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s="138" t="str">
        <f>+IFERROR(VLOOKUP(Fact_Analitica[[#This Row],[Concepto Anterior]],Conceptos_Analítica_contraloría[#All],5,0),"")</f>
        <v/>
      </c>
      <c r="F2185" s="138" t="str">
        <f>+IFERROR(VLOOKUP(Fact_Analitica[[#This Row],[Concepto Anterior]],Conceptos_Analítica_contraloría[#All],7,0),"")</f>
        <v/>
      </c>
      <c r="I2185" s="138" t="str">
        <f>+IFERROR(VLOOKUP(D2185,Conceptos_Analítica_contraloría[#All],2,0),"")</f>
        <v/>
      </c>
      <c r="J2185" s="138" t="str">
        <f>+IFERROR(VLOOKUP(D2185,Conceptos_Analítica_contraloría[#All],3,0),"")</f>
        <v/>
      </c>
    </row>
    <row r="2186" spans="3:10" x14ac:dyDescent="0.35">
      <c r="C2186" s="144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s="138" t="str">
        <f>+IFERROR(VLOOKUP(Fact_Analitica[[#This Row],[Concepto Anterior]],Conceptos_Analítica_contraloría[#All],5,0),"")</f>
        <v/>
      </c>
      <c r="F2186" s="138" t="str">
        <f>+IFERROR(VLOOKUP(Fact_Analitica[[#This Row],[Concepto Anterior]],Conceptos_Analítica_contraloría[#All],7,0),"")</f>
        <v/>
      </c>
      <c r="I2186" s="138" t="str">
        <f>+IFERROR(VLOOKUP(D2186,Conceptos_Analítica_contraloría[#All],2,0),"")</f>
        <v/>
      </c>
      <c r="J2186" s="138" t="str">
        <f>+IFERROR(VLOOKUP(D2186,Conceptos_Analítica_contraloría[#All],3,0),"")</f>
        <v/>
      </c>
    </row>
    <row r="2187" spans="3:10" x14ac:dyDescent="0.35">
      <c r="C2187" s="144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s="138" t="str">
        <f>+IFERROR(VLOOKUP(Fact_Analitica[[#This Row],[Concepto Anterior]],Conceptos_Analítica_contraloría[#All],5,0),"")</f>
        <v/>
      </c>
      <c r="F2187" s="138" t="str">
        <f>+IFERROR(VLOOKUP(Fact_Analitica[[#This Row],[Concepto Anterior]],Conceptos_Analítica_contraloría[#All],7,0),"")</f>
        <v/>
      </c>
      <c r="I2187" s="138" t="str">
        <f>+IFERROR(VLOOKUP(D2187,Conceptos_Analítica_contraloría[#All],2,0),"")</f>
        <v/>
      </c>
      <c r="J2187" s="138" t="str">
        <f>+IFERROR(VLOOKUP(D2187,Conceptos_Analítica_contraloría[#All],3,0),"")</f>
        <v/>
      </c>
    </row>
    <row r="2188" spans="3:10" x14ac:dyDescent="0.35">
      <c r="C2188" s="144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s="138" t="str">
        <f>+IFERROR(VLOOKUP(Fact_Analitica[[#This Row],[Concepto Anterior]],Conceptos_Analítica_contraloría[#All],5,0),"")</f>
        <v/>
      </c>
      <c r="F2188" s="138" t="str">
        <f>+IFERROR(VLOOKUP(Fact_Analitica[[#This Row],[Concepto Anterior]],Conceptos_Analítica_contraloría[#All],7,0),"")</f>
        <v/>
      </c>
      <c r="I2188" s="138" t="str">
        <f>+IFERROR(VLOOKUP(D2188,Conceptos_Analítica_contraloría[#All],2,0),"")</f>
        <v/>
      </c>
      <c r="J2188" s="138" t="str">
        <f>+IFERROR(VLOOKUP(D2188,Conceptos_Analítica_contraloría[#All],3,0),"")</f>
        <v/>
      </c>
    </row>
    <row r="2189" spans="3:10" x14ac:dyDescent="0.35">
      <c r="C2189" s="144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s="138" t="str">
        <f>+IFERROR(VLOOKUP(Fact_Analitica[[#This Row],[Concepto Anterior]],Conceptos_Analítica_contraloría[#All],5,0),"")</f>
        <v/>
      </c>
      <c r="F2189" s="138" t="str">
        <f>+IFERROR(VLOOKUP(Fact_Analitica[[#This Row],[Concepto Anterior]],Conceptos_Analítica_contraloría[#All],7,0),"")</f>
        <v/>
      </c>
      <c r="I2189" s="138" t="str">
        <f>+IFERROR(VLOOKUP(D2189,Conceptos_Analítica_contraloría[#All],2,0),"")</f>
        <v/>
      </c>
      <c r="J2189" s="138" t="str">
        <f>+IFERROR(VLOOKUP(D2189,Conceptos_Analítica_contraloría[#All],3,0),"")</f>
        <v/>
      </c>
    </row>
    <row r="2190" spans="3:10" x14ac:dyDescent="0.35">
      <c r="C2190" s="144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s="138" t="str">
        <f>+IFERROR(VLOOKUP(Fact_Analitica[[#This Row],[Concepto Anterior]],Conceptos_Analítica_contraloría[#All],5,0),"")</f>
        <v/>
      </c>
      <c r="F2190" s="138" t="str">
        <f>+IFERROR(VLOOKUP(Fact_Analitica[[#This Row],[Concepto Anterior]],Conceptos_Analítica_contraloría[#All],7,0),"")</f>
        <v/>
      </c>
      <c r="I2190" s="138" t="str">
        <f>+IFERROR(VLOOKUP(D2190,Conceptos_Analítica_contraloría[#All],2,0),"")</f>
        <v/>
      </c>
      <c r="J2190" s="138" t="str">
        <f>+IFERROR(VLOOKUP(D2190,Conceptos_Analítica_contraloría[#All],3,0),"")</f>
        <v/>
      </c>
    </row>
    <row r="2191" spans="3:10" x14ac:dyDescent="0.35">
      <c r="C2191" s="144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s="138" t="str">
        <f>+IFERROR(VLOOKUP(Fact_Analitica[[#This Row],[Concepto Anterior]],Conceptos_Analítica_contraloría[#All],5,0),"")</f>
        <v/>
      </c>
      <c r="F2191" s="138" t="str">
        <f>+IFERROR(VLOOKUP(Fact_Analitica[[#This Row],[Concepto Anterior]],Conceptos_Analítica_contraloría[#All],7,0),"")</f>
        <v/>
      </c>
      <c r="I2191" s="138" t="str">
        <f>+IFERROR(VLOOKUP(D2191,Conceptos_Analítica_contraloría[#All],2,0),"")</f>
        <v/>
      </c>
      <c r="J2191" s="138" t="str">
        <f>+IFERROR(VLOOKUP(D2191,Conceptos_Analítica_contraloría[#All],3,0),"")</f>
        <v/>
      </c>
    </row>
    <row r="2192" spans="3:10" x14ac:dyDescent="0.35">
      <c r="C2192" s="144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s="138" t="str">
        <f>+IFERROR(VLOOKUP(Fact_Analitica[[#This Row],[Concepto Anterior]],Conceptos_Analítica_contraloría[#All],5,0),"")</f>
        <v/>
      </c>
      <c r="F2192" s="138" t="str">
        <f>+IFERROR(VLOOKUP(Fact_Analitica[[#This Row],[Concepto Anterior]],Conceptos_Analítica_contraloría[#All],7,0),"")</f>
        <v/>
      </c>
      <c r="I2192" s="138" t="str">
        <f>+IFERROR(VLOOKUP(D2192,Conceptos_Analítica_contraloría[#All],2,0),"")</f>
        <v/>
      </c>
      <c r="J2192" s="138" t="str">
        <f>+IFERROR(VLOOKUP(D2192,Conceptos_Analítica_contraloría[#All],3,0),"")</f>
        <v/>
      </c>
    </row>
    <row r="2193" spans="3:10" x14ac:dyDescent="0.35">
      <c r="C2193" s="144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s="138" t="str">
        <f>+IFERROR(VLOOKUP(Fact_Analitica[[#This Row],[Concepto Anterior]],Conceptos_Analítica_contraloría[#All],5,0),"")</f>
        <v/>
      </c>
      <c r="F2193" s="138" t="str">
        <f>+IFERROR(VLOOKUP(Fact_Analitica[[#This Row],[Concepto Anterior]],Conceptos_Analítica_contraloría[#All],7,0),"")</f>
        <v/>
      </c>
      <c r="I2193" s="138" t="str">
        <f>+IFERROR(VLOOKUP(D2193,Conceptos_Analítica_contraloría[#All],2,0),"")</f>
        <v/>
      </c>
      <c r="J2193" s="138" t="str">
        <f>+IFERROR(VLOOKUP(D2193,Conceptos_Analítica_contraloría[#All],3,0),"")</f>
        <v/>
      </c>
    </row>
    <row r="2194" spans="3:10" x14ac:dyDescent="0.35">
      <c r="C2194" s="144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s="138" t="str">
        <f>+IFERROR(VLOOKUP(Fact_Analitica[[#This Row],[Concepto Anterior]],Conceptos_Analítica_contraloría[#All],5,0),"")</f>
        <v/>
      </c>
      <c r="F2194" s="138" t="str">
        <f>+IFERROR(VLOOKUP(Fact_Analitica[[#This Row],[Concepto Anterior]],Conceptos_Analítica_contraloría[#All],7,0),"")</f>
        <v/>
      </c>
      <c r="I2194" s="138" t="str">
        <f>+IFERROR(VLOOKUP(D2194,Conceptos_Analítica_contraloría[#All],2,0),"")</f>
        <v/>
      </c>
      <c r="J2194" s="138" t="str">
        <f>+IFERROR(VLOOKUP(D2194,Conceptos_Analítica_contraloría[#All],3,0),"")</f>
        <v/>
      </c>
    </row>
    <row r="2195" spans="3:10" x14ac:dyDescent="0.35">
      <c r="C2195" s="144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s="138" t="str">
        <f>+IFERROR(VLOOKUP(Fact_Analitica[[#This Row],[Concepto Anterior]],Conceptos_Analítica_contraloría[#All],5,0),"")</f>
        <v/>
      </c>
      <c r="F2195" s="138" t="str">
        <f>+IFERROR(VLOOKUP(Fact_Analitica[[#This Row],[Concepto Anterior]],Conceptos_Analítica_contraloría[#All],7,0),"")</f>
        <v/>
      </c>
      <c r="I2195" s="138" t="str">
        <f>+IFERROR(VLOOKUP(D2195,Conceptos_Analítica_contraloría[#All],2,0),"")</f>
        <v/>
      </c>
      <c r="J2195" s="138" t="str">
        <f>+IFERROR(VLOOKUP(D2195,Conceptos_Analítica_contraloría[#All],3,0),"")</f>
        <v/>
      </c>
    </row>
    <row r="2196" spans="3:10" x14ac:dyDescent="0.35">
      <c r="C2196" s="144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s="138" t="str">
        <f>+IFERROR(VLOOKUP(Fact_Analitica[[#This Row],[Concepto Anterior]],Conceptos_Analítica_contraloría[#All],5,0),"")</f>
        <v/>
      </c>
      <c r="F2196" s="138" t="str">
        <f>+IFERROR(VLOOKUP(Fact_Analitica[[#This Row],[Concepto Anterior]],Conceptos_Analítica_contraloría[#All],7,0),"")</f>
        <v/>
      </c>
      <c r="I2196" s="138" t="str">
        <f>+IFERROR(VLOOKUP(D2196,Conceptos_Analítica_contraloría[#All],2,0),"")</f>
        <v/>
      </c>
      <c r="J2196" s="138" t="str">
        <f>+IFERROR(VLOOKUP(D2196,Conceptos_Analítica_contraloría[#All],3,0),"")</f>
        <v/>
      </c>
    </row>
    <row r="2197" spans="3:10" x14ac:dyDescent="0.35">
      <c r="C2197" s="144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s="138" t="str">
        <f>+IFERROR(VLOOKUP(Fact_Analitica[[#This Row],[Concepto Anterior]],Conceptos_Analítica_contraloría[#All],5,0),"")</f>
        <v/>
      </c>
      <c r="F2197" s="138" t="str">
        <f>+IFERROR(VLOOKUP(Fact_Analitica[[#This Row],[Concepto Anterior]],Conceptos_Analítica_contraloría[#All],7,0),"")</f>
        <v/>
      </c>
      <c r="I2197" s="138" t="str">
        <f>+IFERROR(VLOOKUP(D2197,Conceptos_Analítica_contraloría[#All],2,0),"")</f>
        <v/>
      </c>
      <c r="J2197" s="138" t="str">
        <f>+IFERROR(VLOOKUP(D2197,Conceptos_Analítica_contraloría[#All],3,0),"")</f>
        <v/>
      </c>
    </row>
    <row r="2198" spans="3:10" x14ac:dyDescent="0.35">
      <c r="C2198" s="144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s="138" t="str">
        <f>+IFERROR(VLOOKUP(Fact_Analitica[[#This Row],[Concepto Anterior]],Conceptos_Analítica_contraloría[#All],5,0),"")</f>
        <v/>
      </c>
      <c r="F2198" s="138" t="str">
        <f>+IFERROR(VLOOKUP(Fact_Analitica[[#This Row],[Concepto Anterior]],Conceptos_Analítica_contraloría[#All],7,0),"")</f>
        <v/>
      </c>
      <c r="I2198" s="138" t="str">
        <f>+IFERROR(VLOOKUP(D2198,Conceptos_Analítica_contraloría[#All],2,0),"")</f>
        <v/>
      </c>
      <c r="J2198" s="138" t="str">
        <f>+IFERROR(VLOOKUP(D2198,Conceptos_Analítica_contraloría[#All],3,0),"")</f>
        <v/>
      </c>
    </row>
    <row r="2199" spans="3:10" x14ac:dyDescent="0.35">
      <c r="C2199" s="144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s="138" t="str">
        <f>+IFERROR(VLOOKUP(Fact_Analitica[[#This Row],[Concepto Anterior]],Conceptos_Analítica_contraloría[#All],5,0),"")</f>
        <v/>
      </c>
      <c r="F2199" s="138" t="str">
        <f>+IFERROR(VLOOKUP(Fact_Analitica[[#This Row],[Concepto Anterior]],Conceptos_Analítica_contraloría[#All],7,0),"")</f>
        <v/>
      </c>
      <c r="I2199" s="138" t="str">
        <f>+IFERROR(VLOOKUP(D2199,Conceptos_Analítica_contraloría[#All],2,0),"")</f>
        <v/>
      </c>
      <c r="J2199" s="138" t="str">
        <f>+IFERROR(VLOOKUP(D2199,Conceptos_Analítica_contraloría[#All],3,0),"")</f>
        <v/>
      </c>
    </row>
    <row r="2200" spans="3:10" x14ac:dyDescent="0.35">
      <c r="C2200" s="144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s="138" t="str">
        <f>+IFERROR(VLOOKUP(Fact_Analitica[[#This Row],[Concepto Anterior]],Conceptos_Analítica_contraloría[#All],5,0),"")</f>
        <v/>
      </c>
      <c r="F2200" s="138" t="str">
        <f>+IFERROR(VLOOKUP(Fact_Analitica[[#This Row],[Concepto Anterior]],Conceptos_Analítica_contraloría[#All],7,0),"")</f>
        <v/>
      </c>
      <c r="I2200" s="138" t="str">
        <f>+IFERROR(VLOOKUP(D2200,Conceptos_Analítica_contraloría[#All],2,0),"")</f>
        <v/>
      </c>
      <c r="J2200" s="138" t="str">
        <f>+IFERROR(VLOOKUP(D2200,Conceptos_Analítica_contraloría[#All],3,0),"")</f>
        <v/>
      </c>
    </row>
    <row r="2201" spans="3:10" x14ac:dyDescent="0.35">
      <c r="C2201" s="144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s="138" t="str">
        <f>+IFERROR(VLOOKUP(Fact_Analitica[[#This Row],[Concepto Anterior]],Conceptos_Analítica_contraloría[#All],5,0),"")</f>
        <v/>
      </c>
      <c r="F2201" s="138" t="str">
        <f>+IFERROR(VLOOKUP(Fact_Analitica[[#This Row],[Concepto Anterior]],Conceptos_Analítica_contraloría[#All],7,0),"")</f>
        <v/>
      </c>
      <c r="I2201" s="138" t="str">
        <f>+IFERROR(VLOOKUP(D2201,Conceptos_Analítica_contraloría[#All],2,0),"")</f>
        <v/>
      </c>
      <c r="J2201" s="138" t="str">
        <f>+IFERROR(VLOOKUP(D2201,Conceptos_Analítica_contraloría[#All],3,0),"")</f>
        <v/>
      </c>
    </row>
    <row r="2202" spans="3:10" x14ac:dyDescent="0.35">
      <c r="C2202" s="144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s="138" t="str">
        <f>+IFERROR(VLOOKUP(Fact_Analitica[[#This Row],[Concepto Anterior]],Conceptos_Analítica_contraloría[#All],5,0),"")</f>
        <v/>
      </c>
      <c r="F2202" s="138" t="str">
        <f>+IFERROR(VLOOKUP(Fact_Analitica[[#This Row],[Concepto Anterior]],Conceptos_Analítica_contraloría[#All],7,0),"")</f>
        <v/>
      </c>
      <c r="I2202" s="138" t="str">
        <f>+IFERROR(VLOOKUP(D2202,Conceptos_Analítica_contraloría[#All],2,0),"")</f>
        <v/>
      </c>
      <c r="J2202" s="138" t="str">
        <f>+IFERROR(VLOOKUP(D2202,Conceptos_Analítica_contraloría[#All],3,0),"")</f>
        <v/>
      </c>
    </row>
    <row r="2203" spans="3:10" x14ac:dyDescent="0.35">
      <c r="C2203" s="144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s="138" t="str">
        <f>+IFERROR(VLOOKUP(Fact_Analitica[[#This Row],[Concepto Anterior]],Conceptos_Analítica_contraloría[#All],5,0),"")</f>
        <v/>
      </c>
      <c r="F2203" s="138" t="str">
        <f>+IFERROR(VLOOKUP(Fact_Analitica[[#This Row],[Concepto Anterior]],Conceptos_Analítica_contraloría[#All],7,0),"")</f>
        <v/>
      </c>
      <c r="I2203" s="138" t="str">
        <f>+IFERROR(VLOOKUP(D2203,Conceptos_Analítica_contraloría[#All],2,0),"")</f>
        <v/>
      </c>
      <c r="J2203" s="138" t="str">
        <f>+IFERROR(VLOOKUP(D2203,Conceptos_Analítica_contraloría[#All],3,0),"")</f>
        <v/>
      </c>
    </row>
    <row r="2204" spans="3:10" x14ac:dyDescent="0.35">
      <c r="C2204" s="144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s="138" t="str">
        <f>+IFERROR(VLOOKUP(Fact_Analitica[[#This Row],[Concepto Anterior]],Conceptos_Analítica_contraloría[#All],5,0),"")</f>
        <v/>
      </c>
      <c r="F2204" s="138" t="str">
        <f>+IFERROR(VLOOKUP(Fact_Analitica[[#This Row],[Concepto Anterior]],Conceptos_Analítica_contraloría[#All],7,0),"")</f>
        <v/>
      </c>
      <c r="I2204" s="138" t="str">
        <f>+IFERROR(VLOOKUP(D2204,Conceptos_Analítica_contraloría[#All],2,0),"")</f>
        <v/>
      </c>
      <c r="J2204" s="138" t="str">
        <f>+IFERROR(VLOOKUP(D2204,Conceptos_Analítica_contraloría[#All],3,0),"")</f>
        <v/>
      </c>
    </row>
    <row r="2205" spans="3:10" x14ac:dyDescent="0.35">
      <c r="C2205" s="144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s="138" t="str">
        <f>+IFERROR(VLOOKUP(Fact_Analitica[[#This Row],[Concepto Anterior]],Conceptos_Analítica_contraloría[#All],5,0),"")</f>
        <v/>
      </c>
      <c r="F2205" s="138" t="str">
        <f>+IFERROR(VLOOKUP(Fact_Analitica[[#This Row],[Concepto Anterior]],Conceptos_Analítica_contraloría[#All],7,0),"")</f>
        <v/>
      </c>
      <c r="I2205" s="138" t="str">
        <f>+IFERROR(VLOOKUP(D2205,Conceptos_Analítica_contraloría[#All],2,0),"")</f>
        <v/>
      </c>
      <c r="J2205" s="138" t="str">
        <f>+IFERROR(VLOOKUP(D2205,Conceptos_Analítica_contraloría[#All],3,0),"")</f>
        <v/>
      </c>
    </row>
    <row r="2206" spans="3:10" x14ac:dyDescent="0.35">
      <c r="C2206" s="144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s="138" t="str">
        <f>+IFERROR(VLOOKUP(Fact_Analitica[[#This Row],[Concepto Anterior]],Conceptos_Analítica_contraloría[#All],5,0),"")</f>
        <v/>
      </c>
      <c r="F2206" s="138" t="str">
        <f>+IFERROR(VLOOKUP(Fact_Analitica[[#This Row],[Concepto Anterior]],Conceptos_Analítica_contraloría[#All],7,0),"")</f>
        <v/>
      </c>
      <c r="I2206" s="138" t="str">
        <f>+IFERROR(VLOOKUP(D2206,Conceptos_Analítica_contraloría[#All],2,0),"")</f>
        <v/>
      </c>
      <c r="J2206" s="138" t="str">
        <f>+IFERROR(VLOOKUP(D2206,Conceptos_Analítica_contraloría[#All],3,0),"")</f>
        <v/>
      </c>
    </row>
    <row r="2207" spans="3:10" x14ac:dyDescent="0.35">
      <c r="C2207" s="144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s="138" t="str">
        <f>+IFERROR(VLOOKUP(Fact_Analitica[[#This Row],[Concepto Anterior]],Conceptos_Analítica_contraloría[#All],5,0),"")</f>
        <v/>
      </c>
      <c r="F2207" s="138" t="str">
        <f>+IFERROR(VLOOKUP(Fact_Analitica[[#This Row],[Concepto Anterior]],Conceptos_Analítica_contraloría[#All],7,0),"")</f>
        <v/>
      </c>
      <c r="I2207" s="138" t="str">
        <f>+IFERROR(VLOOKUP(D2207,Conceptos_Analítica_contraloría[#All],2,0),"")</f>
        <v/>
      </c>
      <c r="J2207" s="138" t="str">
        <f>+IFERROR(VLOOKUP(D2207,Conceptos_Analítica_contraloría[#All],3,0),"")</f>
        <v/>
      </c>
    </row>
    <row r="2208" spans="3:10" x14ac:dyDescent="0.35">
      <c r="C2208" s="144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s="138" t="str">
        <f>+IFERROR(VLOOKUP(Fact_Analitica[[#This Row],[Concepto Anterior]],Conceptos_Analítica_contraloría[#All],5,0),"")</f>
        <v/>
      </c>
      <c r="F2208" s="138" t="str">
        <f>+IFERROR(VLOOKUP(Fact_Analitica[[#This Row],[Concepto Anterior]],Conceptos_Analítica_contraloría[#All],7,0),"")</f>
        <v/>
      </c>
      <c r="I2208" s="138" t="str">
        <f>+IFERROR(VLOOKUP(D2208,Conceptos_Analítica_contraloría[#All],2,0),"")</f>
        <v/>
      </c>
      <c r="J2208" s="138" t="str">
        <f>+IFERROR(VLOOKUP(D2208,Conceptos_Analítica_contraloría[#All],3,0),"")</f>
        <v/>
      </c>
    </row>
    <row r="2209" spans="3:10" x14ac:dyDescent="0.35">
      <c r="C2209" s="144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s="138" t="str">
        <f>+IFERROR(VLOOKUP(Fact_Analitica[[#This Row],[Concepto Anterior]],Conceptos_Analítica_contraloría[#All],5,0),"")</f>
        <v/>
      </c>
      <c r="F2209" s="138" t="str">
        <f>+IFERROR(VLOOKUP(Fact_Analitica[[#This Row],[Concepto Anterior]],Conceptos_Analítica_contraloría[#All],7,0),"")</f>
        <v/>
      </c>
      <c r="I2209" s="138" t="str">
        <f>+IFERROR(VLOOKUP(D2209,Conceptos_Analítica_contraloría[#All],2,0),"")</f>
        <v/>
      </c>
      <c r="J2209" s="138" t="str">
        <f>+IFERROR(VLOOKUP(D2209,Conceptos_Analítica_contraloría[#All],3,0),"")</f>
        <v/>
      </c>
    </row>
    <row r="2210" spans="3:10" x14ac:dyDescent="0.35">
      <c r="C2210" s="144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s="138" t="str">
        <f>+IFERROR(VLOOKUP(Fact_Analitica[[#This Row],[Concepto Anterior]],Conceptos_Analítica_contraloría[#All],5,0),"")</f>
        <v/>
      </c>
      <c r="F2210" s="138" t="str">
        <f>+IFERROR(VLOOKUP(Fact_Analitica[[#This Row],[Concepto Anterior]],Conceptos_Analítica_contraloría[#All],7,0),"")</f>
        <v/>
      </c>
      <c r="I2210" s="138" t="str">
        <f>+IFERROR(VLOOKUP(D2210,Conceptos_Analítica_contraloría[#All],2,0),"")</f>
        <v/>
      </c>
      <c r="J2210" s="138" t="str">
        <f>+IFERROR(VLOOKUP(D2210,Conceptos_Analítica_contraloría[#All],3,0),"")</f>
        <v/>
      </c>
    </row>
    <row r="2211" spans="3:10" x14ac:dyDescent="0.35">
      <c r="C2211" s="144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s="138" t="str">
        <f>+IFERROR(VLOOKUP(Fact_Analitica[[#This Row],[Concepto Anterior]],Conceptos_Analítica_contraloría[#All],5,0),"")</f>
        <v/>
      </c>
      <c r="F2211" s="138" t="str">
        <f>+IFERROR(VLOOKUP(Fact_Analitica[[#This Row],[Concepto Anterior]],Conceptos_Analítica_contraloría[#All],7,0),"")</f>
        <v/>
      </c>
      <c r="I2211" s="138" t="str">
        <f>+IFERROR(VLOOKUP(D2211,Conceptos_Analítica_contraloría[#All],2,0),"")</f>
        <v/>
      </c>
      <c r="J2211" s="138" t="str">
        <f>+IFERROR(VLOOKUP(D2211,Conceptos_Analítica_contraloría[#All],3,0),"")</f>
        <v/>
      </c>
    </row>
    <row r="2212" spans="3:10" x14ac:dyDescent="0.35">
      <c r="C2212" s="144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s="138" t="str">
        <f>+IFERROR(VLOOKUP(Fact_Analitica[[#This Row],[Concepto Anterior]],Conceptos_Analítica_contraloría[#All],5,0),"")</f>
        <v/>
      </c>
      <c r="F2212" s="138" t="str">
        <f>+IFERROR(VLOOKUP(Fact_Analitica[[#This Row],[Concepto Anterior]],Conceptos_Analítica_contraloría[#All],7,0),"")</f>
        <v/>
      </c>
      <c r="I2212" s="138" t="str">
        <f>+IFERROR(VLOOKUP(D2212,Conceptos_Analítica_contraloría[#All],2,0),"")</f>
        <v/>
      </c>
      <c r="J2212" s="138" t="str">
        <f>+IFERROR(VLOOKUP(D2212,Conceptos_Analítica_contraloría[#All],3,0),"")</f>
        <v/>
      </c>
    </row>
    <row r="2213" spans="3:10" x14ac:dyDescent="0.35">
      <c r="C2213" s="144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s="138" t="str">
        <f>+IFERROR(VLOOKUP(Fact_Analitica[[#This Row],[Concepto Anterior]],Conceptos_Analítica_contraloría[#All],5,0),"")</f>
        <v/>
      </c>
      <c r="F2213" s="138" t="str">
        <f>+IFERROR(VLOOKUP(Fact_Analitica[[#This Row],[Concepto Anterior]],Conceptos_Analítica_contraloría[#All],7,0),"")</f>
        <v/>
      </c>
      <c r="I2213" s="138" t="str">
        <f>+IFERROR(VLOOKUP(D2213,Conceptos_Analítica_contraloría[#All],2,0),"")</f>
        <v/>
      </c>
      <c r="J2213" s="138" t="str">
        <f>+IFERROR(VLOOKUP(D2213,Conceptos_Analítica_contraloría[#All],3,0),"")</f>
        <v/>
      </c>
    </row>
    <row r="2214" spans="3:10" x14ac:dyDescent="0.35">
      <c r="C2214" s="144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s="138" t="str">
        <f>+IFERROR(VLOOKUP(Fact_Analitica[[#This Row],[Concepto Anterior]],Conceptos_Analítica_contraloría[#All],5,0),"")</f>
        <v/>
      </c>
      <c r="F2214" s="138" t="str">
        <f>+IFERROR(VLOOKUP(Fact_Analitica[[#This Row],[Concepto Anterior]],Conceptos_Analítica_contraloría[#All],7,0),"")</f>
        <v/>
      </c>
      <c r="I2214" s="138" t="str">
        <f>+IFERROR(VLOOKUP(D2214,Conceptos_Analítica_contraloría[#All],2,0),"")</f>
        <v/>
      </c>
      <c r="J2214" s="138" t="str">
        <f>+IFERROR(VLOOKUP(D2214,Conceptos_Analítica_contraloría[#All],3,0),"")</f>
        <v/>
      </c>
    </row>
    <row r="2215" spans="3:10" x14ac:dyDescent="0.35">
      <c r="C2215" s="144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s="138" t="str">
        <f>+IFERROR(VLOOKUP(Fact_Analitica[[#This Row],[Concepto Anterior]],Conceptos_Analítica_contraloría[#All],5,0),"")</f>
        <v/>
      </c>
      <c r="F2215" s="138" t="str">
        <f>+IFERROR(VLOOKUP(Fact_Analitica[[#This Row],[Concepto Anterior]],Conceptos_Analítica_contraloría[#All],7,0),"")</f>
        <v/>
      </c>
      <c r="I2215" s="138" t="str">
        <f>+IFERROR(VLOOKUP(D2215,Conceptos_Analítica_contraloría[#All],2,0),"")</f>
        <v/>
      </c>
      <c r="J2215" s="138" t="str">
        <f>+IFERROR(VLOOKUP(D2215,Conceptos_Analítica_contraloría[#All],3,0),"")</f>
        <v/>
      </c>
    </row>
    <row r="2216" spans="3:10" x14ac:dyDescent="0.35">
      <c r="C2216" s="144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s="138" t="str">
        <f>+IFERROR(VLOOKUP(Fact_Analitica[[#This Row],[Concepto Anterior]],Conceptos_Analítica_contraloría[#All],5,0),"")</f>
        <v/>
      </c>
      <c r="F2216" s="138" t="str">
        <f>+IFERROR(VLOOKUP(Fact_Analitica[[#This Row],[Concepto Anterior]],Conceptos_Analítica_contraloría[#All],7,0),"")</f>
        <v/>
      </c>
      <c r="I2216" s="138" t="str">
        <f>+IFERROR(VLOOKUP(D2216,Conceptos_Analítica_contraloría[#All],2,0),"")</f>
        <v/>
      </c>
      <c r="J2216" s="138" t="str">
        <f>+IFERROR(VLOOKUP(D2216,Conceptos_Analítica_contraloría[#All],3,0),"")</f>
        <v/>
      </c>
    </row>
    <row r="2217" spans="3:10" x14ac:dyDescent="0.35">
      <c r="C2217" s="144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s="138" t="str">
        <f>+IFERROR(VLOOKUP(Fact_Analitica[[#This Row],[Concepto Anterior]],Conceptos_Analítica_contraloría[#All],5,0),"")</f>
        <v/>
      </c>
      <c r="F2217" s="138" t="str">
        <f>+IFERROR(VLOOKUP(Fact_Analitica[[#This Row],[Concepto Anterior]],Conceptos_Analítica_contraloría[#All],7,0),"")</f>
        <v/>
      </c>
      <c r="I2217" s="138" t="str">
        <f>+IFERROR(VLOOKUP(D2217,Conceptos_Analítica_contraloría[#All],2,0),"")</f>
        <v/>
      </c>
      <c r="J2217" s="138" t="str">
        <f>+IFERROR(VLOOKUP(D2217,Conceptos_Analítica_contraloría[#All],3,0),"")</f>
        <v/>
      </c>
    </row>
    <row r="2218" spans="3:10" x14ac:dyDescent="0.35">
      <c r="C2218" s="144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s="138" t="str">
        <f>+IFERROR(VLOOKUP(Fact_Analitica[[#This Row],[Concepto Anterior]],Conceptos_Analítica_contraloría[#All],5,0),"")</f>
        <v/>
      </c>
      <c r="F2218" s="138" t="str">
        <f>+IFERROR(VLOOKUP(Fact_Analitica[[#This Row],[Concepto Anterior]],Conceptos_Analítica_contraloría[#All],7,0),"")</f>
        <v/>
      </c>
      <c r="I2218" s="138" t="str">
        <f>+IFERROR(VLOOKUP(D2218,Conceptos_Analítica_contraloría[#All],2,0),"")</f>
        <v/>
      </c>
      <c r="J2218" s="138" t="str">
        <f>+IFERROR(VLOOKUP(D2218,Conceptos_Analítica_contraloría[#All],3,0),"")</f>
        <v/>
      </c>
    </row>
    <row r="2219" spans="3:10" x14ac:dyDescent="0.35">
      <c r="C2219" s="144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s="138" t="str">
        <f>+IFERROR(VLOOKUP(Fact_Analitica[[#This Row],[Concepto Anterior]],Conceptos_Analítica_contraloría[#All],5,0),"")</f>
        <v/>
      </c>
      <c r="F2219" s="138" t="str">
        <f>+IFERROR(VLOOKUP(Fact_Analitica[[#This Row],[Concepto Anterior]],Conceptos_Analítica_contraloría[#All],7,0),"")</f>
        <v/>
      </c>
      <c r="I2219" s="138" t="str">
        <f>+IFERROR(VLOOKUP(D2219,Conceptos_Analítica_contraloría[#All],2,0),"")</f>
        <v/>
      </c>
      <c r="J2219" s="138" t="str">
        <f>+IFERROR(VLOOKUP(D2219,Conceptos_Analítica_contraloría[#All],3,0),"")</f>
        <v/>
      </c>
    </row>
    <row r="2220" spans="3:10" x14ac:dyDescent="0.35">
      <c r="C2220" s="144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s="138" t="str">
        <f>+IFERROR(VLOOKUP(Fact_Analitica[[#This Row],[Concepto Anterior]],Conceptos_Analítica_contraloría[#All],5,0),"")</f>
        <v/>
      </c>
      <c r="F2220" s="138" t="str">
        <f>+IFERROR(VLOOKUP(Fact_Analitica[[#This Row],[Concepto Anterior]],Conceptos_Analítica_contraloría[#All],7,0),"")</f>
        <v/>
      </c>
      <c r="I2220" s="138" t="str">
        <f>+IFERROR(VLOOKUP(D2220,Conceptos_Analítica_contraloría[#All],2,0),"")</f>
        <v/>
      </c>
      <c r="J2220" s="138" t="str">
        <f>+IFERROR(VLOOKUP(D2220,Conceptos_Analítica_contraloría[#All],3,0),"")</f>
        <v/>
      </c>
    </row>
    <row r="2221" spans="3:10" x14ac:dyDescent="0.35">
      <c r="C2221" s="144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s="138" t="str">
        <f>+IFERROR(VLOOKUP(Fact_Analitica[[#This Row],[Concepto Anterior]],Conceptos_Analítica_contraloría[#All],5,0),"")</f>
        <v/>
      </c>
      <c r="F2221" s="138" t="str">
        <f>+IFERROR(VLOOKUP(Fact_Analitica[[#This Row],[Concepto Anterior]],Conceptos_Analítica_contraloría[#All],7,0),"")</f>
        <v/>
      </c>
      <c r="I2221" s="138" t="str">
        <f>+IFERROR(VLOOKUP(D2221,Conceptos_Analítica_contraloría[#All],2,0),"")</f>
        <v/>
      </c>
      <c r="J2221" s="138" t="str">
        <f>+IFERROR(VLOOKUP(D2221,Conceptos_Analítica_contraloría[#All],3,0),"")</f>
        <v/>
      </c>
    </row>
    <row r="2222" spans="3:10" x14ac:dyDescent="0.35">
      <c r="C2222" s="144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s="138" t="str">
        <f>+IFERROR(VLOOKUP(Fact_Analitica[[#This Row],[Concepto Anterior]],Conceptos_Analítica_contraloría[#All],5,0),"")</f>
        <v/>
      </c>
      <c r="F2222" s="138" t="str">
        <f>+IFERROR(VLOOKUP(Fact_Analitica[[#This Row],[Concepto Anterior]],Conceptos_Analítica_contraloría[#All],7,0),"")</f>
        <v/>
      </c>
      <c r="I2222" s="138" t="str">
        <f>+IFERROR(VLOOKUP(D2222,Conceptos_Analítica_contraloría[#All],2,0),"")</f>
        <v/>
      </c>
      <c r="J2222" s="138" t="str">
        <f>+IFERROR(VLOOKUP(D2222,Conceptos_Analítica_contraloría[#All],3,0),"")</f>
        <v/>
      </c>
    </row>
    <row r="2223" spans="3:10" x14ac:dyDescent="0.35">
      <c r="C2223" s="144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s="138" t="str">
        <f>+IFERROR(VLOOKUP(Fact_Analitica[[#This Row],[Concepto Anterior]],Conceptos_Analítica_contraloría[#All],5,0),"")</f>
        <v/>
      </c>
      <c r="F2223" s="138" t="str">
        <f>+IFERROR(VLOOKUP(Fact_Analitica[[#This Row],[Concepto Anterior]],Conceptos_Analítica_contraloría[#All],7,0),"")</f>
        <v/>
      </c>
      <c r="I2223" s="138" t="str">
        <f>+IFERROR(VLOOKUP(D2223,Conceptos_Analítica_contraloría[#All],2,0),"")</f>
        <v/>
      </c>
      <c r="J2223" s="138" t="str">
        <f>+IFERROR(VLOOKUP(D2223,Conceptos_Analítica_contraloría[#All],3,0),"")</f>
        <v/>
      </c>
    </row>
    <row r="2224" spans="3:10" x14ac:dyDescent="0.35">
      <c r="C2224" s="144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s="138" t="str">
        <f>+IFERROR(VLOOKUP(Fact_Analitica[[#This Row],[Concepto Anterior]],Conceptos_Analítica_contraloría[#All],5,0),"")</f>
        <v/>
      </c>
      <c r="F2224" s="138" t="str">
        <f>+IFERROR(VLOOKUP(Fact_Analitica[[#This Row],[Concepto Anterior]],Conceptos_Analítica_contraloría[#All],7,0),"")</f>
        <v/>
      </c>
      <c r="I2224" s="138" t="str">
        <f>+IFERROR(VLOOKUP(D2224,Conceptos_Analítica_contraloría[#All],2,0),"")</f>
        <v/>
      </c>
      <c r="J2224" s="138" t="str">
        <f>+IFERROR(VLOOKUP(D2224,Conceptos_Analítica_contraloría[#All],3,0),"")</f>
        <v/>
      </c>
    </row>
    <row r="2225" spans="3:10" x14ac:dyDescent="0.35">
      <c r="C2225" s="144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s="138" t="str">
        <f>+IFERROR(VLOOKUP(Fact_Analitica[[#This Row],[Concepto Anterior]],Conceptos_Analítica_contraloría[#All],5,0),"")</f>
        <v/>
      </c>
      <c r="F2225" s="138" t="str">
        <f>+IFERROR(VLOOKUP(Fact_Analitica[[#This Row],[Concepto Anterior]],Conceptos_Analítica_contraloría[#All],7,0),"")</f>
        <v/>
      </c>
      <c r="I2225" s="138" t="str">
        <f>+IFERROR(VLOOKUP(D2225,Conceptos_Analítica_contraloría[#All],2,0),"")</f>
        <v/>
      </c>
      <c r="J2225" s="138" t="str">
        <f>+IFERROR(VLOOKUP(D2225,Conceptos_Analítica_contraloría[#All],3,0),"")</f>
        <v/>
      </c>
    </row>
    <row r="2226" spans="3:10" x14ac:dyDescent="0.35">
      <c r="C2226" s="144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s="138" t="str">
        <f>+IFERROR(VLOOKUP(Fact_Analitica[[#This Row],[Concepto Anterior]],Conceptos_Analítica_contraloría[#All],5,0),"")</f>
        <v/>
      </c>
      <c r="F2226" s="138" t="str">
        <f>+IFERROR(VLOOKUP(Fact_Analitica[[#This Row],[Concepto Anterior]],Conceptos_Analítica_contraloría[#All],7,0),"")</f>
        <v/>
      </c>
      <c r="I2226" s="138" t="str">
        <f>+IFERROR(VLOOKUP(D2226,Conceptos_Analítica_contraloría[#All],2,0),"")</f>
        <v/>
      </c>
      <c r="J2226" s="138" t="str">
        <f>+IFERROR(VLOOKUP(D2226,Conceptos_Analítica_contraloría[#All],3,0),"")</f>
        <v/>
      </c>
    </row>
    <row r="2227" spans="3:10" x14ac:dyDescent="0.35">
      <c r="C2227" s="144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s="138" t="str">
        <f>+IFERROR(VLOOKUP(Fact_Analitica[[#This Row],[Concepto Anterior]],Conceptos_Analítica_contraloría[#All],5,0),"")</f>
        <v/>
      </c>
      <c r="F2227" s="138" t="str">
        <f>+IFERROR(VLOOKUP(Fact_Analitica[[#This Row],[Concepto Anterior]],Conceptos_Analítica_contraloría[#All],7,0),"")</f>
        <v/>
      </c>
      <c r="I2227" s="138" t="str">
        <f>+IFERROR(VLOOKUP(D2227,Conceptos_Analítica_contraloría[#All],2,0),"")</f>
        <v/>
      </c>
      <c r="J2227" s="138" t="str">
        <f>+IFERROR(VLOOKUP(D2227,Conceptos_Analítica_contraloría[#All],3,0),"")</f>
        <v/>
      </c>
    </row>
    <row r="2228" spans="3:10" x14ac:dyDescent="0.35">
      <c r="C2228" s="144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s="138" t="str">
        <f>+IFERROR(VLOOKUP(Fact_Analitica[[#This Row],[Concepto Anterior]],Conceptos_Analítica_contraloría[#All],5,0),"")</f>
        <v/>
      </c>
      <c r="F2228" s="138" t="str">
        <f>+IFERROR(VLOOKUP(Fact_Analitica[[#This Row],[Concepto Anterior]],Conceptos_Analítica_contraloría[#All],7,0),"")</f>
        <v/>
      </c>
      <c r="I2228" s="138" t="str">
        <f>+IFERROR(VLOOKUP(D2228,Conceptos_Analítica_contraloría[#All],2,0),"")</f>
        <v/>
      </c>
      <c r="J2228" s="138" t="str">
        <f>+IFERROR(VLOOKUP(D2228,Conceptos_Analítica_contraloría[#All],3,0),"")</f>
        <v/>
      </c>
    </row>
    <row r="2229" spans="3:10" x14ac:dyDescent="0.35">
      <c r="C2229" s="144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s="138" t="str">
        <f>+IFERROR(VLOOKUP(Fact_Analitica[[#This Row],[Concepto Anterior]],Conceptos_Analítica_contraloría[#All],5,0),"")</f>
        <v/>
      </c>
      <c r="F2229" s="138" t="str">
        <f>+IFERROR(VLOOKUP(Fact_Analitica[[#This Row],[Concepto Anterior]],Conceptos_Analítica_contraloría[#All],7,0),"")</f>
        <v/>
      </c>
      <c r="I2229" s="138" t="str">
        <f>+IFERROR(VLOOKUP(D2229,Conceptos_Analítica_contraloría[#All],2,0),"")</f>
        <v/>
      </c>
      <c r="J2229" s="138" t="str">
        <f>+IFERROR(VLOOKUP(D2229,Conceptos_Analítica_contraloría[#All],3,0),"")</f>
        <v/>
      </c>
    </row>
    <row r="2230" spans="3:10" x14ac:dyDescent="0.35">
      <c r="C2230" s="144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s="138" t="str">
        <f>+IFERROR(VLOOKUP(Fact_Analitica[[#This Row],[Concepto Anterior]],Conceptos_Analítica_contraloría[#All],5,0),"")</f>
        <v/>
      </c>
      <c r="F2230" s="138" t="str">
        <f>+IFERROR(VLOOKUP(Fact_Analitica[[#This Row],[Concepto Anterior]],Conceptos_Analítica_contraloría[#All],7,0),"")</f>
        <v/>
      </c>
      <c r="I2230" s="138" t="str">
        <f>+IFERROR(VLOOKUP(D2230,Conceptos_Analítica_contraloría[#All],2,0),"")</f>
        <v/>
      </c>
      <c r="J2230" s="138" t="str">
        <f>+IFERROR(VLOOKUP(D2230,Conceptos_Analítica_contraloría[#All],3,0),"")</f>
        <v/>
      </c>
    </row>
    <row r="2231" spans="3:10" x14ac:dyDescent="0.35">
      <c r="C2231" s="144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s="138" t="str">
        <f>+IFERROR(VLOOKUP(Fact_Analitica[[#This Row],[Concepto Anterior]],Conceptos_Analítica_contraloría[#All],5,0),"")</f>
        <v/>
      </c>
      <c r="F2231" s="138" t="str">
        <f>+IFERROR(VLOOKUP(Fact_Analitica[[#This Row],[Concepto Anterior]],Conceptos_Analítica_contraloría[#All],7,0),"")</f>
        <v/>
      </c>
      <c r="I2231" s="138" t="str">
        <f>+IFERROR(VLOOKUP(D2231,Conceptos_Analítica_contraloría[#All],2,0),"")</f>
        <v/>
      </c>
      <c r="J2231" s="138" t="str">
        <f>+IFERROR(VLOOKUP(D2231,Conceptos_Analítica_contraloría[#All],3,0),"")</f>
        <v/>
      </c>
    </row>
    <row r="2232" spans="3:10" x14ac:dyDescent="0.35">
      <c r="C2232" s="144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s="138" t="str">
        <f>+IFERROR(VLOOKUP(Fact_Analitica[[#This Row],[Concepto Anterior]],Conceptos_Analítica_contraloría[#All],5,0),"")</f>
        <v/>
      </c>
      <c r="F2232" s="138" t="str">
        <f>+IFERROR(VLOOKUP(Fact_Analitica[[#This Row],[Concepto Anterior]],Conceptos_Analítica_contraloría[#All],7,0),"")</f>
        <v/>
      </c>
      <c r="I2232" s="138" t="str">
        <f>+IFERROR(VLOOKUP(D2232,Conceptos_Analítica_contraloría[#All],2,0),"")</f>
        <v/>
      </c>
      <c r="J2232" s="138" t="str">
        <f>+IFERROR(VLOOKUP(D2232,Conceptos_Analítica_contraloría[#All],3,0),"")</f>
        <v/>
      </c>
    </row>
    <row r="2233" spans="3:10" x14ac:dyDescent="0.35">
      <c r="C2233" s="144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s="138" t="str">
        <f>+IFERROR(VLOOKUP(Fact_Analitica[[#This Row],[Concepto Anterior]],Conceptos_Analítica_contraloría[#All],5,0),"")</f>
        <v/>
      </c>
      <c r="F2233" s="138" t="str">
        <f>+IFERROR(VLOOKUP(Fact_Analitica[[#This Row],[Concepto Anterior]],Conceptos_Analítica_contraloría[#All],7,0),"")</f>
        <v/>
      </c>
      <c r="I2233" s="138" t="str">
        <f>+IFERROR(VLOOKUP(D2233,Conceptos_Analítica_contraloría[#All],2,0),"")</f>
        <v/>
      </c>
      <c r="J2233" s="138" t="str">
        <f>+IFERROR(VLOOKUP(D2233,Conceptos_Analítica_contraloría[#All],3,0),"")</f>
        <v/>
      </c>
    </row>
    <row r="2234" spans="3:10" x14ac:dyDescent="0.35">
      <c r="C2234" s="144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s="138" t="str">
        <f>+IFERROR(VLOOKUP(Fact_Analitica[[#This Row],[Concepto Anterior]],Conceptos_Analítica_contraloría[#All],5,0),"")</f>
        <v/>
      </c>
      <c r="F2234" s="138" t="str">
        <f>+IFERROR(VLOOKUP(Fact_Analitica[[#This Row],[Concepto Anterior]],Conceptos_Analítica_contraloría[#All],7,0),"")</f>
        <v/>
      </c>
      <c r="I2234" s="138" t="str">
        <f>+IFERROR(VLOOKUP(D2234,Conceptos_Analítica_contraloría[#All],2,0),"")</f>
        <v/>
      </c>
      <c r="J2234" s="138" t="str">
        <f>+IFERROR(VLOOKUP(D2234,Conceptos_Analítica_contraloría[#All],3,0),"")</f>
        <v/>
      </c>
    </row>
    <row r="2235" spans="3:10" x14ac:dyDescent="0.35">
      <c r="C2235" s="144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s="138" t="str">
        <f>+IFERROR(VLOOKUP(Fact_Analitica[[#This Row],[Concepto Anterior]],Conceptos_Analítica_contraloría[#All],5,0),"")</f>
        <v/>
      </c>
      <c r="F2235" s="138" t="str">
        <f>+IFERROR(VLOOKUP(Fact_Analitica[[#This Row],[Concepto Anterior]],Conceptos_Analítica_contraloría[#All],7,0),"")</f>
        <v/>
      </c>
      <c r="I2235" s="138" t="str">
        <f>+IFERROR(VLOOKUP(D2235,Conceptos_Analítica_contraloría[#All],2,0),"")</f>
        <v/>
      </c>
      <c r="J2235" s="138" t="str">
        <f>+IFERROR(VLOOKUP(D2235,Conceptos_Analítica_contraloría[#All],3,0),"")</f>
        <v/>
      </c>
    </row>
    <row r="2236" spans="3:10" x14ac:dyDescent="0.35">
      <c r="C2236" s="144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s="138" t="str">
        <f>+IFERROR(VLOOKUP(Fact_Analitica[[#This Row],[Concepto Anterior]],Conceptos_Analítica_contraloría[#All],5,0),"")</f>
        <v/>
      </c>
      <c r="F2236" s="138" t="str">
        <f>+IFERROR(VLOOKUP(Fact_Analitica[[#This Row],[Concepto Anterior]],Conceptos_Analítica_contraloría[#All],7,0),"")</f>
        <v/>
      </c>
      <c r="I2236" s="138" t="str">
        <f>+IFERROR(VLOOKUP(D2236,Conceptos_Analítica_contraloría[#All],2,0),"")</f>
        <v/>
      </c>
      <c r="J2236" s="138" t="str">
        <f>+IFERROR(VLOOKUP(D2236,Conceptos_Analítica_contraloría[#All],3,0),"")</f>
        <v/>
      </c>
    </row>
    <row r="2237" spans="3:10" x14ac:dyDescent="0.35">
      <c r="C2237" s="144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s="138" t="str">
        <f>+IFERROR(VLOOKUP(Fact_Analitica[[#This Row],[Concepto Anterior]],Conceptos_Analítica_contraloría[#All],5,0),"")</f>
        <v/>
      </c>
      <c r="F2237" s="138" t="str">
        <f>+IFERROR(VLOOKUP(Fact_Analitica[[#This Row],[Concepto Anterior]],Conceptos_Analítica_contraloría[#All],7,0),"")</f>
        <v/>
      </c>
      <c r="I2237" s="138" t="str">
        <f>+IFERROR(VLOOKUP(D2237,Conceptos_Analítica_contraloría[#All],2,0),"")</f>
        <v/>
      </c>
      <c r="J2237" s="138" t="str">
        <f>+IFERROR(VLOOKUP(D2237,Conceptos_Analítica_contraloría[#All],3,0),"")</f>
        <v/>
      </c>
    </row>
    <row r="2238" spans="3:10" x14ac:dyDescent="0.35">
      <c r="C2238" s="144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s="138" t="str">
        <f>+IFERROR(VLOOKUP(Fact_Analitica[[#This Row],[Concepto Anterior]],Conceptos_Analítica_contraloría[#All],5,0),"")</f>
        <v/>
      </c>
      <c r="F2238" s="138" t="str">
        <f>+IFERROR(VLOOKUP(Fact_Analitica[[#This Row],[Concepto Anterior]],Conceptos_Analítica_contraloría[#All],7,0),"")</f>
        <v/>
      </c>
      <c r="I2238" s="138" t="str">
        <f>+IFERROR(VLOOKUP(D2238,Conceptos_Analítica_contraloría[#All],2,0),"")</f>
        <v/>
      </c>
      <c r="J2238" s="138" t="str">
        <f>+IFERROR(VLOOKUP(D2238,Conceptos_Analítica_contraloría[#All],3,0),"")</f>
        <v/>
      </c>
    </row>
    <row r="2239" spans="3:10" x14ac:dyDescent="0.35">
      <c r="C2239" s="144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s="138" t="str">
        <f>+IFERROR(VLOOKUP(Fact_Analitica[[#This Row],[Concepto Anterior]],Conceptos_Analítica_contraloría[#All],5,0),"")</f>
        <v/>
      </c>
      <c r="F2239" s="138" t="str">
        <f>+IFERROR(VLOOKUP(Fact_Analitica[[#This Row],[Concepto Anterior]],Conceptos_Analítica_contraloría[#All],7,0),"")</f>
        <v/>
      </c>
      <c r="I2239" s="138" t="str">
        <f>+IFERROR(VLOOKUP(D2239,Conceptos_Analítica_contraloría[#All],2,0),"")</f>
        <v/>
      </c>
      <c r="J2239" s="138" t="str">
        <f>+IFERROR(VLOOKUP(D2239,Conceptos_Analítica_contraloría[#All],3,0),"")</f>
        <v/>
      </c>
    </row>
    <row r="2240" spans="3:10" x14ac:dyDescent="0.35">
      <c r="C2240" s="144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s="138" t="str">
        <f>+IFERROR(VLOOKUP(Fact_Analitica[[#This Row],[Concepto Anterior]],Conceptos_Analítica_contraloría[#All],5,0),"")</f>
        <v/>
      </c>
      <c r="F2240" s="138" t="str">
        <f>+IFERROR(VLOOKUP(Fact_Analitica[[#This Row],[Concepto Anterior]],Conceptos_Analítica_contraloría[#All],7,0),"")</f>
        <v/>
      </c>
      <c r="I2240" s="138" t="str">
        <f>+IFERROR(VLOOKUP(D2240,Conceptos_Analítica_contraloría[#All],2,0),"")</f>
        <v/>
      </c>
      <c r="J2240" s="138" t="str">
        <f>+IFERROR(VLOOKUP(D2240,Conceptos_Analítica_contraloría[#All],3,0),"")</f>
        <v/>
      </c>
    </row>
    <row r="2241" spans="3:10" x14ac:dyDescent="0.35">
      <c r="C2241" s="144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s="138" t="str">
        <f>+IFERROR(VLOOKUP(Fact_Analitica[[#This Row],[Concepto Anterior]],Conceptos_Analítica_contraloría[#All],5,0),"")</f>
        <v/>
      </c>
      <c r="F2241" s="138" t="str">
        <f>+IFERROR(VLOOKUP(Fact_Analitica[[#This Row],[Concepto Anterior]],Conceptos_Analítica_contraloría[#All],7,0),"")</f>
        <v/>
      </c>
      <c r="I2241" s="138" t="str">
        <f>+IFERROR(VLOOKUP(D2241,Conceptos_Analítica_contraloría[#All],2,0),"")</f>
        <v/>
      </c>
      <c r="J2241" s="138" t="str">
        <f>+IFERROR(VLOOKUP(D2241,Conceptos_Analítica_contraloría[#All],3,0),"")</f>
        <v/>
      </c>
    </row>
    <row r="2242" spans="3:10" x14ac:dyDescent="0.35">
      <c r="C2242" s="144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s="138" t="str">
        <f>+IFERROR(VLOOKUP(Fact_Analitica[[#This Row],[Concepto Anterior]],Conceptos_Analítica_contraloría[#All],5,0),"")</f>
        <v/>
      </c>
      <c r="F2242" s="138" t="str">
        <f>+IFERROR(VLOOKUP(Fact_Analitica[[#This Row],[Concepto Anterior]],Conceptos_Analítica_contraloría[#All],7,0),"")</f>
        <v/>
      </c>
      <c r="I2242" s="138" t="str">
        <f>+IFERROR(VLOOKUP(D2242,Conceptos_Analítica_contraloría[#All],2,0),"")</f>
        <v/>
      </c>
      <c r="J2242" s="138" t="str">
        <f>+IFERROR(VLOOKUP(D2242,Conceptos_Analítica_contraloría[#All],3,0),"")</f>
        <v/>
      </c>
    </row>
    <row r="2243" spans="3:10" x14ac:dyDescent="0.35">
      <c r="C2243" s="144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s="138" t="str">
        <f>+IFERROR(VLOOKUP(Fact_Analitica[[#This Row],[Concepto Anterior]],Conceptos_Analítica_contraloría[#All],5,0),"")</f>
        <v/>
      </c>
      <c r="F2243" s="138" t="str">
        <f>+IFERROR(VLOOKUP(Fact_Analitica[[#This Row],[Concepto Anterior]],Conceptos_Analítica_contraloría[#All],7,0),"")</f>
        <v/>
      </c>
      <c r="I2243" s="138" t="str">
        <f>+IFERROR(VLOOKUP(D2243,Conceptos_Analítica_contraloría[#All],2,0),"")</f>
        <v/>
      </c>
      <c r="J2243" s="138" t="str">
        <f>+IFERROR(VLOOKUP(D2243,Conceptos_Analítica_contraloría[#All],3,0),"")</f>
        <v/>
      </c>
    </row>
    <row r="2244" spans="3:10" x14ac:dyDescent="0.35">
      <c r="C2244" s="144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s="138" t="str">
        <f>+IFERROR(VLOOKUP(Fact_Analitica[[#This Row],[Concepto Anterior]],Conceptos_Analítica_contraloría[#All],5,0),"")</f>
        <v/>
      </c>
      <c r="F2244" s="138" t="str">
        <f>+IFERROR(VLOOKUP(Fact_Analitica[[#This Row],[Concepto Anterior]],Conceptos_Analítica_contraloría[#All],7,0),"")</f>
        <v/>
      </c>
      <c r="I2244" s="138" t="str">
        <f>+IFERROR(VLOOKUP(D2244,Conceptos_Analítica_contraloría[#All],2,0),"")</f>
        <v/>
      </c>
      <c r="J2244" s="138" t="str">
        <f>+IFERROR(VLOOKUP(D2244,Conceptos_Analítica_contraloría[#All],3,0),"")</f>
        <v/>
      </c>
    </row>
    <row r="2245" spans="3:10" x14ac:dyDescent="0.35">
      <c r="C2245" s="144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s="138" t="str">
        <f>+IFERROR(VLOOKUP(Fact_Analitica[[#This Row],[Concepto Anterior]],Conceptos_Analítica_contraloría[#All],5,0),"")</f>
        <v/>
      </c>
      <c r="F2245" s="138" t="str">
        <f>+IFERROR(VLOOKUP(Fact_Analitica[[#This Row],[Concepto Anterior]],Conceptos_Analítica_contraloría[#All],7,0),"")</f>
        <v/>
      </c>
      <c r="I2245" s="138" t="str">
        <f>+IFERROR(VLOOKUP(D2245,Conceptos_Analítica_contraloría[#All],2,0),"")</f>
        <v/>
      </c>
      <c r="J2245" s="138" t="str">
        <f>+IFERROR(VLOOKUP(D2245,Conceptos_Analítica_contraloría[#All],3,0),"")</f>
        <v/>
      </c>
    </row>
    <row r="2246" spans="3:10" x14ac:dyDescent="0.35">
      <c r="C2246" s="144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s="138" t="str">
        <f>+IFERROR(VLOOKUP(Fact_Analitica[[#This Row],[Concepto Anterior]],Conceptos_Analítica_contraloría[#All],5,0),"")</f>
        <v/>
      </c>
      <c r="F2246" s="138" t="str">
        <f>+IFERROR(VLOOKUP(Fact_Analitica[[#This Row],[Concepto Anterior]],Conceptos_Analítica_contraloría[#All],7,0),"")</f>
        <v/>
      </c>
      <c r="I2246" s="138" t="str">
        <f>+IFERROR(VLOOKUP(D2246,Conceptos_Analítica_contraloría[#All],2,0),"")</f>
        <v/>
      </c>
      <c r="J2246" s="138" t="str">
        <f>+IFERROR(VLOOKUP(D2246,Conceptos_Analítica_contraloría[#All],3,0),"")</f>
        <v/>
      </c>
    </row>
    <row r="2247" spans="3:10" x14ac:dyDescent="0.35">
      <c r="C2247" s="144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s="138" t="str">
        <f>+IFERROR(VLOOKUP(Fact_Analitica[[#This Row],[Concepto Anterior]],Conceptos_Analítica_contraloría[#All],5,0),"")</f>
        <v/>
      </c>
      <c r="F2247" s="138" t="str">
        <f>+IFERROR(VLOOKUP(Fact_Analitica[[#This Row],[Concepto Anterior]],Conceptos_Analítica_contraloría[#All],7,0),"")</f>
        <v/>
      </c>
      <c r="I2247" s="138" t="str">
        <f>+IFERROR(VLOOKUP(D2247,Conceptos_Analítica_contraloría[#All],2,0),"")</f>
        <v/>
      </c>
      <c r="J2247" s="138" t="str">
        <f>+IFERROR(VLOOKUP(D2247,Conceptos_Analítica_contraloría[#All],3,0),"")</f>
        <v/>
      </c>
    </row>
    <row r="2248" spans="3:10" x14ac:dyDescent="0.35">
      <c r="C2248" s="144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s="138" t="str">
        <f>+IFERROR(VLOOKUP(Fact_Analitica[[#This Row],[Concepto Anterior]],Conceptos_Analítica_contraloría[#All],5,0),"")</f>
        <v/>
      </c>
      <c r="F2248" s="138" t="str">
        <f>+IFERROR(VLOOKUP(Fact_Analitica[[#This Row],[Concepto Anterior]],Conceptos_Analítica_contraloría[#All],7,0),"")</f>
        <v/>
      </c>
      <c r="I2248" s="138" t="str">
        <f>+IFERROR(VLOOKUP(D2248,Conceptos_Analítica_contraloría[#All],2,0),"")</f>
        <v/>
      </c>
      <c r="J2248" s="138" t="str">
        <f>+IFERROR(VLOOKUP(D2248,Conceptos_Analítica_contraloría[#All],3,0),"")</f>
        <v/>
      </c>
    </row>
    <row r="2249" spans="3:10" x14ac:dyDescent="0.35">
      <c r="C2249" s="144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s="138" t="str">
        <f>+IFERROR(VLOOKUP(Fact_Analitica[[#This Row],[Concepto Anterior]],Conceptos_Analítica_contraloría[#All],5,0),"")</f>
        <v/>
      </c>
      <c r="F2249" s="138" t="str">
        <f>+IFERROR(VLOOKUP(Fact_Analitica[[#This Row],[Concepto Anterior]],Conceptos_Analítica_contraloría[#All],7,0),"")</f>
        <v/>
      </c>
      <c r="I2249" s="138" t="str">
        <f>+IFERROR(VLOOKUP(D2249,Conceptos_Analítica_contraloría[#All],2,0),"")</f>
        <v/>
      </c>
      <c r="J2249" s="138" t="str">
        <f>+IFERROR(VLOOKUP(D2249,Conceptos_Analítica_contraloría[#All],3,0),"")</f>
        <v/>
      </c>
    </row>
    <row r="2250" spans="3:10" x14ac:dyDescent="0.35">
      <c r="C2250" s="144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s="138" t="str">
        <f>+IFERROR(VLOOKUP(Fact_Analitica[[#This Row],[Concepto Anterior]],Conceptos_Analítica_contraloría[#All],5,0),"")</f>
        <v/>
      </c>
      <c r="F2250" s="138" t="str">
        <f>+IFERROR(VLOOKUP(Fact_Analitica[[#This Row],[Concepto Anterior]],Conceptos_Analítica_contraloría[#All],7,0),"")</f>
        <v/>
      </c>
      <c r="I2250" s="138" t="str">
        <f>+IFERROR(VLOOKUP(D2250,Conceptos_Analítica_contraloría[#All],2,0),"")</f>
        <v/>
      </c>
      <c r="J2250" s="138" t="str">
        <f>+IFERROR(VLOOKUP(D2250,Conceptos_Analítica_contraloría[#All],3,0),"")</f>
        <v/>
      </c>
    </row>
    <row r="2251" spans="3:10" x14ac:dyDescent="0.35">
      <c r="C2251" s="144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s="138" t="str">
        <f>+IFERROR(VLOOKUP(Fact_Analitica[[#This Row],[Concepto Anterior]],Conceptos_Analítica_contraloría[#All],5,0),"")</f>
        <v/>
      </c>
      <c r="F2251" s="138" t="str">
        <f>+IFERROR(VLOOKUP(Fact_Analitica[[#This Row],[Concepto Anterior]],Conceptos_Analítica_contraloría[#All],7,0),"")</f>
        <v/>
      </c>
      <c r="I2251" s="138" t="str">
        <f>+IFERROR(VLOOKUP(D2251,Conceptos_Analítica_contraloría[#All],2,0),"")</f>
        <v/>
      </c>
      <c r="J2251" s="138" t="str">
        <f>+IFERROR(VLOOKUP(D2251,Conceptos_Analítica_contraloría[#All],3,0),"")</f>
        <v/>
      </c>
    </row>
    <row r="2252" spans="3:10" x14ac:dyDescent="0.35">
      <c r="C2252" s="144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s="138" t="str">
        <f>+IFERROR(VLOOKUP(Fact_Analitica[[#This Row],[Concepto Anterior]],Conceptos_Analítica_contraloría[#All],5,0),"")</f>
        <v/>
      </c>
      <c r="F2252" s="138" t="str">
        <f>+IFERROR(VLOOKUP(Fact_Analitica[[#This Row],[Concepto Anterior]],Conceptos_Analítica_contraloría[#All],7,0),"")</f>
        <v/>
      </c>
      <c r="I2252" s="138" t="str">
        <f>+IFERROR(VLOOKUP(D2252,Conceptos_Analítica_contraloría[#All],2,0),"")</f>
        <v/>
      </c>
      <c r="J2252" s="138" t="str">
        <f>+IFERROR(VLOOKUP(D2252,Conceptos_Analítica_contraloría[#All],3,0),"")</f>
        <v/>
      </c>
    </row>
    <row r="2253" spans="3:10" x14ac:dyDescent="0.35">
      <c r="C2253" s="144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s="138" t="str">
        <f>+IFERROR(VLOOKUP(Fact_Analitica[[#This Row],[Concepto Anterior]],Conceptos_Analítica_contraloría[#All],5,0),"")</f>
        <v/>
      </c>
      <c r="F2253" s="138" t="str">
        <f>+IFERROR(VLOOKUP(Fact_Analitica[[#This Row],[Concepto Anterior]],Conceptos_Analítica_contraloría[#All],7,0),"")</f>
        <v/>
      </c>
      <c r="I2253" s="138" t="str">
        <f>+IFERROR(VLOOKUP(D2253,Conceptos_Analítica_contraloría[#All],2,0),"")</f>
        <v/>
      </c>
      <c r="J2253" s="138" t="str">
        <f>+IFERROR(VLOOKUP(D2253,Conceptos_Analítica_contraloría[#All],3,0),"")</f>
        <v/>
      </c>
    </row>
    <row r="2254" spans="3:10" x14ac:dyDescent="0.35">
      <c r="C2254" s="144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s="138" t="str">
        <f>+IFERROR(VLOOKUP(Fact_Analitica[[#This Row],[Concepto Anterior]],Conceptos_Analítica_contraloría[#All],5,0),"")</f>
        <v/>
      </c>
      <c r="F2254" s="138" t="str">
        <f>+IFERROR(VLOOKUP(Fact_Analitica[[#This Row],[Concepto Anterior]],Conceptos_Analítica_contraloría[#All],7,0),"")</f>
        <v/>
      </c>
      <c r="I2254" s="138" t="str">
        <f>+IFERROR(VLOOKUP(D2254,Conceptos_Analítica_contraloría[#All],2,0),"")</f>
        <v/>
      </c>
      <c r="J2254" s="138" t="str">
        <f>+IFERROR(VLOOKUP(D2254,Conceptos_Analítica_contraloría[#All],3,0),"")</f>
        <v/>
      </c>
    </row>
    <row r="2255" spans="3:10" x14ac:dyDescent="0.35">
      <c r="C2255" s="144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s="138" t="str">
        <f>+IFERROR(VLOOKUP(Fact_Analitica[[#This Row],[Concepto Anterior]],Conceptos_Analítica_contraloría[#All],5,0),"")</f>
        <v/>
      </c>
      <c r="F2255" s="138" t="str">
        <f>+IFERROR(VLOOKUP(Fact_Analitica[[#This Row],[Concepto Anterior]],Conceptos_Analítica_contraloría[#All],7,0),"")</f>
        <v/>
      </c>
      <c r="I2255" s="138" t="str">
        <f>+IFERROR(VLOOKUP(D2255,Conceptos_Analítica_contraloría[#All],2,0),"")</f>
        <v/>
      </c>
      <c r="J2255" s="138" t="str">
        <f>+IFERROR(VLOOKUP(D2255,Conceptos_Analítica_contraloría[#All],3,0),"")</f>
        <v/>
      </c>
    </row>
    <row r="2256" spans="3:10" x14ac:dyDescent="0.35">
      <c r="C2256" s="144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s="138" t="str">
        <f>+IFERROR(VLOOKUP(Fact_Analitica[[#This Row],[Concepto Anterior]],Conceptos_Analítica_contraloría[#All],5,0),"")</f>
        <v/>
      </c>
      <c r="F2256" s="138" t="str">
        <f>+IFERROR(VLOOKUP(Fact_Analitica[[#This Row],[Concepto Anterior]],Conceptos_Analítica_contraloría[#All],7,0),"")</f>
        <v/>
      </c>
      <c r="I2256" s="138" t="str">
        <f>+IFERROR(VLOOKUP(D2256,Conceptos_Analítica_contraloría[#All],2,0),"")</f>
        <v/>
      </c>
      <c r="J2256" s="138" t="str">
        <f>+IFERROR(VLOOKUP(D2256,Conceptos_Analítica_contraloría[#All],3,0),"")</f>
        <v/>
      </c>
    </row>
    <row r="2257" spans="3:10" x14ac:dyDescent="0.35">
      <c r="C2257" s="144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s="138" t="str">
        <f>+IFERROR(VLOOKUP(Fact_Analitica[[#This Row],[Concepto Anterior]],Conceptos_Analítica_contraloría[#All],5,0),"")</f>
        <v/>
      </c>
      <c r="F2257" s="138" t="str">
        <f>+IFERROR(VLOOKUP(Fact_Analitica[[#This Row],[Concepto Anterior]],Conceptos_Analítica_contraloría[#All],7,0),"")</f>
        <v/>
      </c>
      <c r="I2257" s="138" t="str">
        <f>+IFERROR(VLOOKUP(D2257,Conceptos_Analítica_contraloría[#All],2,0),"")</f>
        <v/>
      </c>
      <c r="J2257" s="138" t="str">
        <f>+IFERROR(VLOOKUP(D2257,Conceptos_Analítica_contraloría[#All],3,0),"")</f>
        <v/>
      </c>
    </row>
    <row r="2258" spans="3:10" x14ac:dyDescent="0.35">
      <c r="C2258" s="144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s="138" t="str">
        <f>+IFERROR(VLOOKUP(Fact_Analitica[[#This Row],[Concepto Anterior]],Conceptos_Analítica_contraloría[#All],5,0),"")</f>
        <v/>
      </c>
      <c r="F2258" s="138" t="str">
        <f>+IFERROR(VLOOKUP(Fact_Analitica[[#This Row],[Concepto Anterior]],Conceptos_Analítica_contraloría[#All],7,0),"")</f>
        <v/>
      </c>
      <c r="I2258" s="138" t="str">
        <f>+IFERROR(VLOOKUP(D2258,Conceptos_Analítica_contraloría[#All],2,0),"")</f>
        <v/>
      </c>
      <c r="J2258" s="138" t="str">
        <f>+IFERROR(VLOOKUP(D2258,Conceptos_Analítica_contraloría[#All],3,0),"")</f>
        <v/>
      </c>
    </row>
    <row r="2259" spans="3:10" x14ac:dyDescent="0.35">
      <c r="C2259" s="144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s="138" t="str">
        <f>+IFERROR(VLOOKUP(Fact_Analitica[[#This Row],[Concepto Anterior]],Conceptos_Analítica_contraloría[#All],5,0),"")</f>
        <v/>
      </c>
      <c r="F2259" s="138" t="str">
        <f>+IFERROR(VLOOKUP(Fact_Analitica[[#This Row],[Concepto Anterior]],Conceptos_Analítica_contraloría[#All],7,0),"")</f>
        <v/>
      </c>
      <c r="I2259" s="138" t="str">
        <f>+IFERROR(VLOOKUP(D2259,Conceptos_Analítica_contraloría[#All],2,0),"")</f>
        <v/>
      </c>
      <c r="J2259" s="138" t="str">
        <f>+IFERROR(VLOOKUP(D2259,Conceptos_Analítica_contraloría[#All],3,0),"")</f>
        <v/>
      </c>
    </row>
    <row r="2260" spans="3:10" x14ac:dyDescent="0.35">
      <c r="C2260" s="144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s="138" t="str">
        <f>+IFERROR(VLOOKUP(Fact_Analitica[[#This Row],[Concepto Anterior]],Conceptos_Analítica_contraloría[#All],5,0),"")</f>
        <v/>
      </c>
      <c r="F2260" s="138" t="str">
        <f>+IFERROR(VLOOKUP(Fact_Analitica[[#This Row],[Concepto Anterior]],Conceptos_Analítica_contraloría[#All],7,0),"")</f>
        <v/>
      </c>
      <c r="I2260" s="138" t="str">
        <f>+IFERROR(VLOOKUP(D2260,Conceptos_Analítica_contraloría[#All],2,0),"")</f>
        <v/>
      </c>
      <c r="J2260" s="138" t="str">
        <f>+IFERROR(VLOOKUP(D2260,Conceptos_Analítica_contraloría[#All],3,0),"")</f>
        <v/>
      </c>
    </row>
    <row r="2261" spans="3:10" x14ac:dyDescent="0.35">
      <c r="C2261" s="144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s="138" t="str">
        <f>+IFERROR(VLOOKUP(Fact_Analitica[[#This Row],[Concepto Anterior]],Conceptos_Analítica_contraloría[#All],5,0),"")</f>
        <v/>
      </c>
      <c r="F2261" s="138" t="str">
        <f>+IFERROR(VLOOKUP(Fact_Analitica[[#This Row],[Concepto Anterior]],Conceptos_Analítica_contraloría[#All],7,0),"")</f>
        <v/>
      </c>
      <c r="I2261" s="138" t="str">
        <f>+IFERROR(VLOOKUP(D2261,Conceptos_Analítica_contraloría[#All],2,0),"")</f>
        <v/>
      </c>
      <c r="J2261" s="138" t="str">
        <f>+IFERROR(VLOOKUP(D2261,Conceptos_Analítica_contraloría[#All],3,0),"")</f>
        <v/>
      </c>
    </row>
    <row r="2262" spans="3:10" x14ac:dyDescent="0.35">
      <c r="C2262" s="144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s="138" t="str">
        <f>+IFERROR(VLOOKUP(Fact_Analitica[[#This Row],[Concepto Anterior]],Conceptos_Analítica_contraloría[#All],5,0),"")</f>
        <v/>
      </c>
      <c r="F2262" s="138" t="str">
        <f>+IFERROR(VLOOKUP(Fact_Analitica[[#This Row],[Concepto Anterior]],Conceptos_Analítica_contraloría[#All],7,0),"")</f>
        <v/>
      </c>
      <c r="I2262" s="138" t="str">
        <f>+IFERROR(VLOOKUP(D2262,Conceptos_Analítica_contraloría[#All],2,0),"")</f>
        <v/>
      </c>
      <c r="J2262" s="138" t="str">
        <f>+IFERROR(VLOOKUP(D2262,Conceptos_Analítica_contraloría[#All],3,0),"")</f>
        <v/>
      </c>
    </row>
    <row r="2263" spans="3:10" x14ac:dyDescent="0.35">
      <c r="C2263" s="144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s="138" t="str">
        <f>+IFERROR(VLOOKUP(Fact_Analitica[[#This Row],[Concepto Anterior]],Conceptos_Analítica_contraloría[#All],5,0),"")</f>
        <v/>
      </c>
      <c r="F2263" s="138" t="str">
        <f>+IFERROR(VLOOKUP(Fact_Analitica[[#This Row],[Concepto Anterior]],Conceptos_Analítica_contraloría[#All],7,0),"")</f>
        <v/>
      </c>
      <c r="I2263" s="138" t="str">
        <f>+IFERROR(VLOOKUP(D2263,Conceptos_Analítica_contraloría[#All],2,0),"")</f>
        <v/>
      </c>
      <c r="J2263" s="138" t="str">
        <f>+IFERROR(VLOOKUP(D2263,Conceptos_Analítica_contraloría[#All],3,0),"")</f>
        <v/>
      </c>
    </row>
    <row r="2264" spans="3:10" x14ac:dyDescent="0.35">
      <c r="C2264" s="144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s="138" t="str">
        <f>+IFERROR(VLOOKUP(Fact_Analitica[[#This Row],[Concepto Anterior]],Conceptos_Analítica_contraloría[#All],5,0),"")</f>
        <v/>
      </c>
      <c r="F2264" s="138" t="str">
        <f>+IFERROR(VLOOKUP(Fact_Analitica[[#This Row],[Concepto Anterior]],Conceptos_Analítica_contraloría[#All],7,0),"")</f>
        <v/>
      </c>
      <c r="I2264" s="138" t="str">
        <f>+IFERROR(VLOOKUP(D2264,Conceptos_Analítica_contraloría[#All],2,0),"")</f>
        <v/>
      </c>
      <c r="J2264" s="138" t="str">
        <f>+IFERROR(VLOOKUP(D2264,Conceptos_Analítica_contraloría[#All],3,0),"")</f>
        <v/>
      </c>
    </row>
    <row r="2265" spans="3:10" x14ac:dyDescent="0.35">
      <c r="C2265" s="144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s="138" t="str">
        <f>+IFERROR(VLOOKUP(Fact_Analitica[[#This Row],[Concepto Anterior]],Conceptos_Analítica_contraloría[#All],5,0),"")</f>
        <v/>
      </c>
      <c r="F2265" s="138" t="str">
        <f>+IFERROR(VLOOKUP(Fact_Analitica[[#This Row],[Concepto Anterior]],Conceptos_Analítica_contraloría[#All],7,0),"")</f>
        <v/>
      </c>
      <c r="I2265" s="138" t="str">
        <f>+IFERROR(VLOOKUP(D2265,Conceptos_Analítica_contraloría[#All],2,0),"")</f>
        <v/>
      </c>
      <c r="J2265" s="138" t="str">
        <f>+IFERROR(VLOOKUP(D2265,Conceptos_Analítica_contraloría[#All],3,0),"")</f>
        <v/>
      </c>
    </row>
    <row r="2266" spans="3:10" x14ac:dyDescent="0.35">
      <c r="C2266" s="144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s="138" t="str">
        <f>+IFERROR(VLOOKUP(Fact_Analitica[[#This Row],[Concepto Anterior]],Conceptos_Analítica_contraloría[#All],5,0),"")</f>
        <v/>
      </c>
      <c r="F2266" s="138" t="str">
        <f>+IFERROR(VLOOKUP(Fact_Analitica[[#This Row],[Concepto Anterior]],Conceptos_Analítica_contraloría[#All],7,0),"")</f>
        <v/>
      </c>
      <c r="I2266" s="138" t="str">
        <f>+IFERROR(VLOOKUP(D2266,Conceptos_Analítica_contraloría[#All],2,0),"")</f>
        <v/>
      </c>
      <c r="J2266" s="138" t="str">
        <f>+IFERROR(VLOOKUP(D2266,Conceptos_Analítica_contraloría[#All],3,0),"")</f>
        <v/>
      </c>
    </row>
    <row r="2267" spans="3:10" x14ac:dyDescent="0.35">
      <c r="C2267" s="144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s="138" t="str">
        <f>+IFERROR(VLOOKUP(Fact_Analitica[[#This Row],[Concepto Anterior]],Conceptos_Analítica_contraloría[#All],5,0),"")</f>
        <v/>
      </c>
      <c r="F2267" s="138" t="str">
        <f>+IFERROR(VLOOKUP(Fact_Analitica[[#This Row],[Concepto Anterior]],Conceptos_Analítica_contraloría[#All],7,0),"")</f>
        <v/>
      </c>
      <c r="I2267" s="138" t="str">
        <f>+IFERROR(VLOOKUP(D2267,Conceptos_Analítica_contraloría[#All],2,0),"")</f>
        <v/>
      </c>
      <c r="J2267" s="138" t="str">
        <f>+IFERROR(VLOOKUP(D2267,Conceptos_Analítica_contraloría[#All],3,0),"")</f>
        <v/>
      </c>
    </row>
    <row r="2268" spans="3:10" x14ac:dyDescent="0.35">
      <c r="C2268" s="144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s="138" t="str">
        <f>+IFERROR(VLOOKUP(Fact_Analitica[[#This Row],[Concepto Anterior]],Conceptos_Analítica_contraloría[#All],5,0),"")</f>
        <v/>
      </c>
      <c r="F2268" s="138" t="str">
        <f>+IFERROR(VLOOKUP(Fact_Analitica[[#This Row],[Concepto Anterior]],Conceptos_Analítica_contraloría[#All],7,0),"")</f>
        <v/>
      </c>
      <c r="I2268" s="138" t="str">
        <f>+IFERROR(VLOOKUP(D2268,Conceptos_Analítica_contraloría[#All],2,0),"")</f>
        <v/>
      </c>
      <c r="J2268" s="138" t="str">
        <f>+IFERROR(VLOOKUP(D2268,Conceptos_Analítica_contraloría[#All],3,0),"")</f>
        <v/>
      </c>
    </row>
    <row r="2269" spans="3:10" x14ac:dyDescent="0.35">
      <c r="C2269" s="144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s="138" t="str">
        <f>+IFERROR(VLOOKUP(Fact_Analitica[[#This Row],[Concepto Anterior]],Conceptos_Analítica_contraloría[#All],5,0),"")</f>
        <v/>
      </c>
      <c r="F2269" s="138" t="str">
        <f>+IFERROR(VLOOKUP(Fact_Analitica[[#This Row],[Concepto Anterior]],Conceptos_Analítica_contraloría[#All],7,0),"")</f>
        <v/>
      </c>
      <c r="I2269" s="138" t="str">
        <f>+IFERROR(VLOOKUP(D2269,Conceptos_Analítica_contraloría[#All],2,0),"")</f>
        <v/>
      </c>
      <c r="J2269" s="138" t="str">
        <f>+IFERROR(VLOOKUP(D2269,Conceptos_Analítica_contraloría[#All],3,0),"")</f>
        <v/>
      </c>
    </row>
    <row r="2270" spans="3:10" x14ac:dyDescent="0.35">
      <c r="C2270" s="144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s="138" t="str">
        <f>+IFERROR(VLOOKUP(Fact_Analitica[[#This Row],[Concepto Anterior]],Conceptos_Analítica_contraloría[#All],5,0),"")</f>
        <v/>
      </c>
      <c r="F2270" s="138" t="str">
        <f>+IFERROR(VLOOKUP(Fact_Analitica[[#This Row],[Concepto Anterior]],Conceptos_Analítica_contraloría[#All],7,0),"")</f>
        <v/>
      </c>
      <c r="I2270" s="138" t="str">
        <f>+IFERROR(VLOOKUP(D2270,Conceptos_Analítica_contraloría[#All],2,0),"")</f>
        <v/>
      </c>
      <c r="J2270" s="138" t="str">
        <f>+IFERROR(VLOOKUP(D2270,Conceptos_Analítica_contraloría[#All],3,0),"")</f>
        <v/>
      </c>
    </row>
    <row r="2271" spans="3:10" x14ac:dyDescent="0.35">
      <c r="C2271" s="144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s="138" t="str">
        <f>+IFERROR(VLOOKUP(Fact_Analitica[[#This Row],[Concepto Anterior]],Conceptos_Analítica_contraloría[#All],5,0),"")</f>
        <v/>
      </c>
      <c r="F2271" s="138" t="str">
        <f>+IFERROR(VLOOKUP(Fact_Analitica[[#This Row],[Concepto Anterior]],Conceptos_Analítica_contraloría[#All],7,0),"")</f>
        <v/>
      </c>
      <c r="I2271" s="138" t="str">
        <f>+IFERROR(VLOOKUP(D2271,Conceptos_Analítica_contraloría[#All],2,0),"")</f>
        <v/>
      </c>
      <c r="J2271" s="138" t="str">
        <f>+IFERROR(VLOOKUP(D2271,Conceptos_Analítica_contraloría[#All],3,0),"")</f>
        <v/>
      </c>
    </row>
    <row r="2272" spans="3:10" x14ac:dyDescent="0.35">
      <c r="C2272" s="144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s="138" t="str">
        <f>+IFERROR(VLOOKUP(Fact_Analitica[[#This Row],[Concepto Anterior]],Conceptos_Analítica_contraloría[#All],5,0),"")</f>
        <v/>
      </c>
      <c r="F2272" s="138" t="str">
        <f>+IFERROR(VLOOKUP(Fact_Analitica[[#This Row],[Concepto Anterior]],Conceptos_Analítica_contraloría[#All],7,0),"")</f>
        <v/>
      </c>
      <c r="I2272" s="138" t="str">
        <f>+IFERROR(VLOOKUP(D2272,Conceptos_Analítica_contraloría[#All],2,0),"")</f>
        <v/>
      </c>
      <c r="J2272" s="138" t="str">
        <f>+IFERROR(VLOOKUP(D2272,Conceptos_Analítica_contraloría[#All],3,0),"")</f>
        <v/>
      </c>
    </row>
    <row r="2273" spans="3:10" x14ac:dyDescent="0.35">
      <c r="C2273" s="144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s="138" t="str">
        <f>+IFERROR(VLOOKUP(Fact_Analitica[[#This Row],[Concepto Anterior]],Conceptos_Analítica_contraloría[#All],5,0),"")</f>
        <v/>
      </c>
      <c r="F2273" s="138" t="str">
        <f>+IFERROR(VLOOKUP(Fact_Analitica[[#This Row],[Concepto Anterior]],Conceptos_Analítica_contraloría[#All],7,0),"")</f>
        <v/>
      </c>
      <c r="I2273" s="138" t="str">
        <f>+IFERROR(VLOOKUP(D2273,Conceptos_Analítica_contraloría[#All],2,0),"")</f>
        <v/>
      </c>
      <c r="J2273" s="138" t="str">
        <f>+IFERROR(VLOOKUP(D2273,Conceptos_Analítica_contraloría[#All],3,0),"")</f>
        <v/>
      </c>
    </row>
    <row r="2274" spans="3:10" x14ac:dyDescent="0.35">
      <c r="C2274" s="144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s="138" t="str">
        <f>+IFERROR(VLOOKUP(Fact_Analitica[[#This Row],[Concepto Anterior]],Conceptos_Analítica_contraloría[#All],5,0),"")</f>
        <v/>
      </c>
      <c r="F2274" s="138" t="str">
        <f>+IFERROR(VLOOKUP(Fact_Analitica[[#This Row],[Concepto Anterior]],Conceptos_Analítica_contraloría[#All],7,0),"")</f>
        <v/>
      </c>
      <c r="I2274" s="138" t="str">
        <f>+IFERROR(VLOOKUP(D2274,Conceptos_Analítica_contraloría[#All],2,0),"")</f>
        <v/>
      </c>
      <c r="J2274" s="138" t="str">
        <f>+IFERROR(VLOOKUP(D2274,Conceptos_Analítica_contraloría[#All],3,0),"")</f>
        <v/>
      </c>
    </row>
    <row r="2275" spans="3:10" x14ac:dyDescent="0.35">
      <c r="C2275" s="144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s="138" t="str">
        <f>+IFERROR(VLOOKUP(Fact_Analitica[[#This Row],[Concepto Anterior]],Conceptos_Analítica_contraloría[#All],5,0),"")</f>
        <v/>
      </c>
      <c r="F2275" s="138" t="str">
        <f>+IFERROR(VLOOKUP(Fact_Analitica[[#This Row],[Concepto Anterior]],Conceptos_Analítica_contraloría[#All],7,0),"")</f>
        <v/>
      </c>
      <c r="I2275" s="138" t="str">
        <f>+IFERROR(VLOOKUP(D2275,Conceptos_Analítica_contraloría[#All],2,0),"")</f>
        <v/>
      </c>
      <c r="J2275" s="138" t="str">
        <f>+IFERROR(VLOOKUP(D2275,Conceptos_Analítica_contraloría[#All],3,0),"")</f>
        <v/>
      </c>
    </row>
    <row r="2276" spans="3:10" x14ac:dyDescent="0.35">
      <c r="C2276" s="144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s="138" t="str">
        <f>+IFERROR(VLOOKUP(Fact_Analitica[[#This Row],[Concepto Anterior]],Conceptos_Analítica_contraloría[#All],5,0),"")</f>
        <v/>
      </c>
      <c r="F2276" s="138" t="str">
        <f>+IFERROR(VLOOKUP(Fact_Analitica[[#This Row],[Concepto Anterior]],Conceptos_Analítica_contraloría[#All],7,0),"")</f>
        <v/>
      </c>
      <c r="I2276" s="138" t="str">
        <f>+IFERROR(VLOOKUP(D2276,Conceptos_Analítica_contraloría[#All],2,0),"")</f>
        <v/>
      </c>
      <c r="J2276" s="138" t="str">
        <f>+IFERROR(VLOOKUP(D2276,Conceptos_Analítica_contraloría[#All],3,0),"")</f>
        <v/>
      </c>
    </row>
    <row r="2277" spans="3:10" x14ac:dyDescent="0.35">
      <c r="C2277" s="144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s="138" t="str">
        <f>+IFERROR(VLOOKUP(Fact_Analitica[[#This Row],[Concepto Anterior]],Conceptos_Analítica_contraloría[#All],5,0),"")</f>
        <v/>
      </c>
      <c r="F2277" s="138" t="str">
        <f>+IFERROR(VLOOKUP(Fact_Analitica[[#This Row],[Concepto Anterior]],Conceptos_Analítica_contraloría[#All],7,0),"")</f>
        <v/>
      </c>
      <c r="I2277" s="138" t="str">
        <f>+IFERROR(VLOOKUP(D2277,Conceptos_Analítica_contraloría[#All],2,0),"")</f>
        <v/>
      </c>
      <c r="J2277" s="138" t="str">
        <f>+IFERROR(VLOOKUP(D2277,Conceptos_Analítica_contraloría[#All],3,0),"")</f>
        <v/>
      </c>
    </row>
    <row r="2278" spans="3:10" x14ac:dyDescent="0.35">
      <c r="C2278" s="144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s="138" t="str">
        <f>+IFERROR(VLOOKUP(Fact_Analitica[[#This Row],[Concepto Anterior]],Conceptos_Analítica_contraloría[#All],5,0),"")</f>
        <v/>
      </c>
      <c r="F2278" s="138" t="str">
        <f>+IFERROR(VLOOKUP(Fact_Analitica[[#This Row],[Concepto Anterior]],Conceptos_Analítica_contraloría[#All],7,0),"")</f>
        <v/>
      </c>
      <c r="I2278" s="138" t="str">
        <f>+IFERROR(VLOOKUP(D2278,Conceptos_Analítica_contraloría[#All],2,0),"")</f>
        <v/>
      </c>
      <c r="J2278" s="138" t="str">
        <f>+IFERROR(VLOOKUP(D2278,Conceptos_Analítica_contraloría[#All],3,0),"")</f>
        <v/>
      </c>
    </row>
    <row r="2279" spans="3:10" x14ac:dyDescent="0.35">
      <c r="C2279" s="144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s="138" t="str">
        <f>+IFERROR(VLOOKUP(Fact_Analitica[[#This Row],[Concepto Anterior]],Conceptos_Analítica_contraloría[#All],5,0),"")</f>
        <v/>
      </c>
      <c r="F2279" s="138" t="str">
        <f>+IFERROR(VLOOKUP(Fact_Analitica[[#This Row],[Concepto Anterior]],Conceptos_Analítica_contraloría[#All],7,0),"")</f>
        <v/>
      </c>
      <c r="I2279" s="138" t="str">
        <f>+IFERROR(VLOOKUP(D2279,Conceptos_Analítica_contraloría[#All],2,0),"")</f>
        <v/>
      </c>
      <c r="J2279" s="138" t="str">
        <f>+IFERROR(VLOOKUP(D2279,Conceptos_Analítica_contraloría[#All],3,0),"")</f>
        <v/>
      </c>
    </row>
    <row r="2280" spans="3:10" x14ac:dyDescent="0.35">
      <c r="C2280" s="144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s="138" t="str">
        <f>+IFERROR(VLOOKUP(Fact_Analitica[[#This Row],[Concepto Anterior]],Conceptos_Analítica_contraloría[#All],5,0),"")</f>
        <v/>
      </c>
      <c r="F2280" s="138" t="str">
        <f>+IFERROR(VLOOKUP(Fact_Analitica[[#This Row],[Concepto Anterior]],Conceptos_Analítica_contraloría[#All],7,0),"")</f>
        <v/>
      </c>
      <c r="I2280" s="138" t="str">
        <f>+IFERROR(VLOOKUP(D2280,Conceptos_Analítica_contraloría[#All],2,0),"")</f>
        <v/>
      </c>
      <c r="J2280" s="138" t="str">
        <f>+IFERROR(VLOOKUP(D2280,Conceptos_Analítica_contraloría[#All],3,0),"")</f>
        <v/>
      </c>
    </row>
    <row r="2281" spans="3:10" x14ac:dyDescent="0.35">
      <c r="C2281" s="144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s="138" t="str">
        <f>+IFERROR(VLOOKUP(Fact_Analitica[[#This Row],[Concepto Anterior]],Conceptos_Analítica_contraloría[#All],5,0),"")</f>
        <v/>
      </c>
      <c r="F2281" s="138" t="str">
        <f>+IFERROR(VLOOKUP(Fact_Analitica[[#This Row],[Concepto Anterior]],Conceptos_Analítica_contraloría[#All],7,0),"")</f>
        <v/>
      </c>
      <c r="I2281" s="138" t="str">
        <f>+IFERROR(VLOOKUP(D2281,Conceptos_Analítica_contraloría[#All],2,0),"")</f>
        <v/>
      </c>
      <c r="J2281" s="138" t="str">
        <f>+IFERROR(VLOOKUP(D2281,Conceptos_Analítica_contraloría[#All],3,0),"")</f>
        <v/>
      </c>
    </row>
    <row r="2282" spans="3:10" x14ac:dyDescent="0.35">
      <c r="C2282" s="144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s="138" t="str">
        <f>+IFERROR(VLOOKUP(Fact_Analitica[[#This Row],[Concepto Anterior]],Conceptos_Analítica_contraloría[#All],5,0),"")</f>
        <v/>
      </c>
      <c r="F2282" s="138" t="str">
        <f>+IFERROR(VLOOKUP(Fact_Analitica[[#This Row],[Concepto Anterior]],Conceptos_Analítica_contraloría[#All],7,0),"")</f>
        <v/>
      </c>
      <c r="I2282" s="138" t="str">
        <f>+IFERROR(VLOOKUP(D2282,Conceptos_Analítica_contraloría[#All],2,0),"")</f>
        <v/>
      </c>
      <c r="J2282" s="138" t="str">
        <f>+IFERROR(VLOOKUP(D2282,Conceptos_Analítica_contraloría[#All],3,0),"")</f>
        <v/>
      </c>
    </row>
    <row r="2283" spans="3:10" x14ac:dyDescent="0.35">
      <c r="C2283" s="144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s="138" t="str">
        <f>+IFERROR(VLOOKUP(Fact_Analitica[[#This Row],[Concepto Anterior]],Conceptos_Analítica_contraloría[#All],5,0),"")</f>
        <v/>
      </c>
      <c r="F2283" s="138" t="str">
        <f>+IFERROR(VLOOKUP(Fact_Analitica[[#This Row],[Concepto Anterior]],Conceptos_Analítica_contraloría[#All],7,0),"")</f>
        <v/>
      </c>
      <c r="I2283" s="138" t="str">
        <f>+IFERROR(VLOOKUP(D2283,Conceptos_Analítica_contraloría[#All],2,0),"")</f>
        <v/>
      </c>
      <c r="J2283" s="138" t="str">
        <f>+IFERROR(VLOOKUP(D2283,Conceptos_Analítica_contraloría[#All],3,0),"")</f>
        <v/>
      </c>
    </row>
    <row r="2284" spans="3:10" x14ac:dyDescent="0.35">
      <c r="C2284" s="144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s="138" t="str">
        <f>+IFERROR(VLOOKUP(Fact_Analitica[[#This Row],[Concepto Anterior]],Conceptos_Analítica_contraloría[#All],5,0),"")</f>
        <v/>
      </c>
      <c r="F2284" s="138" t="str">
        <f>+IFERROR(VLOOKUP(Fact_Analitica[[#This Row],[Concepto Anterior]],Conceptos_Analítica_contraloría[#All],7,0),"")</f>
        <v/>
      </c>
      <c r="I2284" s="138" t="str">
        <f>+IFERROR(VLOOKUP(D2284,Conceptos_Analítica_contraloría[#All],2,0),"")</f>
        <v/>
      </c>
      <c r="J2284" s="138" t="str">
        <f>+IFERROR(VLOOKUP(D2284,Conceptos_Analítica_contraloría[#All],3,0),"")</f>
        <v/>
      </c>
    </row>
    <row r="2285" spans="3:10" x14ac:dyDescent="0.35">
      <c r="C2285" s="144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s="138" t="str">
        <f>+IFERROR(VLOOKUP(Fact_Analitica[[#This Row],[Concepto Anterior]],Conceptos_Analítica_contraloría[#All],5,0),"")</f>
        <v/>
      </c>
      <c r="F2285" s="138" t="str">
        <f>+IFERROR(VLOOKUP(Fact_Analitica[[#This Row],[Concepto Anterior]],Conceptos_Analítica_contraloría[#All],7,0),"")</f>
        <v/>
      </c>
      <c r="I2285" s="138" t="str">
        <f>+IFERROR(VLOOKUP(D2285,Conceptos_Analítica_contraloría[#All],2,0),"")</f>
        <v/>
      </c>
      <c r="J2285" s="138" t="str">
        <f>+IFERROR(VLOOKUP(D2285,Conceptos_Analítica_contraloría[#All],3,0),"")</f>
        <v/>
      </c>
    </row>
    <row r="2286" spans="3:10" x14ac:dyDescent="0.35">
      <c r="C2286" s="144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s="138" t="str">
        <f>+IFERROR(VLOOKUP(Fact_Analitica[[#This Row],[Concepto Anterior]],Conceptos_Analítica_contraloría[#All],5,0),"")</f>
        <v/>
      </c>
      <c r="F2286" s="138" t="str">
        <f>+IFERROR(VLOOKUP(Fact_Analitica[[#This Row],[Concepto Anterior]],Conceptos_Analítica_contraloría[#All],7,0),"")</f>
        <v/>
      </c>
      <c r="I2286" s="138" t="str">
        <f>+IFERROR(VLOOKUP(D2286,Conceptos_Analítica_contraloría[#All],2,0),"")</f>
        <v/>
      </c>
      <c r="J2286" s="138" t="str">
        <f>+IFERROR(VLOOKUP(D2286,Conceptos_Analítica_contraloría[#All],3,0),"")</f>
        <v/>
      </c>
    </row>
    <row r="2287" spans="3:10" x14ac:dyDescent="0.35">
      <c r="C2287" s="144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s="138" t="str">
        <f>+IFERROR(VLOOKUP(Fact_Analitica[[#This Row],[Concepto Anterior]],Conceptos_Analítica_contraloría[#All],5,0),"")</f>
        <v/>
      </c>
      <c r="F2287" s="138" t="str">
        <f>+IFERROR(VLOOKUP(Fact_Analitica[[#This Row],[Concepto Anterior]],Conceptos_Analítica_contraloría[#All],7,0),"")</f>
        <v/>
      </c>
      <c r="I2287" s="138" t="str">
        <f>+IFERROR(VLOOKUP(D2287,Conceptos_Analítica_contraloría[#All],2,0),"")</f>
        <v/>
      </c>
      <c r="J2287" s="138" t="str">
        <f>+IFERROR(VLOOKUP(D2287,Conceptos_Analítica_contraloría[#All],3,0),"")</f>
        <v/>
      </c>
    </row>
    <row r="2288" spans="3:10" x14ac:dyDescent="0.35">
      <c r="C2288" s="144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s="138" t="str">
        <f>+IFERROR(VLOOKUP(Fact_Analitica[[#This Row],[Concepto Anterior]],Conceptos_Analítica_contraloría[#All],5,0),"")</f>
        <v/>
      </c>
      <c r="F2288" s="138" t="str">
        <f>+IFERROR(VLOOKUP(Fact_Analitica[[#This Row],[Concepto Anterior]],Conceptos_Analítica_contraloría[#All],7,0),"")</f>
        <v/>
      </c>
      <c r="I2288" s="138" t="str">
        <f>+IFERROR(VLOOKUP(D2288,Conceptos_Analítica_contraloría[#All],2,0),"")</f>
        <v/>
      </c>
      <c r="J2288" s="138" t="str">
        <f>+IFERROR(VLOOKUP(D2288,Conceptos_Analítica_contraloría[#All],3,0),"")</f>
        <v/>
      </c>
    </row>
    <row r="2289" spans="3:10" x14ac:dyDescent="0.35">
      <c r="C2289" s="144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s="138" t="str">
        <f>+IFERROR(VLOOKUP(Fact_Analitica[[#This Row],[Concepto Anterior]],Conceptos_Analítica_contraloría[#All],5,0),"")</f>
        <v/>
      </c>
      <c r="F2289" s="138" t="str">
        <f>+IFERROR(VLOOKUP(Fact_Analitica[[#This Row],[Concepto Anterior]],Conceptos_Analítica_contraloría[#All],7,0),"")</f>
        <v/>
      </c>
      <c r="I2289" s="138" t="str">
        <f>+IFERROR(VLOOKUP(D2289,Conceptos_Analítica_contraloría[#All],2,0),"")</f>
        <v/>
      </c>
      <c r="J2289" s="138" t="str">
        <f>+IFERROR(VLOOKUP(D2289,Conceptos_Analítica_contraloría[#All],3,0),"")</f>
        <v/>
      </c>
    </row>
    <row r="2290" spans="3:10" x14ac:dyDescent="0.35">
      <c r="C2290" s="144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s="138" t="str">
        <f>+IFERROR(VLOOKUP(Fact_Analitica[[#This Row],[Concepto Anterior]],Conceptos_Analítica_contraloría[#All],5,0),"")</f>
        <v/>
      </c>
      <c r="F2290" s="138" t="str">
        <f>+IFERROR(VLOOKUP(Fact_Analitica[[#This Row],[Concepto Anterior]],Conceptos_Analítica_contraloría[#All],7,0),"")</f>
        <v/>
      </c>
      <c r="I2290" s="138" t="str">
        <f>+IFERROR(VLOOKUP(D2290,Conceptos_Analítica_contraloría[#All],2,0),"")</f>
        <v/>
      </c>
      <c r="J2290" s="138" t="str">
        <f>+IFERROR(VLOOKUP(D2290,Conceptos_Analítica_contraloría[#All],3,0),"")</f>
        <v/>
      </c>
    </row>
    <row r="2291" spans="3:10" x14ac:dyDescent="0.35">
      <c r="C2291" s="144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s="138" t="str">
        <f>+IFERROR(VLOOKUP(Fact_Analitica[[#This Row],[Concepto Anterior]],Conceptos_Analítica_contraloría[#All],5,0),"")</f>
        <v/>
      </c>
      <c r="F2291" s="138" t="str">
        <f>+IFERROR(VLOOKUP(Fact_Analitica[[#This Row],[Concepto Anterior]],Conceptos_Analítica_contraloría[#All],7,0),"")</f>
        <v/>
      </c>
      <c r="I2291" s="138" t="str">
        <f>+IFERROR(VLOOKUP(D2291,Conceptos_Analítica_contraloría[#All],2,0),"")</f>
        <v/>
      </c>
      <c r="J2291" s="138" t="str">
        <f>+IFERROR(VLOOKUP(D2291,Conceptos_Analítica_contraloría[#All],3,0),"")</f>
        <v/>
      </c>
    </row>
    <row r="2292" spans="3:10" x14ac:dyDescent="0.35">
      <c r="C2292" s="144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s="138" t="str">
        <f>+IFERROR(VLOOKUP(Fact_Analitica[[#This Row],[Concepto Anterior]],Conceptos_Analítica_contraloría[#All],5,0),"")</f>
        <v/>
      </c>
      <c r="F2292" s="138" t="str">
        <f>+IFERROR(VLOOKUP(Fact_Analitica[[#This Row],[Concepto Anterior]],Conceptos_Analítica_contraloría[#All],7,0),"")</f>
        <v/>
      </c>
      <c r="I2292" s="138" t="str">
        <f>+IFERROR(VLOOKUP(D2292,Conceptos_Analítica_contraloría[#All],2,0),"")</f>
        <v/>
      </c>
      <c r="J2292" s="138" t="str">
        <f>+IFERROR(VLOOKUP(D2292,Conceptos_Analítica_contraloría[#All],3,0),"")</f>
        <v/>
      </c>
    </row>
    <row r="2293" spans="3:10" x14ac:dyDescent="0.35">
      <c r="C2293" s="144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s="138" t="str">
        <f>+IFERROR(VLOOKUP(Fact_Analitica[[#This Row],[Concepto Anterior]],Conceptos_Analítica_contraloría[#All],5,0),"")</f>
        <v/>
      </c>
      <c r="F2293" s="138" t="str">
        <f>+IFERROR(VLOOKUP(Fact_Analitica[[#This Row],[Concepto Anterior]],Conceptos_Analítica_contraloría[#All],7,0),"")</f>
        <v/>
      </c>
      <c r="I2293" s="138" t="str">
        <f>+IFERROR(VLOOKUP(D2293,Conceptos_Analítica_contraloría[#All],2,0),"")</f>
        <v/>
      </c>
      <c r="J2293" s="138" t="str">
        <f>+IFERROR(VLOOKUP(D2293,Conceptos_Analítica_contraloría[#All],3,0),"")</f>
        <v/>
      </c>
    </row>
    <row r="2294" spans="3:10" x14ac:dyDescent="0.35">
      <c r="C2294" s="144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s="138" t="str">
        <f>+IFERROR(VLOOKUP(Fact_Analitica[[#This Row],[Concepto Anterior]],Conceptos_Analítica_contraloría[#All],5,0),"")</f>
        <v/>
      </c>
      <c r="F2294" s="138" t="str">
        <f>+IFERROR(VLOOKUP(Fact_Analitica[[#This Row],[Concepto Anterior]],Conceptos_Analítica_contraloría[#All],7,0),"")</f>
        <v/>
      </c>
      <c r="I2294" s="138" t="str">
        <f>+IFERROR(VLOOKUP(D2294,Conceptos_Analítica_contraloría[#All],2,0),"")</f>
        <v/>
      </c>
      <c r="J2294" s="138" t="str">
        <f>+IFERROR(VLOOKUP(D2294,Conceptos_Analítica_contraloría[#All],3,0),"")</f>
        <v/>
      </c>
    </row>
    <row r="2295" spans="3:10" x14ac:dyDescent="0.35">
      <c r="C2295" s="144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s="138" t="str">
        <f>+IFERROR(VLOOKUP(Fact_Analitica[[#This Row],[Concepto Anterior]],Conceptos_Analítica_contraloría[#All],5,0),"")</f>
        <v/>
      </c>
      <c r="F2295" s="138" t="str">
        <f>+IFERROR(VLOOKUP(Fact_Analitica[[#This Row],[Concepto Anterior]],Conceptos_Analítica_contraloría[#All],7,0),"")</f>
        <v/>
      </c>
      <c r="I2295" s="138" t="str">
        <f>+IFERROR(VLOOKUP(D2295,Conceptos_Analítica_contraloría[#All],2,0),"")</f>
        <v/>
      </c>
      <c r="J2295" s="138" t="str">
        <f>+IFERROR(VLOOKUP(D2295,Conceptos_Analítica_contraloría[#All],3,0),"")</f>
        <v/>
      </c>
    </row>
    <row r="2296" spans="3:10" x14ac:dyDescent="0.35">
      <c r="C2296" s="144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s="138" t="str">
        <f>+IFERROR(VLOOKUP(Fact_Analitica[[#This Row],[Concepto Anterior]],Conceptos_Analítica_contraloría[#All],5,0),"")</f>
        <v/>
      </c>
      <c r="F2296" s="138" t="str">
        <f>+IFERROR(VLOOKUP(Fact_Analitica[[#This Row],[Concepto Anterior]],Conceptos_Analítica_contraloría[#All],7,0),"")</f>
        <v/>
      </c>
      <c r="I2296" s="138" t="str">
        <f>+IFERROR(VLOOKUP(D2296,Conceptos_Analítica_contraloría[#All],2,0),"")</f>
        <v/>
      </c>
      <c r="J2296" s="138" t="str">
        <f>+IFERROR(VLOOKUP(D2296,Conceptos_Analítica_contraloría[#All],3,0),"")</f>
        <v/>
      </c>
    </row>
    <row r="2297" spans="3:10" x14ac:dyDescent="0.35">
      <c r="C2297" s="144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s="138" t="str">
        <f>+IFERROR(VLOOKUP(Fact_Analitica[[#This Row],[Concepto Anterior]],Conceptos_Analítica_contraloría[#All],5,0),"")</f>
        <v/>
      </c>
      <c r="F2297" s="138" t="str">
        <f>+IFERROR(VLOOKUP(Fact_Analitica[[#This Row],[Concepto Anterior]],Conceptos_Analítica_contraloría[#All],7,0),"")</f>
        <v/>
      </c>
      <c r="I2297" s="138" t="str">
        <f>+IFERROR(VLOOKUP(D2297,Conceptos_Analítica_contraloría[#All],2,0),"")</f>
        <v/>
      </c>
      <c r="J2297" s="138" t="str">
        <f>+IFERROR(VLOOKUP(D2297,Conceptos_Analítica_contraloría[#All],3,0),"")</f>
        <v/>
      </c>
    </row>
    <row r="2298" spans="3:10" x14ac:dyDescent="0.35">
      <c r="C2298" s="144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s="138" t="str">
        <f>+IFERROR(VLOOKUP(Fact_Analitica[[#This Row],[Concepto Anterior]],Conceptos_Analítica_contraloría[#All],5,0),"")</f>
        <v/>
      </c>
      <c r="F2298" s="138" t="str">
        <f>+IFERROR(VLOOKUP(Fact_Analitica[[#This Row],[Concepto Anterior]],Conceptos_Analítica_contraloría[#All],7,0),"")</f>
        <v/>
      </c>
      <c r="I2298" s="138" t="str">
        <f>+IFERROR(VLOOKUP(D2298,Conceptos_Analítica_contraloría[#All],2,0),"")</f>
        <v/>
      </c>
      <c r="J2298" s="138" t="str">
        <f>+IFERROR(VLOOKUP(D2298,Conceptos_Analítica_contraloría[#All],3,0),"")</f>
        <v/>
      </c>
    </row>
    <row r="2299" spans="3:10" x14ac:dyDescent="0.35">
      <c r="C2299" s="144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s="138" t="str">
        <f>+IFERROR(VLOOKUP(Fact_Analitica[[#This Row],[Concepto Anterior]],Conceptos_Analítica_contraloría[#All],5,0),"")</f>
        <v/>
      </c>
      <c r="F2299" s="138" t="str">
        <f>+IFERROR(VLOOKUP(Fact_Analitica[[#This Row],[Concepto Anterior]],Conceptos_Analítica_contraloría[#All],7,0),"")</f>
        <v/>
      </c>
      <c r="I2299" s="138" t="str">
        <f>+IFERROR(VLOOKUP(D2299,Conceptos_Analítica_contraloría[#All],2,0),"")</f>
        <v/>
      </c>
      <c r="J2299" s="138" t="str">
        <f>+IFERROR(VLOOKUP(D2299,Conceptos_Analítica_contraloría[#All],3,0),"")</f>
        <v/>
      </c>
    </row>
    <row r="2300" spans="3:10" x14ac:dyDescent="0.35">
      <c r="C2300" s="144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s="138" t="str">
        <f>+IFERROR(VLOOKUP(Fact_Analitica[[#This Row],[Concepto Anterior]],Conceptos_Analítica_contraloría[#All],5,0),"")</f>
        <v/>
      </c>
      <c r="F2300" s="138" t="str">
        <f>+IFERROR(VLOOKUP(Fact_Analitica[[#This Row],[Concepto Anterior]],Conceptos_Analítica_contraloría[#All],7,0),"")</f>
        <v/>
      </c>
      <c r="I2300" s="138" t="str">
        <f>+IFERROR(VLOOKUP(D2300,Conceptos_Analítica_contraloría[#All],2,0),"")</f>
        <v/>
      </c>
      <c r="J2300" s="138" t="str">
        <f>+IFERROR(VLOOKUP(D2300,Conceptos_Analítica_contraloría[#All],3,0),"")</f>
        <v/>
      </c>
    </row>
    <row r="2301" spans="3:10" x14ac:dyDescent="0.35">
      <c r="C2301" s="144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s="138" t="str">
        <f>+IFERROR(VLOOKUP(Fact_Analitica[[#This Row],[Concepto Anterior]],Conceptos_Analítica_contraloría[#All],5,0),"")</f>
        <v/>
      </c>
      <c r="F2301" s="138" t="str">
        <f>+IFERROR(VLOOKUP(Fact_Analitica[[#This Row],[Concepto Anterior]],Conceptos_Analítica_contraloría[#All],7,0),"")</f>
        <v/>
      </c>
      <c r="I2301" s="138" t="str">
        <f>+IFERROR(VLOOKUP(D2301,Conceptos_Analítica_contraloría[#All],2,0),"")</f>
        <v/>
      </c>
      <c r="J2301" s="138" t="str">
        <f>+IFERROR(VLOOKUP(D2301,Conceptos_Analítica_contraloría[#All],3,0),"")</f>
        <v/>
      </c>
    </row>
    <row r="2302" spans="3:10" x14ac:dyDescent="0.35">
      <c r="C2302" s="144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s="138" t="str">
        <f>+IFERROR(VLOOKUP(Fact_Analitica[[#This Row],[Concepto Anterior]],Conceptos_Analítica_contraloría[#All],5,0),"")</f>
        <v/>
      </c>
      <c r="F2302" s="138" t="str">
        <f>+IFERROR(VLOOKUP(Fact_Analitica[[#This Row],[Concepto Anterior]],Conceptos_Analítica_contraloría[#All],7,0),"")</f>
        <v/>
      </c>
      <c r="I2302" s="138" t="str">
        <f>+IFERROR(VLOOKUP(D2302,Conceptos_Analítica_contraloría[#All],2,0),"")</f>
        <v/>
      </c>
      <c r="J2302" s="138" t="str">
        <f>+IFERROR(VLOOKUP(D2302,Conceptos_Analítica_contraloría[#All],3,0),"")</f>
        <v/>
      </c>
    </row>
    <row r="2303" spans="3:10" x14ac:dyDescent="0.35">
      <c r="C2303" s="144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s="138" t="str">
        <f>+IFERROR(VLOOKUP(Fact_Analitica[[#This Row],[Concepto Anterior]],Conceptos_Analítica_contraloría[#All],5,0),"")</f>
        <v/>
      </c>
      <c r="F2303" s="138" t="str">
        <f>+IFERROR(VLOOKUP(Fact_Analitica[[#This Row],[Concepto Anterior]],Conceptos_Analítica_contraloría[#All],7,0),"")</f>
        <v/>
      </c>
      <c r="I2303" s="138" t="str">
        <f>+IFERROR(VLOOKUP(D2303,Conceptos_Analítica_contraloría[#All],2,0),"")</f>
        <v/>
      </c>
      <c r="J2303" s="138" t="str">
        <f>+IFERROR(VLOOKUP(D2303,Conceptos_Analítica_contraloría[#All],3,0),"")</f>
        <v/>
      </c>
    </row>
    <row r="2304" spans="3:10" x14ac:dyDescent="0.35">
      <c r="C2304" s="144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s="138" t="str">
        <f>+IFERROR(VLOOKUP(Fact_Analitica[[#This Row],[Concepto Anterior]],Conceptos_Analítica_contraloría[#All],5,0),"")</f>
        <v/>
      </c>
      <c r="F2304" s="138" t="str">
        <f>+IFERROR(VLOOKUP(Fact_Analitica[[#This Row],[Concepto Anterior]],Conceptos_Analítica_contraloría[#All],7,0),"")</f>
        <v/>
      </c>
      <c r="I2304" s="138" t="str">
        <f>+IFERROR(VLOOKUP(D2304,Conceptos_Analítica_contraloría[#All],2,0),"")</f>
        <v/>
      </c>
      <c r="J2304" s="138" t="str">
        <f>+IFERROR(VLOOKUP(D2304,Conceptos_Analítica_contraloría[#All],3,0),"")</f>
        <v/>
      </c>
    </row>
    <row r="2305" spans="3:10" x14ac:dyDescent="0.35">
      <c r="C2305" s="144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s="138" t="str">
        <f>+IFERROR(VLOOKUP(Fact_Analitica[[#This Row],[Concepto Anterior]],Conceptos_Analítica_contraloría[#All],5,0),"")</f>
        <v/>
      </c>
      <c r="F2305" s="138" t="str">
        <f>+IFERROR(VLOOKUP(Fact_Analitica[[#This Row],[Concepto Anterior]],Conceptos_Analítica_contraloría[#All],7,0),"")</f>
        <v/>
      </c>
      <c r="I2305" s="138" t="str">
        <f>+IFERROR(VLOOKUP(D2305,Conceptos_Analítica_contraloría[#All],2,0),"")</f>
        <v/>
      </c>
      <c r="J2305" s="138" t="str">
        <f>+IFERROR(VLOOKUP(D2305,Conceptos_Analítica_contraloría[#All],3,0),"")</f>
        <v/>
      </c>
    </row>
    <row r="2306" spans="3:10" x14ac:dyDescent="0.35">
      <c r="C2306" s="144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s="138" t="str">
        <f>+IFERROR(VLOOKUP(Fact_Analitica[[#This Row],[Concepto Anterior]],Conceptos_Analítica_contraloría[#All],5,0),"")</f>
        <v/>
      </c>
      <c r="F2306" s="138" t="str">
        <f>+IFERROR(VLOOKUP(Fact_Analitica[[#This Row],[Concepto Anterior]],Conceptos_Analítica_contraloría[#All],7,0),"")</f>
        <v/>
      </c>
      <c r="I2306" s="138" t="str">
        <f>+IFERROR(VLOOKUP(D2306,Conceptos_Analítica_contraloría[#All],2,0),"")</f>
        <v/>
      </c>
      <c r="J2306" s="138" t="str">
        <f>+IFERROR(VLOOKUP(D2306,Conceptos_Analítica_contraloría[#All],3,0),"")</f>
        <v/>
      </c>
    </row>
    <row r="2307" spans="3:10" x14ac:dyDescent="0.35">
      <c r="C2307" s="144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s="138" t="str">
        <f>+IFERROR(VLOOKUP(Fact_Analitica[[#This Row],[Concepto Anterior]],Conceptos_Analítica_contraloría[#All],5,0),"")</f>
        <v/>
      </c>
      <c r="F2307" s="138" t="str">
        <f>+IFERROR(VLOOKUP(Fact_Analitica[[#This Row],[Concepto Anterior]],Conceptos_Analítica_contraloría[#All],7,0),"")</f>
        <v/>
      </c>
      <c r="I2307" s="138" t="str">
        <f>+IFERROR(VLOOKUP(D2307,Conceptos_Analítica_contraloría[#All],2,0),"")</f>
        <v/>
      </c>
      <c r="J2307" s="138" t="str">
        <f>+IFERROR(VLOOKUP(D2307,Conceptos_Analítica_contraloría[#All],3,0),"")</f>
        <v/>
      </c>
    </row>
    <row r="2308" spans="3:10" x14ac:dyDescent="0.35">
      <c r="C2308" s="144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s="138" t="str">
        <f>+IFERROR(VLOOKUP(Fact_Analitica[[#This Row],[Concepto Anterior]],Conceptos_Analítica_contraloría[#All],5,0),"")</f>
        <v/>
      </c>
      <c r="F2308" s="138" t="str">
        <f>+IFERROR(VLOOKUP(Fact_Analitica[[#This Row],[Concepto Anterior]],Conceptos_Analítica_contraloría[#All],7,0),"")</f>
        <v/>
      </c>
      <c r="I2308" s="138" t="str">
        <f>+IFERROR(VLOOKUP(D2308,Conceptos_Analítica_contraloría[#All],2,0),"")</f>
        <v/>
      </c>
      <c r="J2308" s="138" t="str">
        <f>+IFERROR(VLOOKUP(D2308,Conceptos_Analítica_contraloría[#All],3,0),"")</f>
        <v/>
      </c>
    </row>
    <row r="2309" spans="3:10" x14ac:dyDescent="0.35">
      <c r="C2309" s="144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s="138" t="str">
        <f>+IFERROR(VLOOKUP(Fact_Analitica[[#This Row],[Concepto Anterior]],Conceptos_Analítica_contraloría[#All],5,0),"")</f>
        <v/>
      </c>
      <c r="F2309" s="138" t="str">
        <f>+IFERROR(VLOOKUP(Fact_Analitica[[#This Row],[Concepto Anterior]],Conceptos_Analítica_contraloría[#All],7,0),"")</f>
        <v/>
      </c>
      <c r="I2309" s="138" t="str">
        <f>+IFERROR(VLOOKUP(D2309,Conceptos_Analítica_contraloría[#All],2,0),"")</f>
        <v/>
      </c>
      <c r="J2309" s="138" t="str">
        <f>+IFERROR(VLOOKUP(D2309,Conceptos_Analítica_contraloría[#All],3,0),"")</f>
        <v/>
      </c>
    </row>
    <row r="2310" spans="3:10" x14ac:dyDescent="0.35">
      <c r="C2310" s="144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s="138" t="str">
        <f>+IFERROR(VLOOKUP(Fact_Analitica[[#This Row],[Concepto Anterior]],Conceptos_Analítica_contraloría[#All],5,0),"")</f>
        <v/>
      </c>
      <c r="F2310" s="138" t="str">
        <f>+IFERROR(VLOOKUP(Fact_Analitica[[#This Row],[Concepto Anterior]],Conceptos_Analítica_contraloría[#All],7,0),"")</f>
        <v/>
      </c>
      <c r="I2310" s="138" t="str">
        <f>+IFERROR(VLOOKUP(D2310,Conceptos_Analítica_contraloría[#All],2,0),"")</f>
        <v/>
      </c>
      <c r="J2310" s="138" t="str">
        <f>+IFERROR(VLOOKUP(D2310,Conceptos_Analítica_contraloría[#All],3,0),"")</f>
        <v/>
      </c>
    </row>
    <row r="2311" spans="3:10" x14ac:dyDescent="0.35">
      <c r="C2311" s="144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s="138" t="str">
        <f>+IFERROR(VLOOKUP(Fact_Analitica[[#This Row],[Concepto Anterior]],Conceptos_Analítica_contraloría[#All],5,0),"")</f>
        <v/>
      </c>
      <c r="F2311" s="138" t="str">
        <f>+IFERROR(VLOOKUP(Fact_Analitica[[#This Row],[Concepto Anterior]],Conceptos_Analítica_contraloría[#All],7,0),"")</f>
        <v/>
      </c>
      <c r="I2311" s="138" t="str">
        <f>+IFERROR(VLOOKUP(D2311,Conceptos_Analítica_contraloría[#All],2,0),"")</f>
        <v/>
      </c>
      <c r="J2311" s="138" t="str">
        <f>+IFERROR(VLOOKUP(D2311,Conceptos_Analítica_contraloría[#All],3,0),"")</f>
        <v/>
      </c>
    </row>
    <row r="2312" spans="3:10" x14ac:dyDescent="0.35">
      <c r="C2312" s="144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s="138" t="str">
        <f>+IFERROR(VLOOKUP(Fact_Analitica[[#This Row],[Concepto Anterior]],Conceptos_Analítica_contraloría[#All],5,0),"")</f>
        <v/>
      </c>
      <c r="F2312" s="138" t="str">
        <f>+IFERROR(VLOOKUP(Fact_Analitica[[#This Row],[Concepto Anterior]],Conceptos_Analítica_contraloría[#All],7,0),"")</f>
        <v/>
      </c>
      <c r="I2312" s="138" t="str">
        <f>+IFERROR(VLOOKUP(D2312,Conceptos_Analítica_contraloría[#All],2,0),"")</f>
        <v/>
      </c>
      <c r="J2312" s="138" t="str">
        <f>+IFERROR(VLOOKUP(D2312,Conceptos_Analítica_contraloría[#All],3,0),"")</f>
        <v/>
      </c>
    </row>
    <row r="2313" spans="3:10" x14ac:dyDescent="0.35">
      <c r="C2313" s="144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s="138" t="str">
        <f>+IFERROR(VLOOKUP(Fact_Analitica[[#This Row],[Concepto Anterior]],Conceptos_Analítica_contraloría[#All],5,0),"")</f>
        <v/>
      </c>
      <c r="F2313" s="138" t="str">
        <f>+IFERROR(VLOOKUP(Fact_Analitica[[#This Row],[Concepto Anterior]],Conceptos_Analítica_contraloría[#All],7,0),"")</f>
        <v/>
      </c>
      <c r="I2313" s="138" t="str">
        <f>+IFERROR(VLOOKUP(D2313,Conceptos_Analítica_contraloría[#All],2,0),"")</f>
        <v/>
      </c>
      <c r="J2313" s="138" t="str">
        <f>+IFERROR(VLOOKUP(D2313,Conceptos_Analítica_contraloría[#All],3,0),"")</f>
        <v/>
      </c>
    </row>
    <row r="2314" spans="3:10" x14ac:dyDescent="0.35">
      <c r="C2314" s="144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s="138" t="str">
        <f>+IFERROR(VLOOKUP(Fact_Analitica[[#This Row],[Concepto Anterior]],Conceptos_Analítica_contraloría[#All],5,0),"")</f>
        <v/>
      </c>
      <c r="F2314" s="138" t="str">
        <f>+IFERROR(VLOOKUP(Fact_Analitica[[#This Row],[Concepto Anterior]],Conceptos_Analítica_contraloría[#All],7,0),"")</f>
        <v/>
      </c>
      <c r="I2314" s="138" t="str">
        <f>+IFERROR(VLOOKUP(D2314,Conceptos_Analítica_contraloría[#All],2,0),"")</f>
        <v/>
      </c>
      <c r="J2314" s="138" t="str">
        <f>+IFERROR(VLOOKUP(D2314,Conceptos_Analítica_contraloría[#All],3,0),"")</f>
        <v/>
      </c>
    </row>
    <row r="2315" spans="3:10" x14ac:dyDescent="0.35">
      <c r="C2315" s="144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s="138" t="str">
        <f>+IFERROR(VLOOKUP(Fact_Analitica[[#This Row],[Concepto Anterior]],Conceptos_Analítica_contraloría[#All],5,0),"")</f>
        <v/>
      </c>
      <c r="F2315" s="138" t="str">
        <f>+IFERROR(VLOOKUP(Fact_Analitica[[#This Row],[Concepto Anterior]],Conceptos_Analítica_contraloría[#All],7,0),"")</f>
        <v/>
      </c>
      <c r="I2315" s="138" t="str">
        <f>+IFERROR(VLOOKUP(D2315,Conceptos_Analítica_contraloría[#All],2,0),"")</f>
        <v/>
      </c>
      <c r="J2315" s="138" t="str">
        <f>+IFERROR(VLOOKUP(D2315,Conceptos_Analítica_contraloría[#All],3,0),"")</f>
        <v/>
      </c>
    </row>
    <row r="2316" spans="3:10" x14ac:dyDescent="0.35">
      <c r="C2316" s="144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s="138" t="str">
        <f>+IFERROR(VLOOKUP(Fact_Analitica[[#This Row],[Concepto Anterior]],Conceptos_Analítica_contraloría[#All],5,0),"")</f>
        <v/>
      </c>
      <c r="F2316" s="138" t="str">
        <f>+IFERROR(VLOOKUP(Fact_Analitica[[#This Row],[Concepto Anterior]],Conceptos_Analítica_contraloría[#All],7,0),"")</f>
        <v/>
      </c>
      <c r="I2316" s="138" t="str">
        <f>+IFERROR(VLOOKUP(D2316,Conceptos_Analítica_contraloría[#All],2,0),"")</f>
        <v/>
      </c>
      <c r="J2316" s="138" t="str">
        <f>+IFERROR(VLOOKUP(D2316,Conceptos_Analítica_contraloría[#All],3,0),"")</f>
        <v/>
      </c>
    </row>
    <row r="2317" spans="3:10" x14ac:dyDescent="0.35">
      <c r="C2317" s="144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s="138" t="str">
        <f>+IFERROR(VLOOKUP(Fact_Analitica[[#This Row],[Concepto Anterior]],Conceptos_Analítica_contraloría[#All],5,0),"")</f>
        <v/>
      </c>
      <c r="F2317" s="138" t="str">
        <f>+IFERROR(VLOOKUP(Fact_Analitica[[#This Row],[Concepto Anterior]],Conceptos_Analítica_contraloría[#All],7,0),"")</f>
        <v/>
      </c>
      <c r="I2317" s="138" t="str">
        <f>+IFERROR(VLOOKUP(D2317,Conceptos_Analítica_contraloría[#All],2,0),"")</f>
        <v/>
      </c>
      <c r="J2317" s="138" t="str">
        <f>+IFERROR(VLOOKUP(D2317,Conceptos_Analítica_contraloría[#All],3,0),"")</f>
        <v/>
      </c>
    </row>
    <row r="2318" spans="3:10" x14ac:dyDescent="0.35">
      <c r="C2318" s="144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s="138" t="str">
        <f>+IFERROR(VLOOKUP(Fact_Analitica[[#This Row],[Concepto Anterior]],Conceptos_Analítica_contraloría[#All],5,0),"")</f>
        <v/>
      </c>
      <c r="F2318" s="138" t="str">
        <f>+IFERROR(VLOOKUP(Fact_Analitica[[#This Row],[Concepto Anterior]],Conceptos_Analítica_contraloría[#All],7,0),"")</f>
        <v/>
      </c>
      <c r="I2318" s="138" t="str">
        <f>+IFERROR(VLOOKUP(D2318,Conceptos_Analítica_contraloría[#All],2,0),"")</f>
        <v/>
      </c>
      <c r="J2318" s="138" t="str">
        <f>+IFERROR(VLOOKUP(D2318,Conceptos_Analítica_contraloría[#All],3,0),"")</f>
        <v/>
      </c>
    </row>
    <row r="2319" spans="3:10" x14ac:dyDescent="0.35">
      <c r="C2319" s="144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s="138" t="str">
        <f>+IFERROR(VLOOKUP(Fact_Analitica[[#This Row],[Concepto Anterior]],Conceptos_Analítica_contraloría[#All],5,0),"")</f>
        <v/>
      </c>
      <c r="F2319" s="138" t="str">
        <f>+IFERROR(VLOOKUP(Fact_Analitica[[#This Row],[Concepto Anterior]],Conceptos_Analítica_contraloría[#All],7,0),"")</f>
        <v/>
      </c>
      <c r="I2319" s="138" t="str">
        <f>+IFERROR(VLOOKUP(D2319,Conceptos_Analítica_contraloría[#All],2,0),"")</f>
        <v/>
      </c>
      <c r="J2319" s="138" t="str">
        <f>+IFERROR(VLOOKUP(D2319,Conceptos_Analítica_contraloría[#All],3,0),"")</f>
        <v/>
      </c>
    </row>
    <row r="2320" spans="3:10" x14ac:dyDescent="0.35">
      <c r="C2320" s="144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s="138" t="str">
        <f>+IFERROR(VLOOKUP(Fact_Analitica[[#This Row],[Concepto Anterior]],Conceptos_Analítica_contraloría[#All],5,0),"")</f>
        <v/>
      </c>
      <c r="F2320" s="138" t="str">
        <f>+IFERROR(VLOOKUP(Fact_Analitica[[#This Row],[Concepto Anterior]],Conceptos_Analítica_contraloría[#All],7,0),"")</f>
        <v/>
      </c>
      <c r="I2320" s="138" t="str">
        <f>+IFERROR(VLOOKUP(D2320,Conceptos_Analítica_contraloría[#All],2,0),"")</f>
        <v/>
      </c>
      <c r="J2320" s="138" t="str">
        <f>+IFERROR(VLOOKUP(D2320,Conceptos_Analítica_contraloría[#All],3,0),"")</f>
        <v/>
      </c>
    </row>
    <row r="2321" spans="3:10" x14ac:dyDescent="0.35">
      <c r="C2321" s="144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s="138" t="str">
        <f>+IFERROR(VLOOKUP(Fact_Analitica[[#This Row],[Concepto Anterior]],Conceptos_Analítica_contraloría[#All],5,0),"")</f>
        <v/>
      </c>
      <c r="F2321" s="138" t="str">
        <f>+IFERROR(VLOOKUP(Fact_Analitica[[#This Row],[Concepto Anterior]],Conceptos_Analítica_contraloría[#All],7,0),"")</f>
        <v/>
      </c>
      <c r="I2321" s="138" t="str">
        <f>+IFERROR(VLOOKUP(D2321,Conceptos_Analítica_contraloría[#All],2,0),"")</f>
        <v/>
      </c>
      <c r="J2321" s="138" t="str">
        <f>+IFERROR(VLOOKUP(D2321,Conceptos_Analítica_contraloría[#All],3,0),"")</f>
        <v/>
      </c>
    </row>
    <row r="2322" spans="3:10" x14ac:dyDescent="0.35">
      <c r="C2322" s="144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s="138" t="str">
        <f>+IFERROR(VLOOKUP(Fact_Analitica[[#This Row],[Concepto Anterior]],Conceptos_Analítica_contraloría[#All],5,0),"")</f>
        <v/>
      </c>
      <c r="F2322" s="138" t="str">
        <f>+IFERROR(VLOOKUP(Fact_Analitica[[#This Row],[Concepto Anterior]],Conceptos_Analítica_contraloría[#All],7,0),"")</f>
        <v/>
      </c>
      <c r="I2322" s="138" t="str">
        <f>+IFERROR(VLOOKUP(D2322,Conceptos_Analítica_contraloría[#All],2,0),"")</f>
        <v/>
      </c>
      <c r="J2322" s="138" t="str">
        <f>+IFERROR(VLOOKUP(D2322,Conceptos_Analítica_contraloría[#All],3,0),"")</f>
        <v/>
      </c>
    </row>
    <row r="2323" spans="3:10" x14ac:dyDescent="0.35">
      <c r="C2323" s="144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s="138" t="str">
        <f>+IFERROR(VLOOKUP(Fact_Analitica[[#This Row],[Concepto Anterior]],Conceptos_Analítica_contraloría[#All],5,0),"")</f>
        <v/>
      </c>
      <c r="F2323" s="138" t="str">
        <f>+IFERROR(VLOOKUP(Fact_Analitica[[#This Row],[Concepto Anterior]],Conceptos_Analítica_contraloría[#All],7,0),"")</f>
        <v/>
      </c>
      <c r="I2323" s="138" t="str">
        <f>+IFERROR(VLOOKUP(D2323,Conceptos_Analítica_contraloría[#All],2,0),"")</f>
        <v/>
      </c>
      <c r="J2323" s="138" t="str">
        <f>+IFERROR(VLOOKUP(D2323,Conceptos_Analítica_contraloría[#All],3,0),"")</f>
        <v/>
      </c>
    </row>
    <row r="2324" spans="3:10" x14ac:dyDescent="0.35">
      <c r="C2324" s="144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s="138" t="str">
        <f>+IFERROR(VLOOKUP(Fact_Analitica[[#This Row],[Concepto Anterior]],Conceptos_Analítica_contraloría[#All],5,0),"")</f>
        <v/>
      </c>
      <c r="F2324" s="138" t="str">
        <f>+IFERROR(VLOOKUP(Fact_Analitica[[#This Row],[Concepto Anterior]],Conceptos_Analítica_contraloría[#All],7,0),"")</f>
        <v/>
      </c>
      <c r="I2324" s="138" t="str">
        <f>+IFERROR(VLOOKUP(D2324,Conceptos_Analítica_contraloría[#All],2,0),"")</f>
        <v/>
      </c>
      <c r="J2324" s="138" t="str">
        <f>+IFERROR(VLOOKUP(D2324,Conceptos_Analítica_contraloría[#All],3,0),"")</f>
        <v/>
      </c>
    </row>
    <row r="2325" spans="3:10" x14ac:dyDescent="0.35">
      <c r="C2325" s="144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s="138" t="str">
        <f>+IFERROR(VLOOKUP(Fact_Analitica[[#This Row],[Concepto Anterior]],Conceptos_Analítica_contraloría[#All],5,0),"")</f>
        <v/>
      </c>
      <c r="F2325" s="138" t="str">
        <f>+IFERROR(VLOOKUP(Fact_Analitica[[#This Row],[Concepto Anterior]],Conceptos_Analítica_contraloría[#All],7,0),"")</f>
        <v/>
      </c>
      <c r="I2325" s="138" t="str">
        <f>+IFERROR(VLOOKUP(D2325,Conceptos_Analítica_contraloría[#All],2,0),"")</f>
        <v/>
      </c>
      <c r="J2325" s="138" t="str">
        <f>+IFERROR(VLOOKUP(D2325,Conceptos_Analítica_contraloría[#All],3,0),"")</f>
        <v/>
      </c>
    </row>
    <row r="2326" spans="3:10" x14ac:dyDescent="0.35">
      <c r="C2326" s="144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s="138" t="str">
        <f>+IFERROR(VLOOKUP(Fact_Analitica[[#This Row],[Concepto Anterior]],Conceptos_Analítica_contraloría[#All],5,0),"")</f>
        <v/>
      </c>
      <c r="F2326" s="138" t="str">
        <f>+IFERROR(VLOOKUP(Fact_Analitica[[#This Row],[Concepto Anterior]],Conceptos_Analítica_contraloría[#All],7,0),"")</f>
        <v/>
      </c>
      <c r="I2326" s="138" t="str">
        <f>+IFERROR(VLOOKUP(D2326,Conceptos_Analítica_contraloría[#All],2,0),"")</f>
        <v/>
      </c>
      <c r="J2326" s="138" t="str">
        <f>+IFERROR(VLOOKUP(D2326,Conceptos_Analítica_contraloría[#All],3,0),"")</f>
        <v/>
      </c>
    </row>
    <row r="2327" spans="3:10" x14ac:dyDescent="0.35">
      <c r="C2327" s="144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s="138" t="str">
        <f>+IFERROR(VLOOKUP(Fact_Analitica[[#This Row],[Concepto Anterior]],Conceptos_Analítica_contraloría[#All],5,0),"")</f>
        <v/>
      </c>
      <c r="F2327" s="138" t="str">
        <f>+IFERROR(VLOOKUP(Fact_Analitica[[#This Row],[Concepto Anterior]],Conceptos_Analítica_contraloría[#All],7,0),"")</f>
        <v/>
      </c>
      <c r="I2327" s="138" t="str">
        <f>+IFERROR(VLOOKUP(D2327,Conceptos_Analítica_contraloría[#All],2,0),"")</f>
        <v/>
      </c>
      <c r="J2327" s="138" t="str">
        <f>+IFERROR(VLOOKUP(D2327,Conceptos_Analítica_contraloría[#All],3,0),"")</f>
        <v/>
      </c>
    </row>
    <row r="2328" spans="3:10" x14ac:dyDescent="0.35">
      <c r="C2328" s="144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s="138" t="str">
        <f>+IFERROR(VLOOKUP(Fact_Analitica[[#This Row],[Concepto Anterior]],Conceptos_Analítica_contraloría[#All],5,0),"")</f>
        <v/>
      </c>
      <c r="F2328" s="138" t="str">
        <f>+IFERROR(VLOOKUP(Fact_Analitica[[#This Row],[Concepto Anterior]],Conceptos_Analítica_contraloría[#All],7,0),"")</f>
        <v/>
      </c>
      <c r="I2328" s="138" t="str">
        <f>+IFERROR(VLOOKUP(D2328,Conceptos_Analítica_contraloría[#All],2,0),"")</f>
        <v/>
      </c>
      <c r="J2328" s="138" t="str">
        <f>+IFERROR(VLOOKUP(D2328,Conceptos_Analítica_contraloría[#All],3,0),"")</f>
        <v/>
      </c>
    </row>
    <row r="2329" spans="3:10" x14ac:dyDescent="0.35">
      <c r="C2329" s="144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s="138" t="str">
        <f>+IFERROR(VLOOKUP(Fact_Analitica[[#This Row],[Concepto Anterior]],Conceptos_Analítica_contraloría[#All],5,0),"")</f>
        <v/>
      </c>
      <c r="F2329" s="138" t="str">
        <f>+IFERROR(VLOOKUP(Fact_Analitica[[#This Row],[Concepto Anterior]],Conceptos_Analítica_contraloría[#All],7,0),"")</f>
        <v/>
      </c>
      <c r="I2329" s="138" t="str">
        <f>+IFERROR(VLOOKUP(D2329,Conceptos_Analítica_contraloría[#All],2,0),"")</f>
        <v/>
      </c>
      <c r="J2329" s="138" t="str">
        <f>+IFERROR(VLOOKUP(D2329,Conceptos_Analítica_contraloría[#All],3,0),"")</f>
        <v/>
      </c>
    </row>
    <row r="2330" spans="3:10" x14ac:dyDescent="0.35">
      <c r="C2330" s="144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s="138" t="str">
        <f>+IFERROR(VLOOKUP(Fact_Analitica[[#This Row],[Concepto Anterior]],Conceptos_Analítica_contraloría[#All],5,0),"")</f>
        <v/>
      </c>
      <c r="F2330" s="138" t="str">
        <f>+IFERROR(VLOOKUP(Fact_Analitica[[#This Row],[Concepto Anterior]],Conceptos_Analítica_contraloría[#All],7,0),"")</f>
        <v/>
      </c>
      <c r="I2330" s="138" t="str">
        <f>+IFERROR(VLOOKUP(D2330,Conceptos_Analítica_contraloría[#All],2,0),"")</f>
        <v/>
      </c>
      <c r="J2330" s="138" t="str">
        <f>+IFERROR(VLOOKUP(D2330,Conceptos_Analítica_contraloría[#All],3,0),"")</f>
        <v/>
      </c>
    </row>
    <row r="2331" spans="3:10" x14ac:dyDescent="0.35">
      <c r="C2331" s="144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s="138" t="str">
        <f>+IFERROR(VLOOKUP(Fact_Analitica[[#This Row],[Concepto Anterior]],Conceptos_Analítica_contraloría[#All],5,0),"")</f>
        <v/>
      </c>
      <c r="F2331" s="138" t="str">
        <f>+IFERROR(VLOOKUP(Fact_Analitica[[#This Row],[Concepto Anterior]],Conceptos_Analítica_contraloría[#All],7,0),"")</f>
        <v/>
      </c>
      <c r="I2331" s="138" t="str">
        <f>+IFERROR(VLOOKUP(D2331,Conceptos_Analítica_contraloría[#All],2,0),"")</f>
        <v/>
      </c>
      <c r="J2331" s="138" t="str">
        <f>+IFERROR(VLOOKUP(D2331,Conceptos_Analítica_contraloría[#All],3,0),"")</f>
        <v/>
      </c>
    </row>
    <row r="2332" spans="3:10" x14ac:dyDescent="0.35">
      <c r="C2332" s="144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s="138" t="str">
        <f>+IFERROR(VLOOKUP(Fact_Analitica[[#This Row],[Concepto Anterior]],Conceptos_Analítica_contraloría[#All],5,0),"")</f>
        <v/>
      </c>
      <c r="F2332" s="138" t="str">
        <f>+IFERROR(VLOOKUP(Fact_Analitica[[#This Row],[Concepto Anterior]],Conceptos_Analítica_contraloría[#All],7,0),"")</f>
        <v/>
      </c>
      <c r="I2332" s="138" t="str">
        <f>+IFERROR(VLOOKUP(D2332,Conceptos_Analítica_contraloría[#All],2,0),"")</f>
        <v/>
      </c>
      <c r="J2332" s="138" t="str">
        <f>+IFERROR(VLOOKUP(D2332,Conceptos_Analítica_contraloría[#All],3,0),"")</f>
        <v/>
      </c>
    </row>
    <row r="2333" spans="3:10" x14ac:dyDescent="0.35">
      <c r="C2333" s="144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s="138" t="str">
        <f>+IFERROR(VLOOKUP(Fact_Analitica[[#This Row],[Concepto Anterior]],Conceptos_Analítica_contraloría[#All],5,0),"")</f>
        <v/>
      </c>
      <c r="F2333" s="138" t="str">
        <f>+IFERROR(VLOOKUP(Fact_Analitica[[#This Row],[Concepto Anterior]],Conceptos_Analítica_contraloría[#All],7,0),"")</f>
        <v/>
      </c>
      <c r="I2333" s="138" t="str">
        <f>+IFERROR(VLOOKUP(D2333,Conceptos_Analítica_contraloría[#All],2,0),"")</f>
        <v/>
      </c>
      <c r="J2333" s="138" t="str">
        <f>+IFERROR(VLOOKUP(D2333,Conceptos_Analítica_contraloría[#All],3,0),"")</f>
        <v/>
      </c>
    </row>
    <row r="2334" spans="3:10" x14ac:dyDescent="0.35">
      <c r="C2334" s="144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s="138" t="str">
        <f>+IFERROR(VLOOKUP(Fact_Analitica[[#This Row],[Concepto Anterior]],Conceptos_Analítica_contraloría[#All],5,0),"")</f>
        <v/>
      </c>
      <c r="F2334" s="138" t="str">
        <f>+IFERROR(VLOOKUP(Fact_Analitica[[#This Row],[Concepto Anterior]],Conceptos_Analítica_contraloría[#All],7,0),"")</f>
        <v/>
      </c>
      <c r="I2334" s="138" t="str">
        <f>+IFERROR(VLOOKUP(D2334,Conceptos_Analítica_contraloría[#All],2,0),"")</f>
        <v/>
      </c>
      <c r="J2334" s="138" t="str">
        <f>+IFERROR(VLOOKUP(D2334,Conceptos_Analítica_contraloría[#All],3,0),"")</f>
        <v/>
      </c>
    </row>
    <row r="2335" spans="3:10" x14ac:dyDescent="0.35">
      <c r="C2335" s="144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s="138" t="str">
        <f>+IFERROR(VLOOKUP(Fact_Analitica[[#This Row],[Concepto Anterior]],Conceptos_Analítica_contraloría[#All],5,0),"")</f>
        <v/>
      </c>
      <c r="F2335" s="138" t="str">
        <f>+IFERROR(VLOOKUP(Fact_Analitica[[#This Row],[Concepto Anterior]],Conceptos_Analítica_contraloría[#All],7,0),"")</f>
        <v/>
      </c>
      <c r="I2335" s="138" t="str">
        <f>+IFERROR(VLOOKUP(D2335,Conceptos_Analítica_contraloría[#All],2,0),"")</f>
        <v/>
      </c>
      <c r="J2335" s="138" t="str">
        <f>+IFERROR(VLOOKUP(D2335,Conceptos_Analítica_contraloría[#All],3,0),"")</f>
        <v/>
      </c>
    </row>
    <row r="2336" spans="3:10" x14ac:dyDescent="0.35">
      <c r="C2336" s="144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s="138" t="str">
        <f>+IFERROR(VLOOKUP(Fact_Analitica[[#This Row],[Concepto Anterior]],Conceptos_Analítica_contraloría[#All],5,0),"")</f>
        <v/>
      </c>
      <c r="F2336" s="138" t="str">
        <f>+IFERROR(VLOOKUP(Fact_Analitica[[#This Row],[Concepto Anterior]],Conceptos_Analítica_contraloría[#All],7,0),"")</f>
        <v/>
      </c>
      <c r="I2336" s="138" t="str">
        <f>+IFERROR(VLOOKUP(D2336,Conceptos_Analítica_contraloría[#All],2,0),"")</f>
        <v/>
      </c>
      <c r="J2336" s="138" t="str">
        <f>+IFERROR(VLOOKUP(D2336,Conceptos_Analítica_contraloría[#All],3,0),"")</f>
        <v/>
      </c>
    </row>
    <row r="2337" spans="3:10" x14ac:dyDescent="0.35">
      <c r="C2337" s="144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s="138" t="str">
        <f>+IFERROR(VLOOKUP(Fact_Analitica[[#This Row],[Concepto Anterior]],Conceptos_Analítica_contraloría[#All],5,0),"")</f>
        <v/>
      </c>
      <c r="F2337" s="138" t="str">
        <f>+IFERROR(VLOOKUP(Fact_Analitica[[#This Row],[Concepto Anterior]],Conceptos_Analítica_contraloría[#All],7,0),"")</f>
        <v/>
      </c>
      <c r="I2337" s="138" t="str">
        <f>+IFERROR(VLOOKUP(D2337,Conceptos_Analítica_contraloría[#All],2,0),"")</f>
        <v/>
      </c>
      <c r="J2337" s="138" t="str">
        <f>+IFERROR(VLOOKUP(D2337,Conceptos_Analítica_contraloría[#All],3,0),"")</f>
        <v/>
      </c>
    </row>
    <row r="2338" spans="3:10" x14ac:dyDescent="0.35">
      <c r="C2338" s="144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s="138" t="str">
        <f>+IFERROR(VLOOKUP(Fact_Analitica[[#This Row],[Concepto Anterior]],Conceptos_Analítica_contraloría[#All],5,0),"")</f>
        <v/>
      </c>
      <c r="F2338" s="138" t="str">
        <f>+IFERROR(VLOOKUP(Fact_Analitica[[#This Row],[Concepto Anterior]],Conceptos_Analítica_contraloría[#All],7,0),"")</f>
        <v/>
      </c>
      <c r="I2338" s="138" t="str">
        <f>+IFERROR(VLOOKUP(D2338,Conceptos_Analítica_contraloría[#All],2,0),"")</f>
        <v/>
      </c>
      <c r="J2338" s="138" t="str">
        <f>+IFERROR(VLOOKUP(D2338,Conceptos_Analítica_contraloría[#All],3,0),"")</f>
        <v/>
      </c>
    </row>
    <row r="2339" spans="3:10" x14ac:dyDescent="0.35">
      <c r="C2339" s="144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s="138" t="str">
        <f>+IFERROR(VLOOKUP(Fact_Analitica[[#This Row],[Concepto Anterior]],Conceptos_Analítica_contraloría[#All],5,0),"")</f>
        <v/>
      </c>
      <c r="F2339" s="138" t="str">
        <f>+IFERROR(VLOOKUP(Fact_Analitica[[#This Row],[Concepto Anterior]],Conceptos_Analítica_contraloría[#All],7,0),"")</f>
        <v/>
      </c>
      <c r="I2339" s="138" t="str">
        <f>+IFERROR(VLOOKUP(D2339,Conceptos_Analítica_contraloría[#All],2,0),"")</f>
        <v/>
      </c>
      <c r="J2339" s="138" t="str">
        <f>+IFERROR(VLOOKUP(D2339,Conceptos_Analítica_contraloría[#All],3,0),"")</f>
        <v/>
      </c>
    </row>
    <row r="2340" spans="3:10" x14ac:dyDescent="0.35">
      <c r="C2340" s="144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s="138" t="str">
        <f>+IFERROR(VLOOKUP(Fact_Analitica[[#This Row],[Concepto Anterior]],Conceptos_Analítica_contraloría[#All],5,0),"")</f>
        <v/>
      </c>
      <c r="F2340" s="138" t="str">
        <f>+IFERROR(VLOOKUP(Fact_Analitica[[#This Row],[Concepto Anterior]],Conceptos_Analítica_contraloría[#All],7,0),"")</f>
        <v/>
      </c>
      <c r="I2340" s="138" t="str">
        <f>+IFERROR(VLOOKUP(D2340,Conceptos_Analítica_contraloría[#All],2,0),"")</f>
        <v/>
      </c>
      <c r="J2340" s="138" t="str">
        <f>+IFERROR(VLOOKUP(D2340,Conceptos_Analítica_contraloría[#All],3,0),"")</f>
        <v/>
      </c>
    </row>
    <row r="2341" spans="3:10" x14ac:dyDescent="0.35">
      <c r="C2341" s="144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s="138" t="str">
        <f>+IFERROR(VLOOKUP(Fact_Analitica[[#This Row],[Concepto Anterior]],Conceptos_Analítica_contraloría[#All],5,0),"")</f>
        <v/>
      </c>
      <c r="F2341" s="138" t="str">
        <f>+IFERROR(VLOOKUP(Fact_Analitica[[#This Row],[Concepto Anterior]],Conceptos_Analítica_contraloría[#All],7,0),"")</f>
        <v/>
      </c>
      <c r="I2341" s="138" t="str">
        <f>+IFERROR(VLOOKUP(D2341,Conceptos_Analítica_contraloría[#All],2,0),"")</f>
        <v/>
      </c>
      <c r="J2341" s="138" t="str">
        <f>+IFERROR(VLOOKUP(D2341,Conceptos_Analítica_contraloría[#All],3,0),"")</f>
        <v/>
      </c>
    </row>
    <row r="2342" spans="3:10" x14ac:dyDescent="0.35">
      <c r="C2342" s="144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s="138" t="str">
        <f>+IFERROR(VLOOKUP(Fact_Analitica[[#This Row],[Concepto Anterior]],Conceptos_Analítica_contraloría[#All],5,0),"")</f>
        <v/>
      </c>
      <c r="F2342" s="138" t="str">
        <f>+IFERROR(VLOOKUP(Fact_Analitica[[#This Row],[Concepto Anterior]],Conceptos_Analítica_contraloría[#All],7,0),"")</f>
        <v/>
      </c>
      <c r="I2342" s="138" t="str">
        <f>+IFERROR(VLOOKUP(D2342,Conceptos_Analítica_contraloría[#All],2,0),"")</f>
        <v/>
      </c>
      <c r="J2342" s="138" t="str">
        <f>+IFERROR(VLOOKUP(D2342,Conceptos_Analítica_contraloría[#All],3,0),"")</f>
        <v/>
      </c>
    </row>
    <row r="2343" spans="3:10" x14ac:dyDescent="0.35">
      <c r="C2343" s="144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s="138" t="str">
        <f>+IFERROR(VLOOKUP(Fact_Analitica[[#This Row],[Concepto Anterior]],Conceptos_Analítica_contraloría[#All],5,0),"")</f>
        <v/>
      </c>
      <c r="F2343" s="138" t="str">
        <f>+IFERROR(VLOOKUP(Fact_Analitica[[#This Row],[Concepto Anterior]],Conceptos_Analítica_contraloría[#All],7,0),"")</f>
        <v/>
      </c>
      <c r="I2343" s="138" t="str">
        <f>+IFERROR(VLOOKUP(D2343,Conceptos_Analítica_contraloría[#All],2,0),"")</f>
        <v/>
      </c>
      <c r="J2343" s="138" t="str">
        <f>+IFERROR(VLOOKUP(D2343,Conceptos_Analítica_contraloría[#All],3,0),"")</f>
        <v/>
      </c>
    </row>
    <row r="2344" spans="3:10" x14ac:dyDescent="0.35">
      <c r="C2344" s="144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s="138" t="str">
        <f>+IFERROR(VLOOKUP(Fact_Analitica[[#This Row],[Concepto Anterior]],Conceptos_Analítica_contraloría[#All],5,0),"")</f>
        <v/>
      </c>
      <c r="F2344" s="138" t="str">
        <f>+IFERROR(VLOOKUP(Fact_Analitica[[#This Row],[Concepto Anterior]],Conceptos_Analítica_contraloría[#All],7,0),"")</f>
        <v/>
      </c>
      <c r="I2344" s="138" t="str">
        <f>+IFERROR(VLOOKUP(D2344,Conceptos_Analítica_contraloría[#All],2,0),"")</f>
        <v/>
      </c>
      <c r="J2344" s="138" t="str">
        <f>+IFERROR(VLOOKUP(D2344,Conceptos_Analítica_contraloría[#All],3,0),"")</f>
        <v/>
      </c>
    </row>
    <row r="2345" spans="3:10" x14ac:dyDescent="0.35">
      <c r="C2345" s="144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s="138" t="str">
        <f>+IFERROR(VLOOKUP(Fact_Analitica[[#This Row],[Concepto Anterior]],Conceptos_Analítica_contraloría[#All],5,0),"")</f>
        <v/>
      </c>
      <c r="F2345" s="138" t="str">
        <f>+IFERROR(VLOOKUP(Fact_Analitica[[#This Row],[Concepto Anterior]],Conceptos_Analítica_contraloría[#All],7,0),"")</f>
        <v/>
      </c>
      <c r="I2345" s="138" t="str">
        <f>+IFERROR(VLOOKUP(D2345,Conceptos_Analítica_contraloría[#All],2,0),"")</f>
        <v/>
      </c>
      <c r="J2345" s="138" t="str">
        <f>+IFERROR(VLOOKUP(D2345,Conceptos_Analítica_contraloría[#All],3,0),"")</f>
        <v/>
      </c>
    </row>
    <row r="2346" spans="3:10" x14ac:dyDescent="0.35">
      <c r="C2346" s="144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s="138" t="str">
        <f>+IFERROR(VLOOKUP(Fact_Analitica[[#This Row],[Concepto Anterior]],Conceptos_Analítica_contraloría[#All],5,0),"")</f>
        <v/>
      </c>
      <c r="F2346" s="138" t="str">
        <f>+IFERROR(VLOOKUP(Fact_Analitica[[#This Row],[Concepto Anterior]],Conceptos_Analítica_contraloría[#All],7,0),"")</f>
        <v/>
      </c>
      <c r="I2346" s="138" t="str">
        <f>+IFERROR(VLOOKUP(D2346,Conceptos_Analítica_contraloría[#All],2,0),"")</f>
        <v/>
      </c>
      <c r="J2346" s="138" t="str">
        <f>+IFERROR(VLOOKUP(D2346,Conceptos_Analítica_contraloría[#All],3,0),"")</f>
        <v/>
      </c>
    </row>
    <row r="2347" spans="3:10" x14ac:dyDescent="0.35">
      <c r="C2347" s="144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s="138" t="str">
        <f>+IFERROR(VLOOKUP(Fact_Analitica[[#This Row],[Concepto Anterior]],Conceptos_Analítica_contraloría[#All],5,0),"")</f>
        <v/>
      </c>
      <c r="F2347" s="138" t="str">
        <f>+IFERROR(VLOOKUP(Fact_Analitica[[#This Row],[Concepto Anterior]],Conceptos_Analítica_contraloría[#All],7,0),"")</f>
        <v/>
      </c>
      <c r="I2347" s="138" t="str">
        <f>+IFERROR(VLOOKUP(D2347,Conceptos_Analítica_contraloría[#All],2,0),"")</f>
        <v/>
      </c>
      <c r="J2347" s="138" t="str">
        <f>+IFERROR(VLOOKUP(D2347,Conceptos_Analítica_contraloría[#All],3,0),"")</f>
        <v/>
      </c>
    </row>
    <row r="2348" spans="3:10" x14ac:dyDescent="0.35">
      <c r="C2348" s="144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s="138" t="str">
        <f>+IFERROR(VLOOKUP(Fact_Analitica[[#This Row],[Concepto Anterior]],Conceptos_Analítica_contraloría[#All],5,0),"")</f>
        <v/>
      </c>
      <c r="F2348" s="138" t="str">
        <f>+IFERROR(VLOOKUP(Fact_Analitica[[#This Row],[Concepto Anterior]],Conceptos_Analítica_contraloría[#All],7,0),"")</f>
        <v/>
      </c>
      <c r="I2348" s="138" t="str">
        <f>+IFERROR(VLOOKUP(D2348,Conceptos_Analítica_contraloría[#All],2,0),"")</f>
        <v/>
      </c>
      <c r="J2348" s="138" t="str">
        <f>+IFERROR(VLOOKUP(D2348,Conceptos_Analítica_contraloría[#All],3,0),"")</f>
        <v/>
      </c>
    </row>
    <row r="2349" spans="3:10" x14ac:dyDescent="0.35">
      <c r="C2349" s="144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s="138" t="str">
        <f>+IFERROR(VLOOKUP(Fact_Analitica[[#This Row],[Concepto Anterior]],Conceptos_Analítica_contraloría[#All],5,0),"")</f>
        <v/>
      </c>
      <c r="F2349" s="138" t="str">
        <f>+IFERROR(VLOOKUP(Fact_Analitica[[#This Row],[Concepto Anterior]],Conceptos_Analítica_contraloría[#All],7,0),"")</f>
        <v/>
      </c>
      <c r="I2349" s="138" t="str">
        <f>+IFERROR(VLOOKUP(D2349,Conceptos_Analítica_contraloría[#All],2,0),"")</f>
        <v/>
      </c>
      <c r="J2349" s="138" t="str">
        <f>+IFERROR(VLOOKUP(D2349,Conceptos_Analítica_contraloría[#All],3,0),"")</f>
        <v/>
      </c>
    </row>
    <row r="2350" spans="3:10" x14ac:dyDescent="0.35">
      <c r="C2350" s="144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s="138" t="str">
        <f>+IFERROR(VLOOKUP(Fact_Analitica[[#This Row],[Concepto Anterior]],Conceptos_Analítica_contraloría[#All],5,0),"")</f>
        <v/>
      </c>
      <c r="F2350" s="138" t="str">
        <f>+IFERROR(VLOOKUP(Fact_Analitica[[#This Row],[Concepto Anterior]],Conceptos_Analítica_contraloría[#All],7,0),"")</f>
        <v/>
      </c>
      <c r="I2350" s="138" t="str">
        <f>+IFERROR(VLOOKUP(D2350,Conceptos_Analítica_contraloría[#All],2,0),"")</f>
        <v/>
      </c>
      <c r="J2350" s="138" t="str">
        <f>+IFERROR(VLOOKUP(D2350,Conceptos_Analítica_contraloría[#All],3,0),"")</f>
        <v/>
      </c>
    </row>
    <row r="2351" spans="3:10" x14ac:dyDescent="0.35">
      <c r="C2351" s="144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s="138" t="str">
        <f>+IFERROR(VLOOKUP(Fact_Analitica[[#This Row],[Concepto Anterior]],Conceptos_Analítica_contraloría[#All],5,0),"")</f>
        <v/>
      </c>
      <c r="F2351" s="138" t="str">
        <f>+IFERROR(VLOOKUP(Fact_Analitica[[#This Row],[Concepto Anterior]],Conceptos_Analítica_contraloría[#All],7,0),"")</f>
        <v/>
      </c>
      <c r="I2351" s="138" t="str">
        <f>+IFERROR(VLOOKUP(D2351,Conceptos_Analítica_contraloría[#All],2,0),"")</f>
        <v/>
      </c>
      <c r="J2351" s="138" t="str">
        <f>+IFERROR(VLOOKUP(D2351,Conceptos_Analítica_contraloría[#All],3,0),"")</f>
        <v/>
      </c>
    </row>
    <row r="2352" spans="3:10" x14ac:dyDescent="0.35">
      <c r="C2352" s="144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s="138" t="str">
        <f>+IFERROR(VLOOKUP(Fact_Analitica[[#This Row],[Concepto Anterior]],Conceptos_Analítica_contraloría[#All],5,0),"")</f>
        <v/>
      </c>
      <c r="F2352" s="138" t="str">
        <f>+IFERROR(VLOOKUP(Fact_Analitica[[#This Row],[Concepto Anterior]],Conceptos_Analítica_contraloría[#All],7,0),"")</f>
        <v/>
      </c>
      <c r="I2352" s="138" t="str">
        <f>+IFERROR(VLOOKUP(D2352,Conceptos_Analítica_contraloría[#All],2,0),"")</f>
        <v/>
      </c>
      <c r="J2352" s="138" t="str">
        <f>+IFERROR(VLOOKUP(D2352,Conceptos_Analítica_contraloría[#All],3,0),"")</f>
        <v/>
      </c>
    </row>
    <row r="2353" spans="3:10" x14ac:dyDescent="0.35">
      <c r="C2353" s="144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s="138" t="str">
        <f>+IFERROR(VLOOKUP(Fact_Analitica[[#This Row],[Concepto Anterior]],Conceptos_Analítica_contraloría[#All],5,0),"")</f>
        <v/>
      </c>
      <c r="F2353" s="138" t="str">
        <f>+IFERROR(VLOOKUP(Fact_Analitica[[#This Row],[Concepto Anterior]],Conceptos_Analítica_contraloría[#All],7,0),"")</f>
        <v/>
      </c>
      <c r="I2353" s="138" t="str">
        <f>+IFERROR(VLOOKUP(D2353,Conceptos_Analítica_contraloría[#All],2,0),"")</f>
        <v/>
      </c>
      <c r="J2353" s="138" t="str">
        <f>+IFERROR(VLOOKUP(D2353,Conceptos_Analítica_contraloría[#All],3,0),"")</f>
        <v/>
      </c>
    </row>
    <row r="2354" spans="3:10" x14ac:dyDescent="0.35">
      <c r="C2354" s="144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s="138" t="str">
        <f>+IFERROR(VLOOKUP(Fact_Analitica[[#This Row],[Concepto Anterior]],Conceptos_Analítica_contraloría[#All],5,0),"")</f>
        <v/>
      </c>
      <c r="F2354" s="138" t="str">
        <f>+IFERROR(VLOOKUP(Fact_Analitica[[#This Row],[Concepto Anterior]],Conceptos_Analítica_contraloría[#All],7,0),"")</f>
        <v/>
      </c>
      <c r="I2354" s="138" t="str">
        <f>+IFERROR(VLOOKUP(D2354,Conceptos_Analítica_contraloría[#All],2,0),"")</f>
        <v/>
      </c>
      <c r="J2354" s="138" t="str">
        <f>+IFERROR(VLOOKUP(D2354,Conceptos_Analítica_contraloría[#All],3,0),"")</f>
        <v/>
      </c>
    </row>
    <row r="2355" spans="3:10" x14ac:dyDescent="0.35">
      <c r="C2355" s="144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s="138" t="str">
        <f>+IFERROR(VLOOKUP(Fact_Analitica[[#This Row],[Concepto Anterior]],Conceptos_Analítica_contraloría[#All],5,0),"")</f>
        <v/>
      </c>
      <c r="F2355" s="138" t="str">
        <f>+IFERROR(VLOOKUP(Fact_Analitica[[#This Row],[Concepto Anterior]],Conceptos_Analítica_contraloría[#All],7,0),"")</f>
        <v/>
      </c>
      <c r="I2355" s="138" t="str">
        <f>+IFERROR(VLOOKUP(D2355,Conceptos_Analítica_contraloría[#All],2,0),"")</f>
        <v/>
      </c>
      <c r="J2355" s="138" t="str">
        <f>+IFERROR(VLOOKUP(D2355,Conceptos_Analítica_contraloría[#All],3,0),"")</f>
        <v/>
      </c>
    </row>
    <row r="2356" spans="3:10" x14ac:dyDescent="0.35">
      <c r="C2356" s="144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s="138" t="str">
        <f>+IFERROR(VLOOKUP(Fact_Analitica[[#This Row],[Concepto Anterior]],Conceptos_Analítica_contraloría[#All],5,0),"")</f>
        <v/>
      </c>
      <c r="F2356" s="138" t="str">
        <f>+IFERROR(VLOOKUP(Fact_Analitica[[#This Row],[Concepto Anterior]],Conceptos_Analítica_contraloría[#All],7,0),"")</f>
        <v/>
      </c>
      <c r="I2356" s="138" t="str">
        <f>+IFERROR(VLOOKUP(D2356,Conceptos_Analítica_contraloría[#All],2,0),"")</f>
        <v/>
      </c>
      <c r="J2356" s="138" t="str">
        <f>+IFERROR(VLOOKUP(D2356,Conceptos_Analítica_contraloría[#All],3,0),"")</f>
        <v/>
      </c>
    </row>
    <row r="2357" spans="3:10" x14ac:dyDescent="0.35">
      <c r="C2357" s="144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s="138" t="str">
        <f>+IFERROR(VLOOKUP(Fact_Analitica[[#This Row],[Concepto Anterior]],Conceptos_Analítica_contraloría[#All],5,0),"")</f>
        <v/>
      </c>
      <c r="F2357" s="138" t="str">
        <f>+IFERROR(VLOOKUP(Fact_Analitica[[#This Row],[Concepto Anterior]],Conceptos_Analítica_contraloría[#All],7,0),"")</f>
        <v/>
      </c>
      <c r="I2357" s="138" t="str">
        <f>+IFERROR(VLOOKUP(D2357,Conceptos_Analítica_contraloría[#All],2,0),"")</f>
        <v/>
      </c>
      <c r="J2357" s="138" t="str">
        <f>+IFERROR(VLOOKUP(D2357,Conceptos_Analítica_contraloría[#All],3,0),"")</f>
        <v/>
      </c>
    </row>
    <row r="2358" spans="3:10" x14ac:dyDescent="0.35">
      <c r="C2358" s="144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s="138" t="str">
        <f>+IFERROR(VLOOKUP(Fact_Analitica[[#This Row],[Concepto Anterior]],Conceptos_Analítica_contraloría[#All],5,0),"")</f>
        <v/>
      </c>
      <c r="F2358" s="138" t="str">
        <f>+IFERROR(VLOOKUP(Fact_Analitica[[#This Row],[Concepto Anterior]],Conceptos_Analítica_contraloría[#All],7,0),"")</f>
        <v/>
      </c>
      <c r="I2358" s="138" t="str">
        <f>+IFERROR(VLOOKUP(D2358,Conceptos_Analítica_contraloría[#All],2,0),"")</f>
        <v/>
      </c>
      <c r="J2358" s="138" t="str">
        <f>+IFERROR(VLOOKUP(D2358,Conceptos_Analítica_contraloría[#All],3,0),"")</f>
        <v/>
      </c>
    </row>
    <row r="2359" spans="3:10" x14ac:dyDescent="0.35">
      <c r="C2359" s="144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s="138" t="str">
        <f>+IFERROR(VLOOKUP(Fact_Analitica[[#This Row],[Concepto Anterior]],Conceptos_Analítica_contraloría[#All],5,0),"")</f>
        <v/>
      </c>
      <c r="F2359" s="138" t="str">
        <f>+IFERROR(VLOOKUP(Fact_Analitica[[#This Row],[Concepto Anterior]],Conceptos_Analítica_contraloría[#All],7,0),"")</f>
        <v/>
      </c>
      <c r="I2359" s="138" t="str">
        <f>+IFERROR(VLOOKUP(D2359,Conceptos_Analítica_contraloría[#All],2,0),"")</f>
        <v/>
      </c>
      <c r="J2359" s="138" t="str">
        <f>+IFERROR(VLOOKUP(D2359,Conceptos_Analítica_contraloría[#All],3,0),"")</f>
        <v/>
      </c>
    </row>
    <row r="2360" spans="3:10" x14ac:dyDescent="0.35">
      <c r="C2360" s="144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s="138" t="str">
        <f>+IFERROR(VLOOKUP(Fact_Analitica[[#This Row],[Concepto Anterior]],Conceptos_Analítica_contraloría[#All],5,0),"")</f>
        <v/>
      </c>
      <c r="F2360" s="138" t="str">
        <f>+IFERROR(VLOOKUP(Fact_Analitica[[#This Row],[Concepto Anterior]],Conceptos_Analítica_contraloría[#All],7,0),"")</f>
        <v/>
      </c>
      <c r="I2360" s="138" t="str">
        <f>+IFERROR(VLOOKUP(D2360,Conceptos_Analítica_contraloría[#All],2,0),"")</f>
        <v/>
      </c>
      <c r="J2360" s="138" t="str">
        <f>+IFERROR(VLOOKUP(D2360,Conceptos_Analítica_contraloría[#All],3,0),"")</f>
        <v/>
      </c>
    </row>
    <row r="2361" spans="3:10" x14ac:dyDescent="0.35">
      <c r="C2361" s="144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s="138" t="str">
        <f>+IFERROR(VLOOKUP(Fact_Analitica[[#This Row],[Concepto Anterior]],Conceptos_Analítica_contraloría[#All],5,0),"")</f>
        <v/>
      </c>
      <c r="F2361" s="138" t="str">
        <f>+IFERROR(VLOOKUP(Fact_Analitica[[#This Row],[Concepto Anterior]],Conceptos_Analítica_contraloría[#All],7,0),"")</f>
        <v/>
      </c>
      <c r="I2361" s="138" t="str">
        <f>+IFERROR(VLOOKUP(D2361,Conceptos_Analítica_contraloría[#All],2,0),"")</f>
        <v/>
      </c>
      <c r="J2361" s="138" t="str">
        <f>+IFERROR(VLOOKUP(D2361,Conceptos_Analítica_contraloría[#All],3,0),"")</f>
        <v/>
      </c>
    </row>
    <row r="2362" spans="3:10" x14ac:dyDescent="0.35">
      <c r="C2362" s="144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s="138" t="str">
        <f>+IFERROR(VLOOKUP(Fact_Analitica[[#This Row],[Concepto Anterior]],Conceptos_Analítica_contraloría[#All],5,0),"")</f>
        <v/>
      </c>
      <c r="F2362" s="138" t="str">
        <f>+IFERROR(VLOOKUP(Fact_Analitica[[#This Row],[Concepto Anterior]],Conceptos_Analítica_contraloría[#All],7,0),"")</f>
        <v/>
      </c>
      <c r="I2362" s="138" t="str">
        <f>+IFERROR(VLOOKUP(D2362,Conceptos_Analítica_contraloría[#All],2,0),"")</f>
        <v/>
      </c>
      <c r="J2362" s="138" t="str">
        <f>+IFERROR(VLOOKUP(D2362,Conceptos_Analítica_contraloría[#All],3,0),"")</f>
        <v/>
      </c>
    </row>
    <row r="2363" spans="3:10" x14ac:dyDescent="0.35">
      <c r="C2363" s="144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s="138" t="str">
        <f>+IFERROR(VLOOKUP(Fact_Analitica[[#This Row],[Concepto Anterior]],Conceptos_Analítica_contraloría[#All],5,0),"")</f>
        <v/>
      </c>
      <c r="F2363" s="138" t="str">
        <f>+IFERROR(VLOOKUP(Fact_Analitica[[#This Row],[Concepto Anterior]],Conceptos_Analítica_contraloría[#All],7,0),"")</f>
        <v/>
      </c>
      <c r="I2363" s="138" t="str">
        <f>+IFERROR(VLOOKUP(D2363,Conceptos_Analítica_contraloría[#All],2,0),"")</f>
        <v/>
      </c>
      <c r="J2363" s="138" t="str">
        <f>+IFERROR(VLOOKUP(D2363,Conceptos_Analítica_contraloría[#All],3,0),"")</f>
        <v/>
      </c>
    </row>
    <row r="2364" spans="3:10" x14ac:dyDescent="0.35">
      <c r="C2364" s="144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s="138" t="str">
        <f>+IFERROR(VLOOKUP(Fact_Analitica[[#This Row],[Concepto Anterior]],Conceptos_Analítica_contraloría[#All],5,0),"")</f>
        <v/>
      </c>
      <c r="F2364" s="138" t="str">
        <f>+IFERROR(VLOOKUP(Fact_Analitica[[#This Row],[Concepto Anterior]],Conceptos_Analítica_contraloría[#All],7,0),"")</f>
        <v/>
      </c>
      <c r="I2364" s="138" t="str">
        <f>+IFERROR(VLOOKUP(D2364,Conceptos_Analítica_contraloría[#All],2,0),"")</f>
        <v/>
      </c>
      <c r="J2364" s="138" t="str">
        <f>+IFERROR(VLOOKUP(D2364,Conceptos_Analítica_contraloría[#All],3,0),"")</f>
        <v/>
      </c>
    </row>
    <row r="2365" spans="3:10" x14ac:dyDescent="0.35">
      <c r="C2365" s="144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s="138" t="str">
        <f>+IFERROR(VLOOKUP(Fact_Analitica[[#This Row],[Concepto Anterior]],Conceptos_Analítica_contraloría[#All],5,0),"")</f>
        <v/>
      </c>
      <c r="F2365" s="138" t="str">
        <f>+IFERROR(VLOOKUP(Fact_Analitica[[#This Row],[Concepto Anterior]],Conceptos_Analítica_contraloría[#All],7,0),"")</f>
        <v/>
      </c>
      <c r="I2365" s="138" t="str">
        <f>+IFERROR(VLOOKUP(D2365,Conceptos_Analítica_contraloría[#All],2,0),"")</f>
        <v/>
      </c>
      <c r="J2365" s="138" t="str">
        <f>+IFERROR(VLOOKUP(D2365,Conceptos_Analítica_contraloría[#All],3,0),"")</f>
        <v/>
      </c>
    </row>
    <row r="2366" spans="3:10" x14ac:dyDescent="0.35">
      <c r="C2366" s="144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s="138" t="str">
        <f>+IFERROR(VLOOKUP(Fact_Analitica[[#This Row],[Concepto Anterior]],Conceptos_Analítica_contraloría[#All],5,0),"")</f>
        <v/>
      </c>
      <c r="F2366" s="138" t="str">
        <f>+IFERROR(VLOOKUP(Fact_Analitica[[#This Row],[Concepto Anterior]],Conceptos_Analítica_contraloría[#All],7,0),"")</f>
        <v/>
      </c>
      <c r="I2366" s="138" t="str">
        <f>+IFERROR(VLOOKUP(D2366,Conceptos_Analítica_contraloría[#All],2,0),"")</f>
        <v/>
      </c>
      <c r="J2366" s="138" t="str">
        <f>+IFERROR(VLOOKUP(D2366,Conceptos_Analítica_contraloría[#All],3,0),"")</f>
        <v/>
      </c>
    </row>
    <row r="2367" spans="3:10" x14ac:dyDescent="0.35">
      <c r="C2367" s="144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s="138" t="str">
        <f>+IFERROR(VLOOKUP(Fact_Analitica[[#This Row],[Concepto Anterior]],Conceptos_Analítica_contraloría[#All],5,0),"")</f>
        <v/>
      </c>
      <c r="F2367" s="138" t="str">
        <f>+IFERROR(VLOOKUP(Fact_Analitica[[#This Row],[Concepto Anterior]],Conceptos_Analítica_contraloría[#All],7,0),"")</f>
        <v/>
      </c>
      <c r="I2367" s="138" t="str">
        <f>+IFERROR(VLOOKUP(D2367,Conceptos_Analítica_contraloría[#All],2,0),"")</f>
        <v/>
      </c>
      <c r="J2367" s="138" t="str">
        <f>+IFERROR(VLOOKUP(D2367,Conceptos_Analítica_contraloría[#All],3,0),"")</f>
        <v/>
      </c>
    </row>
    <row r="2368" spans="3:10" x14ac:dyDescent="0.35">
      <c r="C2368" s="144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s="138" t="str">
        <f>+IFERROR(VLOOKUP(Fact_Analitica[[#This Row],[Concepto Anterior]],Conceptos_Analítica_contraloría[#All],5,0),"")</f>
        <v/>
      </c>
      <c r="F2368" s="138" t="str">
        <f>+IFERROR(VLOOKUP(Fact_Analitica[[#This Row],[Concepto Anterior]],Conceptos_Analítica_contraloría[#All],7,0),"")</f>
        <v/>
      </c>
      <c r="I2368" s="138" t="str">
        <f>+IFERROR(VLOOKUP(D2368,Conceptos_Analítica_contraloría[#All],2,0),"")</f>
        <v/>
      </c>
      <c r="J2368" s="138" t="str">
        <f>+IFERROR(VLOOKUP(D2368,Conceptos_Analítica_contraloría[#All],3,0),"")</f>
        <v/>
      </c>
    </row>
    <row r="2369" spans="3:10" x14ac:dyDescent="0.35">
      <c r="C2369" s="144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s="138" t="str">
        <f>+IFERROR(VLOOKUP(Fact_Analitica[[#This Row],[Concepto Anterior]],Conceptos_Analítica_contraloría[#All],5,0),"")</f>
        <v/>
      </c>
      <c r="F2369" s="138" t="str">
        <f>+IFERROR(VLOOKUP(Fact_Analitica[[#This Row],[Concepto Anterior]],Conceptos_Analítica_contraloría[#All],7,0),"")</f>
        <v/>
      </c>
      <c r="I2369" s="138" t="str">
        <f>+IFERROR(VLOOKUP(D2369,Conceptos_Analítica_contraloría[#All],2,0),"")</f>
        <v/>
      </c>
      <c r="J2369" s="138" t="str">
        <f>+IFERROR(VLOOKUP(D2369,Conceptos_Analítica_contraloría[#All],3,0),"")</f>
        <v/>
      </c>
    </row>
    <row r="2370" spans="3:10" x14ac:dyDescent="0.35">
      <c r="C2370" s="144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s="138" t="str">
        <f>+IFERROR(VLOOKUP(Fact_Analitica[[#This Row],[Concepto Anterior]],Conceptos_Analítica_contraloría[#All],5,0),"")</f>
        <v/>
      </c>
      <c r="F2370" s="138" t="str">
        <f>+IFERROR(VLOOKUP(Fact_Analitica[[#This Row],[Concepto Anterior]],Conceptos_Analítica_contraloría[#All],7,0),"")</f>
        <v/>
      </c>
      <c r="I2370" s="138" t="str">
        <f>+IFERROR(VLOOKUP(D2370,Conceptos_Analítica_contraloría[#All],2,0),"")</f>
        <v/>
      </c>
      <c r="J2370" s="138" t="str">
        <f>+IFERROR(VLOOKUP(D2370,Conceptos_Analítica_contraloría[#All],3,0),"")</f>
        <v/>
      </c>
    </row>
    <row r="2371" spans="3:10" x14ac:dyDescent="0.35">
      <c r="C2371" s="144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s="138" t="str">
        <f>+IFERROR(VLOOKUP(Fact_Analitica[[#This Row],[Concepto Anterior]],Conceptos_Analítica_contraloría[#All],5,0),"")</f>
        <v/>
      </c>
      <c r="F2371" s="138" t="str">
        <f>+IFERROR(VLOOKUP(Fact_Analitica[[#This Row],[Concepto Anterior]],Conceptos_Analítica_contraloría[#All],7,0),"")</f>
        <v/>
      </c>
      <c r="I2371" s="138" t="str">
        <f>+IFERROR(VLOOKUP(D2371,Conceptos_Analítica_contraloría[#All],2,0),"")</f>
        <v/>
      </c>
      <c r="J2371" s="138" t="str">
        <f>+IFERROR(VLOOKUP(D2371,Conceptos_Analítica_contraloría[#All],3,0),"")</f>
        <v/>
      </c>
    </row>
    <row r="2372" spans="3:10" x14ac:dyDescent="0.35">
      <c r="C2372" s="144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s="138" t="str">
        <f>+IFERROR(VLOOKUP(Fact_Analitica[[#This Row],[Concepto Anterior]],Conceptos_Analítica_contraloría[#All],5,0),"")</f>
        <v/>
      </c>
      <c r="F2372" s="138" t="str">
        <f>+IFERROR(VLOOKUP(Fact_Analitica[[#This Row],[Concepto Anterior]],Conceptos_Analítica_contraloría[#All],7,0),"")</f>
        <v/>
      </c>
      <c r="I2372" s="138" t="str">
        <f>+IFERROR(VLOOKUP(D2372,Conceptos_Analítica_contraloría[#All],2,0),"")</f>
        <v/>
      </c>
      <c r="J2372" s="138" t="str">
        <f>+IFERROR(VLOOKUP(D2372,Conceptos_Analítica_contraloría[#All],3,0),"")</f>
        <v/>
      </c>
    </row>
    <row r="2373" spans="3:10" x14ac:dyDescent="0.35">
      <c r="C2373" s="144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s="138" t="str">
        <f>+IFERROR(VLOOKUP(Fact_Analitica[[#This Row],[Concepto Anterior]],Conceptos_Analítica_contraloría[#All],5,0),"")</f>
        <v/>
      </c>
      <c r="F2373" s="138" t="str">
        <f>+IFERROR(VLOOKUP(Fact_Analitica[[#This Row],[Concepto Anterior]],Conceptos_Analítica_contraloría[#All],7,0),"")</f>
        <v/>
      </c>
      <c r="I2373" s="138" t="str">
        <f>+IFERROR(VLOOKUP(D2373,Conceptos_Analítica_contraloría[#All],2,0),"")</f>
        <v/>
      </c>
      <c r="J2373" s="138" t="str">
        <f>+IFERROR(VLOOKUP(D2373,Conceptos_Analítica_contraloría[#All],3,0),"")</f>
        <v/>
      </c>
    </row>
    <row r="2374" spans="3:10" x14ac:dyDescent="0.35">
      <c r="C2374" s="144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s="138" t="str">
        <f>+IFERROR(VLOOKUP(Fact_Analitica[[#This Row],[Concepto Anterior]],Conceptos_Analítica_contraloría[#All],5,0),"")</f>
        <v/>
      </c>
      <c r="F2374" s="138" t="str">
        <f>+IFERROR(VLOOKUP(Fact_Analitica[[#This Row],[Concepto Anterior]],Conceptos_Analítica_contraloría[#All],7,0),"")</f>
        <v/>
      </c>
      <c r="I2374" s="138" t="str">
        <f>+IFERROR(VLOOKUP(D2374,Conceptos_Analítica_contraloría[#All],2,0),"")</f>
        <v/>
      </c>
      <c r="J2374" s="138" t="str">
        <f>+IFERROR(VLOOKUP(D2374,Conceptos_Analítica_contraloría[#All],3,0),"")</f>
        <v/>
      </c>
    </row>
    <row r="2375" spans="3:10" x14ac:dyDescent="0.35">
      <c r="C2375" s="144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s="138" t="str">
        <f>+IFERROR(VLOOKUP(Fact_Analitica[[#This Row],[Concepto Anterior]],Conceptos_Analítica_contraloría[#All],5,0),"")</f>
        <v/>
      </c>
      <c r="F2375" s="138" t="str">
        <f>+IFERROR(VLOOKUP(Fact_Analitica[[#This Row],[Concepto Anterior]],Conceptos_Analítica_contraloría[#All],7,0),"")</f>
        <v/>
      </c>
      <c r="I2375" s="138" t="str">
        <f>+IFERROR(VLOOKUP(D2375,Conceptos_Analítica_contraloría[#All],2,0),"")</f>
        <v/>
      </c>
      <c r="J2375" s="138" t="str">
        <f>+IFERROR(VLOOKUP(D2375,Conceptos_Analítica_contraloría[#All],3,0),"")</f>
        <v/>
      </c>
    </row>
    <row r="2376" spans="3:10" x14ac:dyDescent="0.35">
      <c r="C2376" s="144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s="138" t="str">
        <f>+IFERROR(VLOOKUP(Fact_Analitica[[#This Row],[Concepto Anterior]],Conceptos_Analítica_contraloría[#All],5,0),"")</f>
        <v/>
      </c>
      <c r="F2376" s="138" t="str">
        <f>+IFERROR(VLOOKUP(Fact_Analitica[[#This Row],[Concepto Anterior]],Conceptos_Analítica_contraloría[#All],7,0),"")</f>
        <v/>
      </c>
      <c r="I2376" s="138" t="str">
        <f>+IFERROR(VLOOKUP(D2376,Conceptos_Analítica_contraloría[#All],2,0),"")</f>
        <v/>
      </c>
      <c r="J2376" s="138" t="str">
        <f>+IFERROR(VLOOKUP(D2376,Conceptos_Analítica_contraloría[#All],3,0),"")</f>
        <v/>
      </c>
    </row>
    <row r="2377" spans="3:10" x14ac:dyDescent="0.35">
      <c r="C2377" s="144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s="138" t="str">
        <f>+IFERROR(VLOOKUP(Fact_Analitica[[#This Row],[Concepto Anterior]],Conceptos_Analítica_contraloría[#All],5,0),"")</f>
        <v/>
      </c>
      <c r="F2377" s="138" t="str">
        <f>+IFERROR(VLOOKUP(Fact_Analitica[[#This Row],[Concepto Anterior]],Conceptos_Analítica_contraloría[#All],7,0),"")</f>
        <v/>
      </c>
      <c r="I2377" s="138" t="str">
        <f>+IFERROR(VLOOKUP(D2377,Conceptos_Analítica_contraloría[#All],2,0),"")</f>
        <v/>
      </c>
      <c r="J2377" s="138" t="str">
        <f>+IFERROR(VLOOKUP(D2377,Conceptos_Analítica_contraloría[#All],3,0),"")</f>
        <v/>
      </c>
    </row>
    <row r="2378" spans="3:10" x14ac:dyDescent="0.35">
      <c r="C2378" s="144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s="138" t="str">
        <f>+IFERROR(VLOOKUP(Fact_Analitica[[#This Row],[Concepto Anterior]],Conceptos_Analítica_contraloría[#All],5,0),"")</f>
        <v/>
      </c>
      <c r="F2378" s="138" t="str">
        <f>+IFERROR(VLOOKUP(Fact_Analitica[[#This Row],[Concepto Anterior]],Conceptos_Analítica_contraloría[#All],7,0),"")</f>
        <v/>
      </c>
      <c r="I2378" s="138" t="str">
        <f>+IFERROR(VLOOKUP(D2378,Conceptos_Analítica_contraloría[#All],2,0),"")</f>
        <v/>
      </c>
      <c r="J2378" s="138" t="str">
        <f>+IFERROR(VLOOKUP(D2378,Conceptos_Analítica_contraloría[#All],3,0),"")</f>
        <v/>
      </c>
    </row>
    <row r="2379" spans="3:10" x14ac:dyDescent="0.35">
      <c r="C2379" s="144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s="138" t="str">
        <f>+IFERROR(VLOOKUP(Fact_Analitica[[#This Row],[Concepto Anterior]],Conceptos_Analítica_contraloría[#All],5,0),"")</f>
        <v/>
      </c>
      <c r="F2379" s="138" t="str">
        <f>+IFERROR(VLOOKUP(Fact_Analitica[[#This Row],[Concepto Anterior]],Conceptos_Analítica_contraloría[#All],7,0),"")</f>
        <v/>
      </c>
      <c r="I2379" s="138" t="str">
        <f>+IFERROR(VLOOKUP(D2379,Conceptos_Analítica_contraloría[#All],2,0),"")</f>
        <v/>
      </c>
      <c r="J2379" s="138" t="str">
        <f>+IFERROR(VLOOKUP(D2379,Conceptos_Analítica_contraloría[#All],3,0),"")</f>
        <v/>
      </c>
    </row>
    <row r="2380" spans="3:10" x14ac:dyDescent="0.35">
      <c r="C2380" s="144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s="138" t="str">
        <f>+IFERROR(VLOOKUP(Fact_Analitica[[#This Row],[Concepto Anterior]],Conceptos_Analítica_contraloría[#All],5,0),"")</f>
        <v/>
      </c>
      <c r="F2380" s="138" t="str">
        <f>+IFERROR(VLOOKUP(Fact_Analitica[[#This Row],[Concepto Anterior]],Conceptos_Analítica_contraloría[#All],7,0),"")</f>
        <v/>
      </c>
      <c r="I2380" s="138" t="str">
        <f>+IFERROR(VLOOKUP(D2380,Conceptos_Analítica_contraloría[#All],2,0),"")</f>
        <v/>
      </c>
      <c r="J2380" s="138" t="str">
        <f>+IFERROR(VLOOKUP(D2380,Conceptos_Analítica_contraloría[#All],3,0),"")</f>
        <v/>
      </c>
    </row>
    <row r="2381" spans="3:10" x14ac:dyDescent="0.35">
      <c r="C2381" s="144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s="138" t="str">
        <f>+IFERROR(VLOOKUP(Fact_Analitica[[#This Row],[Concepto Anterior]],Conceptos_Analítica_contraloría[#All],5,0),"")</f>
        <v/>
      </c>
      <c r="F2381" s="138" t="str">
        <f>+IFERROR(VLOOKUP(Fact_Analitica[[#This Row],[Concepto Anterior]],Conceptos_Analítica_contraloría[#All],7,0),"")</f>
        <v/>
      </c>
      <c r="I2381" s="138" t="str">
        <f>+IFERROR(VLOOKUP(D2381,Conceptos_Analítica_contraloría[#All],2,0),"")</f>
        <v/>
      </c>
      <c r="J2381" s="138" t="str">
        <f>+IFERROR(VLOOKUP(D2381,Conceptos_Analítica_contraloría[#All],3,0),"")</f>
        <v/>
      </c>
    </row>
    <row r="2382" spans="3:10" x14ac:dyDescent="0.35">
      <c r="C2382" s="144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s="138" t="str">
        <f>+IFERROR(VLOOKUP(Fact_Analitica[[#This Row],[Concepto Anterior]],Conceptos_Analítica_contraloría[#All],5,0),"")</f>
        <v/>
      </c>
      <c r="F2382" s="138" t="str">
        <f>+IFERROR(VLOOKUP(Fact_Analitica[[#This Row],[Concepto Anterior]],Conceptos_Analítica_contraloría[#All],7,0),"")</f>
        <v/>
      </c>
      <c r="I2382" s="138" t="str">
        <f>+IFERROR(VLOOKUP(D2382,Conceptos_Analítica_contraloría[#All],2,0),"")</f>
        <v/>
      </c>
      <c r="J2382" s="138" t="str">
        <f>+IFERROR(VLOOKUP(D2382,Conceptos_Analítica_contraloría[#All],3,0),"")</f>
        <v/>
      </c>
    </row>
    <row r="2383" spans="3:10" x14ac:dyDescent="0.35">
      <c r="C2383" s="144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s="138" t="str">
        <f>+IFERROR(VLOOKUP(Fact_Analitica[[#This Row],[Concepto Anterior]],Conceptos_Analítica_contraloría[#All],5,0),"")</f>
        <v/>
      </c>
      <c r="F2383" s="138" t="str">
        <f>+IFERROR(VLOOKUP(Fact_Analitica[[#This Row],[Concepto Anterior]],Conceptos_Analítica_contraloría[#All],7,0),"")</f>
        <v/>
      </c>
      <c r="I2383" s="138" t="str">
        <f>+IFERROR(VLOOKUP(D2383,Conceptos_Analítica_contraloría[#All],2,0),"")</f>
        <v/>
      </c>
      <c r="J2383" s="138" t="str">
        <f>+IFERROR(VLOOKUP(D2383,Conceptos_Analítica_contraloría[#All],3,0),"")</f>
        <v/>
      </c>
    </row>
    <row r="2384" spans="3:10" x14ac:dyDescent="0.35">
      <c r="C2384" s="144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s="138" t="str">
        <f>+IFERROR(VLOOKUP(Fact_Analitica[[#This Row],[Concepto Anterior]],Conceptos_Analítica_contraloría[#All],5,0),"")</f>
        <v/>
      </c>
      <c r="F2384" s="138" t="str">
        <f>+IFERROR(VLOOKUP(Fact_Analitica[[#This Row],[Concepto Anterior]],Conceptos_Analítica_contraloría[#All],7,0),"")</f>
        <v/>
      </c>
      <c r="I2384" s="138" t="str">
        <f>+IFERROR(VLOOKUP(D2384,Conceptos_Analítica_contraloría[#All],2,0),"")</f>
        <v/>
      </c>
      <c r="J2384" s="138" t="str">
        <f>+IFERROR(VLOOKUP(D2384,Conceptos_Analítica_contraloría[#All],3,0),"")</f>
        <v/>
      </c>
    </row>
    <row r="2385" spans="3:10" x14ac:dyDescent="0.35">
      <c r="C2385" s="144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s="138" t="str">
        <f>+IFERROR(VLOOKUP(Fact_Analitica[[#This Row],[Concepto Anterior]],Conceptos_Analítica_contraloría[#All],5,0),"")</f>
        <v/>
      </c>
      <c r="F2385" s="138" t="str">
        <f>+IFERROR(VLOOKUP(Fact_Analitica[[#This Row],[Concepto Anterior]],Conceptos_Analítica_contraloría[#All],7,0),"")</f>
        <v/>
      </c>
      <c r="I2385" s="138" t="str">
        <f>+IFERROR(VLOOKUP(D2385,Conceptos_Analítica_contraloría[#All],2,0),"")</f>
        <v/>
      </c>
      <c r="J2385" s="138" t="str">
        <f>+IFERROR(VLOOKUP(D2385,Conceptos_Analítica_contraloría[#All],3,0),"")</f>
        <v/>
      </c>
    </row>
    <row r="2386" spans="3:10" x14ac:dyDescent="0.35">
      <c r="C2386" s="144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s="138" t="str">
        <f>+IFERROR(VLOOKUP(Fact_Analitica[[#This Row],[Concepto Anterior]],Conceptos_Analítica_contraloría[#All],5,0),"")</f>
        <v/>
      </c>
      <c r="F2386" s="138" t="str">
        <f>+IFERROR(VLOOKUP(Fact_Analitica[[#This Row],[Concepto Anterior]],Conceptos_Analítica_contraloría[#All],7,0),"")</f>
        <v/>
      </c>
      <c r="I2386" s="138" t="str">
        <f>+IFERROR(VLOOKUP(D2386,Conceptos_Analítica_contraloría[#All],2,0),"")</f>
        <v/>
      </c>
      <c r="J2386" s="138" t="str">
        <f>+IFERROR(VLOOKUP(D2386,Conceptos_Analítica_contraloría[#All],3,0),"")</f>
        <v/>
      </c>
    </row>
    <row r="2387" spans="3:10" x14ac:dyDescent="0.35">
      <c r="C2387" s="144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s="138" t="str">
        <f>+IFERROR(VLOOKUP(Fact_Analitica[[#This Row],[Concepto Anterior]],Conceptos_Analítica_contraloría[#All],5,0),"")</f>
        <v/>
      </c>
      <c r="F2387" s="138" t="str">
        <f>+IFERROR(VLOOKUP(Fact_Analitica[[#This Row],[Concepto Anterior]],Conceptos_Analítica_contraloría[#All],7,0),"")</f>
        <v/>
      </c>
      <c r="I2387" s="138" t="str">
        <f>+IFERROR(VLOOKUP(D2387,Conceptos_Analítica_contraloría[#All],2,0),"")</f>
        <v/>
      </c>
      <c r="J2387" s="138" t="str">
        <f>+IFERROR(VLOOKUP(D2387,Conceptos_Analítica_contraloría[#All],3,0),"")</f>
        <v/>
      </c>
    </row>
    <row r="2388" spans="3:10" x14ac:dyDescent="0.35">
      <c r="C2388" s="144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s="138" t="str">
        <f>+IFERROR(VLOOKUP(Fact_Analitica[[#This Row],[Concepto Anterior]],Conceptos_Analítica_contraloría[#All],5,0),"")</f>
        <v/>
      </c>
      <c r="F2388" s="138" t="str">
        <f>+IFERROR(VLOOKUP(Fact_Analitica[[#This Row],[Concepto Anterior]],Conceptos_Analítica_contraloría[#All],7,0),"")</f>
        <v/>
      </c>
      <c r="I2388" s="138" t="str">
        <f>+IFERROR(VLOOKUP(D2388,Conceptos_Analítica_contraloría[#All],2,0),"")</f>
        <v/>
      </c>
      <c r="J2388" s="138" t="str">
        <f>+IFERROR(VLOOKUP(D2388,Conceptos_Analítica_contraloría[#All],3,0),"")</f>
        <v/>
      </c>
    </row>
    <row r="2389" spans="3:10" x14ac:dyDescent="0.35">
      <c r="C2389" s="144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s="138" t="str">
        <f>+IFERROR(VLOOKUP(Fact_Analitica[[#This Row],[Concepto Anterior]],Conceptos_Analítica_contraloría[#All],5,0),"")</f>
        <v/>
      </c>
      <c r="F2389" s="138" t="str">
        <f>+IFERROR(VLOOKUP(Fact_Analitica[[#This Row],[Concepto Anterior]],Conceptos_Analítica_contraloría[#All],7,0),"")</f>
        <v/>
      </c>
      <c r="I2389" s="138" t="str">
        <f>+IFERROR(VLOOKUP(D2389,Conceptos_Analítica_contraloría[#All],2,0),"")</f>
        <v/>
      </c>
      <c r="J2389" s="138" t="str">
        <f>+IFERROR(VLOOKUP(D2389,Conceptos_Analítica_contraloría[#All],3,0),"")</f>
        <v/>
      </c>
    </row>
    <row r="2390" spans="3:10" x14ac:dyDescent="0.35">
      <c r="C2390" s="144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s="138" t="str">
        <f>+IFERROR(VLOOKUP(Fact_Analitica[[#This Row],[Concepto Anterior]],Conceptos_Analítica_contraloría[#All],5,0),"")</f>
        <v/>
      </c>
      <c r="F2390" s="138" t="str">
        <f>+IFERROR(VLOOKUP(Fact_Analitica[[#This Row],[Concepto Anterior]],Conceptos_Analítica_contraloría[#All],7,0),"")</f>
        <v/>
      </c>
      <c r="I2390" s="138" t="str">
        <f>+IFERROR(VLOOKUP(D2390,Conceptos_Analítica_contraloría[#All],2,0),"")</f>
        <v/>
      </c>
      <c r="J2390" s="138" t="str">
        <f>+IFERROR(VLOOKUP(D2390,Conceptos_Analítica_contraloría[#All],3,0),"")</f>
        <v/>
      </c>
    </row>
    <row r="2391" spans="3:10" x14ac:dyDescent="0.35">
      <c r="C2391" s="144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s="138" t="str">
        <f>+IFERROR(VLOOKUP(Fact_Analitica[[#This Row],[Concepto Anterior]],Conceptos_Analítica_contraloría[#All],5,0),"")</f>
        <v/>
      </c>
      <c r="F2391" s="138" t="str">
        <f>+IFERROR(VLOOKUP(Fact_Analitica[[#This Row],[Concepto Anterior]],Conceptos_Analítica_contraloría[#All],7,0),"")</f>
        <v/>
      </c>
      <c r="I2391" s="138" t="str">
        <f>+IFERROR(VLOOKUP(D2391,Conceptos_Analítica_contraloría[#All],2,0),"")</f>
        <v/>
      </c>
      <c r="J2391" s="138" t="str">
        <f>+IFERROR(VLOOKUP(D2391,Conceptos_Analítica_contraloría[#All],3,0),"")</f>
        <v/>
      </c>
    </row>
    <row r="2392" spans="3:10" x14ac:dyDescent="0.35">
      <c r="C2392" s="144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s="138" t="str">
        <f>+IFERROR(VLOOKUP(Fact_Analitica[[#This Row],[Concepto Anterior]],Conceptos_Analítica_contraloría[#All],5,0),"")</f>
        <v/>
      </c>
      <c r="F2392" s="138" t="str">
        <f>+IFERROR(VLOOKUP(Fact_Analitica[[#This Row],[Concepto Anterior]],Conceptos_Analítica_contraloría[#All],7,0),"")</f>
        <v/>
      </c>
      <c r="I2392" s="138" t="str">
        <f>+IFERROR(VLOOKUP(D2392,Conceptos_Analítica_contraloría[#All],2,0),"")</f>
        <v/>
      </c>
      <c r="J2392" s="138" t="str">
        <f>+IFERROR(VLOOKUP(D2392,Conceptos_Analítica_contraloría[#All],3,0),"")</f>
        <v/>
      </c>
    </row>
    <row r="2393" spans="3:10" x14ac:dyDescent="0.35">
      <c r="C2393" s="144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s="138" t="str">
        <f>+IFERROR(VLOOKUP(Fact_Analitica[[#This Row],[Concepto Anterior]],Conceptos_Analítica_contraloría[#All],5,0),"")</f>
        <v/>
      </c>
      <c r="F2393" s="138" t="str">
        <f>+IFERROR(VLOOKUP(Fact_Analitica[[#This Row],[Concepto Anterior]],Conceptos_Analítica_contraloría[#All],7,0),"")</f>
        <v/>
      </c>
      <c r="I2393" s="138" t="str">
        <f>+IFERROR(VLOOKUP(D2393,Conceptos_Analítica_contraloría[#All],2,0),"")</f>
        <v/>
      </c>
      <c r="J2393" s="138" t="str">
        <f>+IFERROR(VLOOKUP(D2393,Conceptos_Analítica_contraloría[#All],3,0),"")</f>
        <v/>
      </c>
    </row>
    <row r="2394" spans="3:10" x14ac:dyDescent="0.35">
      <c r="C2394" s="144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s="138" t="str">
        <f>+IFERROR(VLOOKUP(Fact_Analitica[[#This Row],[Concepto Anterior]],Conceptos_Analítica_contraloría[#All],5,0),"")</f>
        <v/>
      </c>
      <c r="F2394" s="138" t="str">
        <f>+IFERROR(VLOOKUP(Fact_Analitica[[#This Row],[Concepto Anterior]],Conceptos_Analítica_contraloría[#All],7,0),"")</f>
        <v/>
      </c>
      <c r="I2394" s="138" t="str">
        <f>+IFERROR(VLOOKUP(D2394,Conceptos_Analítica_contraloría[#All],2,0),"")</f>
        <v/>
      </c>
      <c r="J2394" s="138" t="str">
        <f>+IFERROR(VLOOKUP(D2394,Conceptos_Analítica_contraloría[#All],3,0),"")</f>
        <v/>
      </c>
    </row>
    <row r="2395" spans="3:10" x14ac:dyDescent="0.35">
      <c r="C2395" s="144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s="138" t="str">
        <f>+IFERROR(VLOOKUP(Fact_Analitica[[#This Row],[Concepto Anterior]],Conceptos_Analítica_contraloría[#All],5,0),"")</f>
        <v/>
      </c>
      <c r="F2395" s="138" t="str">
        <f>+IFERROR(VLOOKUP(Fact_Analitica[[#This Row],[Concepto Anterior]],Conceptos_Analítica_contraloría[#All],7,0),"")</f>
        <v/>
      </c>
      <c r="I2395" s="138" t="str">
        <f>+IFERROR(VLOOKUP(D2395,Conceptos_Analítica_contraloría[#All],2,0),"")</f>
        <v/>
      </c>
      <c r="J2395" s="138" t="str">
        <f>+IFERROR(VLOOKUP(D2395,Conceptos_Analítica_contraloría[#All],3,0),"")</f>
        <v/>
      </c>
    </row>
    <row r="2396" spans="3:10" x14ac:dyDescent="0.35">
      <c r="C2396" s="144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s="138" t="str">
        <f>+IFERROR(VLOOKUP(Fact_Analitica[[#This Row],[Concepto Anterior]],Conceptos_Analítica_contraloría[#All],5,0),"")</f>
        <v/>
      </c>
      <c r="F2396" s="138" t="str">
        <f>+IFERROR(VLOOKUP(Fact_Analitica[[#This Row],[Concepto Anterior]],Conceptos_Analítica_contraloría[#All],7,0),"")</f>
        <v/>
      </c>
      <c r="I2396" s="138" t="str">
        <f>+IFERROR(VLOOKUP(D2396,Conceptos_Analítica_contraloría[#All],2,0),"")</f>
        <v/>
      </c>
      <c r="J2396" s="138" t="str">
        <f>+IFERROR(VLOOKUP(D2396,Conceptos_Analítica_contraloría[#All],3,0),"")</f>
        <v/>
      </c>
    </row>
    <row r="2397" spans="3:10" x14ac:dyDescent="0.35">
      <c r="C2397" s="144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s="138" t="str">
        <f>+IFERROR(VLOOKUP(Fact_Analitica[[#This Row],[Concepto Anterior]],Conceptos_Analítica_contraloría[#All],5,0),"")</f>
        <v/>
      </c>
      <c r="F2397" s="138" t="str">
        <f>+IFERROR(VLOOKUP(Fact_Analitica[[#This Row],[Concepto Anterior]],Conceptos_Analítica_contraloría[#All],7,0),"")</f>
        <v/>
      </c>
      <c r="I2397" s="138" t="str">
        <f>+IFERROR(VLOOKUP(D2397,Conceptos_Analítica_contraloría[#All],2,0),"")</f>
        <v/>
      </c>
      <c r="J2397" s="138" t="str">
        <f>+IFERROR(VLOOKUP(D2397,Conceptos_Analítica_contraloría[#All],3,0),"")</f>
        <v/>
      </c>
    </row>
    <row r="2398" spans="3:10" x14ac:dyDescent="0.35">
      <c r="C2398" s="144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s="138" t="str">
        <f>+IFERROR(VLOOKUP(Fact_Analitica[[#This Row],[Concepto Anterior]],Conceptos_Analítica_contraloría[#All],5,0),"")</f>
        <v/>
      </c>
      <c r="F2398" s="138" t="str">
        <f>+IFERROR(VLOOKUP(Fact_Analitica[[#This Row],[Concepto Anterior]],Conceptos_Analítica_contraloría[#All],7,0),"")</f>
        <v/>
      </c>
      <c r="I2398" s="138" t="str">
        <f>+IFERROR(VLOOKUP(D2398,Conceptos_Analítica_contraloría[#All],2,0),"")</f>
        <v/>
      </c>
      <c r="J2398" s="138" t="str">
        <f>+IFERROR(VLOOKUP(D2398,Conceptos_Analítica_contraloría[#All],3,0),"")</f>
        <v/>
      </c>
    </row>
    <row r="2399" spans="3:10" x14ac:dyDescent="0.35">
      <c r="C2399" s="144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s="138" t="str">
        <f>+IFERROR(VLOOKUP(Fact_Analitica[[#This Row],[Concepto Anterior]],Conceptos_Analítica_contraloría[#All],5,0),"")</f>
        <v/>
      </c>
      <c r="F2399" s="138" t="str">
        <f>+IFERROR(VLOOKUP(Fact_Analitica[[#This Row],[Concepto Anterior]],Conceptos_Analítica_contraloría[#All],7,0),"")</f>
        <v/>
      </c>
      <c r="I2399" s="138" t="str">
        <f>+IFERROR(VLOOKUP(D2399,Conceptos_Analítica_contraloría[#All],2,0),"")</f>
        <v/>
      </c>
      <c r="J2399" s="138" t="str">
        <f>+IFERROR(VLOOKUP(D2399,Conceptos_Analítica_contraloría[#All],3,0),"")</f>
        <v/>
      </c>
    </row>
    <row r="2400" spans="3:10" x14ac:dyDescent="0.35">
      <c r="C2400" s="144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s="138" t="str">
        <f>+IFERROR(VLOOKUP(Fact_Analitica[[#This Row],[Concepto Anterior]],Conceptos_Analítica_contraloría[#All],5,0),"")</f>
        <v/>
      </c>
      <c r="F2400" s="138" t="str">
        <f>+IFERROR(VLOOKUP(Fact_Analitica[[#This Row],[Concepto Anterior]],Conceptos_Analítica_contraloría[#All],7,0),"")</f>
        <v/>
      </c>
      <c r="I2400" s="138" t="str">
        <f>+IFERROR(VLOOKUP(D2400,Conceptos_Analítica_contraloría[#All],2,0),"")</f>
        <v/>
      </c>
      <c r="J2400" s="138" t="str">
        <f>+IFERROR(VLOOKUP(D2400,Conceptos_Analítica_contraloría[#All],3,0),"")</f>
        <v/>
      </c>
    </row>
    <row r="2401" spans="3:10" x14ac:dyDescent="0.35">
      <c r="C2401" s="144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s="138" t="str">
        <f>+IFERROR(VLOOKUP(Fact_Analitica[[#This Row],[Concepto Anterior]],Conceptos_Analítica_contraloría[#All],5,0),"")</f>
        <v/>
      </c>
      <c r="F2401" s="138" t="str">
        <f>+IFERROR(VLOOKUP(Fact_Analitica[[#This Row],[Concepto Anterior]],Conceptos_Analítica_contraloría[#All],7,0),"")</f>
        <v/>
      </c>
      <c r="I2401" s="138" t="str">
        <f>+IFERROR(VLOOKUP(D2401,Conceptos_Analítica_contraloría[#All],2,0),"")</f>
        <v/>
      </c>
      <c r="J2401" s="138" t="str">
        <f>+IFERROR(VLOOKUP(D2401,Conceptos_Analítica_contraloría[#All],3,0),"")</f>
        <v/>
      </c>
    </row>
    <row r="2402" spans="3:10" x14ac:dyDescent="0.35">
      <c r="C2402" s="144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s="138" t="str">
        <f>+IFERROR(VLOOKUP(Fact_Analitica[[#This Row],[Concepto Anterior]],Conceptos_Analítica_contraloría[#All],5,0),"")</f>
        <v/>
      </c>
      <c r="F2402" s="138" t="str">
        <f>+IFERROR(VLOOKUP(Fact_Analitica[[#This Row],[Concepto Anterior]],Conceptos_Analítica_contraloría[#All],7,0),"")</f>
        <v/>
      </c>
      <c r="I2402" s="138" t="str">
        <f>+IFERROR(VLOOKUP(D2402,Conceptos_Analítica_contraloría[#All],2,0),"")</f>
        <v/>
      </c>
      <c r="J2402" s="138" t="str">
        <f>+IFERROR(VLOOKUP(D2402,Conceptos_Analítica_contraloría[#All],3,0),"")</f>
        <v/>
      </c>
    </row>
    <row r="2403" spans="3:10" x14ac:dyDescent="0.35">
      <c r="C2403" s="144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s="138" t="str">
        <f>+IFERROR(VLOOKUP(Fact_Analitica[[#This Row],[Concepto Anterior]],Conceptos_Analítica_contraloría[#All],5,0),"")</f>
        <v/>
      </c>
      <c r="F2403" s="138" t="str">
        <f>+IFERROR(VLOOKUP(Fact_Analitica[[#This Row],[Concepto Anterior]],Conceptos_Analítica_contraloría[#All],7,0),"")</f>
        <v/>
      </c>
      <c r="I2403" s="138" t="str">
        <f>+IFERROR(VLOOKUP(D2403,Conceptos_Analítica_contraloría[#All],2,0),"")</f>
        <v/>
      </c>
      <c r="J2403" s="138" t="str">
        <f>+IFERROR(VLOOKUP(D2403,Conceptos_Analítica_contraloría[#All],3,0),"")</f>
        <v/>
      </c>
    </row>
    <row r="2404" spans="3:10" x14ac:dyDescent="0.35">
      <c r="C2404" s="144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s="138" t="str">
        <f>+IFERROR(VLOOKUP(Fact_Analitica[[#This Row],[Concepto Anterior]],Conceptos_Analítica_contraloría[#All],5,0),"")</f>
        <v/>
      </c>
      <c r="F2404" s="138" t="str">
        <f>+IFERROR(VLOOKUP(Fact_Analitica[[#This Row],[Concepto Anterior]],Conceptos_Analítica_contraloría[#All],7,0),"")</f>
        <v/>
      </c>
      <c r="I2404" s="138" t="str">
        <f>+IFERROR(VLOOKUP(D2404,Conceptos_Analítica_contraloría[#All],2,0),"")</f>
        <v/>
      </c>
      <c r="J2404" s="138" t="str">
        <f>+IFERROR(VLOOKUP(D2404,Conceptos_Analítica_contraloría[#All],3,0),"")</f>
        <v/>
      </c>
    </row>
    <row r="2405" spans="3:10" x14ac:dyDescent="0.35">
      <c r="C2405" s="144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s="138" t="str">
        <f>+IFERROR(VLOOKUP(Fact_Analitica[[#This Row],[Concepto Anterior]],Conceptos_Analítica_contraloría[#All],5,0),"")</f>
        <v/>
      </c>
      <c r="F2405" s="138" t="str">
        <f>+IFERROR(VLOOKUP(Fact_Analitica[[#This Row],[Concepto Anterior]],Conceptos_Analítica_contraloría[#All],7,0),"")</f>
        <v/>
      </c>
      <c r="I2405" s="138" t="str">
        <f>+IFERROR(VLOOKUP(D2405,Conceptos_Analítica_contraloría[#All],2,0),"")</f>
        <v/>
      </c>
      <c r="J2405" s="138" t="str">
        <f>+IFERROR(VLOOKUP(D2405,Conceptos_Analítica_contraloría[#All],3,0),"")</f>
        <v/>
      </c>
    </row>
    <row r="2406" spans="3:10" x14ac:dyDescent="0.35">
      <c r="C2406" s="144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s="138" t="str">
        <f>+IFERROR(VLOOKUP(Fact_Analitica[[#This Row],[Concepto Anterior]],Conceptos_Analítica_contraloría[#All],5,0),"")</f>
        <v/>
      </c>
      <c r="F2406" s="138" t="str">
        <f>+IFERROR(VLOOKUP(Fact_Analitica[[#This Row],[Concepto Anterior]],Conceptos_Analítica_contraloría[#All],7,0),"")</f>
        <v/>
      </c>
      <c r="I2406" s="138" t="str">
        <f>+IFERROR(VLOOKUP(D2406,Conceptos_Analítica_contraloría[#All],2,0),"")</f>
        <v/>
      </c>
      <c r="J2406" s="138" t="str">
        <f>+IFERROR(VLOOKUP(D2406,Conceptos_Analítica_contraloría[#All],3,0),"")</f>
        <v/>
      </c>
    </row>
    <row r="2407" spans="3:10" x14ac:dyDescent="0.35">
      <c r="C2407" s="144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s="138" t="str">
        <f>+IFERROR(VLOOKUP(Fact_Analitica[[#This Row],[Concepto Anterior]],Conceptos_Analítica_contraloría[#All],5,0),"")</f>
        <v/>
      </c>
      <c r="F2407" s="138" t="str">
        <f>+IFERROR(VLOOKUP(Fact_Analitica[[#This Row],[Concepto Anterior]],Conceptos_Analítica_contraloría[#All],7,0),"")</f>
        <v/>
      </c>
      <c r="I2407" s="138" t="str">
        <f>+IFERROR(VLOOKUP(D2407,Conceptos_Analítica_contraloría[#All],2,0),"")</f>
        <v/>
      </c>
      <c r="J2407" s="138" t="str">
        <f>+IFERROR(VLOOKUP(D2407,Conceptos_Analítica_contraloría[#All],3,0),"")</f>
        <v/>
      </c>
    </row>
    <row r="2408" spans="3:10" x14ac:dyDescent="0.35">
      <c r="C2408" s="144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s="138" t="str">
        <f>+IFERROR(VLOOKUP(Fact_Analitica[[#This Row],[Concepto Anterior]],Conceptos_Analítica_contraloría[#All],5,0),"")</f>
        <v/>
      </c>
      <c r="F2408" s="138" t="str">
        <f>+IFERROR(VLOOKUP(Fact_Analitica[[#This Row],[Concepto Anterior]],Conceptos_Analítica_contraloría[#All],7,0),"")</f>
        <v/>
      </c>
      <c r="I2408" s="138" t="str">
        <f>+IFERROR(VLOOKUP(D2408,Conceptos_Analítica_contraloría[#All],2,0),"")</f>
        <v/>
      </c>
      <c r="J2408" s="138" t="str">
        <f>+IFERROR(VLOOKUP(D2408,Conceptos_Analítica_contraloría[#All],3,0),"")</f>
        <v/>
      </c>
    </row>
    <row r="2409" spans="3:10" x14ac:dyDescent="0.35">
      <c r="C2409" s="144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s="138" t="str">
        <f>+IFERROR(VLOOKUP(Fact_Analitica[[#This Row],[Concepto Anterior]],Conceptos_Analítica_contraloría[#All],5,0),"")</f>
        <v/>
      </c>
      <c r="F2409" s="138" t="str">
        <f>+IFERROR(VLOOKUP(Fact_Analitica[[#This Row],[Concepto Anterior]],Conceptos_Analítica_contraloría[#All],7,0),"")</f>
        <v/>
      </c>
      <c r="I2409" s="138" t="str">
        <f>+IFERROR(VLOOKUP(D2409,Conceptos_Analítica_contraloría[#All],2,0),"")</f>
        <v/>
      </c>
      <c r="J2409" s="138" t="str">
        <f>+IFERROR(VLOOKUP(D2409,Conceptos_Analítica_contraloría[#All],3,0),"")</f>
        <v/>
      </c>
    </row>
    <row r="2410" spans="3:10" x14ac:dyDescent="0.35">
      <c r="C2410" s="144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s="138" t="str">
        <f>+IFERROR(VLOOKUP(Fact_Analitica[[#This Row],[Concepto Anterior]],Conceptos_Analítica_contraloría[#All],5,0),"")</f>
        <v/>
      </c>
      <c r="F2410" s="138" t="str">
        <f>+IFERROR(VLOOKUP(Fact_Analitica[[#This Row],[Concepto Anterior]],Conceptos_Analítica_contraloría[#All],7,0),"")</f>
        <v/>
      </c>
      <c r="I2410" s="138" t="str">
        <f>+IFERROR(VLOOKUP(D2410,Conceptos_Analítica_contraloría[#All],2,0),"")</f>
        <v/>
      </c>
      <c r="J2410" s="138" t="str">
        <f>+IFERROR(VLOOKUP(D2410,Conceptos_Analítica_contraloría[#All],3,0),"")</f>
        <v/>
      </c>
    </row>
    <row r="2411" spans="3:10" x14ac:dyDescent="0.35">
      <c r="C2411" s="144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s="138" t="str">
        <f>+IFERROR(VLOOKUP(Fact_Analitica[[#This Row],[Concepto Anterior]],Conceptos_Analítica_contraloría[#All],5,0),"")</f>
        <v/>
      </c>
      <c r="F2411" s="138" t="str">
        <f>+IFERROR(VLOOKUP(Fact_Analitica[[#This Row],[Concepto Anterior]],Conceptos_Analítica_contraloría[#All],7,0),"")</f>
        <v/>
      </c>
      <c r="I2411" s="138" t="str">
        <f>+IFERROR(VLOOKUP(D2411,Conceptos_Analítica_contraloría[#All],2,0),"")</f>
        <v/>
      </c>
      <c r="J2411" s="138" t="str">
        <f>+IFERROR(VLOOKUP(D2411,Conceptos_Analítica_contraloría[#All],3,0),"")</f>
        <v/>
      </c>
    </row>
    <row r="2412" spans="3:10" x14ac:dyDescent="0.35">
      <c r="C2412" s="144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s="138" t="str">
        <f>+IFERROR(VLOOKUP(Fact_Analitica[[#This Row],[Concepto Anterior]],Conceptos_Analítica_contraloría[#All],5,0),"")</f>
        <v/>
      </c>
      <c r="F2412" s="138" t="str">
        <f>+IFERROR(VLOOKUP(Fact_Analitica[[#This Row],[Concepto Anterior]],Conceptos_Analítica_contraloría[#All],7,0),"")</f>
        <v/>
      </c>
      <c r="I2412" s="138" t="str">
        <f>+IFERROR(VLOOKUP(D2412,Conceptos_Analítica_contraloría[#All],2,0),"")</f>
        <v/>
      </c>
      <c r="J2412" s="138" t="str">
        <f>+IFERROR(VLOOKUP(D2412,Conceptos_Analítica_contraloría[#All],3,0),"")</f>
        <v/>
      </c>
    </row>
    <row r="2413" spans="3:10" x14ac:dyDescent="0.35">
      <c r="C2413" s="144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s="138" t="str">
        <f>+IFERROR(VLOOKUP(Fact_Analitica[[#This Row],[Concepto Anterior]],Conceptos_Analítica_contraloría[#All],5,0),"")</f>
        <v/>
      </c>
      <c r="F2413" s="138" t="str">
        <f>+IFERROR(VLOOKUP(Fact_Analitica[[#This Row],[Concepto Anterior]],Conceptos_Analítica_contraloría[#All],7,0),"")</f>
        <v/>
      </c>
      <c r="I2413" s="138" t="str">
        <f>+IFERROR(VLOOKUP(D2413,Conceptos_Analítica_contraloría[#All],2,0),"")</f>
        <v/>
      </c>
      <c r="J2413" s="138" t="str">
        <f>+IFERROR(VLOOKUP(D2413,Conceptos_Analítica_contraloría[#All],3,0),"")</f>
        <v/>
      </c>
    </row>
    <row r="2414" spans="3:10" x14ac:dyDescent="0.35">
      <c r="C2414" s="144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s="138" t="str">
        <f>+IFERROR(VLOOKUP(Fact_Analitica[[#This Row],[Concepto Anterior]],Conceptos_Analítica_contraloría[#All],5,0),"")</f>
        <v/>
      </c>
      <c r="F2414" s="138" t="str">
        <f>+IFERROR(VLOOKUP(Fact_Analitica[[#This Row],[Concepto Anterior]],Conceptos_Analítica_contraloría[#All],7,0),"")</f>
        <v/>
      </c>
      <c r="I2414" s="138" t="str">
        <f>+IFERROR(VLOOKUP(D2414,Conceptos_Analítica_contraloría[#All],2,0),"")</f>
        <v/>
      </c>
      <c r="J2414" s="138" t="str">
        <f>+IFERROR(VLOOKUP(D2414,Conceptos_Analítica_contraloría[#All],3,0),"")</f>
        <v/>
      </c>
    </row>
    <row r="2415" spans="3:10" x14ac:dyDescent="0.35">
      <c r="C2415" s="144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s="138" t="str">
        <f>+IFERROR(VLOOKUP(Fact_Analitica[[#This Row],[Concepto Anterior]],Conceptos_Analítica_contraloría[#All],5,0),"")</f>
        <v/>
      </c>
      <c r="F2415" s="138" t="str">
        <f>+IFERROR(VLOOKUP(Fact_Analitica[[#This Row],[Concepto Anterior]],Conceptos_Analítica_contraloría[#All],7,0),"")</f>
        <v/>
      </c>
      <c r="I2415" s="138" t="str">
        <f>+IFERROR(VLOOKUP(D2415,Conceptos_Analítica_contraloría[#All],2,0),"")</f>
        <v/>
      </c>
      <c r="J2415" s="138" t="str">
        <f>+IFERROR(VLOOKUP(D2415,Conceptos_Analítica_contraloría[#All],3,0),"")</f>
        <v/>
      </c>
    </row>
    <row r="2416" spans="3:10" x14ac:dyDescent="0.35">
      <c r="C2416" s="144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s="138" t="str">
        <f>+IFERROR(VLOOKUP(Fact_Analitica[[#This Row],[Concepto Anterior]],Conceptos_Analítica_contraloría[#All],5,0),"")</f>
        <v/>
      </c>
      <c r="F2416" s="138" t="str">
        <f>+IFERROR(VLOOKUP(Fact_Analitica[[#This Row],[Concepto Anterior]],Conceptos_Analítica_contraloría[#All],7,0),"")</f>
        <v/>
      </c>
      <c r="I2416" s="138" t="str">
        <f>+IFERROR(VLOOKUP(D2416,Conceptos_Analítica_contraloría[#All],2,0),"")</f>
        <v/>
      </c>
      <c r="J2416" s="138" t="str">
        <f>+IFERROR(VLOOKUP(D2416,Conceptos_Analítica_contraloría[#All],3,0),"")</f>
        <v/>
      </c>
    </row>
    <row r="2417" spans="3:10" x14ac:dyDescent="0.35">
      <c r="C2417" s="144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s="138" t="str">
        <f>+IFERROR(VLOOKUP(Fact_Analitica[[#This Row],[Concepto Anterior]],Conceptos_Analítica_contraloría[#All],5,0),"")</f>
        <v/>
      </c>
      <c r="F2417" s="138" t="str">
        <f>+IFERROR(VLOOKUP(Fact_Analitica[[#This Row],[Concepto Anterior]],Conceptos_Analítica_contraloría[#All],7,0),"")</f>
        <v/>
      </c>
      <c r="I2417" s="138" t="str">
        <f>+IFERROR(VLOOKUP(D2417,Conceptos_Analítica_contraloría[#All],2,0),"")</f>
        <v/>
      </c>
      <c r="J2417" s="138" t="str">
        <f>+IFERROR(VLOOKUP(D2417,Conceptos_Analítica_contraloría[#All],3,0),"")</f>
        <v/>
      </c>
    </row>
    <row r="2418" spans="3:10" x14ac:dyDescent="0.35">
      <c r="C2418" s="144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s="138" t="str">
        <f>+IFERROR(VLOOKUP(Fact_Analitica[[#This Row],[Concepto Anterior]],Conceptos_Analítica_contraloría[#All],5,0),"")</f>
        <v/>
      </c>
      <c r="F2418" s="138" t="str">
        <f>+IFERROR(VLOOKUP(Fact_Analitica[[#This Row],[Concepto Anterior]],Conceptos_Analítica_contraloría[#All],7,0),"")</f>
        <v/>
      </c>
      <c r="I2418" s="138" t="str">
        <f>+IFERROR(VLOOKUP(D2418,Conceptos_Analítica_contraloría[#All],2,0),"")</f>
        <v/>
      </c>
      <c r="J2418" s="138" t="str">
        <f>+IFERROR(VLOOKUP(D2418,Conceptos_Analítica_contraloría[#All],3,0),"")</f>
        <v/>
      </c>
    </row>
    <row r="2419" spans="3:10" x14ac:dyDescent="0.35">
      <c r="C2419" s="144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s="138" t="str">
        <f>+IFERROR(VLOOKUP(Fact_Analitica[[#This Row],[Concepto Anterior]],Conceptos_Analítica_contraloría[#All],5,0),"")</f>
        <v/>
      </c>
      <c r="F2419" s="138" t="str">
        <f>+IFERROR(VLOOKUP(Fact_Analitica[[#This Row],[Concepto Anterior]],Conceptos_Analítica_contraloría[#All],7,0),"")</f>
        <v/>
      </c>
      <c r="I2419" s="138" t="str">
        <f>+IFERROR(VLOOKUP(D2419,Conceptos_Analítica_contraloría[#All],2,0),"")</f>
        <v/>
      </c>
      <c r="J2419" s="138" t="str">
        <f>+IFERROR(VLOOKUP(D2419,Conceptos_Analítica_contraloría[#All],3,0),"")</f>
        <v/>
      </c>
    </row>
    <row r="2420" spans="3:10" x14ac:dyDescent="0.35">
      <c r="C2420" s="144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s="138" t="str">
        <f>+IFERROR(VLOOKUP(Fact_Analitica[[#This Row],[Concepto Anterior]],Conceptos_Analítica_contraloría[#All],5,0),"")</f>
        <v/>
      </c>
      <c r="F2420" s="138" t="str">
        <f>+IFERROR(VLOOKUP(Fact_Analitica[[#This Row],[Concepto Anterior]],Conceptos_Analítica_contraloría[#All],7,0),"")</f>
        <v/>
      </c>
      <c r="I2420" s="138" t="str">
        <f>+IFERROR(VLOOKUP(D2420,Conceptos_Analítica_contraloría[#All],2,0),"")</f>
        <v/>
      </c>
      <c r="J2420" s="138" t="str">
        <f>+IFERROR(VLOOKUP(D2420,Conceptos_Analítica_contraloría[#All],3,0),"")</f>
        <v/>
      </c>
    </row>
    <row r="2421" spans="3:10" x14ac:dyDescent="0.35">
      <c r="C2421" s="144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s="138" t="str">
        <f>+IFERROR(VLOOKUP(Fact_Analitica[[#This Row],[Concepto Anterior]],Conceptos_Analítica_contraloría[#All],5,0),"")</f>
        <v/>
      </c>
      <c r="F2421" s="138" t="str">
        <f>+IFERROR(VLOOKUP(Fact_Analitica[[#This Row],[Concepto Anterior]],Conceptos_Analítica_contraloría[#All],7,0),"")</f>
        <v/>
      </c>
      <c r="I2421" s="138" t="str">
        <f>+IFERROR(VLOOKUP(D2421,Conceptos_Analítica_contraloría[#All],2,0),"")</f>
        <v/>
      </c>
      <c r="J2421" s="138" t="str">
        <f>+IFERROR(VLOOKUP(D2421,Conceptos_Analítica_contraloría[#All],3,0),"")</f>
        <v/>
      </c>
    </row>
    <row r="2422" spans="3:10" x14ac:dyDescent="0.35">
      <c r="C2422" s="144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s="138" t="str">
        <f>+IFERROR(VLOOKUP(Fact_Analitica[[#This Row],[Concepto Anterior]],Conceptos_Analítica_contraloría[#All],5,0),"")</f>
        <v/>
      </c>
      <c r="F2422" s="138" t="str">
        <f>+IFERROR(VLOOKUP(Fact_Analitica[[#This Row],[Concepto Anterior]],Conceptos_Analítica_contraloría[#All],7,0),"")</f>
        <v/>
      </c>
      <c r="I2422" s="138" t="str">
        <f>+IFERROR(VLOOKUP(D2422,Conceptos_Analítica_contraloría[#All],2,0),"")</f>
        <v/>
      </c>
      <c r="J2422" s="138" t="str">
        <f>+IFERROR(VLOOKUP(D2422,Conceptos_Analítica_contraloría[#All],3,0),"")</f>
        <v/>
      </c>
    </row>
    <row r="2423" spans="3:10" x14ac:dyDescent="0.35">
      <c r="C2423" s="144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s="138" t="str">
        <f>+IFERROR(VLOOKUP(Fact_Analitica[[#This Row],[Concepto Anterior]],Conceptos_Analítica_contraloría[#All],5,0),"")</f>
        <v/>
      </c>
      <c r="F2423" s="138" t="str">
        <f>+IFERROR(VLOOKUP(Fact_Analitica[[#This Row],[Concepto Anterior]],Conceptos_Analítica_contraloría[#All],7,0),"")</f>
        <v/>
      </c>
      <c r="I2423" s="138" t="str">
        <f>+IFERROR(VLOOKUP(D2423,Conceptos_Analítica_contraloría[#All],2,0),"")</f>
        <v/>
      </c>
      <c r="J2423" s="138" t="str">
        <f>+IFERROR(VLOOKUP(D2423,Conceptos_Analítica_contraloría[#All],3,0),"")</f>
        <v/>
      </c>
    </row>
    <row r="2424" spans="3:10" x14ac:dyDescent="0.35">
      <c r="C2424" s="144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s="138" t="str">
        <f>+IFERROR(VLOOKUP(Fact_Analitica[[#This Row],[Concepto Anterior]],Conceptos_Analítica_contraloría[#All],5,0),"")</f>
        <v/>
      </c>
      <c r="F2424" s="138" t="str">
        <f>+IFERROR(VLOOKUP(Fact_Analitica[[#This Row],[Concepto Anterior]],Conceptos_Analítica_contraloría[#All],7,0),"")</f>
        <v/>
      </c>
      <c r="I2424" s="138" t="str">
        <f>+IFERROR(VLOOKUP(D2424,Conceptos_Analítica_contraloría[#All],2,0),"")</f>
        <v/>
      </c>
      <c r="J2424" s="138" t="str">
        <f>+IFERROR(VLOOKUP(D2424,Conceptos_Analítica_contraloría[#All],3,0),"")</f>
        <v/>
      </c>
    </row>
    <row r="2425" spans="3:10" x14ac:dyDescent="0.35">
      <c r="C2425" s="144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s="138" t="str">
        <f>+IFERROR(VLOOKUP(Fact_Analitica[[#This Row],[Concepto Anterior]],Conceptos_Analítica_contraloría[#All],5,0),"")</f>
        <v/>
      </c>
      <c r="F2425" s="138" t="str">
        <f>+IFERROR(VLOOKUP(Fact_Analitica[[#This Row],[Concepto Anterior]],Conceptos_Analítica_contraloría[#All],7,0),"")</f>
        <v/>
      </c>
      <c r="I2425" s="138" t="str">
        <f>+IFERROR(VLOOKUP(D2425,Conceptos_Analítica_contraloría[#All],2,0),"")</f>
        <v/>
      </c>
      <c r="J2425" s="138" t="str">
        <f>+IFERROR(VLOOKUP(D2425,Conceptos_Analítica_contraloría[#All],3,0),"")</f>
        <v/>
      </c>
    </row>
    <row r="2426" spans="3:10" x14ac:dyDescent="0.35">
      <c r="C2426" s="144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s="138" t="str">
        <f>+IFERROR(VLOOKUP(Fact_Analitica[[#This Row],[Concepto Anterior]],Conceptos_Analítica_contraloría[#All],5,0),"")</f>
        <v/>
      </c>
      <c r="F2426" s="138" t="str">
        <f>+IFERROR(VLOOKUP(Fact_Analitica[[#This Row],[Concepto Anterior]],Conceptos_Analítica_contraloría[#All],7,0),"")</f>
        <v/>
      </c>
      <c r="I2426" s="138" t="str">
        <f>+IFERROR(VLOOKUP(D2426,Conceptos_Analítica_contraloría[#All],2,0),"")</f>
        <v/>
      </c>
      <c r="J2426" s="138" t="str">
        <f>+IFERROR(VLOOKUP(D2426,Conceptos_Analítica_contraloría[#All],3,0),"")</f>
        <v/>
      </c>
    </row>
    <row r="2427" spans="3:10" x14ac:dyDescent="0.35">
      <c r="C2427" s="144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s="138" t="str">
        <f>+IFERROR(VLOOKUP(Fact_Analitica[[#This Row],[Concepto Anterior]],Conceptos_Analítica_contraloría[#All],5,0),"")</f>
        <v/>
      </c>
      <c r="F2427" s="138" t="str">
        <f>+IFERROR(VLOOKUP(Fact_Analitica[[#This Row],[Concepto Anterior]],Conceptos_Analítica_contraloría[#All],7,0),"")</f>
        <v/>
      </c>
      <c r="I2427" s="138" t="str">
        <f>+IFERROR(VLOOKUP(D2427,Conceptos_Analítica_contraloría[#All],2,0),"")</f>
        <v/>
      </c>
      <c r="J2427" s="138" t="str">
        <f>+IFERROR(VLOOKUP(D2427,Conceptos_Analítica_contraloría[#All],3,0),"")</f>
        <v/>
      </c>
    </row>
    <row r="2428" spans="3:10" x14ac:dyDescent="0.35">
      <c r="C2428" s="144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s="138" t="str">
        <f>+IFERROR(VLOOKUP(Fact_Analitica[[#This Row],[Concepto Anterior]],Conceptos_Analítica_contraloría[#All],5,0),"")</f>
        <v/>
      </c>
      <c r="F2428" s="138" t="str">
        <f>+IFERROR(VLOOKUP(Fact_Analitica[[#This Row],[Concepto Anterior]],Conceptos_Analítica_contraloría[#All],7,0),"")</f>
        <v/>
      </c>
      <c r="I2428" s="138" t="str">
        <f>+IFERROR(VLOOKUP(D2428,Conceptos_Analítica_contraloría[#All],2,0),"")</f>
        <v/>
      </c>
      <c r="J2428" s="138" t="str">
        <f>+IFERROR(VLOOKUP(D2428,Conceptos_Analítica_contraloría[#All],3,0),"")</f>
        <v/>
      </c>
    </row>
    <row r="2429" spans="3:10" x14ac:dyDescent="0.35">
      <c r="C2429" s="144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s="138" t="str">
        <f>+IFERROR(VLOOKUP(Fact_Analitica[[#This Row],[Concepto Anterior]],Conceptos_Analítica_contraloría[#All],5,0),"")</f>
        <v/>
      </c>
      <c r="F2429" s="138" t="str">
        <f>+IFERROR(VLOOKUP(Fact_Analitica[[#This Row],[Concepto Anterior]],Conceptos_Analítica_contraloría[#All],7,0),"")</f>
        <v/>
      </c>
      <c r="I2429" s="138" t="str">
        <f>+IFERROR(VLOOKUP(D2429,Conceptos_Analítica_contraloría[#All],2,0),"")</f>
        <v/>
      </c>
      <c r="J2429" s="138" t="str">
        <f>+IFERROR(VLOOKUP(D2429,Conceptos_Analítica_contraloría[#All],3,0),"")</f>
        <v/>
      </c>
    </row>
    <row r="2430" spans="3:10" x14ac:dyDescent="0.35">
      <c r="C2430" s="144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s="138" t="str">
        <f>+IFERROR(VLOOKUP(Fact_Analitica[[#This Row],[Concepto Anterior]],Conceptos_Analítica_contraloría[#All],5,0),"")</f>
        <v/>
      </c>
      <c r="F2430" s="138" t="str">
        <f>+IFERROR(VLOOKUP(Fact_Analitica[[#This Row],[Concepto Anterior]],Conceptos_Analítica_contraloría[#All],7,0),"")</f>
        <v/>
      </c>
      <c r="I2430" s="138" t="str">
        <f>+IFERROR(VLOOKUP(D2430,Conceptos_Analítica_contraloría[#All],2,0),"")</f>
        <v/>
      </c>
      <c r="J2430" s="138" t="str">
        <f>+IFERROR(VLOOKUP(D2430,Conceptos_Analítica_contraloría[#All],3,0),"")</f>
        <v/>
      </c>
    </row>
    <row r="2431" spans="3:10" x14ac:dyDescent="0.35">
      <c r="C2431" s="144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s="138" t="str">
        <f>+IFERROR(VLOOKUP(Fact_Analitica[[#This Row],[Concepto Anterior]],Conceptos_Analítica_contraloría[#All],5,0),"")</f>
        <v/>
      </c>
      <c r="F2431" s="138" t="str">
        <f>+IFERROR(VLOOKUP(Fact_Analitica[[#This Row],[Concepto Anterior]],Conceptos_Analítica_contraloría[#All],7,0),"")</f>
        <v/>
      </c>
      <c r="I2431" s="138" t="str">
        <f>+IFERROR(VLOOKUP(D2431,Conceptos_Analítica_contraloría[#All],2,0),"")</f>
        <v/>
      </c>
      <c r="J2431" s="138" t="str">
        <f>+IFERROR(VLOOKUP(D2431,Conceptos_Analítica_contraloría[#All],3,0),"")</f>
        <v/>
      </c>
    </row>
    <row r="2432" spans="3:10" x14ac:dyDescent="0.35">
      <c r="C2432" s="144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s="138" t="str">
        <f>+IFERROR(VLOOKUP(Fact_Analitica[[#This Row],[Concepto Anterior]],Conceptos_Analítica_contraloría[#All],5,0),"")</f>
        <v/>
      </c>
      <c r="F2432" s="138" t="str">
        <f>+IFERROR(VLOOKUP(Fact_Analitica[[#This Row],[Concepto Anterior]],Conceptos_Analítica_contraloría[#All],7,0),"")</f>
        <v/>
      </c>
      <c r="I2432" s="138" t="str">
        <f>+IFERROR(VLOOKUP(D2432,Conceptos_Analítica_contraloría[#All],2,0),"")</f>
        <v/>
      </c>
      <c r="J2432" s="138" t="str">
        <f>+IFERROR(VLOOKUP(D2432,Conceptos_Analítica_contraloría[#All],3,0),"")</f>
        <v/>
      </c>
    </row>
    <row r="2433" spans="3:10" x14ac:dyDescent="0.35">
      <c r="C2433" s="144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s="138" t="str">
        <f>+IFERROR(VLOOKUP(Fact_Analitica[[#This Row],[Concepto Anterior]],Conceptos_Analítica_contraloría[#All],5,0),"")</f>
        <v/>
      </c>
      <c r="F2433" s="138" t="str">
        <f>+IFERROR(VLOOKUP(Fact_Analitica[[#This Row],[Concepto Anterior]],Conceptos_Analítica_contraloría[#All],7,0),"")</f>
        <v/>
      </c>
      <c r="I2433" s="138" t="str">
        <f>+IFERROR(VLOOKUP(D2433,Conceptos_Analítica_contraloría[#All],2,0),"")</f>
        <v/>
      </c>
      <c r="J2433" s="138" t="str">
        <f>+IFERROR(VLOOKUP(D2433,Conceptos_Analítica_contraloría[#All],3,0),"")</f>
        <v/>
      </c>
    </row>
    <row r="2434" spans="3:10" x14ac:dyDescent="0.35">
      <c r="C2434" s="144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s="138" t="str">
        <f>+IFERROR(VLOOKUP(Fact_Analitica[[#This Row],[Concepto Anterior]],Conceptos_Analítica_contraloría[#All],5,0),"")</f>
        <v/>
      </c>
      <c r="F2434" s="138" t="str">
        <f>+IFERROR(VLOOKUP(Fact_Analitica[[#This Row],[Concepto Anterior]],Conceptos_Analítica_contraloría[#All],7,0),"")</f>
        <v/>
      </c>
      <c r="I2434" s="138" t="str">
        <f>+IFERROR(VLOOKUP(D2434,Conceptos_Analítica_contraloría[#All],2,0),"")</f>
        <v/>
      </c>
      <c r="J2434" s="138" t="str">
        <f>+IFERROR(VLOOKUP(D2434,Conceptos_Analítica_contraloría[#All],3,0),"")</f>
        <v/>
      </c>
    </row>
    <row r="2435" spans="3:10" x14ac:dyDescent="0.35">
      <c r="C2435" s="144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s="138" t="str">
        <f>+IFERROR(VLOOKUP(Fact_Analitica[[#This Row],[Concepto Anterior]],Conceptos_Analítica_contraloría[#All],5,0),"")</f>
        <v/>
      </c>
      <c r="F2435" s="138" t="str">
        <f>+IFERROR(VLOOKUP(Fact_Analitica[[#This Row],[Concepto Anterior]],Conceptos_Analítica_contraloría[#All],7,0),"")</f>
        <v/>
      </c>
      <c r="I2435" s="138" t="str">
        <f>+IFERROR(VLOOKUP(D2435,Conceptos_Analítica_contraloría[#All],2,0),"")</f>
        <v/>
      </c>
      <c r="J2435" s="138" t="str">
        <f>+IFERROR(VLOOKUP(D2435,Conceptos_Analítica_contraloría[#All],3,0),"")</f>
        <v/>
      </c>
    </row>
    <row r="2436" spans="3:10" x14ac:dyDescent="0.35">
      <c r="C2436" s="144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s="138" t="str">
        <f>+IFERROR(VLOOKUP(Fact_Analitica[[#This Row],[Concepto Anterior]],Conceptos_Analítica_contraloría[#All],5,0),"")</f>
        <v/>
      </c>
      <c r="F2436" s="138" t="str">
        <f>+IFERROR(VLOOKUP(Fact_Analitica[[#This Row],[Concepto Anterior]],Conceptos_Analítica_contraloría[#All],7,0),"")</f>
        <v/>
      </c>
      <c r="I2436" s="138" t="str">
        <f>+IFERROR(VLOOKUP(D2436,Conceptos_Analítica_contraloría[#All],2,0),"")</f>
        <v/>
      </c>
      <c r="J2436" s="138" t="str">
        <f>+IFERROR(VLOOKUP(D2436,Conceptos_Analítica_contraloría[#All],3,0),"")</f>
        <v/>
      </c>
    </row>
    <row r="2437" spans="3:10" x14ac:dyDescent="0.35">
      <c r="C2437" s="144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s="138" t="str">
        <f>+IFERROR(VLOOKUP(Fact_Analitica[[#This Row],[Concepto Anterior]],Conceptos_Analítica_contraloría[#All],5,0),"")</f>
        <v/>
      </c>
      <c r="F2437" s="138" t="str">
        <f>+IFERROR(VLOOKUP(Fact_Analitica[[#This Row],[Concepto Anterior]],Conceptos_Analítica_contraloría[#All],7,0),"")</f>
        <v/>
      </c>
      <c r="I2437" s="138" t="str">
        <f>+IFERROR(VLOOKUP(D2437,Conceptos_Analítica_contraloría[#All],2,0),"")</f>
        <v/>
      </c>
      <c r="J2437" s="138" t="str">
        <f>+IFERROR(VLOOKUP(D2437,Conceptos_Analítica_contraloría[#All],3,0),"")</f>
        <v/>
      </c>
    </row>
    <row r="2438" spans="3:10" x14ac:dyDescent="0.35">
      <c r="C2438" s="144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s="138" t="str">
        <f>+IFERROR(VLOOKUP(Fact_Analitica[[#This Row],[Concepto Anterior]],Conceptos_Analítica_contraloría[#All],5,0),"")</f>
        <v/>
      </c>
      <c r="F2438" s="138" t="str">
        <f>+IFERROR(VLOOKUP(Fact_Analitica[[#This Row],[Concepto Anterior]],Conceptos_Analítica_contraloría[#All],7,0),"")</f>
        <v/>
      </c>
      <c r="I2438" s="138" t="str">
        <f>+IFERROR(VLOOKUP(D2438,Conceptos_Analítica_contraloría[#All],2,0),"")</f>
        <v/>
      </c>
      <c r="J2438" s="138" t="str">
        <f>+IFERROR(VLOOKUP(D2438,Conceptos_Analítica_contraloría[#All],3,0),"")</f>
        <v/>
      </c>
    </row>
    <row r="2439" spans="3:10" x14ac:dyDescent="0.35">
      <c r="C2439" s="144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s="138" t="str">
        <f>+IFERROR(VLOOKUP(Fact_Analitica[[#This Row],[Concepto Anterior]],Conceptos_Analítica_contraloría[#All],5,0),"")</f>
        <v/>
      </c>
      <c r="F2439" s="138" t="str">
        <f>+IFERROR(VLOOKUP(Fact_Analitica[[#This Row],[Concepto Anterior]],Conceptos_Analítica_contraloría[#All],7,0),"")</f>
        <v/>
      </c>
      <c r="I2439" s="138" t="str">
        <f>+IFERROR(VLOOKUP(D2439,Conceptos_Analítica_contraloría[#All],2,0),"")</f>
        <v/>
      </c>
      <c r="J2439" s="138" t="str">
        <f>+IFERROR(VLOOKUP(D2439,Conceptos_Analítica_contraloría[#All],3,0),"")</f>
        <v/>
      </c>
    </row>
    <row r="2440" spans="3:10" x14ac:dyDescent="0.35">
      <c r="C2440" s="144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s="138" t="str">
        <f>+IFERROR(VLOOKUP(Fact_Analitica[[#This Row],[Concepto Anterior]],Conceptos_Analítica_contraloría[#All],5,0),"")</f>
        <v/>
      </c>
      <c r="F2440" s="138" t="str">
        <f>+IFERROR(VLOOKUP(Fact_Analitica[[#This Row],[Concepto Anterior]],Conceptos_Analítica_contraloría[#All],7,0),"")</f>
        <v/>
      </c>
      <c r="I2440" s="138" t="str">
        <f>+IFERROR(VLOOKUP(D2440,Conceptos_Analítica_contraloría[#All],2,0),"")</f>
        <v/>
      </c>
      <c r="J2440" s="138" t="str">
        <f>+IFERROR(VLOOKUP(D2440,Conceptos_Analítica_contraloría[#All],3,0),"")</f>
        <v/>
      </c>
    </row>
    <row r="2441" spans="3:10" x14ac:dyDescent="0.35">
      <c r="C2441" s="144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s="138" t="str">
        <f>+IFERROR(VLOOKUP(Fact_Analitica[[#This Row],[Concepto Anterior]],Conceptos_Analítica_contraloría[#All],5,0),"")</f>
        <v/>
      </c>
      <c r="F2441" s="138" t="str">
        <f>+IFERROR(VLOOKUP(Fact_Analitica[[#This Row],[Concepto Anterior]],Conceptos_Analítica_contraloría[#All],7,0),"")</f>
        <v/>
      </c>
      <c r="I2441" s="138" t="str">
        <f>+IFERROR(VLOOKUP(D2441,Conceptos_Analítica_contraloría[#All],2,0),"")</f>
        <v/>
      </c>
      <c r="J2441" s="138" t="str">
        <f>+IFERROR(VLOOKUP(D2441,Conceptos_Analítica_contraloría[#All],3,0),"")</f>
        <v/>
      </c>
    </row>
    <row r="2442" spans="3:10" x14ac:dyDescent="0.35">
      <c r="C2442" s="144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s="138" t="str">
        <f>+IFERROR(VLOOKUP(Fact_Analitica[[#This Row],[Concepto Anterior]],Conceptos_Analítica_contraloría[#All],5,0),"")</f>
        <v/>
      </c>
      <c r="F2442" s="138" t="str">
        <f>+IFERROR(VLOOKUP(Fact_Analitica[[#This Row],[Concepto Anterior]],Conceptos_Analítica_contraloría[#All],7,0),"")</f>
        <v/>
      </c>
      <c r="I2442" s="138" t="str">
        <f>+IFERROR(VLOOKUP(D2442,Conceptos_Analítica_contraloría[#All],2,0),"")</f>
        <v/>
      </c>
      <c r="J2442" s="138" t="str">
        <f>+IFERROR(VLOOKUP(D2442,Conceptos_Analítica_contraloría[#All],3,0),"")</f>
        <v/>
      </c>
    </row>
    <row r="2443" spans="3:10" x14ac:dyDescent="0.35">
      <c r="C2443" s="144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s="138" t="str">
        <f>+IFERROR(VLOOKUP(Fact_Analitica[[#This Row],[Concepto Anterior]],Conceptos_Analítica_contraloría[#All],5,0),"")</f>
        <v/>
      </c>
      <c r="F2443" s="138" t="str">
        <f>+IFERROR(VLOOKUP(Fact_Analitica[[#This Row],[Concepto Anterior]],Conceptos_Analítica_contraloría[#All],7,0),"")</f>
        <v/>
      </c>
      <c r="I2443" s="138" t="str">
        <f>+IFERROR(VLOOKUP(D2443,Conceptos_Analítica_contraloría[#All],2,0),"")</f>
        <v/>
      </c>
      <c r="J2443" s="138" t="str">
        <f>+IFERROR(VLOOKUP(D2443,Conceptos_Analítica_contraloría[#All],3,0),"")</f>
        <v/>
      </c>
    </row>
    <row r="2444" spans="3:10" x14ac:dyDescent="0.35">
      <c r="C2444" s="144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s="138" t="str">
        <f>+IFERROR(VLOOKUP(Fact_Analitica[[#This Row],[Concepto Anterior]],Conceptos_Analítica_contraloría[#All],5,0),"")</f>
        <v/>
      </c>
      <c r="F2444" s="138" t="str">
        <f>+IFERROR(VLOOKUP(Fact_Analitica[[#This Row],[Concepto Anterior]],Conceptos_Analítica_contraloría[#All],7,0),"")</f>
        <v/>
      </c>
      <c r="I2444" s="138" t="str">
        <f>+IFERROR(VLOOKUP(D2444,Conceptos_Analítica_contraloría[#All],2,0),"")</f>
        <v/>
      </c>
      <c r="J2444" s="138" t="str">
        <f>+IFERROR(VLOOKUP(D2444,Conceptos_Analítica_contraloría[#All],3,0),"")</f>
        <v/>
      </c>
    </row>
    <row r="2445" spans="3:10" x14ac:dyDescent="0.35">
      <c r="C2445" s="144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s="138" t="str">
        <f>+IFERROR(VLOOKUP(Fact_Analitica[[#This Row],[Concepto Anterior]],Conceptos_Analítica_contraloría[#All],5,0),"")</f>
        <v/>
      </c>
      <c r="F2445" s="138" t="str">
        <f>+IFERROR(VLOOKUP(Fact_Analitica[[#This Row],[Concepto Anterior]],Conceptos_Analítica_contraloría[#All],7,0),"")</f>
        <v/>
      </c>
      <c r="I2445" s="138" t="str">
        <f>+IFERROR(VLOOKUP(D2445,Conceptos_Analítica_contraloría[#All],2,0),"")</f>
        <v/>
      </c>
      <c r="J2445" s="138" t="str">
        <f>+IFERROR(VLOOKUP(D2445,Conceptos_Analítica_contraloría[#All],3,0),"")</f>
        <v/>
      </c>
    </row>
    <row r="2446" spans="3:10" x14ac:dyDescent="0.35">
      <c r="C2446" s="144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s="138" t="str">
        <f>+IFERROR(VLOOKUP(Fact_Analitica[[#This Row],[Concepto Anterior]],Conceptos_Analítica_contraloría[#All],5,0),"")</f>
        <v/>
      </c>
      <c r="F2446" s="138" t="str">
        <f>+IFERROR(VLOOKUP(Fact_Analitica[[#This Row],[Concepto Anterior]],Conceptos_Analítica_contraloría[#All],7,0),"")</f>
        <v/>
      </c>
      <c r="I2446" s="138" t="str">
        <f>+IFERROR(VLOOKUP(D2446,Conceptos_Analítica_contraloría[#All],2,0),"")</f>
        <v/>
      </c>
      <c r="J2446" s="138" t="str">
        <f>+IFERROR(VLOOKUP(D2446,Conceptos_Analítica_contraloría[#All],3,0),"")</f>
        <v/>
      </c>
    </row>
    <row r="2447" spans="3:10" x14ac:dyDescent="0.35">
      <c r="C2447" s="144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s="138" t="str">
        <f>+IFERROR(VLOOKUP(Fact_Analitica[[#This Row],[Concepto Anterior]],Conceptos_Analítica_contraloría[#All],5,0),"")</f>
        <v/>
      </c>
      <c r="F2447" s="138" t="str">
        <f>+IFERROR(VLOOKUP(Fact_Analitica[[#This Row],[Concepto Anterior]],Conceptos_Analítica_contraloría[#All],7,0),"")</f>
        <v/>
      </c>
      <c r="I2447" s="138" t="str">
        <f>+IFERROR(VLOOKUP(D2447,Conceptos_Analítica_contraloría[#All],2,0),"")</f>
        <v/>
      </c>
      <c r="J2447" s="138" t="str">
        <f>+IFERROR(VLOOKUP(D2447,Conceptos_Analítica_contraloría[#All],3,0),"")</f>
        <v/>
      </c>
    </row>
    <row r="2448" spans="3:10" x14ac:dyDescent="0.35">
      <c r="C2448" s="144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s="138" t="str">
        <f>+IFERROR(VLOOKUP(Fact_Analitica[[#This Row],[Concepto Anterior]],Conceptos_Analítica_contraloría[#All],5,0),"")</f>
        <v/>
      </c>
      <c r="F2448" s="138" t="str">
        <f>+IFERROR(VLOOKUP(Fact_Analitica[[#This Row],[Concepto Anterior]],Conceptos_Analítica_contraloría[#All],7,0),"")</f>
        <v/>
      </c>
      <c r="I2448" s="138" t="str">
        <f>+IFERROR(VLOOKUP(D2448,Conceptos_Analítica_contraloría[#All],2,0),"")</f>
        <v/>
      </c>
      <c r="J2448" s="138" t="str">
        <f>+IFERROR(VLOOKUP(D2448,Conceptos_Analítica_contraloría[#All],3,0),"")</f>
        <v/>
      </c>
    </row>
    <row r="2449" spans="3:10" x14ac:dyDescent="0.35">
      <c r="C2449" s="144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s="138" t="str">
        <f>+IFERROR(VLOOKUP(Fact_Analitica[[#This Row],[Concepto Anterior]],Conceptos_Analítica_contraloría[#All],5,0),"")</f>
        <v/>
      </c>
      <c r="F2449" s="138" t="str">
        <f>+IFERROR(VLOOKUP(Fact_Analitica[[#This Row],[Concepto Anterior]],Conceptos_Analítica_contraloría[#All],7,0),"")</f>
        <v/>
      </c>
      <c r="I2449" s="138" t="str">
        <f>+IFERROR(VLOOKUP(D2449,Conceptos_Analítica_contraloría[#All],2,0),"")</f>
        <v/>
      </c>
      <c r="J2449" s="138" t="str">
        <f>+IFERROR(VLOOKUP(D2449,Conceptos_Analítica_contraloría[#All],3,0),"")</f>
        <v/>
      </c>
    </row>
    <row r="2450" spans="3:10" x14ac:dyDescent="0.35">
      <c r="C2450" s="144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s="138" t="str">
        <f>+IFERROR(VLOOKUP(Fact_Analitica[[#This Row],[Concepto Anterior]],Conceptos_Analítica_contraloría[#All],5,0),"")</f>
        <v/>
      </c>
      <c r="F2450" s="138" t="str">
        <f>+IFERROR(VLOOKUP(Fact_Analitica[[#This Row],[Concepto Anterior]],Conceptos_Analítica_contraloría[#All],7,0),"")</f>
        <v/>
      </c>
      <c r="I2450" s="138" t="str">
        <f>+IFERROR(VLOOKUP(D2450,Conceptos_Analítica_contraloría[#All],2,0),"")</f>
        <v/>
      </c>
      <c r="J2450" s="138" t="str">
        <f>+IFERROR(VLOOKUP(D2450,Conceptos_Analítica_contraloría[#All],3,0),"")</f>
        <v/>
      </c>
    </row>
    <row r="2451" spans="3:10" x14ac:dyDescent="0.35">
      <c r="C2451" s="144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s="138" t="str">
        <f>+IFERROR(VLOOKUP(Fact_Analitica[[#This Row],[Concepto Anterior]],Conceptos_Analítica_contraloría[#All],5,0),"")</f>
        <v/>
      </c>
      <c r="F2451" s="138" t="str">
        <f>+IFERROR(VLOOKUP(Fact_Analitica[[#This Row],[Concepto Anterior]],Conceptos_Analítica_contraloría[#All],7,0),"")</f>
        <v/>
      </c>
      <c r="I2451" s="138" t="str">
        <f>+IFERROR(VLOOKUP(D2451,Conceptos_Analítica_contraloría[#All],2,0),"")</f>
        <v/>
      </c>
      <c r="J2451" s="138" t="str">
        <f>+IFERROR(VLOOKUP(D2451,Conceptos_Analítica_contraloría[#All],3,0),"")</f>
        <v/>
      </c>
    </row>
    <row r="2452" spans="3:10" x14ac:dyDescent="0.35">
      <c r="C2452" s="144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s="138" t="str">
        <f>+IFERROR(VLOOKUP(Fact_Analitica[[#This Row],[Concepto Anterior]],Conceptos_Analítica_contraloría[#All],5,0),"")</f>
        <v/>
      </c>
      <c r="F2452" s="138" t="str">
        <f>+IFERROR(VLOOKUP(Fact_Analitica[[#This Row],[Concepto Anterior]],Conceptos_Analítica_contraloría[#All],7,0),"")</f>
        <v/>
      </c>
      <c r="I2452" s="138" t="str">
        <f>+IFERROR(VLOOKUP(D2452,Conceptos_Analítica_contraloría[#All],2,0),"")</f>
        <v/>
      </c>
      <c r="J2452" s="138" t="str">
        <f>+IFERROR(VLOOKUP(D2452,Conceptos_Analítica_contraloría[#All],3,0),"")</f>
        <v/>
      </c>
    </row>
    <row r="2453" spans="3:10" x14ac:dyDescent="0.35">
      <c r="C2453" s="144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s="138" t="str">
        <f>+IFERROR(VLOOKUP(Fact_Analitica[[#This Row],[Concepto Anterior]],Conceptos_Analítica_contraloría[#All],5,0),"")</f>
        <v/>
      </c>
      <c r="F2453" s="138" t="str">
        <f>+IFERROR(VLOOKUP(Fact_Analitica[[#This Row],[Concepto Anterior]],Conceptos_Analítica_contraloría[#All],7,0),"")</f>
        <v/>
      </c>
      <c r="I2453" s="138" t="str">
        <f>+IFERROR(VLOOKUP(D2453,Conceptos_Analítica_contraloría[#All],2,0),"")</f>
        <v/>
      </c>
      <c r="J2453" s="138" t="str">
        <f>+IFERROR(VLOOKUP(D2453,Conceptos_Analítica_contraloría[#All],3,0),"")</f>
        <v/>
      </c>
    </row>
    <row r="2454" spans="3:10" x14ac:dyDescent="0.35">
      <c r="C2454" s="144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s="138" t="str">
        <f>+IFERROR(VLOOKUP(Fact_Analitica[[#This Row],[Concepto Anterior]],Conceptos_Analítica_contraloría[#All],5,0),"")</f>
        <v/>
      </c>
      <c r="F2454" s="138" t="str">
        <f>+IFERROR(VLOOKUP(Fact_Analitica[[#This Row],[Concepto Anterior]],Conceptos_Analítica_contraloría[#All],7,0),"")</f>
        <v/>
      </c>
      <c r="I2454" s="138" t="str">
        <f>+IFERROR(VLOOKUP(D2454,Conceptos_Analítica_contraloría[#All],2,0),"")</f>
        <v/>
      </c>
      <c r="J2454" s="138" t="str">
        <f>+IFERROR(VLOOKUP(D2454,Conceptos_Analítica_contraloría[#All],3,0),"")</f>
        <v/>
      </c>
    </row>
    <row r="2455" spans="3:10" x14ac:dyDescent="0.35">
      <c r="C2455" s="144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s="138" t="str">
        <f>+IFERROR(VLOOKUP(Fact_Analitica[[#This Row],[Concepto Anterior]],Conceptos_Analítica_contraloría[#All],5,0),"")</f>
        <v/>
      </c>
      <c r="F2455" s="138" t="str">
        <f>+IFERROR(VLOOKUP(Fact_Analitica[[#This Row],[Concepto Anterior]],Conceptos_Analítica_contraloría[#All],7,0),"")</f>
        <v/>
      </c>
      <c r="I2455" s="138" t="str">
        <f>+IFERROR(VLOOKUP(D2455,Conceptos_Analítica_contraloría[#All],2,0),"")</f>
        <v/>
      </c>
      <c r="J2455" s="138" t="str">
        <f>+IFERROR(VLOOKUP(D2455,Conceptos_Analítica_contraloría[#All],3,0),"")</f>
        <v/>
      </c>
    </row>
    <row r="2456" spans="3:10" x14ac:dyDescent="0.35">
      <c r="C2456" s="144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s="138" t="str">
        <f>+IFERROR(VLOOKUP(Fact_Analitica[[#This Row],[Concepto Anterior]],Conceptos_Analítica_contraloría[#All],5,0),"")</f>
        <v/>
      </c>
      <c r="F2456" s="138" t="str">
        <f>+IFERROR(VLOOKUP(Fact_Analitica[[#This Row],[Concepto Anterior]],Conceptos_Analítica_contraloría[#All],7,0),"")</f>
        <v/>
      </c>
      <c r="I2456" s="138" t="str">
        <f>+IFERROR(VLOOKUP(D2456,Conceptos_Analítica_contraloría[#All],2,0),"")</f>
        <v/>
      </c>
      <c r="J2456" s="138" t="str">
        <f>+IFERROR(VLOOKUP(D2456,Conceptos_Analítica_contraloría[#All],3,0),"")</f>
        <v/>
      </c>
    </row>
    <row r="2457" spans="3:10" x14ac:dyDescent="0.35">
      <c r="C2457" s="144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s="138" t="str">
        <f>+IFERROR(VLOOKUP(Fact_Analitica[[#This Row],[Concepto Anterior]],Conceptos_Analítica_contraloría[#All],5,0),"")</f>
        <v/>
      </c>
      <c r="F2457" s="138" t="str">
        <f>+IFERROR(VLOOKUP(Fact_Analitica[[#This Row],[Concepto Anterior]],Conceptos_Analítica_contraloría[#All],7,0),"")</f>
        <v/>
      </c>
      <c r="I2457" s="138" t="str">
        <f>+IFERROR(VLOOKUP(D2457,Conceptos_Analítica_contraloría[#All],2,0),"")</f>
        <v/>
      </c>
      <c r="J2457" s="138" t="str">
        <f>+IFERROR(VLOOKUP(D2457,Conceptos_Analítica_contraloría[#All],3,0),"")</f>
        <v/>
      </c>
    </row>
    <row r="2458" spans="3:10" x14ac:dyDescent="0.35">
      <c r="C2458" s="144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s="138" t="str">
        <f>+IFERROR(VLOOKUP(Fact_Analitica[[#This Row],[Concepto Anterior]],Conceptos_Analítica_contraloría[#All],5,0),"")</f>
        <v/>
      </c>
      <c r="F2458" s="138" t="str">
        <f>+IFERROR(VLOOKUP(Fact_Analitica[[#This Row],[Concepto Anterior]],Conceptos_Analítica_contraloría[#All],7,0),"")</f>
        <v/>
      </c>
      <c r="I2458" s="138" t="str">
        <f>+IFERROR(VLOOKUP(D2458,Conceptos_Analítica_contraloría[#All],2,0),"")</f>
        <v/>
      </c>
      <c r="J2458" s="138" t="str">
        <f>+IFERROR(VLOOKUP(D2458,Conceptos_Analítica_contraloría[#All],3,0),"")</f>
        <v/>
      </c>
    </row>
    <row r="2459" spans="3:10" x14ac:dyDescent="0.35">
      <c r="C2459" s="144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s="138" t="str">
        <f>+IFERROR(VLOOKUP(Fact_Analitica[[#This Row],[Concepto Anterior]],Conceptos_Analítica_contraloría[#All],5,0),"")</f>
        <v/>
      </c>
      <c r="F2459" s="138" t="str">
        <f>+IFERROR(VLOOKUP(Fact_Analitica[[#This Row],[Concepto Anterior]],Conceptos_Analítica_contraloría[#All],7,0),"")</f>
        <v/>
      </c>
      <c r="I2459" s="138" t="str">
        <f>+IFERROR(VLOOKUP(D2459,Conceptos_Analítica_contraloría[#All],2,0),"")</f>
        <v/>
      </c>
      <c r="J2459" s="138" t="str">
        <f>+IFERROR(VLOOKUP(D2459,Conceptos_Analítica_contraloría[#All],3,0),"")</f>
        <v/>
      </c>
    </row>
    <row r="2460" spans="3:10" x14ac:dyDescent="0.35">
      <c r="C2460" s="144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s="138" t="str">
        <f>+IFERROR(VLOOKUP(Fact_Analitica[[#This Row],[Concepto Anterior]],Conceptos_Analítica_contraloría[#All],5,0),"")</f>
        <v/>
      </c>
      <c r="F2460" s="138" t="str">
        <f>+IFERROR(VLOOKUP(Fact_Analitica[[#This Row],[Concepto Anterior]],Conceptos_Analítica_contraloría[#All],7,0),"")</f>
        <v/>
      </c>
      <c r="I2460" s="138" t="str">
        <f>+IFERROR(VLOOKUP(D2460,Conceptos_Analítica_contraloría[#All],2,0),"")</f>
        <v/>
      </c>
      <c r="J2460" s="138" t="str">
        <f>+IFERROR(VLOOKUP(D2460,Conceptos_Analítica_contraloría[#All],3,0),"")</f>
        <v/>
      </c>
    </row>
    <row r="2461" spans="3:10" x14ac:dyDescent="0.35">
      <c r="C2461" s="144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s="138" t="str">
        <f>+IFERROR(VLOOKUP(Fact_Analitica[[#This Row],[Concepto Anterior]],Conceptos_Analítica_contraloría[#All],5,0),"")</f>
        <v/>
      </c>
      <c r="F2461" s="138" t="str">
        <f>+IFERROR(VLOOKUP(Fact_Analitica[[#This Row],[Concepto Anterior]],Conceptos_Analítica_contraloría[#All],7,0),"")</f>
        <v/>
      </c>
      <c r="I2461" s="138" t="str">
        <f>+IFERROR(VLOOKUP(D2461,Conceptos_Analítica_contraloría[#All],2,0),"")</f>
        <v/>
      </c>
      <c r="J2461" s="138" t="str">
        <f>+IFERROR(VLOOKUP(D2461,Conceptos_Analítica_contraloría[#All],3,0),"")</f>
        <v/>
      </c>
    </row>
    <row r="2462" spans="3:10" x14ac:dyDescent="0.35">
      <c r="C2462" s="144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s="138" t="str">
        <f>+IFERROR(VLOOKUP(Fact_Analitica[[#This Row],[Concepto Anterior]],Conceptos_Analítica_contraloría[#All],5,0),"")</f>
        <v/>
      </c>
      <c r="F2462" s="138" t="str">
        <f>+IFERROR(VLOOKUP(Fact_Analitica[[#This Row],[Concepto Anterior]],Conceptos_Analítica_contraloría[#All],7,0),"")</f>
        <v/>
      </c>
      <c r="I2462" s="138" t="str">
        <f>+IFERROR(VLOOKUP(D2462,Conceptos_Analítica_contraloría[#All],2,0),"")</f>
        <v/>
      </c>
      <c r="J2462" s="138" t="str">
        <f>+IFERROR(VLOOKUP(D2462,Conceptos_Analítica_contraloría[#All],3,0),"")</f>
        <v/>
      </c>
    </row>
    <row r="2463" spans="3:10" x14ac:dyDescent="0.35">
      <c r="C2463" s="144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s="138" t="str">
        <f>+IFERROR(VLOOKUP(Fact_Analitica[[#This Row],[Concepto Anterior]],Conceptos_Analítica_contraloría[#All],5,0),"")</f>
        <v/>
      </c>
      <c r="F2463" s="138" t="str">
        <f>+IFERROR(VLOOKUP(Fact_Analitica[[#This Row],[Concepto Anterior]],Conceptos_Analítica_contraloría[#All],7,0),"")</f>
        <v/>
      </c>
      <c r="I2463" s="138" t="str">
        <f>+IFERROR(VLOOKUP(D2463,Conceptos_Analítica_contraloría[#All],2,0),"")</f>
        <v/>
      </c>
      <c r="J2463" s="138" t="str">
        <f>+IFERROR(VLOOKUP(D2463,Conceptos_Analítica_contraloría[#All],3,0),"")</f>
        <v/>
      </c>
    </row>
    <row r="2464" spans="3:10" x14ac:dyDescent="0.35">
      <c r="C2464" s="144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s="138" t="str">
        <f>+IFERROR(VLOOKUP(Fact_Analitica[[#This Row],[Concepto Anterior]],Conceptos_Analítica_contraloría[#All],5,0),"")</f>
        <v/>
      </c>
      <c r="F2464" s="138" t="str">
        <f>+IFERROR(VLOOKUP(Fact_Analitica[[#This Row],[Concepto Anterior]],Conceptos_Analítica_contraloría[#All],7,0),"")</f>
        <v/>
      </c>
      <c r="I2464" s="138" t="str">
        <f>+IFERROR(VLOOKUP(D2464,Conceptos_Analítica_contraloría[#All],2,0),"")</f>
        <v/>
      </c>
      <c r="J2464" s="138" t="str">
        <f>+IFERROR(VLOOKUP(D2464,Conceptos_Analítica_contraloría[#All],3,0),"")</f>
        <v/>
      </c>
    </row>
    <row r="2465" spans="3:10" x14ac:dyDescent="0.35">
      <c r="C2465" s="144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s="138" t="str">
        <f>+IFERROR(VLOOKUP(Fact_Analitica[[#This Row],[Concepto Anterior]],Conceptos_Analítica_contraloría[#All],5,0),"")</f>
        <v/>
      </c>
      <c r="F2465" s="138" t="str">
        <f>+IFERROR(VLOOKUP(Fact_Analitica[[#This Row],[Concepto Anterior]],Conceptos_Analítica_contraloría[#All],7,0),"")</f>
        <v/>
      </c>
      <c r="I2465" s="138" t="str">
        <f>+IFERROR(VLOOKUP(D2465,Conceptos_Analítica_contraloría[#All],2,0),"")</f>
        <v/>
      </c>
      <c r="J2465" s="138" t="str">
        <f>+IFERROR(VLOOKUP(D2465,Conceptos_Analítica_contraloría[#All],3,0),"")</f>
        <v/>
      </c>
    </row>
    <row r="2466" spans="3:10" x14ac:dyDescent="0.35">
      <c r="C2466" s="144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s="138" t="str">
        <f>+IFERROR(VLOOKUP(Fact_Analitica[[#This Row],[Concepto Anterior]],Conceptos_Analítica_contraloría[#All],5,0),"")</f>
        <v/>
      </c>
      <c r="F2466" s="138" t="str">
        <f>+IFERROR(VLOOKUP(Fact_Analitica[[#This Row],[Concepto Anterior]],Conceptos_Analítica_contraloría[#All],7,0),"")</f>
        <v/>
      </c>
      <c r="I2466" s="138" t="str">
        <f>+IFERROR(VLOOKUP(D2466,Conceptos_Analítica_contraloría[#All],2,0),"")</f>
        <v/>
      </c>
      <c r="J2466" s="138" t="str">
        <f>+IFERROR(VLOOKUP(D2466,Conceptos_Analítica_contraloría[#All],3,0),"")</f>
        <v/>
      </c>
    </row>
    <row r="2467" spans="3:10" x14ac:dyDescent="0.35">
      <c r="C2467" s="144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s="138" t="str">
        <f>+IFERROR(VLOOKUP(Fact_Analitica[[#This Row],[Concepto Anterior]],Conceptos_Analítica_contraloría[#All],5,0),"")</f>
        <v/>
      </c>
      <c r="F2467" s="138" t="str">
        <f>+IFERROR(VLOOKUP(Fact_Analitica[[#This Row],[Concepto Anterior]],Conceptos_Analítica_contraloría[#All],7,0),"")</f>
        <v/>
      </c>
      <c r="I2467" s="138" t="str">
        <f>+IFERROR(VLOOKUP(D2467,Conceptos_Analítica_contraloría[#All],2,0),"")</f>
        <v/>
      </c>
      <c r="J2467" s="138" t="str">
        <f>+IFERROR(VLOOKUP(D2467,Conceptos_Analítica_contraloría[#All],3,0),"")</f>
        <v/>
      </c>
    </row>
    <row r="2468" spans="3:10" x14ac:dyDescent="0.35">
      <c r="C2468" s="144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s="138" t="str">
        <f>+IFERROR(VLOOKUP(Fact_Analitica[[#This Row],[Concepto Anterior]],Conceptos_Analítica_contraloría[#All],5,0),"")</f>
        <v/>
      </c>
      <c r="F2468" s="138" t="str">
        <f>+IFERROR(VLOOKUP(Fact_Analitica[[#This Row],[Concepto Anterior]],Conceptos_Analítica_contraloría[#All],7,0),"")</f>
        <v/>
      </c>
      <c r="I2468" s="138" t="str">
        <f>+IFERROR(VLOOKUP(D2468,Conceptos_Analítica_contraloría[#All],2,0),"")</f>
        <v/>
      </c>
      <c r="J2468" s="138" t="str">
        <f>+IFERROR(VLOOKUP(D2468,Conceptos_Analítica_contraloría[#All],3,0),"")</f>
        <v/>
      </c>
    </row>
    <row r="2469" spans="3:10" x14ac:dyDescent="0.35">
      <c r="C2469" s="144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s="138" t="str">
        <f>+IFERROR(VLOOKUP(Fact_Analitica[[#This Row],[Concepto Anterior]],Conceptos_Analítica_contraloría[#All],5,0),"")</f>
        <v/>
      </c>
      <c r="F2469" s="138" t="str">
        <f>+IFERROR(VLOOKUP(Fact_Analitica[[#This Row],[Concepto Anterior]],Conceptos_Analítica_contraloría[#All],7,0),"")</f>
        <v/>
      </c>
      <c r="I2469" s="138" t="str">
        <f>+IFERROR(VLOOKUP(D2469,Conceptos_Analítica_contraloría[#All],2,0),"")</f>
        <v/>
      </c>
      <c r="J2469" s="138" t="str">
        <f>+IFERROR(VLOOKUP(D2469,Conceptos_Analítica_contraloría[#All],3,0),"")</f>
        <v/>
      </c>
    </row>
    <row r="2470" spans="3:10" x14ac:dyDescent="0.35">
      <c r="C2470" s="144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s="138" t="str">
        <f>+IFERROR(VLOOKUP(Fact_Analitica[[#This Row],[Concepto Anterior]],Conceptos_Analítica_contraloría[#All],5,0),"")</f>
        <v/>
      </c>
      <c r="F2470" s="138" t="str">
        <f>+IFERROR(VLOOKUP(Fact_Analitica[[#This Row],[Concepto Anterior]],Conceptos_Analítica_contraloría[#All],7,0),"")</f>
        <v/>
      </c>
      <c r="I2470" s="138" t="str">
        <f>+IFERROR(VLOOKUP(D2470,Conceptos_Analítica_contraloría[#All],2,0),"")</f>
        <v/>
      </c>
      <c r="J2470" s="138" t="str">
        <f>+IFERROR(VLOOKUP(D2470,Conceptos_Analítica_contraloría[#All],3,0),"")</f>
        <v/>
      </c>
    </row>
    <row r="2471" spans="3:10" x14ac:dyDescent="0.35">
      <c r="C2471" s="144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s="138" t="str">
        <f>+IFERROR(VLOOKUP(Fact_Analitica[[#This Row],[Concepto Anterior]],Conceptos_Analítica_contraloría[#All],5,0),"")</f>
        <v/>
      </c>
      <c r="F2471" s="138" t="str">
        <f>+IFERROR(VLOOKUP(Fact_Analitica[[#This Row],[Concepto Anterior]],Conceptos_Analítica_contraloría[#All],7,0),"")</f>
        <v/>
      </c>
      <c r="I2471" s="138" t="str">
        <f>+IFERROR(VLOOKUP(D2471,Conceptos_Analítica_contraloría[#All],2,0),"")</f>
        <v/>
      </c>
      <c r="J2471" s="138" t="str">
        <f>+IFERROR(VLOOKUP(D2471,Conceptos_Analítica_contraloría[#All],3,0),"")</f>
        <v/>
      </c>
    </row>
    <row r="2472" spans="3:10" x14ac:dyDescent="0.35">
      <c r="C2472" s="144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s="138" t="str">
        <f>+IFERROR(VLOOKUP(Fact_Analitica[[#This Row],[Concepto Anterior]],Conceptos_Analítica_contraloría[#All],5,0),"")</f>
        <v/>
      </c>
      <c r="F2472" s="138" t="str">
        <f>+IFERROR(VLOOKUP(Fact_Analitica[[#This Row],[Concepto Anterior]],Conceptos_Analítica_contraloría[#All],7,0),"")</f>
        <v/>
      </c>
      <c r="I2472" s="138" t="str">
        <f>+IFERROR(VLOOKUP(D2472,Conceptos_Analítica_contraloría[#All],2,0),"")</f>
        <v/>
      </c>
      <c r="J2472" s="138" t="str">
        <f>+IFERROR(VLOOKUP(D2472,Conceptos_Analítica_contraloría[#All],3,0),"")</f>
        <v/>
      </c>
    </row>
    <row r="2473" spans="3:10" x14ac:dyDescent="0.35">
      <c r="C2473" s="144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s="138" t="str">
        <f>+IFERROR(VLOOKUP(Fact_Analitica[[#This Row],[Concepto Anterior]],Conceptos_Analítica_contraloría[#All],5,0),"")</f>
        <v/>
      </c>
      <c r="F2473" s="138" t="str">
        <f>+IFERROR(VLOOKUP(Fact_Analitica[[#This Row],[Concepto Anterior]],Conceptos_Analítica_contraloría[#All],7,0),"")</f>
        <v/>
      </c>
      <c r="I2473" s="138" t="str">
        <f>+IFERROR(VLOOKUP(D2473,Conceptos_Analítica_contraloría[#All],2,0),"")</f>
        <v/>
      </c>
      <c r="J2473" s="138" t="str">
        <f>+IFERROR(VLOOKUP(D2473,Conceptos_Analítica_contraloría[#All],3,0),"")</f>
        <v/>
      </c>
    </row>
    <row r="2474" spans="3:10" x14ac:dyDescent="0.35">
      <c r="C2474" s="144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s="138" t="str">
        <f>+IFERROR(VLOOKUP(Fact_Analitica[[#This Row],[Concepto Anterior]],Conceptos_Analítica_contraloría[#All],5,0),"")</f>
        <v/>
      </c>
      <c r="F2474" s="138" t="str">
        <f>+IFERROR(VLOOKUP(Fact_Analitica[[#This Row],[Concepto Anterior]],Conceptos_Analítica_contraloría[#All],7,0),"")</f>
        <v/>
      </c>
      <c r="I2474" s="138" t="str">
        <f>+IFERROR(VLOOKUP(D2474,Conceptos_Analítica_contraloría[#All],2,0),"")</f>
        <v/>
      </c>
      <c r="J2474" s="138" t="str">
        <f>+IFERROR(VLOOKUP(D2474,Conceptos_Analítica_contraloría[#All],3,0),"")</f>
        <v/>
      </c>
    </row>
    <row r="2475" spans="3:10" x14ac:dyDescent="0.35">
      <c r="C2475" s="144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s="138" t="str">
        <f>+IFERROR(VLOOKUP(Fact_Analitica[[#This Row],[Concepto Anterior]],Conceptos_Analítica_contraloría[#All],5,0),"")</f>
        <v/>
      </c>
      <c r="F2475" s="138" t="str">
        <f>+IFERROR(VLOOKUP(Fact_Analitica[[#This Row],[Concepto Anterior]],Conceptos_Analítica_contraloría[#All],7,0),"")</f>
        <v/>
      </c>
      <c r="I2475" s="138" t="str">
        <f>+IFERROR(VLOOKUP(D2475,Conceptos_Analítica_contraloría[#All],2,0),"")</f>
        <v/>
      </c>
      <c r="J2475" s="138" t="str">
        <f>+IFERROR(VLOOKUP(D2475,Conceptos_Analítica_contraloría[#All],3,0),"")</f>
        <v/>
      </c>
    </row>
    <row r="2476" spans="3:10" x14ac:dyDescent="0.35">
      <c r="C2476" s="144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s="138" t="str">
        <f>+IFERROR(VLOOKUP(Fact_Analitica[[#This Row],[Concepto Anterior]],Conceptos_Analítica_contraloría[#All],5,0),"")</f>
        <v/>
      </c>
      <c r="F2476" s="138" t="str">
        <f>+IFERROR(VLOOKUP(Fact_Analitica[[#This Row],[Concepto Anterior]],Conceptos_Analítica_contraloría[#All],7,0),"")</f>
        <v/>
      </c>
      <c r="I2476" s="138" t="str">
        <f>+IFERROR(VLOOKUP(D2476,Conceptos_Analítica_contraloría[#All],2,0),"")</f>
        <v/>
      </c>
      <c r="J2476" s="138" t="str">
        <f>+IFERROR(VLOOKUP(D2476,Conceptos_Analítica_contraloría[#All],3,0),"")</f>
        <v/>
      </c>
    </row>
    <row r="2477" spans="3:10" x14ac:dyDescent="0.35">
      <c r="C2477" s="144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s="138" t="str">
        <f>+IFERROR(VLOOKUP(Fact_Analitica[[#This Row],[Concepto Anterior]],Conceptos_Analítica_contraloría[#All],5,0),"")</f>
        <v/>
      </c>
      <c r="F2477" s="138" t="str">
        <f>+IFERROR(VLOOKUP(Fact_Analitica[[#This Row],[Concepto Anterior]],Conceptos_Analítica_contraloría[#All],7,0),"")</f>
        <v/>
      </c>
      <c r="I2477" s="138" t="str">
        <f>+IFERROR(VLOOKUP(D2477,Conceptos_Analítica_contraloría[#All],2,0),"")</f>
        <v/>
      </c>
      <c r="J2477" s="138" t="str">
        <f>+IFERROR(VLOOKUP(D2477,Conceptos_Analítica_contraloría[#All],3,0),"")</f>
        <v/>
      </c>
    </row>
    <row r="2478" spans="3:10" x14ac:dyDescent="0.35">
      <c r="C2478" s="144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s="138" t="str">
        <f>+IFERROR(VLOOKUP(Fact_Analitica[[#This Row],[Concepto Anterior]],Conceptos_Analítica_contraloría[#All],5,0),"")</f>
        <v/>
      </c>
      <c r="F2478" s="138" t="str">
        <f>+IFERROR(VLOOKUP(Fact_Analitica[[#This Row],[Concepto Anterior]],Conceptos_Analítica_contraloría[#All],7,0),"")</f>
        <v/>
      </c>
      <c r="I2478" s="138" t="str">
        <f>+IFERROR(VLOOKUP(D2478,Conceptos_Analítica_contraloría[#All],2,0),"")</f>
        <v/>
      </c>
      <c r="J2478" s="138" t="str">
        <f>+IFERROR(VLOOKUP(D2478,Conceptos_Analítica_contraloría[#All],3,0),"")</f>
        <v/>
      </c>
    </row>
    <row r="2479" spans="3:10" x14ac:dyDescent="0.35">
      <c r="C2479" s="144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s="138" t="str">
        <f>+IFERROR(VLOOKUP(Fact_Analitica[[#This Row],[Concepto Anterior]],Conceptos_Analítica_contraloría[#All],5,0),"")</f>
        <v/>
      </c>
      <c r="F2479" s="138" t="str">
        <f>+IFERROR(VLOOKUP(Fact_Analitica[[#This Row],[Concepto Anterior]],Conceptos_Analítica_contraloría[#All],7,0),"")</f>
        <v/>
      </c>
      <c r="I2479" s="138" t="str">
        <f>+IFERROR(VLOOKUP(D2479,Conceptos_Analítica_contraloría[#All],2,0),"")</f>
        <v/>
      </c>
      <c r="J2479" s="138" t="str">
        <f>+IFERROR(VLOOKUP(D2479,Conceptos_Analítica_contraloría[#All],3,0),"")</f>
        <v/>
      </c>
    </row>
    <row r="2480" spans="3:10" x14ac:dyDescent="0.35">
      <c r="C2480" s="144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s="138" t="str">
        <f>+IFERROR(VLOOKUP(Fact_Analitica[[#This Row],[Concepto Anterior]],Conceptos_Analítica_contraloría[#All],5,0),"")</f>
        <v/>
      </c>
      <c r="F2480" s="138" t="str">
        <f>+IFERROR(VLOOKUP(Fact_Analitica[[#This Row],[Concepto Anterior]],Conceptos_Analítica_contraloría[#All],7,0),"")</f>
        <v/>
      </c>
      <c r="I2480" s="138" t="str">
        <f>+IFERROR(VLOOKUP(D2480,Conceptos_Analítica_contraloría[#All],2,0),"")</f>
        <v/>
      </c>
      <c r="J2480" s="138" t="str">
        <f>+IFERROR(VLOOKUP(D2480,Conceptos_Analítica_contraloría[#All],3,0),"")</f>
        <v/>
      </c>
    </row>
    <row r="2481" spans="3:10" x14ac:dyDescent="0.35">
      <c r="C2481" s="144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s="138" t="str">
        <f>+IFERROR(VLOOKUP(Fact_Analitica[[#This Row],[Concepto Anterior]],Conceptos_Analítica_contraloría[#All],5,0),"")</f>
        <v/>
      </c>
      <c r="F2481" s="138" t="str">
        <f>+IFERROR(VLOOKUP(Fact_Analitica[[#This Row],[Concepto Anterior]],Conceptos_Analítica_contraloría[#All],7,0),"")</f>
        <v/>
      </c>
      <c r="I2481" s="138" t="str">
        <f>+IFERROR(VLOOKUP(D2481,Conceptos_Analítica_contraloría[#All],2,0),"")</f>
        <v/>
      </c>
      <c r="J2481" s="138" t="str">
        <f>+IFERROR(VLOOKUP(D2481,Conceptos_Analítica_contraloría[#All],3,0),"")</f>
        <v/>
      </c>
    </row>
    <row r="2482" spans="3:10" x14ac:dyDescent="0.35">
      <c r="C2482" s="144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s="138" t="str">
        <f>+IFERROR(VLOOKUP(Fact_Analitica[[#This Row],[Concepto Anterior]],Conceptos_Analítica_contraloría[#All],5,0),"")</f>
        <v/>
      </c>
      <c r="F2482" s="138" t="str">
        <f>+IFERROR(VLOOKUP(Fact_Analitica[[#This Row],[Concepto Anterior]],Conceptos_Analítica_contraloría[#All],7,0),"")</f>
        <v/>
      </c>
      <c r="I2482" s="138" t="str">
        <f>+IFERROR(VLOOKUP(D2482,Conceptos_Analítica_contraloría[#All],2,0),"")</f>
        <v/>
      </c>
      <c r="J2482" s="138" t="str">
        <f>+IFERROR(VLOOKUP(D2482,Conceptos_Analítica_contraloría[#All],3,0),"")</f>
        <v/>
      </c>
    </row>
    <row r="2483" spans="3:10" x14ac:dyDescent="0.35">
      <c r="C2483" s="144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s="138" t="str">
        <f>+IFERROR(VLOOKUP(Fact_Analitica[[#This Row],[Concepto Anterior]],Conceptos_Analítica_contraloría[#All],5,0),"")</f>
        <v/>
      </c>
      <c r="F2483" s="138" t="str">
        <f>+IFERROR(VLOOKUP(Fact_Analitica[[#This Row],[Concepto Anterior]],Conceptos_Analítica_contraloría[#All],7,0),"")</f>
        <v/>
      </c>
      <c r="I2483" s="138" t="str">
        <f>+IFERROR(VLOOKUP(D2483,Conceptos_Analítica_contraloría[#All],2,0),"")</f>
        <v/>
      </c>
      <c r="J2483" s="138" t="str">
        <f>+IFERROR(VLOOKUP(D2483,Conceptos_Analítica_contraloría[#All],3,0),"")</f>
        <v/>
      </c>
    </row>
    <row r="2484" spans="3:10" x14ac:dyDescent="0.35">
      <c r="C2484" s="144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s="138" t="str">
        <f>+IFERROR(VLOOKUP(Fact_Analitica[[#This Row],[Concepto Anterior]],Conceptos_Analítica_contraloría[#All],5,0),"")</f>
        <v/>
      </c>
      <c r="F2484" s="138" t="str">
        <f>+IFERROR(VLOOKUP(Fact_Analitica[[#This Row],[Concepto Anterior]],Conceptos_Analítica_contraloría[#All],7,0),"")</f>
        <v/>
      </c>
      <c r="I2484" s="138" t="str">
        <f>+IFERROR(VLOOKUP(D2484,Conceptos_Analítica_contraloría[#All],2,0),"")</f>
        <v/>
      </c>
      <c r="J2484" s="138" t="str">
        <f>+IFERROR(VLOOKUP(D2484,Conceptos_Analítica_contraloría[#All],3,0),"")</f>
        <v/>
      </c>
    </row>
    <row r="2485" spans="3:10" x14ac:dyDescent="0.35">
      <c r="C2485" s="144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s="138" t="str">
        <f>+IFERROR(VLOOKUP(Fact_Analitica[[#This Row],[Concepto Anterior]],Conceptos_Analítica_contraloría[#All],5,0),"")</f>
        <v/>
      </c>
      <c r="F2485" s="138" t="str">
        <f>+IFERROR(VLOOKUP(Fact_Analitica[[#This Row],[Concepto Anterior]],Conceptos_Analítica_contraloría[#All],7,0),"")</f>
        <v/>
      </c>
      <c r="I2485" s="138" t="str">
        <f>+IFERROR(VLOOKUP(D2485,Conceptos_Analítica_contraloría[#All],2,0),"")</f>
        <v/>
      </c>
      <c r="J2485" s="138" t="str">
        <f>+IFERROR(VLOOKUP(D2485,Conceptos_Analítica_contraloría[#All],3,0),"")</f>
        <v/>
      </c>
    </row>
    <row r="2486" spans="3:10" x14ac:dyDescent="0.35">
      <c r="C2486" s="144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s="138" t="str">
        <f>+IFERROR(VLOOKUP(Fact_Analitica[[#This Row],[Concepto Anterior]],Conceptos_Analítica_contraloría[#All],5,0),"")</f>
        <v/>
      </c>
      <c r="F2486" s="138" t="str">
        <f>+IFERROR(VLOOKUP(Fact_Analitica[[#This Row],[Concepto Anterior]],Conceptos_Analítica_contraloría[#All],7,0),"")</f>
        <v/>
      </c>
      <c r="I2486" s="138" t="str">
        <f>+IFERROR(VLOOKUP(D2486,Conceptos_Analítica_contraloría[#All],2,0),"")</f>
        <v/>
      </c>
      <c r="J2486" s="138" t="str">
        <f>+IFERROR(VLOOKUP(D2486,Conceptos_Analítica_contraloría[#All],3,0),"")</f>
        <v/>
      </c>
    </row>
    <row r="2487" spans="3:10" x14ac:dyDescent="0.35">
      <c r="C2487" s="144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s="138" t="str">
        <f>+IFERROR(VLOOKUP(Fact_Analitica[[#This Row],[Concepto Anterior]],Conceptos_Analítica_contraloría[#All],5,0),"")</f>
        <v/>
      </c>
      <c r="F2487" s="138" t="str">
        <f>+IFERROR(VLOOKUP(Fact_Analitica[[#This Row],[Concepto Anterior]],Conceptos_Analítica_contraloría[#All],7,0),"")</f>
        <v/>
      </c>
      <c r="I2487" s="138" t="str">
        <f>+IFERROR(VLOOKUP(D2487,Conceptos_Analítica_contraloría[#All],2,0),"")</f>
        <v/>
      </c>
      <c r="J2487" s="138" t="str">
        <f>+IFERROR(VLOOKUP(D2487,Conceptos_Analítica_contraloría[#All],3,0),"")</f>
        <v/>
      </c>
    </row>
    <row r="2488" spans="3:10" x14ac:dyDescent="0.35">
      <c r="C2488" s="144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s="138" t="str">
        <f>+IFERROR(VLOOKUP(Fact_Analitica[[#This Row],[Concepto Anterior]],Conceptos_Analítica_contraloría[#All],5,0),"")</f>
        <v/>
      </c>
      <c r="F2488" s="138" t="str">
        <f>+IFERROR(VLOOKUP(Fact_Analitica[[#This Row],[Concepto Anterior]],Conceptos_Analítica_contraloría[#All],7,0),"")</f>
        <v/>
      </c>
      <c r="I2488" s="138" t="str">
        <f>+IFERROR(VLOOKUP(D2488,Conceptos_Analítica_contraloría[#All],2,0),"")</f>
        <v/>
      </c>
      <c r="J2488" s="138" t="str">
        <f>+IFERROR(VLOOKUP(D2488,Conceptos_Analítica_contraloría[#All],3,0),"")</f>
        <v/>
      </c>
    </row>
    <row r="2489" spans="3:10" x14ac:dyDescent="0.35">
      <c r="C2489" s="144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s="138" t="str">
        <f>+IFERROR(VLOOKUP(Fact_Analitica[[#This Row],[Concepto Anterior]],Conceptos_Analítica_contraloría[#All],5,0),"")</f>
        <v/>
      </c>
      <c r="F2489" s="138" t="str">
        <f>+IFERROR(VLOOKUP(Fact_Analitica[[#This Row],[Concepto Anterior]],Conceptos_Analítica_contraloría[#All],7,0),"")</f>
        <v/>
      </c>
      <c r="I2489" s="138" t="str">
        <f>+IFERROR(VLOOKUP(D2489,Conceptos_Analítica_contraloría[#All],2,0),"")</f>
        <v/>
      </c>
      <c r="J2489" s="138" t="str">
        <f>+IFERROR(VLOOKUP(D2489,Conceptos_Analítica_contraloría[#All],3,0),"")</f>
        <v/>
      </c>
    </row>
    <row r="2490" spans="3:10" x14ac:dyDescent="0.35">
      <c r="C2490" s="144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s="138" t="str">
        <f>+IFERROR(VLOOKUP(Fact_Analitica[[#This Row],[Concepto Anterior]],Conceptos_Analítica_contraloría[#All],5,0),"")</f>
        <v/>
      </c>
      <c r="F2490" s="138" t="str">
        <f>+IFERROR(VLOOKUP(Fact_Analitica[[#This Row],[Concepto Anterior]],Conceptos_Analítica_contraloría[#All],7,0),"")</f>
        <v/>
      </c>
      <c r="I2490" s="138" t="str">
        <f>+IFERROR(VLOOKUP(D2490,Conceptos_Analítica_contraloría[#All],2,0),"")</f>
        <v/>
      </c>
      <c r="J2490" s="138" t="str">
        <f>+IFERROR(VLOOKUP(D2490,Conceptos_Analítica_contraloría[#All],3,0),"")</f>
        <v/>
      </c>
    </row>
    <row r="2491" spans="3:10" x14ac:dyDescent="0.35">
      <c r="C2491" s="144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s="138" t="str">
        <f>+IFERROR(VLOOKUP(Fact_Analitica[[#This Row],[Concepto Anterior]],Conceptos_Analítica_contraloría[#All],5,0),"")</f>
        <v/>
      </c>
      <c r="F2491" s="138" t="str">
        <f>+IFERROR(VLOOKUP(Fact_Analitica[[#This Row],[Concepto Anterior]],Conceptos_Analítica_contraloría[#All],7,0),"")</f>
        <v/>
      </c>
      <c r="I2491" s="138" t="str">
        <f>+IFERROR(VLOOKUP(D2491,Conceptos_Analítica_contraloría[#All],2,0),"")</f>
        <v/>
      </c>
      <c r="J2491" s="138" t="str">
        <f>+IFERROR(VLOOKUP(D2491,Conceptos_Analítica_contraloría[#All],3,0),"")</f>
        <v/>
      </c>
    </row>
    <row r="2492" spans="3:10" x14ac:dyDescent="0.35">
      <c r="C2492" s="144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s="138" t="str">
        <f>+IFERROR(VLOOKUP(Fact_Analitica[[#This Row],[Concepto Anterior]],Conceptos_Analítica_contraloría[#All],5,0),"")</f>
        <v/>
      </c>
      <c r="F2492" s="138" t="str">
        <f>+IFERROR(VLOOKUP(Fact_Analitica[[#This Row],[Concepto Anterior]],Conceptos_Analítica_contraloría[#All],7,0),"")</f>
        <v/>
      </c>
      <c r="I2492" s="138" t="str">
        <f>+IFERROR(VLOOKUP(D2492,Conceptos_Analítica_contraloría[#All],2,0),"")</f>
        <v/>
      </c>
      <c r="J2492" s="138" t="str">
        <f>+IFERROR(VLOOKUP(D2492,Conceptos_Analítica_contraloría[#All],3,0),"")</f>
        <v/>
      </c>
    </row>
    <row r="2493" spans="3:10" x14ac:dyDescent="0.35">
      <c r="C2493" s="144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s="138" t="str">
        <f>+IFERROR(VLOOKUP(Fact_Analitica[[#This Row],[Concepto Anterior]],Conceptos_Analítica_contraloría[#All],5,0),"")</f>
        <v/>
      </c>
      <c r="F2493" s="138" t="str">
        <f>+IFERROR(VLOOKUP(Fact_Analitica[[#This Row],[Concepto Anterior]],Conceptos_Analítica_contraloría[#All],7,0),"")</f>
        <v/>
      </c>
      <c r="I2493" s="138" t="str">
        <f>+IFERROR(VLOOKUP(D2493,Conceptos_Analítica_contraloría[#All],2,0),"")</f>
        <v/>
      </c>
      <c r="J2493" s="138" t="str">
        <f>+IFERROR(VLOOKUP(D2493,Conceptos_Analítica_contraloría[#All],3,0),"")</f>
        <v/>
      </c>
    </row>
    <row r="2494" spans="3:10" x14ac:dyDescent="0.35">
      <c r="C2494" s="144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s="138" t="str">
        <f>+IFERROR(VLOOKUP(Fact_Analitica[[#This Row],[Concepto Anterior]],Conceptos_Analítica_contraloría[#All],5,0),"")</f>
        <v/>
      </c>
      <c r="F2494" s="138" t="str">
        <f>+IFERROR(VLOOKUP(Fact_Analitica[[#This Row],[Concepto Anterior]],Conceptos_Analítica_contraloría[#All],7,0),"")</f>
        <v/>
      </c>
      <c r="I2494" s="138" t="str">
        <f>+IFERROR(VLOOKUP(D2494,Conceptos_Analítica_contraloría[#All],2,0),"")</f>
        <v/>
      </c>
      <c r="J2494" s="138" t="str">
        <f>+IFERROR(VLOOKUP(D2494,Conceptos_Analítica_contraloría[#All],3,0),"")</f>
        <v/>
      </c>
    </row>
    <row r="2495" spans="3:10" x14ac:dyDescent="0.35">
      <c r="C2495" s="144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s="138" t="str">
        <f>+IFERROR(VLOOKUP(Fact_Analitica[[#This Row],[Concepto Anterior]],Conceptos_Analítica_contraloría[#All],5,0),"")</f>
        <v/>
      </c>
      <c r="F2495" s="138" t="str">
        <f>+IFERROR(VLOOKUP(Fact_Analitica[[#This Row],[Concepto Anterior]],Conceptos_Analítica_contraloría[#All],7,0),"")</f>
        <v/>
      </c>
      <c r="I2495" s="138" t="str">
        <f>+IFERROR(VLOOKUP(D2495,Conceptos_Analítica_contraloría[#All],2,0),"")</f>
        <v/>
      </c>
      <c r="J2495" s="138" t="str">
        <f>+IFERROR(VLOOKUP(D2495,Conceptos_Analítica_contraloría[#All],3,0),"")</f>
        <v/>
      </c>
    </row>
    <row r="2496" spans="3:10" x14ac:dyDescent="0.35">
      <c r="C2496" s="144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s="138" t="str">
        <f>+IFERROR(VLOOKUP(Fact_Analitica[[#This Row],[Concepto Anterior]],Conceptos_Analítica_contraloría[#All],5,0),"")</f>
        <v/>
      </c>
      <c r="F2496" s="138" t="str">
        <f>+IFERROR(VLOOKUP(Fact_Analitica[[#This Row],[Concepto Anterior]],Conceptos_Analítica_contraloría[#All],7,0),"")</f>
        <v/>
      </c>
      <c r="I2496" s="138" t="str">
        <f>+IFERROR(VLOOKUP(D2496,Conceptos_Analítica_contraloría[#All],2,0),"")</f>
        <v/>
      </c>
      <c r="J2496" s="138" t="str">
        <f>+IFERROR(VLOOKUP(D2496,Conceptos_Analítica_contraloría[#All],3,0),"")</f>
        <v/>
      </c>
    </row>
    <row r="2497" spans="3:10" x14ac:dyDescent="0.35">
      <c r="C2497" s="144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s="138" t="str">
        <f>+IFERROR(VLOOKUP(Fact_Analitica[[#This Row],[Concepto Anterior]],Conceptos_Analítica_contraloría[#All],5,0),"")</f>
        <v/>
      </c>
      <c r="F2497" s="138" t="str">
        <f>+IFERROR(VLOOKUP(Fact_Analitica[[#This Row],[Concepto Anterior]],Conceptos_Analítica_contraloría[#All],7,0),"")</f>
        <v/>
      </c>
      <c r="I2497" s="138" t="str">
        <f>+IFERROR(VLOOKUP(D2497,Conceptos_Analítica_contraloría[#All],2,0),"")</f>
        <v/>
      </c>
      <c r="J2497" s="138" t="str">
        <f>+IFERROR(VLOOKUP(D2497,Conceptos_Analítica_contraloría[#All],3,0),"")</f>
        <v/>
      </c>
    </row>
    <row r="2498" spans="3:10" x14ac:dyDescent="0.35">
      <c r="C2498" s="144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s="138" t="str">
        <f>+IFERROR(VLOOKUP(Fact_Analitica[[#This Row],[Concepto Anterior]],Conceptos_Analítica_contraloría[#All],5,0),"")</f>
        <v/>
      </c>
      <c r="F2498" s="138" t="str">
        <f>+IFERROR(VLOOKUP(Fact_Analitica[[#This Row],[Concepto Anterior]],Conceptos_Analítica_contraloría[#All],7,0),"")</f>
        <v/>
      </c>
      <c r="I2498" s="138" t="str">
        <f>+IFERROR(VLOOKUP(D2498,Conceptos_Analítica_contraloría[#All],2,0),"")</f>
        <v/>
      </c>
      <c r="J2498" s="138" t="str">
        <f>+IFERROR(VLOOKUP(D2498,Conceptos_Analítica_contraloría[#All],3,0),"")</f>
        <v/>
      </c>
    </row>
    <row r="2499" spans="3:10" x14ac:dyDescent="0.35">
      <c r="C2499" s="144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s="138" t="str">
        <f>+IFERROR(VLOOKUP(Fact_Analitica[[#This Row],[Concepto Anterior]],Conceptos_Analítica_contraloría[#All],5,0),"")</f>
        <v/>
      </c>
      <c r="F2499" s="138" t="str">
        <f>+IFERROR(VLOOKUP(Fact_Analitica[[#This Row],[Concepto Anterior]],Conceptos_Analítica_contraloría[#All],7,0),"")</f>
        <v/>
      </c>
      <c r="I2499" s="138" t="str">
        <f>+IFERROR(VLOOKUP(D2499,Conceptos_Analítica_contraloría[#All],2,0),"")</f>
        <v/>
      </c>
      <c r="J2499" s="138" t="str">
        <f>+IFERROR(VLOOKUP(D2499,Conceptos_Analítica_contraloría[#All],3,0),"")</f>
        <v/>
      </c>
    </row>
    <row r="2500" spans="3:10" x14ac:dyDescent="0.35">
      <c r="C2500" s="144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s="138" t="str">
        <f>+IFERROR(VLOOKUP(Fact_Analitica[[#This Row],[Concepto Anterior]],Conceptos_Analítica_contraloría[#All],5,0),"")</f>
        <v/>
      </c>
      <c r="F2500" s="138" t="str">
        <f>+IFERROR(VLOOKUP(Fact_Analitica[[#This Row],[Concepto Anterior]],Conceptos_Analítica_contraloría[#All],7,0),"")</f>
        <v/>
      </c>
      <c r="I2500" s="138" t="str">
        <f>+IFERROR(VLOOKUP(D2500,Conceptos_Analítica_contraloría[#All],2,0),"")</f>
        <v/>
      </c>
      <c r="J2500" s="138" t="str">
        <f>+IFERROR(VLOOKUP(D2500,Conceptos_Analítica_contraloría[#All],3,0),"")</f>
        <v/>
      </c>
    </row>
    <row r="2501" spans="3:10" x14ac:dyDescent="0.35">
      <c r="C2501" s="144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s="138" t="str">
        <f>+IFERROR(VLOOKUP(Fact_Analitica[[#This Row],[Concepto Anterior]],Conceptos_Analítica_contraloría[#All],5,0),"")</f>
        <v/>
      </c>
      <c r="F2501" s="138" t="str">
        <f>+IFERROR(VLOOKUP(Fact_Analitica[[#This Row],[Concepto Anterior]],Conceptos_Analítica_contraloría[#All],7,0),"")</f>
        <v/>
      </c>
      <c r="I2501" s="138" t="str">
        <f>+IFERROR(VLOOKUP(D2501,Conceptos_Analítica_contraloría[#All],2,0),"")</f>
        <v/>
      </c>
      <c r="J2501" s="138" t="str">
        <f>+IFERROR(VLOOKUP(D2501,Conceptos_Analítica_contraloría[#All],3,0),"")</f>
        <v/>
      </c>
    </row>
    <row r="2502" spans="3:10" x14ac:dyDescent="0.35">
      <c r="C2502" s="144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s="138" t="str">
        <f>+IFERROR(VLOOKUP(Fact_Analitica[[#This Row],[Concepto Anterior]],Conceptos_Analítica_contraloría[#All],5,0),"")</f>
        <v/>
      </c>
      <c r="F2502" s="138" t="str">
        <f>+IFERROR(VLOOKUP(Fact_Analitica[[#This Row],[Concepto Anterior]],Conceptos_Analítica_contraloría[#All],7,0),"")</f>
        <v/>
      </c>
      <c r="I2502" s="138" t="str">
        <f>+IFERROR(VLOOKUP(D2502,Conceptos_Analítica_contraloría[#All],2,0),"")</f>
        <v/>
      </c>
      <c r="J2502" s="138" t="str">
        <f>+IFERROR(VLOOKUP(D2502,Conceptos_Analítica_contraloría[#All],3,0),"")</f>
        <v/>
      </c>
    </row>
    <row r="2503" spans="3:10" x14ac:dyDescent="0.35">
      <c r="C2503" s="144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s="138" t="str">
        <f>+IFERROR(VLOOKUP(Fact_Analitica[[#This Row],[Concepto Anterior]],Conceptos_Analítica_contraloría[#All],5,0),"")</f>
        <v/>
      </c>
      <c r="F2503" s="138" t="str">
        <f>+IFERROR(VLOOKUP(Fact_Analitica[[#This Row],[Concepto Anterior]],Conceptos_Analítica_contraloría[#All],7,0),"")</f>
        <v/>
      </c>
      <c r="I2503" s="138" t="str">
        <f>+IFERROR(VLOOKUP(D2503,Conceptos_Analítica_contraloría[#All],2,0),"")</f>
        <v/>
      </c>
      <c r="J2503" s="138" t="str">
        <f>+IFERROR(VLOOKUP(D2503,Conceptos_Analítica_contraloría[#All],3,0),"")</f>
        <v/>
      </c>
    </row>
    <row r="2504" spans="3:10" x14ac:dyDescent="0.35">
      <c r="C2504" s="144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s="138" t="str">
        <f>+IFERROR(VLOOKUP(Fact_Analitica[[#This Row],[Concepto Anterior]],Conceptos_Analítica_contraloría[#All],5,0),"")</f>
        <v/>
      </c>
      <c r="F2504" s="138" t="str">
        <f>+IFERROR(VLOOKUP(Fact_Analitica[[#This Row],[Concepto Anterior]],Conceptos_Analítica_contraloría[#All],7,0),"")</f>
        <v/>
      </c>
      <c r="I2504" s="138" t="str">
        <f>+IFERROR(VLOOKUP(D2504,Conceptos_Analítica_contraloría[#All],2,0),"")</f>
        <v/>
      </c>
      <c r="J2504" s="138" t="str">
        <f>+IFERROR(VLOOKUP(D2504,Conceptos_Analítica_contraloría[#All],3,0),"")</f>
        <v/>
      </c>
    </row>
    <row r="2505" spans="3:10" x14ac:dyDescent="0.35">
      <c r="C2505" s="144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s="138" t="str">
        <f>+IFERROR(VLOOKUP(Fact_Analitica[[#This Row],[Concepto Anterior]],Conceptos_Analítica_contraloría[#All],5,0),"")</f>
        <v/>
      </c>
      <c r="F2505" s="138" t="str">
        <f>+IFERROR(VLOOKUP(Fact_Analitica[[#This Row],[Concepto Anterior]],Conceptos_Analítica_contraloría[#All],7,0),"")</f>
        <v/>
      </c>
      <c r="I2505" s="138" t="str">
        <f>+IFERROR(VLOOKUP(D2505,Conceptos_Analítica_contraloría[#All],2,0),"")</f>
        <v/>
      </c>
      <c r="J2505" s="138" t="str">
        <f>+IFERROR(VLOOKUP(D2505,Conceptos_Analítica_contraloría[#All],3,0),"")</f>
        <v/>
      </c>
    </row>
    <row r="2506" spans="3:10" x14ac:dyDescent="0.35">
      <c r="C2506" s="144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s="138" t="str">
        <f>+IFERROR(VLOOKUP(Fact_Analitica[[#This Row],[Concepto Anterior]],Conceptos_Analítica_contraloría[#All],5,0),"")</f>
        <v/>
      </c>
      <c r="F2506" s="138" t="str">
        <f>+IFERROR(VLOOKUP(Fact_Analitica[[#This Row],[Concepto Anterior]],Conceptos_Analítica_contraloría[#All],7,0),"")</f>
        <v/>
      </c>
      <c r="I2506" s="138" t="str">
        <f>+IFERROR(VLOOKUP(D2506,Conceptos_Analítica_contraloría[#All],2,0),"")</f>
        <v/>
      </c>
      <c r="J2506" s="138" t="str">
        <f>+IFERROR(VLOOKUP(D2506,Conceptos_Analítica_contraloría[#All],3,0),"")</f>
        <v/>
      </c>
    </row>
    <row r="2507" spans="3:10" x14ac:dyDescent="0.35">
      <c r="C2507" s="144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s="138" t="str">
        <f>+IFERROR(VLOOKUP(Fact_Analitica[[#This Row],[Concepto Anterior]],Conceptos_Analítica_contraloría[#All],5,0),"")</f>
        <v/>
      </c>
      <c r="F2507" s="138" t="str">
        <f>+IFERROR(VLOOKUP(Fact_Analitica[[#This Row],[Concepto Anterior]],Conceptos_Analítica_contraloría[#All],7,0),"")</f>
        <v/>
      </c>
      <c r="I2507" s="138" t="str">
        <f>+IFERROR(VLOOKUP(D2507,Conceptos_Analítica_contraloría[#All],2,0),"")</f>
        <v/>
      </c>
      <c r="J2507" s="138" t="str">
        <f>+IFERROR(VLOOKUP(D2507,Conceptos_Analítica_contraloría[#All],3,0),"")</f>
        <v/>
      </c>
    </row>
    <row r="2508" spans="3:10" x14ac:dyDescent="0.35">
      <c r="C2508" s="144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s="138" t="str">
        <f>+IFERROR(VLOOKUP(Fact_Analitica[[#This Row],[Concepto Anterior]],Conceptos_Analítica_contraloría[#All],5,0),"")</f>
        <v/>
      </c>
      <c r="F2508" s="138" t="str">
        <f>+IFERROR(VLOOKUP(Fact_Analitica[[#This Row],[Concepto Anterior]],Conceptos_Analítica_contraloría[#All],7,0),"")</f>
        <v/>
      </c>
      <c r="I2508" s="138" t="str">
        <f>+IFERROR(VLOOKUP(D2508,Conceptos_Analítica_contraloría[#All],2,0),"")</f>
        <v/>
      </c>
      <c r="J2508" s="138" t="str">
        <f>+IFERROR(VLOOKUP(D2508,Conceptos_Analítica_contraloría[#All],3,0),"")</f>
        <v/>
      </c>
    </row>
    <row r="2509" spans="3:10" x14ac:dyDescent="0.35">
      <c r="C2509" s="144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s="138" t="str">
        <f>+IFERROR(VLOOKUP(Fact_Analitica[[#This Row],[Concepto Anterior]],Conceptos_Analítica_contraloría[#All],5,0),"")</f>
        <v/>
      </c>
      <c r="F2509" s="138" t="str">
        <f>+IFERROR(VLOOKUP(Fact_Analitica[[#This Row],[Concepto Anterior]],Conceptos_Analítica_contraloría[#All],7,0),"")</f>
        <v/>
      </c>
      <c r="I2509" s="138" t="str">
        <f>+IFERROR(VLOOKUP(D2509,Conceptos_Analítica_contraloría[#All],2,0),"")</f>
        <v/>
      </c>
      <c r="J2509" s="138" t="str">
        <f>+IFERROR(VLOOKUP(D2509,Conceptos_Analítica_contraloría[#All],3,0),"")</f>
        <v/>
      </c>
    </row>
    <row r="2510" spans="3:10" x14ac:dyDescent="0.35">
      <c r="C2510" s="144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s="138" t="str">
        <f>+IFERROR(VLOOKUP(Fact_Analitica[[#This Row],[Concepto Anterior]],Conceptos_Analítica_contraloría[#All],5,0),"")</f>
        <v/>
      </c>
      <c r="F2510" s="138" t="str">
        <f>+IFERROR(VLOOKUP(Fact_Analitica[[#This Row],[Concepto Anterior]],Conceptos_Analítica_contraloría[#All],7,0),"")</f>
        <v/>
      </c>
      <c r="I2510" s="138" t="str">
        <f>+IFERROR(VLOOKUP(D2510,Conceptos_Analítica_contraloría[#All],2,0),"")</f>
        <v/>
      </c>
      <c r="J2510" s="138" t="str">
        <f>+IFERROR(VLOOKUP(D2510,Conceptos_Analítica_contraloría[#All],3,0),"")</f>
        <v/>
      </c>
    </row>
    <row r="2511" spans="3:10" x14ac:dyDescent="0.35">
      <c r="C2511" s="144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s="138" t="str">
        <f>+IFERROR(VLOOKUP(Fact_Analitica[[#This Row],[Concepto Anterior]],Conceptos_Analítica_contraloría[#All],5,0),"")</f>
        <v/>
      </c>
      <c r="F2511" s="138" t="str">
        <f>+IFERROR(VLOOKUP(Fact_Analitica[[#This Row],[Concepto Anterior]],Conceptos_Analítica_contraloría[#All],7,0),"")</f>
        <v/>
      </c>
      <c r="I2511" s="138" t="str">
        <f>+IFERROR(VLOOKUP(D2511,Conceptos_Analítica_contraloría[#All],2,0),"")</f>
        <v/>
      </c>
      <c r="J2511" s="138" t="str">
        <f>+IFERROR(VLOOKUP(D2511,Conceptos_Analítica_contraloría[#All],3,0),"")</f>
        <v/>
      </c>
    </row>
    <row r="2512" spans="3:10" x14ac:dyDescent="0.35">
      <c r="C2512" s="144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s="138" t="str">
        <f>+IFERROR(VLOOKUP(Fact_Analitica[[#This Row],[Concepto Anterior]],Conceptos_Analítica_contraloría[#All],5,0),"")</f>
        <v/>
      </c>
      <c r="F2512" s="138" t="str">
        <f>+IFERROR(VLOOKUP(Fact_Analitica[[#This Row],[Concepto Anterior]],Conceptos_Analítica_contraloría[#All],7,0),"")</f>
        <v/>
      </c>
      <c r="I2512" s="138" t="str">
        <f>+IFERROR(VLOOKUP(D2512,Conceptos_Analítica_contraloría[#All],2,0),"")</f>
        <v/>
      </c>
      <c r="J2512" s="138" t="str">
        <f>+IFERROR(VLOOKUP(D2512,Conceptos_Analítica_contraloría[#All],3,0),"")</f>
        <v/>
      </c>
    </row>
    <row r="2513" spans="3:10" x14ac:dyDescent="0.35">
      <c r="C2513" s="144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s="138" t="str">
        <f>+IFERROR(VLOOKUP(Fact_Analitica[[#This Row],[Concepto Anterior]],Conceptos_Analítica_contraloría[#All],5,0),"")</f>
        <v/>
      </c>
      <c r="F2513" s="138" t="str">
        <f>+IFERROR(VLOOKUP(Fact_Analitica[[#This Row],[Concepto Anterior]],Conceptos_Analítica_contraloría[#All],7,0),"")</f>
        <v/>
      </c>
      <c r="I2513" s="138" t="str">
        <f>+IFERROR(VLOOKUP(D2513,Conceptos_Analítica_contraloría[#All],2,0),"")</f>
        <v/>
      </c>
      <c r="J2513" s="138" t="str">
        <f>+IFERROR(VLOOKUP(D2513,Conceptos_Analítica_contraloría[#All],3,0),"")</f>
        <v/>
      </c>
    </row>
    <row r="2514" spans="3:10" x14ac:dyDescent="0.35">
      <c r="C2514" s="144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s="138" t="str">
        <f>+IFERROR(VLOOKUP(Fact_Analitica[[#This Row],[Concepto Anterior]],Conceptos_Analítica_contraloría[#All],5,0),"")</f>
        <v/>
      </c>
      <c r="F2514" s="138" t="str">
        <f>+IFERROR(VLOOKUP(Fact_Analitica[[#This Row],[Concepto Anterior]],Conceptos_Analítica_contraloría[#All],7,0),"")</f>
        <v/>
      </c>
      <c r="I2514" s="138" t="str">
        <f>+IFERROR(VLOOKUP(D2514,Conceptos_Analítica_contraloría[#All],2,0),"")</f>
        <v/>
      </c>
      <c r="J2514" s="138" t="str">
        <f>+IFERROR(VLOOKUP(D2514,Conceptos_Analítica_contraloría[#All],3,0),"")</f>
        <v/>
      </c>
    </row>
    <row r="2515" spans="3:10" x14ac:dyDescent="0.35">
      <c r="C2515" s="144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s="138" t="str">
        <f>+IFERROR(VLOOKUP(Fact_Analitica[[#This Row],[Concepto Anterior]],Conceptos_Analítica_contraloría[#All],5,0),"")</f>
        <v/>
      </c>
      <c r="F2515" s="138" t="str">
        <f>+IFERROR(VLOOKUP(Fact_Analitica[[#This Row],[Concepto Anterior]],Conceptos_Analítica_contraloría[#All],7,0),"")</f>
        <v/>
      </c>
      <c r="I2515" s="138" t="str">
        <f>+IFERROR(VLOOKUP(D2515,Conceptos_Analítica_contraloría[#All],2,0),"")</f>
        <v/>
      </c>
      <c r="J2515" s="138" t="str">
        <f>+IFERROR(VLOOKUP(D2515,Conceptos_Analítica_contraloría[#All],3,0),"")</f>
        <v/>
      </c>
    </row>
    <row r="2516" spans="3:10" x14ac:dyDescent="0.35">
      <c r="C2516" s="144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s="138" t="str">
        <f>+IFERROR(VLOOKUP(Fact_Analitica[[#This Row],[Concepto Anterior]],Conceptos_Analítica_contraloría[#All],5,0),"")</f>
        <v/>
      </c>
      <c r="F2516" s="138" t="str">
        <f>+IFERROR(VLOOKUP(Fact_Analitica[[#This Row],[Concepto Anterior]],Conceptos_Analítica_contraloría[#All],7,0),"")</f>
        <v/>
      </c>
      <c r="I2516" s="138" t="str">
        <f>+IFERROR(VLOOKUP(D2516,Conceptos_Analítica_contraloría[#All],2,0),"")</f>
        <v/>
      </c>
      <c r="J2516" s="138" t="str">
        <f>+IFERROR(VLOOKUP(D2516,Conceptos_Analítica_contraloría[#All],3,0),"")</f>
        <v/>
      </c>
    </row>
    <row r="2517" spans="3:10" x14ac:dyDescent="0.35">
      <c r="C2517" s="144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s="138" t="str">
        <f>+IFERROR(VLOOKUP(Fact_Analitica[[#This Row],[Concepto Anterior]],Conceptos_Analítica_contraloría[#All],5,0),"")</f>
        <v/>
      </c>
      <c r="F2517" s="138" t="str">
        <f>+IFERROR(VLOOKUP(Fact_Analitica[[#This Row],[Concepto Anterior]],Conceptos_Analítica_contraloría[#All],7,0),"")</f>
        <v/>
      </c>
      <c r="I2517" s="138" t="str">
        <f>+IFERROR(VLOOKUP(D2517,Conceptos_Analítica_contraloría[#All],2,0),"")</f>
        <v/>
      </c>
      <c r="J2517" s="138" t="str">
        <f>+IFERROR(VLOOKUP(D2517,Conceptos_Analítica_contraloría[#All],3,0),"")</f>
        <v/>
      </c>
    </row>
    <row r="2518" spans="3:10" x14ac:dyDescent="0.35">
      <c r="C2518" s="144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s="138" t="str">
        <f>+IFERROR(VLOOKUP(Fact_Analitica[[#This Row],[Concepto Anterior]],Conceptos_Analítica_contraloría[#All],5,0),"")</f>
        <v/>
      </c>
      <c r="F2518" s="138" t="str">
        <f>+IFERROR(VLOOKUP(Fact_Analitica[[#This Row],[Concepto Anterior]],Conceptos_Analítica_contraloría[#All],7,0),"")</f>
        <v/>
      </c>
      <c r="I2518" s="138" t="str">
        <f>+IFERROR(VLOOKUP(D2518,Conceptos_Analítica_contraloría[#All],2,0),"")</f>
        <v/>
      </c>
      <c r="J2518" s="138" t="str">
        <f>+IFERROR(VLOOKUP(D2518,Conceptos_Analítica_contraloría[#All],3,0),"")</f>
        <v/>
      </c>
    </row>
    <row r="2519" spans="3:10" x14ac:dyDescent="0.35">
      <c r="C2519" s="144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s="138" t="str">
        <f>+IFERROR(VLOOKUP(Fact_Analitica[[#This Row],[Concepto Anterior]],Conceptos_Analítica_contraloría[#All],5,0),"")</f>
        <v/>
      </c>
      <c r="F2519" s="138" t="str">
        <f>+IFERROR(VLOOKUP(Fact_Analitica[[#This Row],[Concepto Anterior]],Conceptos_Analítica_contraloría[#All],7,0),"")</f>
        <v/>
      </c>
      <c r="I2519" s="138" t="str">
        <f>+IFERROR(VLOOKUP(D2519,Conceptos_Analítica_contraloría[#All],2,0),"")</f>
        <v/>
      </c>
      <c r="J2519" s="138" t="str">
        <f>+IFERROR(VLOOKUP(D2519,Conceptos_Analítica_contraloría[#All],3,0),"")</f>
        <v/>
      </c>
    </row>
    <row r="2520" spans="3:10" x14ac:dyDescent="0.35">
      <c r="C2520" s="144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s="138" t="str">
        <f>+IFERROR(VLOOKUP(Fact_Analitica[[#This Row],[Concepto Anterior]],Conceptos_Analítica_contraloría[#All],5,0),"")</f>
        <v/>
      </c>
      <c r="F2520" s="138" t="str">
        <f>+IFERROR(VLOOKUP(Fact_Analitica[[#This Row],[Concepto Anterior]],Conceptos_Analítica_contraloría[#All],7,0),"")</f>
        <v/>
      </c>
      <c r="I2520" s="138" t="str">
        <f>+IFERROR(VLOOKUP(D2520,Conceptos_Analítica_contraloría[#All],2,0),"")</f>
        <v/>
      </c>
      <c r="J2520" s="138" t="str">
        <f>+IFERROR(VLOOKUP(D2520,Conceptos_Analítica_contraloría[#All],3,0),"")</f>
        <v/>
      </c>
    </row>
    <row r="2521" spans="3:10" x14ac:dyDescent="0.35">
      <c r="C2521" s="144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s="138" t="str">
        <f>+IFERROR(VLOOKUP(Fact_Analitica[[#This Row],[Concepto Anterior]],Conceptos_Analítica_contraloría[#All],5,0),"")</f>
        <v/>
      </c>
      <c r="F2521" s="138" t="str">
        <f>+IFERROR(VLOOKUP(Fact_Analitica[[#This Row],[Concepto Anterior]],Conceptos_Analítica_contraloría[#All],7,0),"")</f>
        <v/>
      </c>
      <c r="I2521" s="138" t="str">
        <f>+IFERROR(VLOOKUP(D2521,Conceptos_Analítica_contraloría[#All],2,0),"")</f>
        <v/>
      </c>
      <c r="J2521" s="138" t="str">
        <f>+IFERROR(VLOOKUP(D2521,Conceptos_Analítica_contraloría[#All],3,0),"")</f>
        <v/>
      </c>
    </row>
    <row r="2522" spans="3:10" x14ac:dyDescent="0.35">
      <c r="C2522" s="144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s="138" t="str">
        <f>+IFERROR(VLOOKUP(Fact_Analitica[[#This Row],[Concepto Anterior]],Conceptos_Analítica_contraloría[#All],5,0),"")</f>
        <v/>
      </c>
      <c r="F2522" s="138" t="str">
        <f>+IFERROR(VLOOKUP(Fact_Analitica[[#This Row],[Concepto Anterior]],Conceptos_Analítica_contraloría[#All],7,0),"")</f>
        <v/>
      </c>
      <c r="I2522" s="138" t="str">
        <f>+IFERROR(VLOOKUP(D2522,Conceptos_Analítica_contraloría[#All],2,0),"")</f>
        <v/>
      </c>
      <c r="J2522" s="138" t="str">
        <f>+IFERROR(VLOOKUP(D2522,Conceptos_Analítica_contraloría[#All],3,0),"")</f>
        <v/>
      </c>
    </row>
    <row r="2523" spans="3:10" x14ac:dyDescent="0.35">
      <c r="C2523" s="144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s="138" t="str">
        <f>+IFERROR(VLOOKUP(Fact_Analitica[[#This Row],[Concepto Anterior]],Conceptos_Analítica_contraloría[#All],5,0),"")</f>
        <v/>
      </c>
      <c r="F2523" s="138" t="str">
        <f>+IFERROR(VLOOKUP(Fact_Analitica[[#This Row],[Concepto Anterior]],Conceptos_Analítica_contraloría[#All],7,0),"")</f>
        <v/>
      </c>
      <c r="I2523" s="138" t="str">
        <f>+IFERROR(VLOOKUP(D2523,Conceptos_Analítica_contraloría[#All],2,0),"")</f>
        <v/>
      </c>
      <c r="J2523" s="138" t="str">
        <f>+IFERROR(VLOOKUP(D2523,Conceptos_Analítica_contraloría[#All],3,0),"")</f>
        <v/>
      </c>
    </row>
    <row r="2524" spans="3:10" x14ac:dyDescent="0.35">
      <c r="C2524" s="144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s="138" t="str">
        <f>+IFERROR(VLOOKUP(Fact_Analitica[[#This Row],[Concepto Anterior]],Conceptos_Analítica_contraloría[#All],5,0),"")</f>
        <v/>
      </c>
      <c r="F2524" s="138" t="str">
        <f>+IFERROR(VLOOKUP(Fact_Analitica[[#This Row],[Concepto Anterior]],Conceptos_Analítica_contraloría[#All],7,0),"")</f>
        <v/>
      </c>
      <c r="I2524" s="138" t="str">
        <f>+IFERROR(VLOOKUP(D2524,Conceptos_Analítica_contraloría[#All],2,0),"")</f>
        <v/>
      </c>
      <c r="J2524" s="138" t="str">
        <f>+IFERROR(VLOOKUP(D2524,Conceptos_Analítica_contraloría[#All],3,0),"")</f>
        <v/>
      </c>
    </row>
    <row r="2525" spans="3:10" x14ac:dyDescent="0.35">
      <c r="C2525" s="144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s="138" t="str">
        <f>+IFERROR(VLOOKUP(Fact_Analitica[[#This Row],[Concepto Anterior]],Conceptos_Analítica_contraloría[#All],5,0),"")</f>
        <v/>
      </c>
      <c r="F2525" s="138" t="str">
        <f>+IFERROR(VLOOKUP(Fact_Analitica[[#This Row],[Concepto Anterior]],Conceptos_Analítica_contraloría[#All],7,0),"")</f>
        <v/>
      </c>
      <c r="I2525" s="138" t="str">
        <f>+IFERROR(VLOOKUP(D2525,Conceptos_Analítica_contraloría[#All],2,0),"")</f>
        <v/>
      </c>
      <c r="J2525" s="138" t="str">
        <f>+IFERROR(VLOOKUP(D2525,Conceptos_Analítica_contraloría[#All],3,0),"")</f>
        <v/>
      </c>
    </row>
    <row r="2526" spans="3:10" x14ac:dyDescent="0.35">
      <c r="C2526" s="144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s="138" t="str">
        <f>+IFERROR(VLOOKUP(Fact_Analitica[[#This Row],[Concepto Anterior]],Conceptos_Analítica_contraloría[#All],5,0),"")</f>
        <v/>
      </c>
      <c r="F2526" s="138" t="str">
        <f>+IFERROR(VLOOKUP(Fact_Analitica[[#This Row],[Concepto Anterior]],Conceptos_Analítica_contraloría[#All],7,0),"")</f>
        <v/>
      </c>
      <c r="I2526" s="138" t="str">
        <f>+IFERROR(VLOOKUP(D2526,Conceptos_Analítica_contraloría[#All],2,0),"")</f>
        <v/>
      </c>
      <c r="J2526" s="138" t="str">
        <f>+IFERROR(VLOOKUP(D2526,Conceptos_Analítica_contraloría[#All],3,0),"")</f>
        <v/>
      </c>
    </row>
    <row r="2527" spans="3:10" x14ac:dyDescent="0.35">
      <c r="C2527" s="144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s="138" t="str">
        <f>+IFERROR(VLOOKUP(Fact_Analitica[[#This Row],[Concepto Anterior]],Conceptos_Analítica_contraloría[#All],5,0),"")</f>
        <v/>
      </c>
      <c r="F2527" s="138" t="str">
        <f>+IFERROR(VLOOKUP(Fact_Analitica[[#This Row],[Concepto Anterior]],Conceptos_Analítica_contraloría[#All],7,0),"")</f>
        <v/>
      </c>
      <c r="I2527" s="138" t="str">
        <f>+IFERROR(VLOOKUP(D2527,Conceptos_Analítica_contraloría[#All],2,0),"")</f>
        <v/>
      </c>
      <c r="J2527" s="138" t="str">
        <f>+IFERROR(VLOOKUP(D2527,Conceptos_Analítica_contraloría[#All],3,0),"")</f>
        <v/>
      </c>
    </row>
    <row r="2528" spans="3:10" x14ac:dyDescent="0.35">
      <c r="C2528" s="144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s="138" t="str">
        <f>+IFERROR(VLOOKUP(Fact_Analitica[[#This Row],[Concepto Anterior]],Conceptos_Analítica_contraloría[#All],5,0),"")</f>
        <v/>
      </c>
      <c r="F2528" s="138" t="str">
        <f>+IFERROR(VLOOKUP(Fact_Analitica[[#This Row],[Concepto Anterior]],Conceptos_Analítica_contraloría[#All],7,0),"")</f>
        <v/>
      </c>
      <c r="I2528" s="138" t="str">
        <f>+IFERROR(VLOOKUP(D2528,Conceptos_Analítica_contraloría[#All],2,0),"")</f>
        <v/>
      </c>
      <c r="J2528" s="138" t="str">
        <f>+IFERROR(VLOOKUP(D2528,Conceptos_Analítica_contraloría[#All],3,0),"")</f>
        <v/>
      </c>
    </row>
    <row r="2529" spans="3:10" x14ac:dyDescent="0.35">
      <c r="C2529" s="144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s="138" t="str">
        <f>+IFERROR(VLOOKUP(Fact_Analitica[[#This Row],[Concepto Anterior]],Conceptos_Analítica_contraloría[#All],5,0),"")</f>
        <v/>
      </c>
      <c r="F2529" s="138" t="str">
        <f>+IFERROR(VLOOKUP(Fact_Analitica[[#This Row],[Concepto Anterior]],Conceptos_Analítica_contraloría[#All],7,0),"")</f>
        <v/>
      </c>
      <c r="I2529" s="138" t="str">
        <f>+IFERROR(VLOOKUP(D2529,Conceptos_Analítica_contraloría[#All],2,0),"")</f>
        <v/>
      </c>
      <c r="J2529" s="138" t="str">
        <f>+IFERROR(VLOOKUP(D2529,Conceptos_Analítica_contraloría[#All],3,0),"")</f>
        <v/>
      </c>
    </row>
    <row r="2530" spans="3:10" x14ac:dyDescent="0.35">
      <c r="C2530" s="144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s="138" t="str">
        <f>+IFERROR(VLOOKUP(Fact_Analitica[[#This Row],[Concepto Anterior]],Conceptos_Analítica_contraloría[#All],5,0),"")</f>
        <v/>
      </c>
      <c r="F2530" s="138" t="str">
        <f>+IFERROR(VLOOKUP(Fact_Analitica[[#This Row],[Concepto Anterior]],Conceptos_Analítica_contraloría[#All],7,0),"")</f>
        <v/>
      </c>
      <c r="I2530" s="138" t="str">
        <f>+IFERROR(VLOOKUP(D2530,Conceptos_Analítica_contraloría[#All],2,0),"")</f>
        <v/>
      </c>
      <c r="J2530" s="138" t="str">
        <f>+IFERROR(VLOOKUP(D2530,Conceptos_Analítica_contraloría[#All],3,0),"")</f>
        <v/>
      </c>
    </row>
    <row r="2531" spans="3:10" x14ac:dyDescent="0.35">
      <c r="C2531" s="144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s="138" t="str">
        <f>+IFERROR(VLOOKUP(Fact_Analitica[[#This Row],[Concepto Anterior]],Conceptos_Analítica_contraloría[#All],5,0),"")</f>
        <v/>
      </c>
      <c r="F2531" s="138" t="str">
        <f>+IFERROR(VLOOKUP(Fact_Analitica[[#This Row],[Concepto Anterior]],Conceptos_Analítica_contraloría[#All],7,0),"")</f>
        <v/>
      </c>
      <c r="I2531" s="138" t="str">
        <f>+IFERROR(VLOOKUP(D2531,Conceptos_Analítica_contraloría[#All],2,0),"")</f>
        <v/>
      </c>
      <c r="J2531" s="138" t="str">
        <f>+IFERROR(VLOOKUP(D2531,Conceptos_Analítica_contraloría[#All],3,0),"")</f>
        <v/>
      </c>
    </row>
    <row r="2532" spans="3:10" x14ac:dyDescent="0.35">
      <c r="C2532" s="144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s="138" t="str">
        <f>+IFERROR(VLOOKUP(Fact_Analitica[[#This Row],[Concepto Anterior]],Conceptos_Analítica_contraloría[#All],5,0),"")</f>
        <v/>
      </c>
      <c r="F2532" s="138" t="str">
        <f>+IFERROR(VLOOKUP(Fact_Analitica[[#This Row],[Concepto Anterior]],Conceptos_Analítica_contraloría[#All],7,0),"")</f>
        <v/>
      </c>
      <c r="I2532" s="138" t="str">
        <f>+IFERROR(VLOOKUP(D2532,Conceptos_Analítica_contraloría[#All],2,0),"")</f>
        <v/>
      </c>
      <c r="J2532" s="138" t="str">
        <f>+IFERROR(VLOOKUP(D2532,Conceptos_Analítica_contraloría[#All],3,0),"")</f>
        <v/>
      </c>
    </row>
    <row r="2533" spans="3:10" x14ac:dyDescent="0.35">
      <c r="C2533" s="144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s="138" t="str">
        <f>+IFERROR(VLOOKUP(Fact_Analitica[[#This Row],[Concepto Anterior]],Conceptos_Analítica_contraloría[#All],5,0),"")</f>
        <v/>
      </c>
      <c r="F2533" s="138" t="str">
        <f>+IFERROR(VLOOKUP(Fact_Analitica[[#This Row],[Concepto Anterior]],Conceptos_Analítica_contraloría[#All],7,0),"")</f>
        <v/>
      </c>
      <c r="I2533" s="138" t="str">
        <f>+IFERROR(VLOOKUP(D2533,Conceptos_Analítica_contraloría[#All],2,0),"")</f>
        <v/>
      </c>
      <c r="J2533" s="138" t="str">
        <f>+IFERROR(VLOOKUP(D2533,Conceptos_Analítica_contraloría[#All],3,0),"")</f>
        <v/>
      </c>
    </row>
    <row r="2534" spans="3:10" x14ac:dyDescent="0.35">
      <c r="C2534" s="144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s="138" t="str">
        <f>+IFERROR(VLOOKUP(Fact_Analitica[[#This Row],[Concepto Anterior]],Conceptos_Analítica_contraloría[#All],5,0),"")</f>
        <v/>
      </c>
      <c r="F2534" s="138" t="str">
        <f>+IFERROR(VLOOKUP(Fact_Analitica[[#This Row],[Concepto Anterior]],Conceptos_Analítica_contraloría[#All],7,0),"")</f>
        <v/>
      </c>
      <c r="I2534" s="138" t="str">
        <f>+IFERROR(VLOOKUP(D2534,Conceptos_Analítica_contraloría[#All],2,0),"")</f>
        <v/>
      </c>
      <c r="J2534" s="138" t="str">
        <f>+IFERROR(VLOOKUP(D2534,Conceptos_Analítica_contraloría[#All],3,0),"")</f>
        <v/>
      </c>
    </row>
    <row r="2535" spans="3:10" x14ac:dyDescent="0.35">
      <c r="C2535" s="144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s="138" t="str">
        <f>+IFERROR(VLOOKUP(Fact_Analitica[[#This Row],[Concepto Anterior]],Conceptos_Analítica_contraloría[#All],5,0),"")</f>
        <v/>
      </c>
      <c r="F2535" s="138" t="str">
        <f>+IFERROR(VLOOKUP(Fact_Analitica[[#This Row],[Concepto Anterior]],Conceptos_Analítica_contraloría[#All],7,0),"")</f>
        <v/>
      </c>
      <c r="I2535" s="138" t="str">
        <f>+IFERROR(VLOOKUP(D2535,Conceptos_Analítica_contraloría[#All],2,0),"")</f>
        <v/>
      </c>
      <c r="J2535" s="138" t="str">
        <f>+IFERROR(VLOOKUP(D2535,Conceptos_Analítica_contraloría[#All],3,0),"")</f>
        <v/>
      </c>
    </row>
    <row r="2536" spans="3:10" x14ac:dyDescent="0.35">
      <c r="C2536" s="144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s="138" t="str">
        <f>+IFERROR(VLOOKUP(Fact_Analitica[[#This Row],[Concepto Anterior]],Conceptos_Analítica_contraloría[#All],5,0),"")</f>
        <v/>
      </c>
      <c r="F2536" s="138" t="str">
        <f>+IFERROR(VLOOKUP(Fact_Analitica[[#This Row],[Concepto Anterior]],Conceptos_Analítica_contraloría[#All],7,0),"")</f>
        <v/>
      </c>
      <c r="I2536" s="138" t="str">
        <f>+IFERROR(VLOOKUP(D2536,Conceptos_Analítica_contraloría[#All],2,0),"")</f>
        <v/>
      </c>
      <c r="J2536" s="138" t="str">
        <f>+IFERROR(VLOOKUP(D2536,Conceptos_Analítica_contraloría[#All],3,0),"")</f>
        <v/>
      </c>
    </row>
    <row r="2537" spans="3:10" x14ac:dyDescent="0.35">
      <c r="C2537" s="144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s="138" t="str">
        <f>+IFERROR(VLOOKUP(Fact_Analitica[[#This Row],[Concepto Anterior]],Conceptos_Analítica_contraloría[#All],5,0),"")</f>
        <v/>
      </c>
      <c r="F2537" s="138" t="str">
        <f>+IFERROR(VLOOKUP(Fact_Analitica[[#This Row],[Concepto Anterior]],Conceptos_Analítica_contraloría[#All],7,0),"")</f>
        <v/>
      </c>
      <c r="I2537" s="138" t="str">
        <f>+IFERROR(VLOOKUP(D2537,Conceptos_Analítica_contraloría[#All],2,0),"")</f>
        <v/>
      </c>
      <c r="J2537" s="138" t="str">
        <f>+IFERROR(VLOOKUP(D2537,Conceptos_Analítica_contraloría[#All],3,0),"")</f>
        <v/>
      </c>
    </row>
    <row r="2538" spans="3:10" x14ac:dyDescent="0.35">
      <c r="C2538" s="144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s="138" t="str">
        <f>+IFERROR(VLOOKUP(Fact_Analitica[[#This Row],[Concepto Anterior]],Conceptos_Analítica_contraloría[#All],5,0),"")</f>
        <v/>
      </c>
      <c r="F2538" s="138" t="str">
        <f>+IFERROR(VLOOKUP(Fact_Analitica[[#This Row],[Concepto Anterior]],Conceptos_Analítica_contraloría[#All],7,0),"")</f>
        <v/>
      </c>
      <c r="I2538" s="138" t="str">
        <f>+IFERROR(VLOOKUP(D2538,Conceptos_Analítica_contraloría[#All],2,0),"")</f>
        <v/>
      </c>
      <c r="J2538" s="138" t="str">
        <f>+IFERROR(VLOOKUP(D2538,Conceptos_Analítica_contraloría[#All],3,0),"")</f>
        <v/>
      </c>
    </row>
    <row r="2539" spans="3:10" x14ac:dyDescent="0.35">
      <c r="C2539" s="144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s="138" t="str">
        <f>+IFERROR(VLOOKUP(Fact_Analitica[[#This Row],[Concepto Anterior]],Conceptos_Analítica_contraloría[#All],5,0),"")</f>
        <v/>
      </c>
      <c r="F2539" s="138" t="str">
        <f>+IFERROR(VLOOKUP(Fact_Analitica[[#This Row],[Concepto Anterior]],Conceptos_Analítica_contraloría[#All],7,0),"")</f>
        <v/>
      </c>
      <c r="I2539" s="138" t="str">
        <f>+IFERROR(VLOOKUP(D2539,Conceptos_Analítica_contraloría[#All],2,0),"")</f>
        <v/>
      </c>
      <c r="J2539" s="138" t="str">
        <f>+IFERROR(VLOOKUP(D2539,Conceptos_Analítica_contraloría[#All],3,0),"")</f>
        <v/>
      </c>
    </row>
    <row r="2540" spans="3:10" x14ac:dyDescent="0.35">
      <c r="C2540" s="144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s="138" t="str">
        <f>+IFERROR(VLOOKUP(Fact_Analitica[[#This Row],[Concepto Anterior]],Conceptos_Analítica_contraloría[#All],5,0),"")</f>
        <v/>
      </c>
      <c r="F2540" s="138" t="str">
        <f>+IFERROR(VLOOKUP(Fact_Analitica[[#This Row],[Concepto Anterior]],Conceptos_Analítica_contraloría[#All],7,0),"")</f>
        <v/>
      </c>
      <c r="I2540" s="138" t="str">
        <f>+IFERROR(VLOOKUP(D2540,Conceptos_Analítica_contraloría[#All],2,0),"")</f>
        <v/>
      </c>
      <c r="J2540" s="138" t="str">
        <f>+IFERROR(VLOOKUP(D2540,Conceptos_Analítica_contraloría[#All],3,0),"")</f>
        <v/>
      </c>
    </row>
    <row r="2541" spans="3:10" x14ac:dyDescent="0.35">
      <c r="C2541" s="144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s="138" t="str">
        <f>+IFERROR(VLOOKUP(Fact_Analitica[[#This Row],[Concepto Anterior]],Conceptos_Analítica_contraloría[#All],5,0),"")</f>
        <v/>
      </c>
      <c r="F2541" s="138" t="str">
        <f>+IFERROR(VLOOKUP(Fact_Analitica[[#This Row],[Concepto Anterior]],Conceptos_Analítica_contraloría[#All],7,0),"")</f>
        <v/>
      </c>
      <c r="I2541" s="138" t="str">
        <f>+IFERROR(VLOOKUP(D2541,Conceptos_Analítica_contraloría[#All],2,0),"")</f>
        <v/>
      </c>
      <c r="J2541" s="138" t="str">
        <f>+IFERROR(VLOOKUP(D2541,Conceptos_Analítica_contraloría[#All],3,0),"")</f>
        <v/>
      </c>
    </row>
    <row r="2542" spans="3:10" x14ac:dyDescent="0.35">
      <c r="C2542" s="144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s="138" t="str">
        <f>+IFERROR(VLOOKUP(Fact_Analitica[[#This Row],[Concepto Anterior]],Conceptos_Analítica_contraloría[#All],5,0),"")</f>
        <v/>
      </c>
      <c r="F2542" s="138" t="str">
        <f>+IFERROR(VLOOKUP(Fact_Analitica[[#This Row],[Concepto Anterior]],Conceptos_Analítica_contraloría[#All],7,0),"")</f>
        <v/>
      </c>
      <c r="I2542" s="138" t="str">
        <f>+IFERROR(VLOOKUP(D2542,Conceptos_Analítica_contraloría[#All],2,0),"")</f>
        <v/>
      </c>
      <c r="J2542" s="138" t="str">
        <f>+IFERROR(VLOOKUP(D2542,Conceptos_Analítica_contraloría[#All],3,0),"")</f>
        <v/>
      </c>
    </row>
    <row r="2543" spans="3:10" x14ac:dyDescent="0.35">
      <c r="C2543" s="144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s="138" t="str">
        <f>+IFERROR(VLOOKUP(Fact_Analitica[[#This Row],[Concepto Anterior]],Conceptos_Analítica_contraloría[#All],5,0),"")</f>
        <v/>
      </c>
      <c r="F2543" s="138" t="str">
        <f>+IFERROR(VLOOKUP(Fact_Analitica[[#This Row],[Concepto Anterior]],Conceptos_Analítica_contraloría[#All],7,0),"")</f>
        <v/>
      </c>
      <c r="I2543" s="138" t="str">
        <f>+IFERROR(VLOOKUP(D2543,Conceptos_Analítica_contraloría[#All],2,0),"")</f>
        <v/>
      </c>
      <c r="J2543" s="138" t="str">
        <f>+IFERROR(VLOOKUP(D2543,Conceptos_Analítica_contraloría[#All],3,0),"")</f>
        <v/>
      </c>
    </row>
    <row r="2544" spans="3:10" x14ac:dyDescent="0.35">
      <c r="C2544" s="144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s="138" t="str">
        <f>+IFERROR(VLOOKUP(Fact_Analitica[[#This Row],[Concepto Anterior]],Conceptos_Analítica_contraloría[#All],5,0),"")</f>
        <v/>
      </c>
      <c r="F2544" s="138" t="str">
        <f>+IFERROR(VLOOKUP(Fact_Analitica[[#This Row],[Concepto Anterior]],Conceptos_Analítica_contraloría[#All],7,0),"")</f>
        <v/>
      </c>
      <c r="I2544" s="138" t="str">
        <f>+IFERROR(VLOOKUP(D2544,Conceptos_Analítica_contraloría[#All],2,0),"")</f>
        <v/>
      </c>
      <c r="J2544" s="138" t="str">
        <f>+IFERROR(VLOOKUP(D2544,Conceptos_Analítica_contraloría[#All],3,0),"")</f>
        <v/>
      </c>
    </row>
    <row r="2545" spans="3:10" x14ac:dyDescent="0.35">
      <c r="C2545" s="144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s="138" t="str">
        <f>+IFERROR(VLOOKUP(Fact_Analitica[[#This Row],[Concepto Anterior]],Conceptos_Analítica_contraloría[#All],5,0),"")</f>
        <v/>
      </c>
      <c r="F2545" s="138" t="str">
        <f>+IFERROR(VLOOKUP(Fact_Analitica[[#This Row],[Concepto Anterior]],Conceptos_Analítica_contraloría[#All],7,0),"")</f>
        <v/>
      </c>
      <c r="I2545" s="138" t="str">
        <f>+IFERROR(VLOOKUP(D2545,Conceptos_Analítica_contraloría[#All],2,0),"")</f>
        <v/>
      </c>
      <c r="J2545" s="138" t="str">
        <f>+IFERROR(VLOOKUP(D2545,Conceptos_Analítica_contraloría[#All],3,0),"")</f>
        <v/>
      </c>
    </row>
    <row r="2546" spans="3:10" x14ac:dyDescent="0.35">
      <c r="C2546" s="144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s="138" t="str">
        <f>+IFERROR(VLOOKUP(Fact_Analitica[[#This Row],[Concepto Anterior]],Conceptos_Analítica_contraloría[#All],5,0),"")</f>
        <v/>
      </c>
      <c r="F2546" s="138" t="str">
        <f>+IFERROR(VLOOKUP(Fact_Analitica[[#This Row],[Concepto Anterior]],Conceptos_Analítica_contraloría[#All],7,0),"")</f>
        <v/>
      </c>
      <c r="I2546" s="138" t="str">
        <f>+IFERROR(VLOOKUP(D2546,Conceptos_Analítica_contraloría[#All],2,0),"")</f>
        <v/>
      </c>
      <c r="J2546" s="138" t="str">
        <f>+IFERROR(VLOOKUP(D2546,Conceptos_Analítica_contraloría[#All],3,0),"")</f>
        <v/>
      </c>
    </row>
    <row r="2547" spans="3:10" x14ac:dyDescent="0.35">
      <c r="C2547" s="144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s="138" t="str">
        <f>+IFERROR(VLOOKUP(Fact_Analitica[[#This Row],[Concepto Anterior]],Conceptos_Analítica_contraloría[#All],5,0),"")</f>
        <v/>
      </c>
      <c r="F2547" s="138" t="str">
        <f>+IFERROR(VLOOKUP(Fact_Analitica[[#This Row],[Concepto Anterior]],Conceptos_Analítica_contraloría[#All],7,0),"")</f>
        <v/>
      </c>
      <c r="I2547" s="138" t="str">
        <f>+IFERROR(VLOOKUP(D2547,Conceptos_Analítica_contraloría[#All],2,0),"")</f>
        <v/>
      </c>
      <c r="J2547" s="138" t="str">
        <f>+IFERROR(VLOOKUP(D2547,Conceptos_Analítica_contraloría[#All],3,0),"")</f>
        <v/>
      </c>
    </row>
    <row r="2548" spans="3:10" x14ac:dyDescent="0.35">
      <c r="C2548" s="144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s="138" t="str">
        <f>+IFERROR(VLOOKUP(Fact_Analitica[[#This Row],[Concepto Anterior]],Conceptos_Analítica_contraloría[#All],5,0),"")</f>
        <v/>
      </c>
      <c r="F2548" s="138" t="str">
        <f>+IFERROR(VLOOKUP(Fact_Analitica[[#This Row],[Concepto Anterior]],Conceptos_Analítica_contraloría[#All],7,0),"")</f>
        <v/>
      </c>
      <c r="I2548" s="138" t="str">
        <f>+IFERROR(VLOOKUP(D2548,Conceptos_Analítica_contraloría[#All],2,0),"")</f>
        <v/>
      </c>
      <c r="J2548" s="138" t="str">
        <f>+IFERROR(VLOOKUP(D2548,Conceptos_Analítica_contraloría[#All],3,0),"")</f>
        <v/>
      </c>
    </row>
    <row r="2549" spans="3:10" x14ac:dyDescent="0.35">
      <c r="C2549" s="144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s="138" t="str">
        <f>+IFERROR(VLOOKUP(Fact_Analitica[[#This Row],[Concepto Anterior]],Conceptos_Analítica_contraloría[#All],5,0),"")</f>
        <v/>
      </c>
      <c r="F2549" s="138" t="str">
        <f>+IFERROR(VLOOKUP(Fact_Analitica[[#This Row],[Concepto Anterior]],Conceptos_Analítica_contraloría[#All],7,0),"")</f>
        <v/>
      </c>
      <c r="I2549" s="138" t="str">
        <f>+IFERROR(VLOOKUP(D2549,Conceptos_Analítica_contraloría[#All],2,0),"")</f>
        <v/>
      </c>
      <c r="J2549" s="138" t="str">
        <f>+IFERROR(VLOOKUP(D2549,Conceptos_Analítica_contraloría[#All],3,0),"")</f>
        <v/>
      </c>
    </row>
    <row r="2550" spans="3:10" x14ac:dyDescent="0.35">
      <c r="C2550" s="144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s="138" t="str">
        <f>+IFERROR(VLOOKUP(Fact_Analitica[[#This Row],[Concepto Anterior]],Conceptos_Analítica_contraloría[#All],5,0),"")</f>
        <v/>
      </c>
      <c r="F2550" s="138" t="str">
        <f>+IFERROR(VLOOKUP(Fact_Analitica[[#This Row],[Concepto Anterior]],Conceptos_Analítica_contraloría[#All],7,0),"")</f>
        <v/>
      </c>
      <c r="I2550" s="138" t="str">
        <f>+IFERROR(VLOOKUP(D2550,Conceptos_Analítica_contraloría[#All],2,0),"")</f>
        <v/>
      </c>
      <c r="J2550" s="138" t="str">
        <f>+IFERROR(VLOOKUP(D2550,Conceptos_Analítica_contraloría[#All],3,0),"")</f>
        <v/>
      </c>
    </row>
    <row r="2551" spans="3:10" x14ac:dyDescent="0.35">
      <c r="C2551" s="144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s="138" t="str">
        <f>+IFERROR(VLOOKUP(Fact_Analitica[[#This Row],[Concepto Anterior]],Conceptos_Analítica_contraloría[#All],5,0),"")</f>
        <v/>
      </c>
      <c r="F2551" s="138" t="str">
        <f>+IFERROR(VLOOKUP(Fact_Analitica[[#This Row],[Concepto Anterior]],Conceptos_Analítica_contraloría[#All],7,0),"")</f>
        <v/>
      </c>
      <c r="I2551" s="138" t="str">
        <f>+IFERROR(VLOOKUP(D2551,Conceptos_Analítica_contraloría[#All],2,0),"")</f>
        <v/>
      </c>
      <c r="J2551" s="138" t="str">
        <f>+IFERROR(VLOOKUP(D2551,Conceptos_Analítica_contraloría[#All],3,0),"")</f>
        <v/>
      </c>
    </row>
    <row r="2552" spans="3:10" x14ac:dyDescent="0.35">
      <c r="C2552" s="144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s="138" t="str">
        <f>+IFERROR(VLOOKUP(Fact_Analitica[[#This Row],[Concepto Anterior]],Conceptos_Analítica_contraloría[#All],5,0),"")</f>
        <v/>
      </c>
      <c r="F2552" s="138" t="str">
        <f>+IFERROR(VLOOKUP(Fact_Analitica[[#This Row],[Concepto Anterior]],Conceptos_Analítica_contraloría[#All],7,0),"")</f>
        <v/>
      </c>
      <c r="I2552" s="138" t="str">
        <f>+IFERROR(VLOOKUP(D2552,Conceptos_Analítica_contraloría[#All],2,0),"")</f>
        <v/>
      </c>
      <c r="J2552" s="138" t="str">
        <f>+IFERROR(VLOOKUP(D2552,Conceptos_Analítica_contraloría[#All],3,0),"")</f>
        <v/>
      </c>
    </row>
    <row r="2553" spans="3:10" x14ac:dyDescent="0.35">
      <c r="C2553" s="144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s="138" t="str">
        <f>+IFERROR(VLOOKUP(Fact_Analitica[[#This Row],[Concepto Anterior]],Conceptos_Analítica_contraloría[#All],5,0),"")</f>
        <v/>
      </c>
      <c r="F2553" s="138" t="str">
        <f>+IFERROR(VLOOKUP(Fact_Analitica[[#This Row],[Concepto Anterior]],Conceptos_Analítica_contraloría[#All],7,0),"")</f>
        <v/>
      </c>
      <c r="I2553" s="138" t="str">
        <f>+IFERROR(VLOOKUP(D2553,Conceptos_Analítica_contraloría[#All],2,0),"")</f>
        <v/>
      </c>
      <c r="J2553" s="138" t="str">
        <f>+IFERROR(VLOOKUP(D2553,Conceptos_Analítica_contraloría[#All],3,0),"")</f>
        <v/>
      </c>
    </row>
    <row r="2554" spans="3:10" x14ac:dyDescent="0.35">
      <c r="C2554" s="144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s="138" t="str">
        <f>+IFERROR(VLOOKUP(Fact_Analitica[[#This Row],[Concepto Anterior]],Conceptos_Analítica_contraloría[#All],5,0),"")</f>
        <v/>
      </c>
      <c r="F2554" s="138" t="str">
        <f>+IFERROR(VLOOKUP(Fact_Analitica[[#This Row],[Concepto Anterior]],Conceptos_Analítica_contraloría[#All],7,0),"")</f>
        <v/>
      </c>
      <c r="I2554" s="138" t="str">
        <f>+IFERROR(VLOOKUP(D2554,Conceptos_Analítica_contraloría[#All],2,0),"")</f>
        <v/>
      </c>
      <c r="J2554" s="138" t="str">
        <f>+IFERROR(VLOOKUP(D2554,Conceptos_Analítica_contraloría[#All],3,0),"")</f>
        <v/>
      </c>
    </row>
    <row r="2555" spans="3:10" x14ac:dyDescent="0.35">
      <c r="C2555" s="144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s="138" t="str">
        <f>+IFERROR(VLOOKUP(Fact_Analitica[[#This Row],[Concepto Anterior]],Conceptos_Analítica_contraloría[#All],5,0),"")</f>
        <v/>
      </c>
      <c r="F2555" s="138" t="str">
        <f>+IFERROR(VLOOKUP(Fact_Analitica[[#This Row],[Concepto Anterior]],Conceptos_Analítica_contraloría[#All],7,0),"")</f>
        <v/>
      </c>
      <c r="I2555" s="138" t="str">
        <f>+IFERROR(VLOOKUP(D2555,Conceptos_Analítica_contraloría[#All],2,0),"")</f>
        <v/>
      </c>
      <c r="J2555" s="138" t="str">
        <f>+IFERROR(VLOOKUP(D2555,Conceptos_Analítica_contraloría[#All],3,0),"")</f>
        <v/>
      </c>
    </row>
    <row r="2556" spans="3:10" x14ac:dyDescent="0.35">
      <c r="C2556" s="144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s="138" t="str">
        <f>+IFERROR(VLOOKUP(Fact_Analitica[[#This Row],[Concepto Anterior]],Conceptos_Analítica_contraloría[#All],5,0),"")</f>
        <v/>
      </c>
      <c r="F2556" s="138" t="str">
        <f>+IFERROR(VLOOKUP(Fact_Analitica[[#This Row],[Concepto Anterior]],Conceptos_Analítica_contraloría[#All],7,0),"")</f>
        <v/>
      </c>
      <c r="I2556" s="138" t="str">
        <f>+IFERROR(VLOOKUP(D2556,Conceptos_Analítica_contraloría[#All],2,0),"")</f>
        <v/>
      </c>
      <c r="J2556" s="138" t="str">
        <f>+IFERROR(VLOOKUP(D2556,Conceptos_Analítica_contraloría[#All],3,0),"")</f>
        <v/>
      </c>
    </row>
    <row r="2557" spans="3:10" x14ac:dyDescent="0.35">
      <c r="C2557" s="144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s="138" t="str">
        <f>+IFERROR(VLOOKUP(Fact_Analitica[[#This Row],[Concepto Anterior]],Conceptos_Analítica_contraloría[#All],5,0),"")</f>
        <v/>
      </c>
      <c r="F2557" s="138" t="str">
        <f>+IFERROR(VLOOKUP(Fact_Analitica[[#This Row],[Concepto Anterior]],Conceptos_Analítica_contraloría[#All],7,0),"")</f>
        <v/>
      </c>
      <c r="I2557" s="138" t="str">
        <f>+IFERROR(VLOOKUP(D2557,Conceptos_Analítica_contraloría[#All],2,0),"")</f>
        <v/>
      </c>
      <c r="J2557" s="138" t="str">
        <f>+IFERROR(VLOOKUP(D2557,Conceptos_Analítica_contraloría[#All],3,0),"")</f>
        <v/>
      </c>
    </row>
    <row r="2558" spans="3:10" x14ac:dyDescent="0.35">
      <c r="C2558" s="144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s="138" t="str">
        <f>+IFERROR(VLOOKUP(Fact_Analitica[[#This Row],[Concepto Anterior]],Conceptos_Analítica_contraloría[#All],5,0),"")</f>
        <v/>
      </c>
      <c r="F2558" s="138" t="str">
        <f>+IFERROR(VLOOKUP(Fact_Analitica[[#This Row],[Concepto Anterior]],Conceptos_Analítica_contraloría[#All],7,0),"")</f>
        <v/>
      </c>
      <c r="I2558" s="138" t="str">
        <f>+IFERROR(VLOOKUP(D2558,Conceptos_Analítica_contraloría[#All],2,0),"")</f>
        <v/>
      </c>
      <c r="J2558" s="138" t="str">
        <f>+IFERROR(VLOOKUP(D2558,Conceptos_Analítica_contraloría[#All],3,0),"")</f>
        <v/>
      </c>
    </row>
    <row r="2559" spans="3:10" x14ac:dyDescent="0.35">
      <c r="C2559" s="144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s="138" t="str">
        <f>+IFERROR(VLOOKUP(Fact_Analitica[[#This Row],[Concepto Anterior]],Conceptos_Analítica_contraloría[#All],5,0),"")</f>
        <v/>
      </c>
      <c r="F2559" s="138" t="str">
        <f>+IFERROR(VLOOKUP(Fact_Analitica[[#This Row],[Concepto Anterior]],Conceptos_Analítica_contraloría[#All],7,0),"")</f>
        <v/>
      </c>
      <c r="I2559" s="138" t="str">
        <f>+IFERROR(VLOOKUP(D2559,Conceptos_Analítica_contraloría[#All],2,0),"")</f>
        <v/>
      </c>
      <c r="J2559" s="138" t="str">
        <f>+IFERROR(VLOOKUP(D2559,Conceptos_Analítica_contraloría[#All],3,0),"")</f>
        <v/>
      </c>
    </row>
    <row r="2560" spans="3:10" x14ac:dyDescent="0.35">
      <c r="C2560" s="144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s="138" t="str">
        <f>+IFERROR(VLOOKUP(Fact_Analitica[[#This Row],[Concepto Anterior]],Conceptos_Analítica_contraloría[#All],5,0),"")</f>
        <v/>
      </c>
      <c r="F2560" s="138" t="str">
        <f>+IFERROR(VLOOKUP(Fact_Analitica[[#This Row],[Concepto Anterior]],Conceptos_Analítica_contraloría[#All],7,0),"")</f>
        <v/>
      </c>
      <c r="I2560" s="138" t="str">
        <f>+IFERROR(VLOOKUP(D2560,Conceptos_Analítica_contraloría[#All],2,0),"")</f>
        <v/>
      </c>
      <c r="J2560" s="138" t="str">
        <f>+IFERROR(VLOOKUP(D2560,Conceptos_Analítica_contraloría[#All],3,0),"")</f>
        <v/>
      </c>
    </row>
    <row r="2561" spans="3:10" x14ac:dyDescent="0.35">
      <c r="C2561" s="144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s="138" t="str">
        <f>+IFERROR(VLOOKUP(Fact_Analitica[[#This Row],[Concepto Anterior]],Conceptos_Analítica_contraloría[#All],5,0),"")</f>
        <v/>
      </c>
      <c r="F2561" s="138" t="str">
        <f>+IFERROR(VLOOKUP(Fact_Analitica[[#This Row],[Concepto Anterior]],Conceptos_Analítica_contraloría[#All],7,0),"")</f>
        <v/>
      </c>
      <c r="I2561" s="138" t="str">
        <f>+IFERROR(VLOOKUP(D2561,Conceptos_Analítica_contraloría[#All],2,0),"")</f>
        <v/>
      </c>
      <c r="J2561" s="138" t="str">
        <f>+IFERROR(VLOOKUP(D2561,Conceptos_Analítica_contraloría[#All],3,0),"")</f>
        <v/>
      </c>
    </row>
    <row r="2562" spans="3:10" x14ac:dyDescent="0.35">
      <c r="C2562" s="144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s="138" t="str">
        <f>+IFERROR(VLOOKUP(Fact_Analitica[[#This Row],[Concepto Anterior]],Conceptos_Analítica_contraloría[#All],5,0),"")</f>
        <v/>
      </c>
      <c r="F2562" s="138" t="str">
        <f>+IFERROR(VLOOKUP(Fact_Analitica[[#This Row],[Concepto Anterior]],Conceptos_Analítica_contraloría[#All],7,0),"")</f>
        <v/>
      </c>
      <c r="I2562" s="138" t="str">
        <f>+IFERROR(VLOOKUP(D2562,Conceptos_Analítica_contraloría[#All],2,0),"")</f>
        <v/>
      </c>
      <c r="J2562" s="138" t="str">
        <f>+IFERROR(VLOOKUP(D2562,Conceptos_Analítica_contraloría[#All],3,0),"")</f>
        <v/>
      </c>
    </row>
    <row r="2563" spans="3:10" x14ac:dyDescent="0.35">
      <c r="C2563" s="144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s="138" t="str">
        <f>+IFERROR(VLOOKUP(Fact_Analitica[[#This Row],[Concepto Anterior]],Conceptos_Analítica_contraloría[#All],5,0),"")</f>
        <v/>
      </c>
      <c r="F2563" s="138" t="str">
        <f>+IFERROR(VLOOKUP(Fact_Analitica[[#This Row],[Concepto Anterior]],Conceptos_Analítica_contraloría[#All],7,0),"")</f>
        <v/>
      </c>
      <c r="I2563" s="138" t="str">
        <f>+IFERROR(VLOOKUP(D2563,Conceptos_Analítica_contraloría[#All],2,0),"")</f>
        <v/>
      </c>
      <c r="J2563" s="138" t="str">
        <f>+IFERROR(VLOOKUP(D2563,Conceptos_Analítica_contraloría[#All],3,0),"")</f>
        <v/>
      </c>
    </row>
    <row r="2564" spans="3:10" x14ac:dyDescent="0.35">
      <c r="C2564" s="144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s="138" t="str">
        <f>+IFERROR(VLOOKUP(Fact_Analitica[[#This Row],[Concepto Anterior]],Conceptos_Analítica_contraloría[#All],5,0),"")</f>
        <v/>
      </c>
      <c r="F2564" s="138" t="str">
        <f>+IFERROR(VLOOKUP(Fact_Analitica[[#This Row],[Concepto Anterior]],Conceptos_Analítica_contraloría[#All],7,0),"")</f>
        <v/>
      </c>
      <c r="I2564" s="138" t="str">
        <f>+IFERROR(VLOOKUP(D2564,Conceptos_Analítica_contraloría[#All],2,0),"")</f>
        <v/>
      </c>
      <c r="J2564" s="138" t="str">
        <f>+IFERROR(VLOOKUP(D2564,Conceptos_Analítica_contraloría[#All],3,0),"")</f>
        <v/>
      </c>
    </row>
    <row r="2565" spans="3:10" x14ac:dyDescent="0.35">
      <c r="C2565" s="144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s="138" t="str">
        <f>+IFERROR(VLOOKUP(Fact_Analitica[[#This Row],[Concepto Anterior]],Conceptos_Analítica_contraloría[#All],5,0),"")</f>
        <v/>
      </c>
      <c r="F2565" s="138" t="str">
        <f>+IFERROR(VLOOKUP(Fact_Analitica[[#This Row],[Concepto Anterior]],Conceptos_Analítica_contraloría[#All],7,0),"")</f>
        <v/>
      </c>
      <c r="I2565" s="138" t="str">
        <f>+IFERROR(VLOOKUP(D2565,Conceptos_Analítica_contraloría[#All],2,0),"")</f>
        <v/>
      </c>
      <c r="J2565" s="138" t="str">
        <f>+IFERROR(VLOOKUP(D2565,Conceptos_Analítica_contraloría[#All],3,0),"")</f>
        <v/>
      </c>
    </row>
    <row r="2566" spans="3:10" x14ac:dyDescent="0.35">
      <c r="C2566" s="144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s="138" t="str">
        <f>+IFERROR(VLOOKUP(Fact_Analitica[[#This Row],[Concepto Anterior]],Conceptos_Analítica_contraloría[#All],5,0),"")</f>
        <v/>
      </c>
      <c r="F2566" s="138" t="str">
        <f>+IFERROR(VLOOKUP(Fact_Analitica[[#This Row],[Concepto Anterior]],Conceptos_Analítica_contraloría[#All],7,0),"")</f>
        <v/>
      </c>
      <c r="I2566" s="138" t="str">
        <f>+IFERROR(VLOOKUP(D2566,Conceptos_Analítica_contraloría[#All],2,0),"")</f>
        <v/>
      </c>
      <c r="J2566" s="138" t="str">
        <f>+IFERROR(VLOOKUP(D2566,Conceptos_Analítica_contraloría[#All],3,0),"")</f>
        <v/>
      </c>
    </row>
    <row r="2567" spans="3:10" x14ac:dyDescent="0.35">
      <c r="C2567" s="144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s="138" t="str">
        <f>+IFERROR(VLOOKUP(Fact_Analitica[[#This Row],[Concepto Anterior]],Conceptos_Analítica_contraloría[#All],5,0),"")</f>
        <v/>
      </c>
      <c r="F2567" s="138" t="str">
        <f>+IFERROR(VLOOKUP(Fact_Analitica[[#This Row],[Concepto Anterior]],Conceptos_Analítica_contraloría[#All],7,0),"")</f>
        <v/>
      </c>
      <c r="I2567" s="138" t="str">
        <f>+IFERROR(VLOOKUP(D2567,Conceptos_Analítica_contraloría[#All],2,0),"")</f>
        <v/>
      </c>
      <c r="J2567" s="138" t="str">
        <f>+IFERROR(VLOOKUP(D2567,Conceptos_Analítica_contraloría[#All],3,0),"")</f>
        <v/>
      </c>
    </row>
    <row r="2568" spans="3:10" x14ac:dyDescent="0.35">
      <c r="C2568" s="144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s="138" t="str">
        <f>+IFERROR(VLOOKUP(Fact_Analitica[[#This Row],[Concepto Anterior]],Conceptos_Analítica_contraloría[#All],5,0),"")</f>
        <v/>
      </c>
      <c r="F2568" s="138" t="str">
        <f>+IFERROR(VLOOKUP(Fact_Analitica[[#This Row],[Concepto Anterior]],Conceptos_Analítica_contraloría[#All],7,0),"")</f>
        <v/>
      </c>
      <c r="I2568" s="138" t="str">
        <f>+IFERROR(VLOOKUP(D2568,Conceptos_Analítica_contraloría[#All],2,0),"")</f>
        <v/>
      </c>
      <c r="J2568" s="138" t="str">
        <f>+IFERROR(VLOOKUP(D2568,Conceptos_Analítica_contraloría[#All],3,0),"")</f>
        <v/>
      </c>
    </row>
    <row r="2569" spans="3:10" x14ac:dyDescent="0.35">
      <c r="C2569" s="144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s="138" t="str">
        <f>+IFERROR(VLOOKUP(Fact_Analitica[[#This Row],[Concepto Anterior]],Conceptos_Analítica_contraloría[#All],5,0),"")</f>
        <v/>
      </c>
      <c r="F2569" s="138" t="str">
        <f>+IFERROR(VLOOKUP(Fact_Analitica[[#This Row],[Concepto Anterior]],Conceptos_Analítica_contraloría[#All],7,0),"")</f>
        <v/>
      </c>
      <c r="I2569" s="138" t="str">
        <f>+IFERROR(VLOOKUP(D2569,Conceptos_Analítica_contraloría[#All],2,0),"")</f>
        <v/>
      </c>
      <c r="J2569" s="138" t="str">
        <f>+IFERROR(VLOOKUP(D2569,Conceptos_Analítica_contraloría[#All],3,0),"")</f>
        <v/>
      </c>
    </row>
    <row r="2570" spans="3:10" x14ac:dyDescent="0.35">
      <c r="C2570" s="144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s="138" t="str">
        <f>+IFERROR(VLOOKUP(Fact_Analitica[[#This Row],[Concepto Anterior]],Conceptos_Analítica_contraloría[#All],5,0),"")</f>
        <v/>
      </c>
      <c r="F2570" s="138" t="str">
        <f>+IFERROR(VLOOKUP(Fact_Analitica[[#This Row],[Concepto Anterior]],Conceptos_Analítica_contraloría[#All],7,0),"")</f>
        <v/>
      </c>
      <c r="I2570" s="138" t="str">
        <f>+IFERROR(VLOOKUP(D2570,Conceptos_Analítica_contraloría[#All],2,0),"")</f>
        <v/>
      </c>
      <c r="J2570" s="138" t="str">
        <f>+IFERROR(VLOOKUP(D2570,Conceptos_Analítica_contraloría[#All],3,0),"")</f>
        <v/>
      </c>
    </row>
    <row r="2571" spans="3:10" x14ac:dyDescent="0.35">
      <c r="C2571" s="144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s="138" t="str">
        <f>+IFERROR(VLOOKUP(Fact_Analitica[[#This Row],[Concepto Anterior]],Conceptos_Analítica_contraloría[#All],5,0),"")</f>
        <v/>
      </c>
      <c r="F2571" s="138" t="str">
        <f>+IFERROR(VLOOKUP(Fact_Analitica[[#This Row],[Concepto Anterior]],Conceptos_Analítica_contraloría[#All],7,0),"")</f>
        <v/>
      </c>
      <c r="I2571" s="138" t="str">
        <f>+IFERROR(VLOOKUP(D2571,Conceptos_Analítica_contraloría[#All],2,0),"")</f>
        <v/>
      </c>
      <c r="J2571" s="138" t="str">
        <f>+IFERROR(VLOOKUP(D2571,Conceptos_Analítica_contraloría[#All],3,0),"")</f>
        <v/>
      </c>
    </row>
    <row r="2572" spans="3:10" x14ac:dyDescent="0.35">
      <c r="C2572" s="144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s="138" t="str">
        <f>+IFERROR(VLOOKUP(Fact_Analitica[[#This Row],[Concepto Anterior]],Conceptos_Analítica_contraloría[#All],5,0),"")</f>
        <v/>
      </c>
      <c r="F2572" s="138" t="str">
        <f>+IFERROR(VLOOKUP(Fact_Analitica[[#This Row],[Concepto Anterior]],Conceptos_Analítica_contraloría[#All],7,0),"")</f>
        <v/>
      </c>
      <c r="I2572" s="138" t="str">
        <f>+IFERROR(VLOOKUP(D2572,Conceptos_Analítica_contraloría[#All],2,0),"")</f>
        <v/>
      </c>
      <c r="J2572" s="138" t="str">
        <f>+IFERROR(VLOOKUP(D2572,Conceptos_Analítica_contraloría[#All],3,0),"")</f>
        <v/>
      </c>
    </row>
    <row r="2573" spans="3:10" x14ac:dyDescent="0.35">
      <c r="C2573" s="144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s="138" t="str">
        <f>+IFERROR(VLOOKUP(Fact_Analitica[[#This Row],[Concepto Anterior]],Conceptos_Analítica_contraloría[#All],5,0),"")</f>
        <v/>
      </c>
      <c r="F2573" s="138" t="str">
        <f>+IFERROR(VLOOKUP(Fact_Analitica[[#This Row],[Concepto Anterior]],Conceptos_Analítica_contraloría[#All],7,0),"")</f>
        <v/>
      </c>
      <c r="I2573" s="138" t="str">
        <f>+IFERROR(VLOOKUP(D2573,Conceptos_Analítica_contraloría[#All],2,0),"")</f>
        <v/>
      </c>
      <c r="J2573" s="138" t="str">
        <f>+IFERROR(VLOOKUP(D2573,Conceptos_Analítica_contraloría[#All],3,0),"")</f>
        <v/>
      </c>
    </row>
    <row r="2574" spans="3:10" x14ac:dyDescent="0.35">
      <c r="C2574" s="144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s="138" t="str">
        <f>+IFERROR(VLOOKUP(Fact_Analitica[[#This Row],[Concepto Anterior]],Conceptos_Analítica_contraloría[#All],5,0),"")</f>
        <v/>
      </c>
      <c r="F2574" s="138" t="str">
        <f>+IFERROR(VLOOKUP(Fact_Analitica[[#This Row],[Concepto Anterior]],Conceptos_Analítica_contraloría[#All],7,0),"")</f>
        <v/>
      </c>
      <c r="I2574" s="138" t="str">
        <f>+IFERROR(VLOOKUP(D2574,Conceptos_Analítica_contraloría[#All],2,0),"")</f>
        <v/>
      </c>
      <c r="J2574" s="138" t="str">
        <f>+IFERROR(VLOOKUP(D2574,Conceptos_Analítica_contraloría[#All],3,0),"")</f>
        <v/>
      </c>
    </row>
    <row r="2575" spans="3:10" x14ac:dyDescent="0.35">
      <c r="C2575" s="144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s="138" t="str">
        <f>+IFERROR(VLOOKUP(Fact_Analitica[[#This Row],[Concepto Anterior]],Conceptos_Analítica_contraloría[#All],5,0),"")</f>
        <v/>
      </c>
      <c r="F2575" s="138" t="str">
        <f>+IFERROR(VLOOKUP(Fact_Analitica[[#This Row],[Concepto Anterior]],Conceptos_Analítica_contraloría[#All],7,0),"")</f>
        <v/>
      </c>
      <c r="I2575" s="138" t="str">
        <f>+IFERROR(VLOOKUP(D2575,Conceptos_Analítica_contraloría[#All],2,0),"")</f>
        <v/>
      </c>
      <c r="J2575" s="138" t="str">
        <f>+IFERROR(VLOOKUP(D2575,Conceptos_Analítica_contraloría[#All],3,0),"")</f>
        <v/>
      </c>
    </row>
    <row r="2576" spans="3:10" x14ac:dyDescent="0.35">
      <c r="C2576" s="144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s="138" t="str">
        <f>+IFERROR(VLOOKUP(Fact_Analitica[[#This Row],[Concepto Anterior]],Conceptos_Analítica_contraloría[#All],5,0),"")</f>
        <v/>
      </c>
      <c r="F2576" s="138" t="str">
        <f>+IFERROR(VLOOKUP(Fact_Analitica[[#This Row],[Concepto Anterior]],Conceptos_Analítica_contraloría[#All],7,0),"")</f>
        <v/>
      </c>
      <c r="I2576" s="138" t="str">
        <f>+IFERROR(VLOOKUP(D2576,Conceptos_Analítica_contraloría[#All],2,0),"")</f>
        <v/>
      </c>
      <c r="J2576" s="138" t="str">
        <f>+IFERROR(VLOOKUP(D2576,Conceptos_Analítica_contraloría[#All],3,0),"")</f>
        <v/>
      </c>
    </row>
    <row r="2577" spans="3:10" x14ac:dyDescent="0.35">
      <c r="C2577" s="144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s="138" t="str">
        <f>+IFERROR(VLOOKUP(Fact_Analitica[[#This Row],[Concepto Anterior]],Conceptos_Analítica_contraloría[#All],5,0),"")</f>
        <v/>
      </c>
      <c r="F2577" s="138" t="str">
        <f>+IFERROR(VLOOKUP(Fact_Analitica[[#This Row],[Concepto Anterior]],Conceptos_Analítica_contraloría[#All],7,0),"")</f>
        <v/>
      </c>
      <c r="I2577" s="138" t="str">
        <f>+IFERROR(VLOOKUP(D2577,Conceptos_Analítica_contraloría[#All],2,0),"")</f>
        <v/>
      </c>
      <c r="J2577" s="138" t="str">
        <f>+IFERROR(VLOOKUP(D2577,Conceptos_Analítica_contraloría[#All],3,0),"")</f>
        <v/>
      </c>
    </row>
    <row r="2578" spans="3:10" x14ac:dyDescent="0.35">
      <c r="C2578" s="144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s="138" t="str">
        <f>+IFERROR(VLOOKUP(Fact_Analitica[[#This Row],[Concepto Anterior]],Conceptos_Analítica_contraloría[#All],5,0),"")</f>
        <v/>
      </c>
      <c r="F2578" s="138" t="str">
        <f>+IFERROR(VLOOKUP(Fact_Analitica[[#This Row],[Concepto Anterior]],Conceptos_Analítica_contraloría[#All],7,0),"")</f>
        <v/>
      </c>
      <c r="I2578" s="138" t="str">
        <f>+IFERROR(VLOOKUP(D2578,Conceptos_Analítica_contraloría[#All],2,0),"")</f>
        <v/>
      </c>
      <c r="J2578" s="138" t="str">
        <f>+IFERROR(VLOOKUP(D2578,Conceptos_Analítica_contraloría[#All],3,0),"")</f>
        <v/>
      </c>
    </row>
    <row r="2579" spans="3:10" x14ac:dyDescent="0.35">
      <c r="C2579" s="144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s="138" t="str">
        <f>+IFERROR(VLOOKUP(Fact_Analitica[[#This Row],[Concepto Anterior]],Conceptos_Analítica_contraloría[#All],5,0),"")</f>
        <v/>
      </c>
      <c r="F2579" s="138" t="str">
        <f>+IFERROR(VLOOKUP(Fact_Analitica[[#This Row],[Concepto Anterior]],Conceptos_Analítica_contraloría[#All],7,0),"")</f>
        <v/>
      </c>
      <c r="I2579" s="138" t="str">
        <f>+IFERROR(VLOOKUP(D2579,Conceptos_Analítica_contraloría[#All],2,0),"")</f>
        <v/>
      </c>
      <c r="J2579" s="138" t="str">
        <f>+IFERROR(VLOOKUP(D2579,Conceptos_Analítica_contraloría[#All],3,0),"")</f>
        <v/>
      </c>
    </row>
    <row r="2580" spans="3:10" x14ac:dyDescent="0.35">
      <c r="C2580" s="144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s="138" t="str">
        <f>+IFERROR(VLOOKUP(Fact_Analitica[[#This Row],[Concepto Anterior]],Conceptos_Analítica_contraloría[#All],5,0),"")</f>
        <v/>
      </c>
      <c r="F2580" s="138" t="str">
        <f>+IFERROR(VLOOKUP(Fact_Analitica[[#This Row],[Concepto Anterior]],Conceptos_Analítica_contraloría[#All],7,0),"")</f>
        <v/>
      </c>
      <c r="I2580" s="138" t="str">
        <f>+IFERROR(VLOOKUP(D2580,Conceptos_Analítica_contraloría[#All],2,0),"")</f>
        <v/>
      </c>
      <c r="J2580" s="138" t="str">
        <f>+IFERROR(VLOOKUP(D2580,Conceptos_Analítica_contraloría[#All],3,0),"")</f>
        <v/>
      </c>
    </row>
    <row r="2581" spans="3:10" x14ac:dyDescent="0.35">
      <c r="C2581" s="144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s="138" t="str">
        <f>+IFERROR(VLOOKUP(Fact_Analitica[[#This Row],[Concepto Anterior]],Conceptos_Analítica_contraloría[#All],5,0),"")</f>
        <v/>
      </c>
      <c r="F2581" s="138" t="str">
        <f>+IFERROR(VLOOKUP(Fact_Analitica[[#This Row],[Concepto Anterior]],Conceptos_Analítica_contraloría[#All],7,0),"")</f>
        <v/>
      </c>
      <c r="I2581" s="138" t="str">
        <f>+IFERROR(VLOOKUP(D2581,Conceptos_Analítica_contraloría[#All],2,0),"")</f>
        <v/>
      </c>
      <c r="J2581" s="138" t="str">
        <f>+IFERROR(VLOOKUP(D2581,Conceptos_Analítica_contraloría[#All],3,0),"")</f>
        <v/>
      </c>
    </row>
    <row r="2582" spans="3:10" x14ac:dyDescent="0.35">
      <c r="C2582" s="144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s="138" t="str">
        <f>+IFERROR(VLOOKUP(Fact_Analitica[[#This Row],[Concepto Anterior]],Conceptos_Analítica_contraloría[#All],5,0),"")</f>
        <v/>
      </c>
      <c r="F2582" s="138" t="str">
        <f>+IFERROR(VLOOKUP(Fact_Analitica[[#This Row],[Concepto Anterior]],Conceptos_Analítica_contraloría[#All],7,0),"")</f>
        <v/>
      </c>
      <c r="I2582" s="138" t="str">
        <f>+IFERROR(VLOOKUP(D2582,Conceptos_Analítica_contraloría[#All],2,0),"")</f>
        <v/>
      </c>
      <c r="J2582" s="138" t="str">
        <f>+IFERROR(VLOOKUP(D2582,Conceptos_Analítica_contraloría[#All],3,0),"")</f>
        <v/>
      </c>
    </row>
    <row r="2583" spans="3:10" x14ac:dyDescent="0.35">
      <c r="C2583" s="144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s="138" t="str">
        <f>+IFERROR(VLOOKUP(Fact_Analitica[[#This Row],[Concepto Anterior]],Conceptos_Analítica_contraloría[#All],5,0),"")</f>
        <v/>
      </c>
      <c r="F2583" s="138" t="str">
        <f>+IFERROR(VLOOKUP(Fact_Analitica[[#This Row],[Concepto Anterior]],Conceptos_Analítica_contraloría[#All],7,0),"")</f>
        <v/>
      </c>
      <c r="I2583" s="138" t="str">
        <f>+IFERROR(VLOOKUP(D2583,Conceptos_Analítica_contraloría[#All],2,0),"")</f>
        <v/>
      </c>
      <c r="J2583" s="138" t="str">
        <f>+IFERROR(VLOOKUP(D2583,Conceptos_Analítica_contraloría[#All],3,0),"")</f>
        <v/>
      </c>
    </row>
    <row r="2584" spans="3:10" x14ac:dyDescent="0.35">
      <c r="C2584" s="144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s="138" t="str">
        <f>+IFERROR(VLOOKUP(Fact_Analitica[[#This Row],[Concepto Anterior]],Conceptos_Analítica_contraloría[#All],5,0),"")</f>
        <v/>
      </c>
      <c r="F2584" s="138" t="str">
        <f>+IFERROR(VLOOKUP(Fact_Analitica[[#This Row],[Concepto Anterior]],Conceptos_Analítica_contraloría[#All],7,0),"")</f>
        <v/>
      </c>
      <c r="I2584" s="138" t="str">
        <f>+IFERROR(VLOOKUP(D2584,Conceptos_Analítica_contraloría[#All],2,0),"")</f>
        <v/>
      </c>
      <c r="J2584" s="138" t="str">
        <f>+IFERROR(VLOOKUP(D2584,Conceptos_Analítica_contraloría[#All],3,0),"")</f>
        <v/>
      </c>
    </row>
    <row r="2585" spans="3:10" x14ac:dyDescent="0.35">
      <c r="C2585" s="144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s="138" t="str">
        <f>+IFERROR(VLOOKUP(Fact_Analitica[[#This Row],[Concepto Anterior]],Conceptos_Analítica_contraloría[#All],5,0),"")</f>
        <v/>
      </c>
      <c r="F2585" s="138" t="str">
        <f>+IFERROR(VLOOKUP(Fact_Analitica[[#This Row],[Concepto Anterior]],Conceptos_Analítica_contraloría[#All],7,0),"")</f>
        <v/>
      </c>
      <c r="I2585" s="138" t="str">
        <f>+IFERROR(VLOOKUP(D2585,Conceptos_Analítica_contraloría[#All],2,0),"")</f>
        <v/>
      </c>
      <c r="J2585" s="138" t="str">
        <f>+IFERROR(VLOOKUP(D2585,Conceptos_Analítica_contraloría[#All],3,0),"")</f>
        <v/>
      </c>
    </row>
    <row r="2586" spans="3:10" x14ac:dyDescent="0.35">
      <c r="C2586" s="144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s="138" t="str">
        <f>+IFERROR(VLOOKUP(Fact_Analitica[[#This Row],[Concepto Anterior]],Conceptos_Analítica_contraloría[#All],5,0),"")</f>
        <v/>
      </c>
      <c r="F2586" s="138" t="str">
        <f>+IFERROR(VLOOKUP(Fact_Analitica[[#This Row],[Concepto Anterior]],Conceptos_Analítica_contraloría[#All],7,0),"")</f>
        <v/>
      </c>
      <c r="I2586" s="138" t="str">
        <f>+IFERROR(VLOOKUP(D2586,Conceptos_Analítica_contraloría[#All],2,0),"")</f>
        <v/>
      </c>
      <c r="J2586" s="138" t="str">
        <f>+IFERROR(VLOOKUP(D2586,Conceptos_Analítica_contraloría[#All],3,0),"")</f>
        <v/>
      </c>
    </row>
    <row r="2587" spans="3:10" x14ac:dyDescent="0.35">
      <c r="C2587" s="144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s="138" t="str">
        <f>+IFERROR(VLOOKUP(Fact_Analitica[[#This Row],[Concepto Anterior]],Conceptos_Analítica_contraloría[#All],5,0),"")</f>
        <v/>
      </c>
      <c r="F2587" s="138" t="str">
        <f>+IFERROR(VLOOKUP(Fact_Analitica[[#This Row],[Concepto Anterior]],Conceptos_Analítica_contraloría[#All],7,0),"")</f>
        <v/>
      </c>
      <c r="I2587" s="138" t="str">
        <f>+IFERROR(VLOOKUP(D2587,Conceptos_Analítica_contraloría[#All],2,0),"")</f>
        <v/>
      </c>
      <c r="J2587" s="138" t="str">
        <f>+IFERROR(VLOOKUP(D2587,Conceptos_Analítica_contraloría[#All],3,0),"")</f>
        <v/>
      </c>
    </row>
    <row r="2588" spans="3:10" x14ac:dyDescent="0.35">
      <c r="C2588" s="144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s="138" t="str">
        <f>+IFERROR(VLOOKUP(Fact_Analitica[[#This Row],[Concepto Anterior]],Conceptos_Analítica_contraloría[#All],5,0),"")</f>
        <v/>
      </c>
      <c r="F2588" s="138" t="str">
        <f>+IFERROR(VLOOKUP(Fact_Analitica[[#This Row],[Concepto Anterior]],Conceptos_Analítica_contraloría[#All],7,0),"")</f>
        <v/>
      </c>
      <c r="I2588" s="138" t="str">
        <f>+IFERROR(VLOOKUP(D2588,Conceptos_Analítica_contraloría[#All],2,0),"")</f>
        <v/>
      </c>
      <c r="J2588" s="138" t="str">
        <f>+IFERROR(VLOOKUP(D2588,Conceptos_Analítica_contraloría[#All],3,0),"")</f>
        <v/>
      </c>
    </row>
    <row r="2589" spans="3:10" x14ac:dyDescent="0.35">
      <c r="C2589" s="144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s="138" t="str">
        <f>+IFERROR(VLOOKUP(Fact_Analitica[[#This Row],[Concepto Anterior]],Conceptos_Analítica_contraloría[#All],5,0),"")</f>
        <v/>
      </c>
      <c r="F2589" s="138" t="str">
        <f>+IFERROR(VLOOKUP(Fact_Analitica[[#This Row],[Concepto Anterior]],Conceptos_Analítica_contraloría[#All],7,0),"")</f>
        <v/>
      </c>
      <c r="I2589" s="138" t="str">
        <f>+IFERROR(VLOOKUP(D2589,Conceptos_Analítica_contraloría[#All],2,0),"")</f>
        <v/>
      </c>
      <c r="J2589" s="138" t="str">
        <f>+IFERROR(VLOOKUP(D2589,Conceptos_Analítica_contraloría[#All],3,0),"")</f>
        <v/>
      </c>
    </row>
    <row r="2590" spans="3:10" x14ac:dyDescent="0.35">
      <c r="C2590" s="144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s="138" t="str">
        <f>+IFERROR(VLOOKUP(Fact_Analitica[[#This Row],[Concepto Anterior]],Conceptos_Analítica_contraloría[#All],5,0),"")</f>
        <v/>
      </c>
      <c r="F2590" s="138" t="str">
        <f>+IFERROR(VLOOKUP(Fact_Analitica[[#This Row],[Concepto Anterior]],Conceptos_Analítica_contraloría[#All],7,0),"")</f>
        <v/>
      </c>
      <c r="I2590" s="138" t="str">
        <f>+IFERROR(VLOOKUP(D2590,Conceptos_Analítica_contraloría[#All],2,0),"")</f>
        <v/>
      </c>
      <c r="J2590" s="138" t="str">
        <f>+IFERROR(VLOOKUP(D2590,Conceptos_Analítica_contraloría[#All],3,0),"")</f>
        <v/>
      </c>
    </row>
    <row r="2591" spans="3:10" x14ac:dyDescent="0.35">
      <c r="C2591" s="144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s="138" t="str">
        <f>+IFERROR(VLOOKUP(Fact_Analitica[[#This Row],[Concepto Anterior]],Conceptos_Analítica_contraloría[#All],5,0),"")</f>
        <v/>
      </c>
      <c r="F2591" s="138" t="str">
        <f>+IFERROR(VLOOKUP(Fact_Analitica[[#This Row],[Concepto Anterior]],Conceptos_Analítica_contraloría[#All],7,0),"")</f>
        <v/>
      </c>
      <c r="I2591" s="138" t="str">
        <f>+IFERROR(VLOOKUP(D2591,Conceptos_Analítica_contraloría[#All],2,0),"")</f>
        <v/>
      </c>
      <c r="J2591" s="138" t="str">
        <f>+IFERROR(VLOOKUP(D2591,Conceptos_Analítica_contraloría[#All],3,0),"")</f>
        <v/>
      </c>
    </row>
    <row r="2592" spans="3:10" x14ac:dyDescent="0.35">
      <c r="C2592" s="144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s="138" t="str">
        <f>+IFERROR(VLOOKUP(Fact_Analitica[[#This Row],[Concepto Anterior]],Conceptos_Analítica_contraloría[#All],5,0),"")</f>
        <v/>
      </c>
      <c r="F2592" s="138" t="str">
        <f>+IFERROR(VLOOKUP(Fact_Analitica[[#This Row],[Concepto Anterior]],Conceptos_Analítica_contraloría[#All],7,0),"")</f>
        <v/>
      </c>
      <c r="I2592" s="138" t="str">
        <f>+IFERROR(VLOOKUP(D2592,Conceptos_Analítica_contraloría[#All],2,0),"")</f>
        <v/>
      </c>
      <c r="J2592" s="138" t="str">
        <f>+IFERROR(VLOOKUP(D2592,Conceptos_Analítica_contraloría[#All],3,0),"")</f>
        <v/>
      </c>
    </row>
    <row r="2593" spans="3:10" x14ac:dyDescent="0.35">
      <c r="C2593" s="144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s="138" t="str">
        <f>+IFERROR(VLOOKUP(Fact_Analitica[[#This Row],[Concepto Anterior]],Conceptos_Analítica_contraloría[#All],5,0),"")</f>
        <v/>
      </c>
      <c r="F2593" s="138" t="str">
        <f>+IFERROR(VLOOKUP(Fact_Analitica[[#This Row],[Concepto Anterior]],Conceptos_Analítica_contraloría[#All],7,0),"")</f>
        <v/>
      </c>
      <c r="I2593" s="138" t="str">
        <f>+IFERROR(VLOOKUP(D2593,Conceptos_Analítica_contraloría[#All],2,0),"")</f>
        <v/>
      </c>
      <c r="J2593" s="138" t="str">
        <f>+IFERROR(VLOOKUP(D2593,Conceptos_Analítica_contraloría[#All],3,0),"")</f>
        <v/>
      </c>
    </row>
    <row r="2594" spans="3:10" x14ac:dyDescent="0.35">
      <c r="C2594" s="144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s="138" t="str">
        <f>+IFERROR(VLOOKUP(Fact_Analitica[[#This Row],[Concepto Anterior]],Conceptos_Analítica_contraloría[#All],5,0),"")</f>
        <v/>
      </c>
      <c r="F2594" s="138" t="str">
        <f>+IFERROR(VLOOKUP(Fact_Analitica[[#This Row],[Concepto Anterior]],Conceptos_Analítica_contraloría[#All],7,0),"")</f>
        <v/>
      </c>
      <c r="I2594" s="138" t="str">
        <f>+IFERROR(VLOOKUP(D2594,Conceptos_Analítica_contraloría[#All],2,0),"")</f>
        <v/>
      </c>
      <c r="J2594" s="138" t="str">
        <f>+IFERROR(VLOOKUP(D2594,Conceptos_Analítica_contraloría[#All],3,0),"")</f>
        <v/>
      </c>
    </row>
    <row r="2595" spans="3:10" x14ac:dyDescent="0.35">
      <c r="C2595" s="144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s="138" t="str">
        <f>+IFERROR(VLOOKUP(Fact_Analitica[[#This Row],[Concepto Anterior]],Conceptos_Analítica_contraloría[#All],5,0),"")</f>
        <v/>
      </c>
      <c r="F2595" s="138" t="str">
        <f>+IFERROR(VLOOKUP(Fact_Analitica[[#This Row],[Concepto Anterior]],Conceptos_Analítica_contraloría[#All],7,0),"")</f>
        <v/>
      </c>
      <c r="I2595" s="138" t="str">
        <f>+IFERROR(VLOOKUP(D2595,Conceptos_Analítica_contraloría[#All],2,0),"")</f>
        <v/>
      </c>
      <c r="J2595" s="138" t="str">
        <f>+IFERROR(VLOOKUP(D2595,Conceptos_Analítica_contraloría[#All],3,0),"")</f>
        <v/>
      </c>
    </row>
    <row r="2596" spans="3:10" x14ac:dyDescent="0.35">
      <c r="C2596" s="144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s="138" t="str">
        <f>+IFERROR(VLOOKUP(Fact_Analitica[[#This Row],[Concepto Anterior]],Conceptos_Analítica_contraloría[#All],5,0),"")</f>
        <v/>
      </c>
      <c r="F2596" s="138" t="str">
        <f>+IFERROR(VLOOKUP(Fact_Analitica[[#This Row],[Concepto Anterior]],Conceptos_Analítica_contraloría[#All],7,0),"")</f>
        <v/>
      </c>
      <c r="I2596" s="138" t="str">
        <f>+IFERROR(VLOOKUP(D2596,Conceptos_Analítica_contraloría[#All],2,0),"")</f>
        <v/>
      </c>
      <c r="J2596" s="138" t="str">
        <f>+IFERROR(VLOOKUP(D2596,Conceptos_Analítica_contraloría[#All],3,0),"")</f>
        <v/>
      </c>
    </row>
    <row r="2597" spans="3:10" x14ac:dyDescent="0.35">
      <c r="C2597" s="144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s="138" t="str">
        <f>+IFERROR(VLOOKUP(Fact_Analitica[[#This Row],[Concepto Anterior]],Conceptos_Analítica_contraloría[#All],5,0),"")</f>
        <v/>
      </c>
      <c r="F2597" s="138" t="str">
        <f>+IFERROR(VLOOKUP(Fact_Analitica[[#This Row],[Concepto Anterior]],Conceptos_Analítica_contraloría[#All],7,0),"")</f>
        <v/>
      </c>
      <c r="I2597" s="138" t="str">
        <f>+IFERROR(VLOOKUP(D2597,Conceptos_Analítica_contraloría[#All],2,0),"")</f>
        <v/>
      </c>
      <c r="J2597" s="138" t="str">
        <f>+IFERROR(VLOOKUP(D2597,Conceptos_Analítica_contraloría[#All],3,0),"")</f>
        <v/>
      </c>
    </row>
    <row r="2598" spans="3:10" x14ac:dyDescent="0.35">
      <c r="C2598" s="144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s="138" t="str">
        <f>+IFERROR(VLOOKUP(Fact_Analitica[[#This Row],[Concepto Anterior]],Conceptos_Analítica_contraloría[#All],5,0),"")</f>
        <v/>
      </c>
      <c r="F2598" s="138" t="str">
        <f>+IFERROR(VLOOKUP(Fact_Analitica[[#This Row],[Concepto Anterior]],Conceptos_Analítica_contraloría[#All],7,0),"")</f>
        <v/>
      </c>
      <c r="I2598" s="138" t="str">
        <f>+IFERROR(VLOOKUP(D2598,Conceptos_Analítica_contraloría[#All],2,0),"")</f>
        <v/>
      </c>
      <c r="J2598" s="138" t="str">
        <f>+IFERROR(VLOOKUP(D2598,Conceptos_Analítica_contraloría[#All],3,0),"")</f>
        <v/>
      </c>
    </row>
    <row r="2599" spans="3:10" x14ac:dyDescent="0.35">
      <c r="C2599" s="144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s="138" t="str">
        <f>+IFERROR(VLOOKUP(Fact_Analitica[[#This Row],[Concepto Anterior]],Conceptos_Analítica_contraloría[#All],5,0),"")</f>
        <v/>
      </c>
      <c r="F2599" s="138" t="str">
        <f>+IFERROR(VLOOKUP(Fact_Analitica[[#This Row],[Concepto Anterior]],Conceptos_Analítica_contraloría[#All],7,0),"")</f>
        <v/>
      </c>
      <c r="I2599" s="138" t="str">
        <f>+IFERROR(VLOOKUP(D2599,Conceptos_Analítica_contraloría[#All],2,0),"")</f>
        <v/>
      </c>
      <c r="J2599" s="138" t="str">
        <f>+IFERROR(VLOOKUP(D2599,Conceptos_Analítica_contraloría[#All],3,0),"")</f>
        <v/>
      </c>
    </row>
    <row r="2600" spans="3:10" x14ac:dyDescent="0.35">
      <c r="C2600" s="144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s="138" t="str">
        <f>+IFERROR(VLOOKUP(Fact_Analitica[[#This Row],[Concepto Anterior]],Conceptos_Analítica_contraloría[#All],5,0),"")</f>
        <v/>
      </c>
      <c r="F2600" s="138" t="str">
        <f>+IFERROR(VLOOKUP(Fact_Analitica[[#This Row],[Concepto Anterior]],Conceptos_Analítica_contraloría[#All],7,0),"")</f>
        <v/>
      </c>
      <c r="I2600" s="138" t="str">
        <f>+IFERROR(VLOOKUP(D2600,Conceptos_Analítica_contraloría[#All],2,0),"")</f>
        <v/>
      </c>
      <c r="J2600" s="138" t="str">
        <f>+IFERROR(VLOOKUP(D2600,Conceptos_Analítica_contraloría[#All],3,0),"")</f>
        <v/>
      </c>
    </row>
    <row r="2601" spans="3:10" x14ac:dyDescent="0.35">
      <c r="C2601" s="144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s="138" t="str">
        <f>+IFERROR(VLOOKUP(Fact_Analitica[[#This Row],[Concepto Anterior]],Conceptos_Analítica_contraloría[#All],5,0),"")</f>
        <v/>
      </c>
      <c r="F2601" s="138" t="str">
        <f>+IFERROR(VLOOKUP(Fact_Analitica[[#This Row],[Concepto Anterior]],Conceptos_Analítica_contraloría[#All],7,0),"")</f>
        <v/>
      </c>
      <c r="I2601" s="138" t="str">
        <f>+IFERROR(VLOOKUP(D2601,Conceptos_Analítica_contraloría[#All],2,0),"")</f>
        <v/>
      </c>
      <c r="J2601" s="138" t="str">
        <f>+IFERROR(VLOOKUP(D2601,Conceptos_Analítica_contraloría[#All],3,0),"")</f>
        <v/>
      </c>
    </row>
    <row r="2602" spans="3:10" x14ac:dyDescent="0.35">
      <c r="C2602" s="144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s="138" t="str">
        <f>+IFERROR(VLOOKUP(Fact_Analitica[[#This Row],[Concepto Anterior]],Conceptos_Analítica_contraloría[#All],5,0),"")</f>
        <v/>
      </c>
      <c r="F2602" s="138" t="str">
        <f>+IFERROR(VLOOKUP(Fact_Analitica[[#This Row],[Concepto Anterior]],Conceptos_Analítica_contraloría[#All],7,0),"")</f>
        <v/>
      </c>
      <c r="I2602" s="138" t="str">
        <f>+IFERROR(VLOOKUP(D2602,Conceptos_Analítica_contraloría[#All],2,0),"")</f>
        <v/>
      </c>
      <c r="J2602" s="138" t="str">
        <f>+IFERROR(VLOOKUP(D2602,Conceptos_Analítica_contraloría[#All],3,0),"")</f>
        <v/>
      </c>
    </row>
    <row r="2603" spans="3:10" x14ac:dyDescent="0.35">
      <c r="C2603" s="144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s="138" t="str">
        <f>+IFERROR(VLOOKUP(Fact_Analitica[[#This Row],[Concepto Anterior]],Conceptos_Analítica_contraloría[#All],5,0),"")</f>
        <v/>
      </c>
      <c r="F2603" s="138" t="str">
        <f>+IFERROR(VLOOKUP(Fact_Analitica[[#This Row],[Concepto Anterior]],Conceptos_Analítica_contraloría[#All],7,0),"")</f>
        <v/>
      </c>
      <c r="I2603" s="138" t="str">
        <f>+IFERROR(VLOOKUP(D2603,Conceptos_Analítica_contraloría[#All],2,0),"")</f>
        <v/>
      </c>
      <c r="J2603" s="138" t="str">
        <f>+IFERROR(VLOOKUP(D2603,Conceptos_Analítica_contraloría[#All],3,0),"")</f>
        <v/>
      </c>
    </row>
    <row r="2604" spans="3:10" x14ac:dyDescent="0.35">
      <c r="C2604" s="144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s="138" t="str">
        <f>+IFERROR(VLOOKUP(Fact_Analitica[[#This Row],[Concepto Anterior]],Conceptos_Analítica_contraloría[#All],5,0),"")</f>
        <v/>
      </c>
      <c r="F2604" s="138" t="str">
        <f>+IFERROR(VLOOKUP(Fact_Analitica[[#This Row],[Concepto Anterior]],Conceptos_Analítica_contraloría[#All],7,0),"")</f>
        <v/>
      </c>
      <c r="I2604" s="138" t="str">
        <f>+IFERROR(VLOOKUP(D2604,Conceptos_Analítica_contraloría[#All],2,0),"")</f>
        <v/>
      </c>
      <c r="J2604" s="138" t="str">
        <f>+IFERROR(VLOOKUP(D2604,Conceptos_Analítica_contraloría[#All],3,0),"")</f>
        <v/>
      </c>
    </row>
    <row r="2605" spans="3:10" x14ac:dyDescent="0.35">
      <c r="C2605" s="144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s="138" t="str">
        <f>+IFERROR(VLOOKUP(Fact_Analitica[[#This Row],[Concepto Anterior]],Conceptos_Analítica_contraloría[#All],5,0),"")</f>
        <v/>
      </c>
      <c r="F2605" s="138" t="str">
        <f>+IFERROR(VLOOKUP(Fact_Analitica[[#This Row],[Concepto Anterior]],Conceptos_Analítica_contraloría[#All],7,0),"")</f>
        <v/>
      </c>
      <c r="I2605" s="138" t="str">
        <f>+IFERROR(VLOOKUP(D2605,Conceptos_Analítica_contraloría[#All],2,0),"")</f>
        <v/>
      </c>
      <c r="J2605" s="138" t="str">
        <f>+IFERROR(VLOOKUP(D2605,Conceptos_Analítica_contraloría[#All],3,0),"")</f>
        <v/>
      </c>
    </row>
    <row r="2606" spans="3:10" x14ac:dyDescent="0.35">
      <c r="C2606" s="144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s="138" t="str">
        <f>+IFERROR(VLOOKUP(Fact_Analitica[[#This Row],[Concepto Anterior]],Conceptos_Analítica_contraloría[#All],5,0),"")</f>
        <v/>
      </c>
      <c r="F2606" s="138" t="str">
        <f>+IFERROR(VLOOKUP(Fact_Analitica[[#This Row],[Concepto Anterior]],Conceptos_Analítica_contraloría[#All],7,0),"")</f>
        <v/>
      </c>
      <c r="I2606" s="138" t="str">
        <f>+IFERROR(VLOOKUP(D2606,Conceptos_Analítica_contraloría[#All],2,0),"")</f>
        <v/>
      </c>
      <c r="J2606" s="138" t="str">
        <f>+IFERROR(VLOOKUP(D2606,Conceptos_Analítica_contraloría[#All],3,0),"")</f>
        <v/>
      </c>
    </row>
    <row r="2607" spans="3:10" x14ac:dyDescent="0.35">
      <c r="C2607" s="144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s="138" t="str">
        <f>+IFERROR(VLOOKUP(Fact_Analitica[[#This Row],[Concepto Anterior]],Conceptos_Analítica_contraloría[#All],5,0),"")</f>
        <v/>
      </c>
      <c r="F2607" s="138" t="str">
        <f>+IFERROR(VLOOKUP(Fact_Analitica[[#This Row],[Concepto Anterior]],Conceptos_Analítica_contraloría[#All],7,0),"")</f>
        <v/>
      </c>
      <c r="I2607" s="138" t="str">
        <f>+IFERROR(VLOOKUP(D2607,Conceptos_Analítica_contraloría[#All],2,0),"")</f>
        <v/>
      </c>
      <c r="J2607" s="138" t="str">
        <f>+IFERROR(VLOOKUP(D2607,Conceptos_Analítica_contraloría[#All],3,0),"")</f>
        <v/>
      </c>
    </row>
    <row r="2608" spans="3:10" x14ac:dyDescent="0.35">
      <c r="C2608" s="144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s="138" t="str">
        <f>+IFERROR(VLOOKUP(Fact_Analitica[[#This Row],[Concepto Anterior]],Conceptos_Analítica_contraloría[#All],5,0),"")</f>
        <v/>
      </c>
      <c r="F2608" s="138" t="str">
        <f>+IFERROR(VLOOKUP(Fact_Analitica[[#This Row],[Concepto Anterior]],Conceptos_Analítica_contraloría[#All],7,0),"")</f>
        <v/>
      </c>
      <c r="I2608" s="138" t="str">
        <f>+IFERROR(VLOOKUP(D2608,Conceptos_Analítica_contraloría[#All],2,0),"")</f>
        <v/>
      </c>
      <c r="J2608" s="138" t="str">
        <f>+IFERROR(VLOOKUP(D2608,Conceptos_Analítica_contraloría[#All],3,0),"")</f>
        <v/>
      </c>
    </row>
    <row r="2609" spans="3:10" x14ac:dyDescent="0.35">
      <c r="C2609" s="144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s="138" t="str">
        <f>+IFERROR(VLOOKUP(Fact_Analitica[[#This Row],[Concepto Anterior]],Conceptos_Analítica_contraloría[#All],5,0),"")</f>
        <v/>
      </c>
      <c r="F2609" s="138" t="str">
        <f>+IFERROR(VLOOKUP(Fact_Analitica[[#This Row],[Concepto Anterior]],Conceptos_Analítica_contraloría[#All],7,0),"")</f>
        <v/>
      </c>
      <c r="I2609" s="138" t="str">
        <f>+IFERROR(VLOOKUP(D2609,Conceptos_Analítica_contraloría[#All],2,0),"")</f>
        <v/>
      </c>
      <c r="J2609" s="138" t="str">
        <f>+IFERROR(VLOOKUP(D2609,Conceptos_Analítica_contraloría[#All],3,0),"")</f>
        <v/>
      </c>
    </row>
    <row r="2610" spans="3:10" x14ac:dyDescent="0.35">
      <c r="C2610" s="144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s="138" t="str">
        <f>+IFERROR(VLOOKUP(Fact_Analitica[[#This Row],[Concepto Anterior]],Conceptos_Analítica_contraloría[#All],5,0),"")</f>
        <v/>
      </c>
      <c r="F2610" s="138" t="str">
        <f>+IFERROR(VLOOKUP(Fact_Analitica[[#This Row],[Concepto Anterior]],Conceptos_Analítica_contraloría[#All],7,0),"")</f>
        <v/>
      </c>
      <c r="I2610" s="138" t="str">
        <f>+IFERROR(VLOOKUP(D2610,Conceptos_Analítica_contraloría[#All],2,0),"")</f>
        <v/>
      </c>
      <c r="J2610" s="138" t="str">
        <f>+IFERROR(VLOOKUP(D2610,Conceptos_Analítica_contraloría[#All],3,0),"")</f>
        <v/>
      </c>
    </row>
    <row r="2611" spans="3:10" x14ac:dyDescent="0.35">
      <c r="C2611" s="144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s="138" t="str">
        <f>+IFERROR(VLOOKUP(Fact_Analitica[[#This Row],[Concepto Anterior]],Conceptos_Analítica_contraloría[#All],5,0),"")</f>
        <v/>
      </c>
      <c r="F2611" s="138" t="str">
        <f>+IFERROR(VLOOKUP(Fact_Analitica[[#This Row],[Concepto Anterior]],Conceptos_Analítica_contraloría[#All],7,0),"")</f>
        <v/>
      </c>
      <c r="I2611" s="138" t="str">
        <f>+IFERROR(VLOOKUP(D2611,Conceptos_Analítica_contraloría[#All],2,0),"")</f>
        <v/>
      </c>
      <c r="J2611" s="138" t="str">
        <f>+IFERROR(VLOOKUP(D2611,Conceptos_Analítica_contraloría[#All],3,0),"")</f>
        <v/>
      </c>
    </row>
    <row r="2612" spans="3:10" x14ac:dyDescent="0.35">
      <c r="C2612" s="144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s="138" t="str">
        <f>+IFERROR(VLOOKUP(Fact_Analitica[[#This Row],[Concepto Anterior]],Conceptos_Analítica_contraloría[#All],5,0),"")</f>
        <v/>
      </c>
      <c r="F2612" s="138" t="str">
        <f>+IFERROR(VLOOKUP(Fact_Analitica[[#This Row],[Concepto Anterior]],Conceptos_Analítica_contraloría[#All],7,0),"")</f>
        <v/>
      </c>
      <c r="I2612" s="138" t="str">
        <f>+IFERROR(VLOOKUP(D2612,Conceptos_Analítica_contraloría[#All],2,0),"")</f>
        <v/>
      </c>
      <c r="J2612" s="138" t="str">
        <f>+IFERROR(VLOOKUP(D2612,Conceptos_Analítica_contraloría[#All],3,0),"")</f>
        <v/>
      </c>
    </row>
    <row r="2613" spans="3:10" x14ac:dyDescent="0.35">
      <c r="C2613" s="144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s="138" t="str">
        <f>+IFERROR(VLOOKUP(Fact_Analitica[[#This Row],[Concepto Anterior]],Conceptos_Analítica_contraloría[#All],5,0),"")</f>
        <v/>
      </c>
      <c r="F2613" s="138" t="str">
        <f>+IFERROR(VLOOKUP(Fact_Analitica[[#This Row],[Concepto Anterior]],Conceptos_Analítica_contraloría[#All],7,0),"")</f>
        <v/>
      </c>
      <c r="I2613" s="138" t="str">
        <f>+IFERROR(VLOOKUP(D2613,Conceptos_Analítica_contraloría[#All],2,0),"")</f>
        <v/>
      </c>
      <c r="J2613" s="138" t="str">
        <f>+IFERROR(VLOOKUP(D2613,Conceptos_Analítica_contraloría[#All],3,0),"")</f>
        <v/>
      </c>
    </row>
    <row r="2614" spans="3:10" x14ac:dyDescent="0.35">
      <c r="C2614" s="144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s="138" t="str">
        <f>+IFERROR(VLOOKUP(Fact_Analitica[[#This Row],[Concepto Anterior]],Conceptos_Analítica_contraloría[#All],5,0),"")</f>
        <v/>
      </c>
      <c r="F2614" s="138" t="str">
        <f>+IFERROR(VLOOKUP(Fact_Analitica[[#This Row],[Concepto Anterior]],Conceptos_Analítica_contraloría[#All],7,0),"")</f>
        <v/>
      </c>
      <c r="I2614" s="138" t="str">
        <f>+IFERROR(VLOOKUP(D2614,Conceptos_Analítica_contraloría[#All],2,0),"")</f>
        <v/>
      </c>
      <c r="J2614" s="138" t="str">
        <f>+IFERROR(VLOOKUP(D2614,Conceptos_Analítica_contraloría[#All],3,0),"")</f>
        <v/>
      </c>
    </row>
    <row r="2615" spans="3:10" x14ac:dyDescent="0.35">
      <c r="C2615" s="144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s="138" t="str">
        <f>+IFERROR(VLOOKUP(Fact_Analitica[[#This Row],[Concepto Anterior]],Conceptos_Analítica_contraloría[#All],5,0),"")</f>
        <v/>
      </c>
      <c r="F2615" s="138" t="str">
        <f>+IFERROR(VLOOKUP(Fact_Analitica[[#This Row],[Concepto Anterior]],Conceptos_Analítica_contraloría[#All],7,0),"")</f>
        <v/>
      </c>
      <c r="I2615" s="138" t="str">
        <f>+IFERROR(VLOOKUP(D2615,Conceptos_Analítica_contraloría[#All],2,0),"")</f>
        <v/>
      </c>
      <c r="J2615" s="138" t="str">
        <f>+IFERROR(VLOOKUP(D2615,Conceptos_Analítica_contraloría[#All],3,0),"")</f>
        <v/>
      </c>
    </row>
    <row r="2616" spans="3:10" x14ac:dyDescent="0.35">
      <c r="C2616" s="144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s="138" t="str">
        <f>+IFERROR(VLOOKUP(Fact_Analitica[[#This Row],[Concepto Anterior]],Conceptos_Analítica_contraloría[#All],5,0),"")</f>
        <v/>
      </c>
      <c r="F2616" s="138" t="str">
        <f>+IFERROR(VLOOKUP(Fact_Analitica[[#This Row],[Concepto Anterior]],Conceptos_Analítica_contraloría[#All],7,0),"")</f>
        <v/>
      </c>
      <c r="I2616" s="138" t="str">
        <f>+IFERROR(VLOOKUP(D2616,Conceptos_Analítica_contraloría[#All],2,0),"")</f>
        <v/>
      </c>
      <c r="J2616" s="138" t="str">
        <f>+IFERROR(VLOOKUP(D2616,Conceptos_Analítica_contraloría[#All],3,0),"")</f>
        <v/>
      </c>
    </row>
    <row r="2617" spans="3:10" x14ac:dyDescent="0.35">
      <c r="C2617" s="144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s="138" t="str">
        <f>+IFERROR(VLOOKUP(Fact_Analitica[[#This Row],[Concepto Anterior]],Conceptos_Analítica_contraloría[#All],5,0),"")</f>
        <v/>
      </c>
      <c r="F2617" s="138" t="str">
        <f>+IFERROR(VLOOKUP(Fact_Analitica[[#This Row],[Concepto Anterior]],Conceptos_Analítica_contraloría[#All],7,0),"")</f>
        <v/>
      </c>
      <c r="I2617" s="138" t="str">
        <f>+IFERROR(VLOOKUP(D2617,Conceptos_Analítica_contraloría[#All],2,0),"")</f>
        <v/>
      </c>
      <c r="J2617" s="138" t="str">
        <f>+IFERROR(VLOOKUP(D2617,Conceptos_Analítica_contraloría[#All],3,0),"")</f>
        <v/>
      </c>
    </row>
    <row r="2618" spans="3:10" x14ac:dyDescent="0.35">
      <c r="C2618" s="144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s="138" t="str">
        <f>+IFERROR(VLOOKUP(Fact_Analitica[[#This Row],[Concepto Anterior]],Conceptos_Analítica_contraloría[#All],5,0),"")</f>
        <v/>
      </c>
      <c r="F2618" s="138" t="str">
        <f>+IFERROR(VLOOKUP(Fact_Analitica[[#This Row],[Concepto Anterior]],Conceptos_Analítica_contraloría[#All],7,0),"")</f>
        <v/>
      </c>
      <c r="I2618" s="138" t="str">
        <f>+IFERROR(VLOOKUP(D2618,Conceptos_Analítica_contraloría[#All],2,0),"")</f>
        <v/>
      </c>
      <c r="J2618" s="138" t="str">
        <f>+IFERROR(VLOOKUP(D2618,Conceptos_Analítica_contraloría[#All],3,0),"")</f>
        <v/>
      </c>
    </row>
    <row r="2619" spans="3:10" x14ac:dyDescent="0.35">
      <c r="C2619" s="144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s="138" t="str">
        <f>+IFERROR(VLOOKUP(Fact_Analitica[[#This Row],[Concepto Anterior]],Conceptos_Analítica_contraloría[#All],5,0),"")</f>
        <v/>
      </c>
      <c r="F2619" s="138" t="str">
        <f>+IFERROR(VLOOKUP(Fact_Analitica[[#This Row],[Concepto Anterior]],Conceptos_Analítica_contraloría[#All],7,0),"")</f>
        <v/>
      </c>
      <c r="I2619" s="138" t="str">
        <f>+IFERROR(VLOOKUP(D2619,Conceptos_Analítica_contraloría[#All],2,0),"")</f>
        <v/>
      </c>
      <c r="J2619" s="138" t="str">
        <f>+IFERROR(VLOOKUP(D2619,Conceptos_Analítica_contraloría[#All],3,0),"")</f>
        <v/>
      </c>
    </row>
    <row r="2620" spans="3:10" x14ac:dyDescent="0.35">
      <c r="C2620" s="144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s="138" t="str">
        <f>+IFERROR(VLOOKUP(Fact_Analitica[[#This Row],[Concepto Anterior]],Conceptos_Analítica_contraloría[#All],5,0),"")</f>
        <v/>
      </c>
      <c r="F2620" s="138" t="str">
        <f>+IFERROR(VLOOKUP(Fact_Analitica[[#This Row],[Concepto Anterior]],Conceptos_Analítica_contraloría[#All],7,0),"")</f>
        <v/>
      </c>
      <c r="I2620" s="138" t="str">
        <f>+IFERROR(VLOOKUP(D2620,Conceptos_Analítica_contraloría[#All],2,0),"")</f>
        <v/>
      </c>
      <c r="J2620" s="138" t="str">
        <f>+IFERROR(VLOOKUP(D2620,Conceptos_Analítica_contraloría[#All],3,0),"")</f>
        <v/>
      </c>
    </row>
    <row r="2621" spans="3:10" x14ac:dyDescent="0.35">
      <c r="C2621" s="144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s="138" t="str">
        <f>+IFERROR(VLOOKUP(Fact_Analitica[[#This Row],[Concepto Anterior]],Conceptos_Analítica_contraloría[#All],5,0),"")</f>
        <v/>
      </c>
      <c r="F2621" s="138" t="str">
        <f>+IFERROR(VLOOKUP(Fact_Analitica[[#This Row],[Concepto Anterior]],Conceptos_Analítica_contraloría[#All],7,0),"")</f>
        <v/>
      </c>
      <c r="I2621" s="138" t="str">
        <f>+IFERROR(VLOOKUP(D2621,Conceptos_Analítica_contraloría[#All],2,0),"")</f>
        <v/>
      </c>
      <c r="J2621" s="138" t="str">
        <f>+IFERROR(VLOOKUP(D2621,Conceptos_Analítica_contraloría[#All],3,0),"")</f>
        <v/>
      </c>
    </row>
    <row r="2622" spans="3:10" x14ac:dyDescent="0.35">
      <c r="C2622" s="144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s="138" t="str">
        <f>+IFERROR(VLOOKUP(Fact_Analitica[[#This Row],[Concepto Anterior]],Conceptos_Analítica_contraloría[#All],5,0),"")</f>
        <v/>
      </c>
      <c r="F2622" s="138" t="str">
        <f>+IFERROR(VLOOKUP(Fact_Analitica[[#This Row],[Concepto Anterior]],Conceptos_Analítica_contraloría[#All],7,0),"")</f>
        <v/>
      </c>
      <c r="I2622" s="138" t="str">
        <f>+IFERROR(VLOOKUP(D2622,Conceptos_Analítica_contraloría[#All],2,0),"")</f>
        <v/>
      </c>
      <c r="J2622" s="138" t="str">
        <f>+IFERROR(VLOOKUP(D2622,Conceptos_Analítica_contraloría[#All],3,0),"")</f>
        <v/>
      </c>
    </row>
    <row r="2623" spans="3:10" x14ac:dyDescent="0.35">
      <c r="C2623" s="144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s="138" t="str">
        <f>+IFERROR(VLOOKUP(Fact_Analitica[[#This Row],[Concepto Anterior]],Conceptos_Analítica_contraloría[#All],5,0),"")</f>
        <v/>
      </c>
      <c r="F2623" s="138" t="str">
        <f>+IFERROR(VLOOKUP(Fact_Analitica[[#This Row],[Concepto Anterior]],Conceptos_Analítica_contraloría[#All],7,0),"")</f>
        <v/>
      </c>
      <c r="I2623" s="138" t="str">
        <f>+IFERROR(VLOOKUP(D2623,Conceptos_Analítica_contraloría[#All],2,0),"")</f>
        <v/>
      </c>
      <c r="J2623" s="138" t="str">
        <f>+IFERROR(VLOOKUP(D2623,Conceptos_Analítica_contraloría[#All],3,0),"")</f>
        <v/>
      </c>
    </row>
    <row r="2624" spans="3:10" x14ac:dyDescent="0.35">
      <c r="C2624" s="144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s="138" t="str">
        <f>+IFERROR(VLOOKUP(Fact_Analitica[[#This Row],[Concepto Anterior]],Conceptos_Analítica_contraloría[#All],5,0),"")</f>
        <v/>
      </c>
      <c r="F2624" s="138" t="str">
        <f>+IFERROR(VLOOKUP(Fact_Analitica[[#This Row],[Concepto Anterior]],Conceptos_Analítica_contraloría[#All],7,0),"")</f>
        <v/>
      </c>
      <c r="I2624" s="138" t="str">
        <f>+IFERROR(VLOOKUP(D2624,Conceptos_Analítica_contraloría[#All],2,0),"")</f>
        <v/>
      </c>
      <c r="J2624" s="138" t="str">
        <f>+IFERROR(VLOOKUP(D2624,Conceptos_Analítica_contraloría[#All],3,0),"")</f>
        <v/>
      </c>
    </row>
    <row r="2625" spans="3:10" x14ac:dyDescent="0.35">
      <c r="C2625" s="144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s="138" t="str">
        <f>+IFERROR(VLOOKUP(Fact_Analitica[[#This Row],[Concepto Anterior]],Conceptos_Analítica_contraloría[#All],5,0),"")</f>
        <v/>
      </c>
      <c r="F2625" s="138" t="str">
        <f>+IFERROR(VLOOKUP(Fact_Analitica[[#This Row],[Concepto Anterior]],Conceptos_Analítica_contraloría[#All],7,0),"")</f>
        <v/>
      </c>
      <c r="I2625" s="138" t="str">
        <f>+IFERROR(VLOOKUP(D2625,Conceptos_Analítica_contraloría[#All],2,0),"")</f>
        <v/>
      </c>
      <c r="J2625" s="138" t="str">
        <f>+IFERROR(VLOOKUP(D2625,Conceptos_Analítica_contraloría[#All],3,0),"")</f>
        <v/>
      </c>
    </row>
    <row r="2626" spans="3:10" x14ac:dyDescent="0.35">
      <c r="C2626" s="144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s="138" t="str">
        <f>+IFERROR(VLOOKUP(Fact_Analitica[[#This Row],[Concepto Anterior]],Conceptos_Analítica_contraloría[#All],5,0),"")</f>
        <v/>
      </c>
      <c r="F2626" s="138" t="str">
        <f>+IFERROR(VLOOKUP(Fact_Analitica[[#This Row],[Concepto Anterior]],Conceptos_Analítica_contraloría[#All],7,0),"")</f>
        <v/>
      </c>
      <c r="I2626" s="138" t="str">
        <f>+IFERROR(VLOOKUP(D2626,Conceptos_Analítica_contraloría[#All],2,0),"")</f>
        <v/>
      </c>
      <c r="J2626" s="138" t="str">
        <f>+IFERROR(VLOOKUP(D2626,Conceptos_Analítica_contraloría[#All],3,0),"")</f>
        <v/>
      </c>
    </row>
    <row r="2627" spans="3:10" x14ac:dyDescent="0.35">
      <c r="C2627" s="144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s="138" t="str">
        <f>+IFERROR(VLOOKUP(Fact_Analitica[[#This Row],[Concepto Anterior]],Conceptos_Analítica_contraloría[#All],5,0),"")</f>
        <v/>
      </c>
      <c r="F2627" s="138" t="str">
        <f>+IFERROR(VLOOKUP(Fact_Analitica[[#This Row],[Concepto Anterior]],Conceptos_Analítica_contraloría[#All],7,0),"")</f>
        <v/>
      </c>
      <c r="I2627" s="138" t="str">
        <f>+IFERROR(VLOOKUP(D2627,Conceptos_Analítica_contraloría[#All],2,0),"")</f>
        <v/>
      </c>
      <c r="J2627" s="138" t="str">
        <f>+IFERROR(VLOOKUP(D2627,Conceptos_Analítica_contraloría[#All],3,0),"")</f>
        <v/>
      </c>
    </row>
    <row r="2628" spans="3:10" x14ac:dyDescent="0.35">
      <c r="C2628" s="144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s="138" t="str">
        <f>+IFERROR(VLOOKUP(Fact_Analitica[[#This Row],[Concepto Anterior]],Conceptos_Analítica_contraloría[#All],5,0),"")</f>
        <v/>
      </c>
      <c r="F2628" s="138" t="str">
        <f>+IFERROR(VLOOKUP(Fact_Analitica[[#This Row],[Concepto Anterior]],Conceptos_Analítica_contraloría[#All],7,0),"")</f>
        <v/>
      </c>
      <c r="I2628" s="138" t="str">
        <f>+IFERROR(VLOOKUP(D2628,Conceptos_Analítica_contraloría[#All],2,0),"")</f>
        <v/>
      </c>
      <c r="J2628" s="138" t="str">
        <f>+IFERROR(VLOOKUP(D2628,Conceptos_Analítica_contraloría[#All],3,0),"")</f>
        <v/>
      </c>
    </row>
    <row r="2629" spans="3:10" x14ac:dyDescent="0.35">
      <c r="C2629" s="144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s="138" t="str">
        <f>+IFERROR(VLOOKUP(Fact_Analitica[[#This Row],[Concepto Anterior]],Conceptos_Analítica_contraloría[#All],5,0),"")</f>
        <v/>
      </c>
      <c r="F2629" s="138" t="str">
        <f>+IFERROR(VLOOKUP(Fact_Analitica[[#This Row],[Concepto Anterior]],Conceptos_Analítica_contraloría[#All],7,0),"")</f>
        <v/>
      </c>
      <c r="I2629" s="138" t="str">
        <f>+IFERROR(VLOOKUP(D2629,Conceptos_Analítica_contraloría[#All],2,0),"")</f>
        <v/>
      </c>
      <c r="J2629" s="138" t="str">
        <f>+IFERROR(VLOOKUP(D2629,Conceptos_Analítica_contraloría[#All],3,0),"")</f>
        <v/>
      </c>
    </row>
    <row r="2630" spans="3:10" x14ac:dyDescent="0.35">
      <c r="C2630" s="144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s="138" t="str">
        <f>+IFERROR(VLOOKUP(Fact_Analitica[[#This Row],[Concepto Anterior]],Conceptos_Analítica_contraloría[#All],5,0),"")</f>
        <v/>
      </c>
      <c r="F2630" s="138" t="str">
        <f>+IFERROR(VLOOKUP(Fact_Analitica[[#This Row],[Concepto Anterior]],Conceptos_Analítica_contraloría[#All],7,0),"")</f>
        <v/>
      </c>
      <c r="I2630" s="138" t="str">
        <f>+IFERROR(VLOOKUP(D2630,Conceptos_Analítica_contraloría[#All],2,0),"")</f>
        <v/>
      </c>
      <c r="J2630" s="138" t="str">
        <f>+IFERROR(VLOOKUP(D2630,Conceptos_Analítica_contraloría[#All],3,0),"")</f>
        <v/>
      </c>
    </row>
    <row r="2631" spans="3:10" x14ac:dyDescent="0.35">
      <c r="C2631" s="144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s="138" t="str">
        <f>+IFERROR(VLOOKUP(Fact_Analitica[[#This Row],[Concepto Anterior]],Conceptos_Analítica_contraloría[#All],5,0),"")</f>
        <v/>
      </c>
      <c r="F2631" s="138" t="str">
        <f>+IFERROR(VLOOKUP(Fact_Analitica[[#This Row],[Concepto Anterior]],Conceptos_Analítica_contraloría[#All],7,0),"")</f>
        <v/>
      </c>
      <c r="I2631" s="138" t="str">
        <f>+IFERROR(VLOOKUP(D2631,Conceptos_Analítica_contraloría[#All],2,0),"")</f>
        <v/>
      </c>
      <c r="J2631" s="138" t="str">
        <f>+IFERROR(VLOOKUP(D2631,Conceptos_Analítica_contraloría[#All],3,0),"")</f>
        <v/>
      </c>
    </row>
    <row r="2632" spans="3:10" x14ac:dyDescent="0.35">
      <c r="C2632" s="144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s="138" t="str">
        <f>+IFERROR(VLOOKUP(Fact_Analitica[[#This Row],[Concepto Anterior]],Conceptos_Analítica_contraloría[#All],5,0),"")</f>
        <v/>
      </c>
      <c r="F2632" s="138" t="str">
        <f>+IFERROR(VLOOKUP(Fact_Analitica[[#This Row],[Concepto Anterior]],Conceptos_Analítica_contraloría[#All],7,0),"")</f>
        <v/>
      </c>
      <c r="I2632" s="138" t="str">
        <f>+IFERROR(VLOOKUP(D2632,Conceptos_Analítica_contraloría[#All],2,0),"")</f>
        <v/>
      </c>
      <c r="J2632" s="138" t="str">
        <f>+IFERROR(VLOOKUP(D2632,Conceptos_Analítica_contraloría[#All],3,0),"")</f>
        <v/>
      </c>
    </row>
    <row r="2633" spans="3:10" x14ac:dyDescent="0.35">
      <c r="C2633" s="144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s="138" t="str">
        <f>+IFERROR(VLOOKUP(Fact_Analitica[[#This Row],[Concepto Anterior]],Conceptos_Analítica_contraloría[#All],5,0),"")</f>
        <v/>
      </c>
      <c r="F2633" s="138" t="str">
        <f>+IFERROR(VLOOKUP(Fact_Analitica[[#This Row],[Concepto Anterior]],Conceptos_Analítica_contraloría[#All],7,0),"")</f>
        <v/>
      </c>
      <c r="I2633" s="138" t="str">
        <f>+IFERROR(VLOOKUP(D2633,Conceptos_Analítica_contraloría[#All],2,0),"")</f>
        <v/>
      </c>
      <c r="J2633" s="138" t="str">
        <f>+IFERROR(VLOOKUP(D2633,Conceptos_Analítica_contraloría[#All],3,0),"")</f>
        <v/>
      </c>
    </row>
    <row r="2634" spans="3:10" x14ac:dyDescent="0.35">
      <c r="C2634" s="144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s="138" t="str">
        <f>+IFERROR(VLOOKUP(Fact_Analitica[[#This Row],[Concepto Anterior]],Conceptos_Analítica_contraloría[#All],5,0),"")</f>
        <v/>
      </c>
      <c r="F2634" s="138" t="str">
        <f>+IFERROR(VLOOKUP(Fact_Analitica[[#This Row],[Concepto Anterior]],Conceptos_Analítica_contraloría[#All],7,0),"")</f>
        <v/>
      </c>
      <c r="I2634" s="138" t="str">
        <f>+IFERROR(VLOOKUP(D2634,Conceptos_Analítica_contraloría[#All],2,0),"")</f>
        <v/>
      </c>
      <c r="J2634" s="138" t="str">
        <f>+IFERROR(VLOOKUP(D2634,Conceptos_Analítica_contraloría[#All],3,0),"")</f>
        <v/>
      </c>
    </row>
    <row r="2635" spans="3:10" x14ac:dyDescent="0.35">
      <c r="C2635" s="144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s="138" t="str">
        <f>+IFERROR(VLOOKUP(Fact_Analitica[[#This Row],[Concepto Anterior]],Conceptos_Analítica_contraloría[#All],5,0),"")</f>
        <v/>
      </c>
      <c r="F2635" s="138" t="str">
        <f>+IFERROR(VLOOKUP(Fact_Analitica[[#This Row],[Concepto Anterior]],Conceptos_Analítica_contraloría[#All],7,0),"")</f>
        <v/>
      </c>
      <c r="I2635" s="138" t="str">
        <f>+IFERROR(VLOOKUP(D2635,Conceptos_Analítica_contraloría[#All],2,0),"")</f>
        <v/>
      </c>
      <c r="J2635" s="138" t="str">
        <f>+IFERROR(VLOOKUP(D2635,Conceptos_Analítica_contraloría[#All],3,0),"")</f>
        <v/>
      </c>
    </row>
    <row r="2636" spans="3:10" x14ac:dyDescent="0.35">
      <c r="C2636" s="144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s="138" t="str">
        <f>+IFERROR(VLOOKUP(Fact_Analitica[[#This Row],[Concepto Anterior]],Conceptos_Analítica_contraloría[#All],5,0),"")</f>
        <v/>
      </c>
      <c r="F2636" s="138" t="str">
        <f>+IFERROR(VLOOKUP(Fact_Analitica[[#This Row],[Concepto Anterior]],Conceptos_Analítica_contraloría[#All],7,0),"")</f>
        <v/>
      </c>
      <c r="I2636" s="138" t="str">
        <f>+IFERROR(VLOOKUP(D2636,Conceptos_Analítica_contraloría[#All],2,0),"")</f>
        <v/>
      </c>
      <c r="J2636" s="138" t="str">
        <f>+IFERROR(VLOOKUP(D2636,Conceptos_Analítica_contraloría[#All],3,0),"")</f>
        <v/>
      </c>
    </row>
    <row r="2637" spans="3:10" x14ac:dyDescent="0.35">
      <c r="C2637" s="144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s="138" t="str">
        <f>+IFERROR(VLOOKUP(Fact_Analitica[[#This Row],[Concepto Anterior]],Conceptos_Analítica_contraloría[#All],5,0),"")</f>
        <v/>
      </c>
      <c r="F2637" s="138" t="str">
        <f>+IFERROR(VLOOKUP(Fact_Analitica[[#This Row],[Concepto Anterior]],Conceptos_Analítica_contraloría[#All],7,0),"")</f>
        <v/>
      </c>
      <c r="I2637" s="138" t="str">
        <f>+IFERROR(VLOOKUP(D2637,Conceptos_Analítica_contraloría[#All],2,0),"")</f>
        <v/>
      </c>
      <c r="J2637" s="138" t="str">
        <f>+IFERROR(VLOOKUP(D2637,Conceptos_Analítica_contraloría[#All],3,0),"")</f>
        <v/>
      </c>
    </row>
    <row r="2638" spans="3:10" x14ac:dyDescent="0.35">
      <c r="C2638" s="144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s="138" t="str">
        <f>+IFERROR(VLOOKUP(Fact_Analitica[[#This Row],[Concepto Anterior]],Conceptos_Analítica_contraloría[#All],5,0),"")</f>
        <v/>
      </c>
      <c r="F2638" s="138" t="str">
        <f>+IFERROR(VLOOKUP(Fact_Analitica[[#This Row],[Concepto Anterior]],Conceptos_Analítica_contraloría[#All],7,0),"")</f>
        <v/>
      </c>
      <c r="I2638" s="138" t="str">
        <f>+IFERROR(VLOOKUP(D2638,Conceptos_Analítica_contraloría[#All],2,0),"")</f>
        <v/>
      </c>
      <c r="J2638" s="138" t="str">
        <f>+IFERROR(VLOOKUP(D2638,Conceptos_Analítica_contraloría[#All],3,0),"")</f>
        <v/>
      </c>
    </row>
    <row r="2639" spans="3:10" x14ac:dyDescent="0.35">
      <c r="C2639" s="144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s="138" t="str">
        <f>+IFERROR(VLOOKUP(Fact_Analitica[[#This Row],[Concepto Anterior]],Conceptos_Analítica_contraloría[#All],5,0),"")</f>
        <v/>
      </c>
      <c r="F2639" s="138" t="str">
        <f>+IFERROR(VLOOKUP(Fact_Analitica[[#This Row],[Concepto Anterior]],Conceptos_Analítica_contraloría[#All],7,0),"")</f>
        <v/>
      </c>
      <c r="I2639" s="138" t="str">
        <f>+IFERROR(VLOOKUP(D2639,Conceptos_Analítica_contraloría[#All],2,0),"")</f>
        <v/>
      </c>
      <c r="J2639" s="138" t="str">
        <f>+IFERROR(VLOOKUP(D2639,Conceptos_Analítica_contraloría[#All],3,0),"")</f>
        <v/>
      </c>
    </row>
    <row r="2640" spans="3:10" x14ac:dyDescent="0.35">
      <c r="C2640" s="144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s="138" t="str">
        <f>+IFERROR(VLOOKUP(Fact_Analitica[[#This Row],[Concepto Anterior]],Conceptos_Analítica_contraloría[#All],5,0),"")</f>
        <v/>
      </c>
      <c r="F2640" s="138" t="str">
        <f>+IFERROR(VLOOKUP(Fact_Analitica[[#This Row],[Concepto Anterior]],Conceptos_Analítica_contraloría[#All],7,0),"")</f>
        <v/>
      </c>
      <c r="I2640" s="138" t="str">
        <f>+IFERROR(VLOOKUP(D2640,Conceptos_Analítica_contraloría[#All],2,0),"")</f>
        <v/>
      </c>
      <c r="J2640" s="138" t="str">
        <f>+IFERROR(VLOOKUP(D2640,Conceptos_Analítica_contraloría[#All],3,0),"")</f>
        <v/>
      </c>
    </row>
    <row r="2641" spans="3:10" x14ac:dyDescent="0.35">
      <c r="C2641" s="144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s="138" t="str">
        <f>+IFERROR(VLOOKUP(Fact_Analitica[[#This Row],[Concepto Anterior]],Conceptos_Analítica_contraloría[#All],5,0),"")</f>
        <v/>
      </c>
      <c r="F2641" s="138" t="str">
        <f>+IFERROR(VLOOKUP(Fact_Analitica[[#This Row],[Concepto Anterior]],Conceptos_Analítica_contraloría[#All],7,0),"")</f>
        <v/>
      </c>
      <c r="I2641" s="138" t="str">
        <f>+IFERROR(VLOOKUP(D2641,Conceptos_Analítica_contraloría[#All],2,0),"")</f>
        <v/>
      </c>
      <c r="J2641" s="138" t="str">
        <f>+IFERROR(VLOOKUP(D2641,Conceptos_Analítica_contraloría[#All],3,0),"")</f>
        <v/>
      </c>
    </row>
    <row r="2642" spans="3:10" x14ac:dyDescent="0.35">
      <c r="C2642" s="144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s="138" t="str">
        <f>+IFERROR(VLOOKUP(Fact_Analitica[[#This Row],[Concepto Anterior]],Conceptos_Analítica_contraloría[#All],5,0),"")</f>
        <v/>
      </c>
      <c r="F2642" s="138" t="str">
        <f>+IFERROR(VLOOKUP(Fact_Analitica[[#This Row],[Concepto Anterior]],Conceptos_Analítica_contraloría[#All],7,0),"")</f>
        <v/>
      </c>
      <c r="I2642" s="138" t="str">
        <f>+IFERROR(VLOOKUP(D2642,Conceptos_Analítica_contraloría[#All],2,0),"")</f>
        <v/>
      </c>
      <c r="J2642" s="138" t="str">
        <f>+IFERROR(VLOOKUP(D2642,Conceptos_Analítica_contraloría[#All],3,0),"")</f>
        <v/>
      </c>
    </row>
    <row r="2643" spans="3:10" x14ac:dyDescent="0.35">
      <c r="C2643" s="144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s="138" t="str">
        <f>+IFERROR(VLOOKUP(Fact_Analitica[[#This Row],[Concepto Anterior]],Conceptos_Analítica_contraloría[#All],5,0),"")</f>
        <v/>
      </c>
      <c r="F2643" s="138" t="str">
        <f>+IFERROR(VLOOKUP(Fact_Analitica[[#This Row],[Concepto Anterior]],Conceptos_Analítica_contraloría[#All],7,0),"")</f>
        <v/>
      </c>
      <c r="I2643" s="138" t="str">
        <f>+IFERROR(VLOOKUP(D2643,Conceptos_Analítica_contraloría[#All],2,0),"")</f>
        <v/>
      </c>
      <c r="J2643" s="138" t="str">
        <f>+IFERROR(VLOOKUP(D2643,Conceptos_Analítica_contraloría[#All],3,0),"")</f>
        <v/>
      </c>
    </row>
    <row r="2644" spans="3:10" x14ac:dyDescent="0.35">
      <c r="C2644" s="144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s="138" t="str">
        <f>+IFERROR(VLOOKUP(Fact_Analitica[[#This Row],[Concepto Anterior]],Conceptos_Analítica_contraloría[#All],5,0),"")</f>
        <v/>
      </c>
      <c r="F2644" s="138" t="str">
        <f>+IFERROR(VLOOKUP(Fact_Analitica[[#This Row],[Concepto Anterior]],Conceptos_Analítica_contraloría[#All],7,0),"")</f>
        <v/>
      </c>
      <c r="I2644" s="138" t="str">
        <f>+IFERROR(VLOOKUP(D2644,Conceptos_Analítica_contraloría[#All],2,0),"")</f>
        <v/>
      </c>
      <c r="J2644" s="138" t="str">
        <f>+IFERROR(VLOOKUP(D2644,Conceptos_Analítica_contraloría[#All],3,0),"")</f>
        <v/>
      </c>
    </row>
    <row r="2645" spans="3:10" x14ac:dyDescent="0.35">
      <c r="C2645" s="144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s="138" t="str">
        <f>+IFERROR(VLOOKUP(Fact_Analitica[[#This Row],[Concepto Anterior]],Conceptos_Analítica_contraloría[#All],5,0),"")</f>
        <v/>
      </c>
      <c r="F2645" s="138" t="str">
        <f>+IFERROR(VLOOKUP(Fact_Analitica[[#This Row],[Concepto Anterior]],Conceptos_Analítica_contraloría[#All],7,0),"")</f>
        <v/>
      </c>
      <c r="I2645" s="138" t="str">
        <f>+IFERROR(VLOOKUP(D2645,Conceptos_Analítica_contraloría[#All],2,0),"")</f>
        <v/>
      </c>
      <c r="J2645" s="138" t="str">
        <f>+IFERROR(VLOOKUP(D2645,Conceptos_Analítica_contraloría[#All],3,0),"")</f>
        <v/>
      </c>
    </row>
    <row r="2646" spans="3:10" x14ac:dyDescent="0.35">
      <c r="C2646" s="144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s="138" t="str">
        <f>+IFERROR(VLOOKUP(Fact_Analitica[[#This Row],[Concepto Anterior]],Conceptos_Analítica_contraloría[#All],5,0),"")</f>
        <v/>
      </c>
      <c r="F2646" s="138" t="str">
        <f>+IFERROR(VLOOKUP(Fact_Analitica[[#This Row],[Concepto Anterior]],Conceptos_Analítica_contraloría[#All],7,0),"")</f>
        <v/>
      </c>
      <c r="I2646" s="138" t="str">
        <f>+IFERROR(VLOOKUP(D2646,Conceptos_Analítica_contraloría[#All],2,0),"")</f>
        <v/>
      </c>
      <c r="J2646" s="138" t="str">
        <f>+IFERROR(VLOOKUP(D2646,Conceptos_Analítica_contraloría[#All],3,0),"")</f>
        <v/>
      </c>
    </row>
    <row r="2647" spans="3:10" x14ac:dyDescent="0.35">
      <c r="C2647" s="144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s="138" t="str">
        <f>+IFERROR(VLOOKUP(Fact_Analitica[[#This Row],[Concepto Anterior]],Conceptos_Analítica_contraloría[#All],5,0),"")</f>
        <v/>
      </c>
      <c r="F2647" s="138" t="str">
        <f>+IFERROR(VLOOKUP(Fact_Analitica[[#This Row],[Concepto Anterior]],Conceptos_Analítica_contraloría[#All],7,0),"")</f>
        <v/>
      </c>
      <c r="I2647" s="138" t="str">
        <f>+IFERROR(VLOOKUP(D2647,Conceptos_Analítica_contraloría[#All],2,0),"")</f>
        <v/>
      </c>
      <c r="J2647" s="138" t="str">
        <f>+IFERROR(VLOOKUP(D2647,Conceptos_Analítica_contraloría[#All],3,0),"")</f>
        <v/>
      </c>
    </row>
    <row r="2648" spans="3:10" x14ac:dyDescent="0.35">
      <c r="C2648" s="144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s="138" t="str">
        <f>+IFERROR(VLOOKUP(Fact_Analitica[[#This Row],[Concepto Anterior]],Conceptos_Analítica_contraloría[#All],5,0),"")</f>
        <v/>
      </c>
      <c r="F2648" s="138" t="str">
        <f>+IFERROR(VLOOKUP(Fact_Analitica[[#This Row],[Concepto Anterior]],Conceptos_Analítica_contraloría[#All],7,0),"")</f>
        <v/>
      </c>
      <c r="I2648" s="138" t="str">
        <f>+IFERROR(VLOOKUP(D2648,Conceptos_Analítica_contraloría[#All],2,0),"")</f>
        <v/>
      </c>
      <c r="J2648" s="138" t="str">
        <f>+IFERROR(VLOOKUP(D2648,Conceptos_Analítica_contraloría[#All],3,0),"")</f>
        <v/>
      </c>
    </row>
    <row r="2649" spans="3:10" x14ac:dyDescent="0.35">
      <c r="C2649" s="144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s="138" t="str">
        <f>+IFERROR(VLOOKUP(Fact_Analitica[[#This Row],[Concepto Anterior]],Conceptos_Analítica_contraloría[#All],5,0),"")</f>
        <v/>
      </c>
      <c r="F2649" s="138" t="str">
        <f>+IFERROR(VLOOKUP(Fact_Analitica[[#This Row],[Concepto Anterior]],Conceptos_Analítica_contraloría[#All],7,0),"")</f>
        <v/>
      </c>
      <c r="I2649" s="138" t="str">
        <f>+IFERROR(VLOOKUP(D2649,Conceptos_Analítica_contraloría[#All],2,0),"")</f>
        <v/>
      </c>
      <c r="J2649" s="138" t="str">
        <f>+IFERROR(VLOOKUP(D2649,Conceptos_Analítica_contraloría[#All],3,0),"")</f>
        <v/>
      </c>
    </row>
    <row r="2650" spans="3:10" x14ac:dyDescent="0.35">
      <c r="C2650" s="144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s="138" t="str">
        <f>+IFERROR(VLOOKUP(Fact_Analitica[[#This Row],[Concepto Anterior]],Conceptos_Analítica_contraloría[#All],5,0),"")</f>
        <v/>
      </c>
      <c r="F2650" s="138" t="str">
        <f>+IFERROR(VLOOKUP(Fact_Analitica[[#This Row],[Concepto Anterior]],Conceptos_Analítica_contraloría[#All],7,0),"")</f>
        <v/>
      </c>
      <c r="I2650" s="138" t="str">
        <f>+IFERROR(VLOOKUP(D2650,Conceptos_Analítica_contraloría[#All],2,0),"")</f>
        <v/>
      </c>
      <c r="J2650" s="138" t="str">
        <f>+IFERROR(VLOOKUP(D2650,Conceptos_Analítica_contraloría[#All],3,0),"")</f>
        <v/>
      </c>
    </row>
    <row r="2651" spans="3:10" x14ac:dyDescent="0.35">
      <c r="C2651" s="144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s="138" t="str">
        <f>+IFERROR(VLOOKUP(Fact_Analitica[[#This Row],[Concepto Anterior]],Conceptos_Analítica_contraloría[#All],5,0),"")</f>
        <v/>
      </c>
      <c r="F2651" s="138" t="str">
        <f>+IFERROR(VLOOKUP(Fact_Analitica[[#This Row],[Concepto Anterior]],Conceptos_Analítica_contraloría[#All],7,0),"")</f>
        <v/>
      </c>
      <c r="I2651" s="138" t="str">
        <f>+IFERROR(VLOOKUP(D2651,Conceptos_Analítica_contraloría[#All],2,0),"")</f>
        <v/>
      </c>
      <c r="J2651" s="138" t="str">
        <f>+IFERROR(VLOOKUP(D2651,Conceptos_Analítica_contraloría[#All],3,0),"")</f>
        <v/>
      </c>
    </row>
    <row r="2652" spans="3:10" x14ac:dyDescent="0.35">
      <c r="C2652" s="144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s="138" t="str">
        <f>+IFERROR(VLOOKUP(Fact_Analitica[[#This Row],[Concepto Anterior]],Conceptos_Analítica_contraloría[#All],5,0),"")</f>
        <v/>
      </c>
      <c r="F2652" s="138" t="str">
        <f>+IFERROR(VLOOKUP(Fact_Analitica[[#This Row],[Concepto Anterior]],Conceptos_Analítica_contraloría[#All],7,0),"")</f>
        <v/>
      </c>
      <c r="I2652" s="138" t="str">
        <f>+IFERROR(VLOOKUP(D2652,Conceptos_Analítica_contraloría[#All],2,0),"")</f>
        <v/>
      </c>
      <c r="J2652" s="138" t="str">
        <f>+IFERROR(VLOOKUP(D2652,Conceptos_Analítica_contraloría[#All],3,0),"")</f>
        <v/>
      </c>
    </row>
    <row r="2653" spans="3:10" x14ac:dyDescent="0.35">
      <c r="C2653" s="144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s="138" t="str">
        <f>+IFERROR(VLOOKUP(Fact_Analitica[[#This Row],[Concepto Anterior]],Conceptos_Analítica_contraloría[#All],5,0),"")</f>
        <v/>
      </c>
      <c r="F2653" s="138" t="str">
        <f>+IFERROR(VLOOKUP(Fact_Analitica[[#This Row],[Concepto Anterior]],Conceptos_Analítica_contraloría[#All],7,0),"")</f>
        <v/>
      </c>
      <c r="I2653" s="138" t="str">
        <f>+IFERROR(VLOOKUP(D2653,Conceptos_Analítica_contraloría[#All],2,0),"")</f>
        <v/>
      </c>
      <c r="J2653" s="138" t="str">
        <f>+IFERROR(VLOOKUP(D2653,Conceptos_Analítica_contraloría[#All],3,0),"")</f>
        <v/>
      </c>
    </row>
    <row r="2654" spans="3:10" x14ac:dyDescent="0.35">
      <c r="C2654" s="144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s="138" t="str">
        <f>+IFERROR(VLOOKUP(Fact_Analitica[[#This Row],[Concepto Anterior]],Conceptos_Analítica_contraloría[#All],5,0),"")</f>
        <v/>
      </c>
      <c r="F2654" s="138" t="str">
        <f>+IFERROR(VLOOKUP(Fact_Analitica[[#This Row],[Concepto Anterior]],Conceptos_Analítica_contraloría[#All],7,0),"")</f>
        <v/>
      </c>
      <c r="I2654" s="138" t="str">
        <f>+IFERROR(VLOOKUP(D2654,Conceptos_Analítica_contraloría[#All],2,0),"")</f>
        <v/>
      </c>
      <c r="J2654" s="138" t="str">
        <f>+IFERROR(VLOOKUP(D2654,Conceptos_Analítica_contraloría[#All],3,0),"")</f>
        <v/>
      </c>
    </row>
    <row r="2655" spans="3:10" x14ac:dyDescent="0.35">
      <c r="C2655" s="144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s="138" t="str">
        <f>+IFERROR(VLOOKUP(Fact_Analitica[[#This Row],[Concepto Anterior]],Conceptos_Analítica_contraloría[#All],5,0),"")</f>
        <v/>
      </c>
      <c r="F2655" s="138" t="str">
        <f>+IFERROR(VLOOKUP(Fact_Analitica[[#This Row],[Concepto Anterior]],Conceptos_Analítica_contraloría[#All],7,0),"")</f>
        <v/>
      </c>
      <c r="I2655" s="138" t="str">
        <f>+IFERROR(VLOOKUP(D2655,Conceptos_Analítica_contraloría[#All],2,0),"")</f>
        <v/>
      </c>
      <c r="J2655" s="138" t="str">
        <f>+IFERROR(VLOOKUP(D2655,Conceptos_Analítica_contraloría[#All],3,0),"")</f>
        <v/>
      </c>
    </row>
    <row r="2656" spans="3:10" x14ac:dyDescent="0.35">
      <c r="C2656" s="144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s="138" t="str">
        <f>+IFERROR(VLOOKUP(Fact_Analitica[[#This Row],[Concepto Anterior]],Conceptos_Analítica_contraloría[#All],5,0),"")</f>
        <v/>
      </c>
      <c r="F2656" s="138" t="str">
        <f>+IFERROR(VLOOKUP(Fact_Analitica[[#This Row],[Concepto Anterior]],Conceptos_Analítica_contraloría[#All],7,0),"")</f>
        <v/>
      </c>
      <c r="I2656" s="138" t="str">
        <f>+IFERROR(VLOOKUP(D2656,Conceptos_Analítica_contraloría[#All],2,0),"")</f>
        <v/>
      </c>
      <c r="J2656" s="138" t="str">
        <f>+IFERROR(VLOOKUP(D2656,Conceptos_Analítica_contraloría[#All],3,0),"")</f>
        <v/>
      </c>
    </row>
    <row r="2657" spans="3:10" x14ac:dyDescent="0.35">
      <c r="C2657" s="144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s="138" t="str">
        <f>+IFERROR(VLOOKUP(Fact_Analitica[[#This Row],[Concepto Anterior]],Conceptos_Analítica_contraloría[#All],5,0),"")</f>
        <v/>
      </c>
      <c r="F2657" s="138" t="str">
        <f>+IFERROR(VLOOKUP(Fact_Analitica[[#This Row],[Concepto Anterior]],Conceptos_Analítica_contraloría[#All],7,0),"")</f>
        <v/>
      </c>
      <c r="I2657" s="138" t="str">
        <f>+IFERROR(VLOOKUP(D2657,Conceptos_Analítica_contraloría[#All],2,0),"")</f>
        <v/>
      </c>
      <c r="J2657" s="138" t="str">
        <f>+IFERROR(VLOOKUP(D2657,Conceptos_Analítica_contraloría[#All],3,0),"")</f>
        <v/>
      </c>
    </row>
    <row r="2658" spans="3:10" x14ac:dyDescent="0.35">
      <c r="C2658" s="144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s="138" t="str">
        <f>+IFERROR(VLOOKUP(Fact_Analitica[[#This Row],[Concepto Anterior]],Conceptos_Analítica_contraloría[#All],5,0),"")</f>
        <v/>
      </c>
      <c r="F2658" s="138" t="str">
        <f>+IFERROR(VLOOKUP(Fact_Analitica[[#This Row],[Concepto Anterior]],Conceptos_Analítica_contraloría[#All],7,0),"")</f>
        <v/>
      </c>
      <c r="I2658" s="138" t="str">
        <f>+IFERROR(VLOOKUP(D2658,Conceptos_Analítica_contraloría[#All],2,0),"")</f>
        <v/>
      </c>
      <c r="J2658" s="138" t="str">
        <f>+IFERROR(VLOOKUP(D2658,Conceptos_Analítica_contraloría[#All],3,0),"")</f>
        <v/>
      </c>
    </row>
    <row r="2659" spans="3:10" x14ac:dyDescent="0.35">
      <c r="C2659" s="144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s="138" t="str">
        <f>+IFERROR(VLOOKUP(Fact_Analitica[[#This Row],[Concepto Anterior]],Conceptos_Analítica_contraloría[#All],5,0),"")</f>
        <v/>
      </c>
      <c r="F2659" s="138" t="str">
        <f>+IFERROR(VLOOKUP(Fact_Analitica[[#This Row],[Concepto Anterior]],Conceptos_Analítica_contraloría[#All],7,0),"")</f>
        <v/>
      </c>
      <c r="I2659" s="138" t="str">
        <f>+IFERROR(VLOOKUP(D2659,Conceptos_Analítica_contraloría[#All],2,0),"")</f>
        <v/>
      </c>
      <c r="J2659" s="138" t="str">
        <f>+IFERROR(VLOOKUP(D2659,Conceptos_Analítica_contraloría[#All],3,0),"")</f>
        <v/>
      </c>
    </row>
    <row r="2660" spans="3:10" x14ac:dyDescent="0.35">
      <c r="C2660" s="144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s="138" t="str">
        <f>+IFERROR(VLOOKUP(Fact_Analitica[[#This Row],[Concepto Anterior]],Conceptos_Analítica_contraloría[#All],5,0),"")</f>
        <v/>
      </c>
      <c r="F2660" s="138" t="str">
        <f>+IFERROR(VLOOKUP(Fact_Analitica[[#This Row],[Concepto Anterior]],Conceptos_Analítica_contraloría[#All],7,0),"")</f>
        <v/>
      </c>
      <c r="I2660" s="138" t="str">
        <f>+IFERROR(VLOOKUP(D2660,Conceptos_Analítica_contraloría[#All],2,0),"")</f>
        <v/>
      </c>
      <c r="J2660" s="138" t="str">
        <f>+IFERROR(VLOOKUP(D2660,Conceptos_Analítica_contraloría[#All],3,0),"")</f>
        <v/>
      </c>
    </row>
    <row r="2661" spans="3:10" x14ac:dyDescent="0.35">
      <c r="C2661" s="144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s="138" t="str">
        <f>+IFERROR(VLOOKUP(Fact_Analitica[[#This Row],[Concepto Anterior]],Conceptos_Analítica_contraloría[#All],5,0),"")</f>
        <v/>
      </c>
      <c r="F2661" s="138" t="str">
        <f>+IFERROR(VLOOKUP(Fact_Analitica[[#This Row],[Concepto Anterior]],Conceptos_Analítica_contraloría[#All],7,0),"")</f>
        <v/>
      </c>
      <c r="I2661" s="138" t="str">
        <f>+IFERROR(VLOOKUP(D2661,Conceptos_Analítica_contraloría[#All],2,0),"")</f>
        <v/>
      </c>
      <c r="J2661" s="138" t="str">
        <f>+IFERROR(VLOOKUP(D2661,Conceptos_Analítica_contraloría[#All],3,0),"")</f>
        <v/>
      </c>
    </row>
    <row r="2662" spans="3:10" x14ac:dyDescent="0.35">
      <c r="C2662" s="144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s="138" t="str">
        <f>+IFERROR(VLOOKUP(Fact_Analitica[[#This Row],[Concepto Anterior]],Conceptos_Analítica_contraloría[#All],5,0),"")</f>
        <v/>
      </c>
      <c r="F2662" s="138" t="str">
        <f>+IFERROR(VLOOKUP(Fact_Analitica[[#This Row],[Concepto Anterior]],Conceptos_Analítica_contraloría[#All],7,0),"")</f>
        <v/>
      </c>
      <c r="I2662" s="138" t="str">
        <f>+IFERROR(VLOOKUP(D2662,Conceptos_Analítica_contraloría[#All],2,0),"")</f>
        <v/>
      </c>
      <c r="J2662" s="138" t="str">
        <f>+IFERROR(VLOOKUP(D2662,Conceptos_Analítica_contraloría[#All],3,0),"")</f>
        <v/>
      </c>
    </row>
    <row r="2663" spans="3:10" x14ac:dyDescent="0.35">
      <c r="C2663" s="144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s="138" t="str">
        <f>+IFERROR(VLOOKUP(Fact_Analitica[[#This Row],[Concepto Anterior]],Conceptos_Analítica_contraloría[#All],5,0),"")</f>
        <v/>
      </c>
      <c r="F2663" s="138" t="str">
        <f>+IFERROR(VLOOKUP(Fact_Analitica[[#This Row],[Concepto Anterior]],Conceptos_Analítica_contraloría[#All],7,0),"")</f>
        <v/>
      </c>
      <c r="I2663" s="138" t="str">
        <f>+IFERROR(VLOOKUP(D2663,Conceptos_Analítica_contraloría[#All],2,0),"")</f>
        <v/>
      </c>
      <c r="J2663" s="138" t="str">
        <f>+IFERROR(VLOOKUP(D2663,Conceptos_Analítica_contraloría[#All],3,0),"")</f>
        <v/>
      </c>
    </row>
    <row r="2664" spans="3:10" x14ac:dyDescent="0.35">
      <c r="C2664" s="144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s="138" t="str">
        <f>+IFERROR(VLOOKUP(Fact_Analitica[[#This Row],[Concepto Anterior]],Conceptos_Analítica_contraloría[#All],5,0),"")</f>
        <v/>
      </c>
      <c r="F2664" s="138" t="str">
        <f>+IFERROR(VLOOKUP(Fact_Analitica[[#This Row],[Concepto Anterior]],Conceptos_Analítica_contraloría[#All],7,0),"")</f>
        <v/>
      </c>
      <c r="I2664" s="138" t="str">
        <f>+IFERROR(VLOOKUP(D2664,Conceptos_Analítica_contraloría[#All],2,0),"")</f>
        <v/>
      </c>
      <c r="J2664" s="138" t="str">
        <f>+IFERROR(VLOOKUP(D2664,Conceptos_Analítica_contraloría[#All],3,0),"")</f>
        <v/>
      </c>
    </row>
    <row r="2665" spans="3:10" x14ac:dyDescent="0.35">
      <c r="C2665" s="144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s="138" t="str">
        <f>+IFERROR(VLOOKUP(Fact_Analitica[[#This Row],[Concepto Anterior]],Conceptos_Analítica_contraloría[#All],5,0),"")</f>
        <v/>
      </c>
      <c r="F2665" s="138" t="str">
        <f>+IFERROR(VLOOKUP(Fact_Analitica[[#This Row],[Concepto Anterior]],Conceptos_Analítica_contraloría[#All],7,0),"")</f>
        <v/>
      </c>
      <c r="I2665" s="138" t="str">
        <f>+IFERROR(VLOOKUP(D2665,Conceptos_Analítica_contraloría[#All],2,0),"")</f>
        <v/>
      </c>
      <c r="J2665" s="138" t="str">
        <f>+IFERROR(VLOOKUP(D2665,Conceptos_Analítica_contraloría[#All],3,0),"")</f>
        <v/>
      </c>
    </row>
    <row r="2666" spans="3:10" x14ac:dyDescent="0.35">
      <c r="C2666" s="144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s="138" t="str">
        <f>+IFERROR(VLOOKUP(Fact_Analitica[[#This Row],[Concepto Anterior]],Conceptos_Analítica_contraloría[#All],5,0),"")</f>
        <v/>
      </c>
      <c r="F2666" s="138" t="str">
        <f>+IFERROR(VLOOKUP(Fact_Analitica[[#This Row],[Concepto Anterior]],Conceptos_Analítica_contraloría[#All],7,0),"")</f>
        <v/>
      </c>
      <c r="I2666" s="138" t="str">
        <f>+IFERROR(VLOOKUP(D2666,Conceptos_Analítica_contraloría[#All],2,0),"")</f>
        <v/>
      </c>
      <c r="J2666" s="138" t="str">
        <f>+IFERROR(VLOOKUP(D2666,Conceptos_Analítica_contraloría[#All],3,0),"")</f>
        <v/>
      </c>
    </row>
    <row r="2667" spans="3:10" x14ac:dyDescent="0.35">
      <c r="C2667" s="144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s="138" t="str">
        <f>+IFERROR(VLOOKUP(Fact_Analitica[[#This Row],[Concepto Anterior]],Conceptos_Analítica_contraloría[#All],5,0),"")</f>
        <v/>
      </c>
      <c r="F2667" s="138" t="str">
        <f>+IFERROR(VLOOKUP(Fact_Analitica[[#This Row],[Concepto Anterior]],Conceptos_Analítica_contraloría[#All],7,0),"")</f>
        <v/>
      </c>
      <c r="I2667" s="138" t="str">
        <f>+IFERROR(VLOOKUP(D2667,Conceptos_Analítica_contraloría[#All],2,0),"")</f>
        <v/>
      </c>
      <c r="J2667" s="138" t="str">
        <f>+IFERROR(VLOOKUP(D2667,Conceptos_Analítica_contraloría[#All],3,0),"")</f>
        <v/>
      </c>
    </row>
    <row r="2668" spans="3:10" x14ac:dyDescent="0.35">
      <c r="C2668" s="144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s="138" t="str">
        <f>+IFERROR(VLOOKUP(Fact_Analitica[[#This Row],[Concepto Anterior]],Conceptos_Analítica_contraloría[#All],5,0),"")</f>
        <v/>
      </c>
      <c r="F2668" s="138" t="str">
        <f>+IFERROR(VLOOKUP(Fact_Analitica[[#This Row],[Concepto Anterior]],Conceptos_Analítica_contraloría[#All],7,0),"")</f>
        <v/>
      </c>
      <c r="I2668" s="138" t="str">
        <f>+IFERROR(VLOOKUP(D2668,Conceptos_Analítica_contraloría[#All],2,0),"")</f>
        <v/>
      </c>
      <c r="J2668" s="138" t="str">
        <f>+IFERROR(VLOOKUP(D2668,Conceptos_Analítica_contraloría[#All],3,0),"")</f>
        <v/>
      </c>
    </row>
    <row r="2669" spans="3:10" x14ac:dyDescent="0.35">
      <c r="C2669" s="144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s="138" t="str">
        <f>+IFERROR(VLOOKUP(Fact_Analitica[[#This Row],[Concepto Anterior]],Conceptos_Analítica_contraloría[#All],5,0),"")</f>
        <v/>
      </c>
      <c r="F2669" s="138" t="str">
        <f>+IFERROR(VLOOKUP(Fact_Analitica[[#This Row],[Concepto Anterior]],Conceptos_Analítica_contraloría[#All],7,0),"")</f>
        <v/>
      </c>
      <c r="I2669" s="138" t="str">
        <f>+IFERROR(VLOOKUP(D2669,Conceptos_Analítica_contraloría[#All],2,0),"")</f>
        <v/>
      </c>
      <c r="J2669" s="138" t="str">
        <f>+IFERROR(VLOOKUP(D2669,Conceptos_Analítica_contraloría[#All],3,0),"")</f>
        <v/>
      </c>
    </row>
    <row r="2670" spans="3:10" x14ac:dyDescent="0.35">
      <c r="C2670" s="144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s="138" t="str">
        <f>+IFERROR(VLOOKUP(Fact_Analitica[[#This Row],[Concepto Anterior]],Conceptos_Analítica_contraloría[#All],5,0),"")</f>
        <v/>
      </c>
      <c r="F2670" s="138" t="str">
        <f>+IFERROR(VLOOKUP(Fact_Analitica[[#This Row],[Concepto Anterior]],Conceptos_Analítica_contraloría[#All],7,0),"")</f>
        <v/>
      </c>
      <c r="I2670" s="138" t="str">
        <f>+IFERROR(VLOOKUP(D2670,Conceptos_Analítica_contraloría[#All],2,0),"")</f>
        <v/>
      </c>
      <c r="J2670" s="138" t="str">
        <f>+IFERROR(VLOOKUP(D2670,Conceptos_Analítica_contraloría[#All],3,0),"")</f>
        <v/>
      </c>
    </row>
    <row r="2671" spans="3:10" x14ac:dyDescent="0.35">
      <c r="C2671" s="144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s="138" t="str">
        <f>+IFERROR(VLOOKUP(Fact_Analitica[[#This Row],[Concepto Anterior]],Conceptos_Analítica_contraloría[#All],5,0),"")</f>
        <v/>
      </c>
      <c r="F2671" s="138" t="str">
        <f>+IFERROR(VLOOKUP(Fact_Analitica[[#This Row],[Concepto Anterior]],Conceptos_Analítica_contraloría[#All],7,0),"")</f>
        <v/>
      </c>
      <c r="I2671" s="138" t="str">
        <f>+IFERROR(VLOOKUP(D2671,Conceptos_Analítica_contraloría[#All],2,0),"")</f>
        <v/>
      </c>
      <c r="J2671" s="138" t="str">
        <f>+IFERROR(VLOOKUP(D2671,Conceptos_Analítica_contraloría[#All],3,0),"")</f>
        <v/>
      </c>
    </row>
    <row r="2672" spans="3:10" x14ac:dyDescent="0.35">
      <c r="C2672" s="144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s="138" t="str">
        <f>+IFERROR(VLOOKUP(Fact_Analitica[[#This Row],[Concepto Anterior]],Conceptos_Analítica_contraloría[#All],5,0),"")</f>
        <v/>
      </c>
      <c r="F2672" s="138" t="str">
        <f>+IFERROR(VLOOKUP(Fact_Analitica[[#This Row],[Concepto Anterior]],Conceptos_Analítica_contraloría[#All],7,0),"")</f>
        <v/>
      </c>
      <c r="I2672" s="138" t="str">
        <f>+IFERROR(VLOOKUP(D2672,Conceptos_Analítica_contraloría[#All],2,0),"")</f>
        <v/>
      </c>
      <c r="J2672" s="138" t="str">
        <f>+IFERROR(VLOOKUP(D2672,Conceptos_Analítica_contraloría[#All],3,0),"")</f>
        <v/>
      </c>
    </row>
    <row r="2673" spans="3:10" x14ac:dyDescent="0.35">
      <c r="C2673" s="144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s="138" t="str">
        <f>+IFERROR(VLOOKUP(Fact_Analitica[[#This Row],[Concepto Anterior]],Conceptos_Analítica_contraloría[#All],5,0),"")</f>
        <v/>
      </c>
      <c r="F2673" s="138" t="str">
        <f>+IFERROR(VLOOKUP(Fact_Analitica[[#This Row],[Concepto Anterior]],Conceptos_Analítica_contraloría[#All],7,0),"")</f>
        <v/>
      </c>
      <c r="I2673" s="138" t="str">
        <f>+IFERROR(VLOOKUP(D2673,Conceptos_Analítica_contraloría[#All],2,0),"")</f>
        <v/>
      </c>
      <c r="J2673" s="138" t="str">
        <f>+IFERROR(VLOOKUP(D2673,Conceptos_Analítica_contraloría[#All],3,0),"")</f>
        <v/>
      </c>
    </row>
    <row r="2674" spans="3:10" x14ac:dyDescent="0.35">
      <c r="C2674" s="144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s="138" t="str">
        <f>+IFERROR(VLOOKUP(Fact_Analitica[[#This Row],[Concepto Anterior]],Conceptos_Analítica_contraloría[#All],5,0),"")</f>
        <v/>
      </c>
      <c r="F2674" s="138" t="str">
        <f>+IFERROR(VLOOKUP(Fact_Analitica[[#This Row],[Concepto Anterior]],Conceptos_Analítica_contraloría[#All],7,0),"")</f>
        <v/>
      </c>
      <c r="I2674" s="138" t="str">
        <f>+IFERROR(VLOOKUP(D2674,Conceptos_Analítica_contraloría[#All],2,0),"")</f>
        <v/>
      </c>
      <c r="J2674" s="138" t="str">
        <f>+IFERROR(VLOOKUP(D2674,Conceptos_Analítica_contraloría[#All],3,0),"")</f>
        <v/>
      </c>
    </row>
    <row r="2675" spans="3:10" x14ac:dyDescent="0.35">
      <c r="C2675" s="144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s="138" t="str">
        <f>+IFERROR(VLOOKUP(Fact_Analitica[[#This Row],[Concepto Anterior]],Conceptos_Analítica_contraloría[#All],5,0),"")</f>
        <v/>
      </c>
      <c r="F2675" s="138" t="str">
        <f>+IFERROR(VLOOKUP(Fact_Analitica[[#This Row],[Concepto Anterior]],Conceptos_Analítica_contraloría[#All],7,0),"")</f>
        <v/>
      </c>
      <c r="I2675" s="138" t="str">
        <f>+IFERROR(VLOOKUP(D2675,Conceptos_Analítica_contraloría[#All],2,0),"")</f>
        <v/>
      </c>
      <c r="J2675" s="138" t="str">
        <f>+IFERROR(VLOOKUP(D2675,Conceptos_Analítica_contraloría[#All],3,0),"")</f>
        <v/>
      </c>
    </row>
    <row r="2676" spans="3:10" x14ac:dyDescent="0.35">
      <c r="C2676" s="144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s="138" t="str">
        <f>+IFERROR(VLOOKUP(Fact_Analitica[[#This Row],[Concepto Anterior]],Conceptos_Analítica_contraloría[#All],5,0),"")</f>
        <v/>
      </c>
      <c r="F2676" s="138" t="str">
        <f>+IFERROR(VLOOKUP(Fact_Analitica[[#This Row],[Concepto Anterior]],Conceptos_Analítica_contraloría[#All],7,0),"")</f>
        <v/>
      </c>
      <c r="I2676" s="138" t="str">
        <f>+IFERROR(VLOOKUP(D2676,Conceptos_Analítica_contraloría[#All],2,0),"")</f>
        <v/>
      </c>
      <c r="J2676" s="138" t="str">
        <f>+IFERROR(VLOOKUP(D2676,Conceptos_Analítica_contraloría[#All],3,0),"")</f>
        <v/>
      </c>
    </row>
    <row r="2677" spans="3:10" x14ac:dyDescent="0.35">
      <c r="C2677" s="144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s="138" t="str">
        <f>+IFERROR(VLOOKUP(Fact_Analitica[[#This Row],[Concepto Anterior]],Conceptos_Analítica_contraloría[#All],5,0),"")</f>
        <v/>
      </c>
      <c r="F2677" s="138" t="str">
        <f>+IFERROR(VLOOKUP(Fact_Analitica[[#This Row],[Concepto Anterior]],Conceptos_Analítica_contraloría[#All],7,0),"")</f>
        <v/>
      </c>
      <c r="I2677" s="138" t="str">
        <f>+IFERROR(VLOOKUP(D2677,Conceptos_Analítica_contraloría[#All],2,0),"")</f>
        <v/>
      </c>
      <c r="J2677" s="138" t="str">
        <f>+IFERROR(VLOOKUP(D2677,Conceptos_Analítica_contraloría[#All],3,0),"")</f>
        <v/>
      </c>
    </row>
    <row r="2678" spans="3:10" x14ac:dyDescent="0.35">
      <c r="C2678" s="144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s="138" t="str">
        <f>+IFERROR(VLOOKUP(Fact_Analitica[[#This Row],[Concepto Anterior]],Conceptos_Analítica_contraloría[#All],5,0),"")</f>
        <v/>
      </c>
      <c r="F2678" s="138" t="str">
        <f>+IFERROR(VLOOKUP(Fact_Analitica[[#This Row],[Concepto Anterior]],Conceptos_Analítica_contraloría[#All],7,0),"")</f>
        <v/>
      </c>
      <c r="I2678" s="138" t="str">
        <f>+IFERROR(VLOOKUP(D2678,Conceptos_Analítica_contraloría[#All],2,0),"")</f>
        <v/>
      </c>
      <c r="J2678" s="138" t="str">
        <f>+IFERROR(VLOOKUP(D2678,Conceptos_Analítica_contraloría[#All],3,0),"")</f>
        <v/>
      </c>
    </row>
    <row r="2679" spans="3:10" x14ac:dyDescent="0.35">
      <c r="C2679" s="144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s="138" t="str">
        <f>+IFERROR(VLOOKUP(Fact_Analitica[[#This Row],[Concepto Anterior]],Conceptos_Analítica_contraloría[#All],5,0),"")</f>
        <v/>
      </c>
      <c r="F2679" s="138" t="str">
        <f>+IFERROR(VLOOKUP(Fact_Analitica[[#This Row],[Concepto Anterior]],Conceptos_Analítica_contraloría[#All],7,0),"")</f>
        <v/>
      </c>
      <c r="I2679" s="138" t="str">
        <f>+IFERROR(VLOOKUP(D2679,Conceptos_Analítica_contraloría[#All],2,0),"")</f>
        <v/>
      </c>
      <c r="J2679" s="138" t="str">
        <f>+IFERROR(VLOOKUP(D2679,Conceptos_Analítica_contraloría[#All],3,0),"")</f>
        <v/>
      </c>
    </row>
    <row r="2680" spans="3:10" x14ac:dyDescent="0.35">
      <c r="C2680" s="144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s="138" t="str">
        <f>+IFERROR(VLOOKUP(Fact_Analitica[[#This Row],[Concepto Anterior]],Conceptos_Analítica_contraloría[#All],5,0),"")</f>
        <v/>
      </c>
      <c r="F2680" s="138" t="str">
        <f>+IFERROR(VLOOKUP(Fact_Analitica[[#This Row],[Concepto Anterior]],Conceptos_Analítica_contraloría[#All],7,0),"")</f>
        <v/>
      </c>
      <c r="I2680" s="138" t="str">
        <f>+IFERROR(VLOOKUP(D2680,Conceptos_Analítica_contraloría[#All],2,0),"")</f>
        <v/>
      </c>
      <c r="J2680" s="138" t="str">
        <f>+IFERROR(VLOOKUP(D2680,Conceptos_Analítica_contraloría[#All],3,0),"")</f>
        <v/>
      </c>
    </row>
    <row r="2681" spans="3:10" x14ac:dyDescent="0.35">
      <c r="C2681" s="144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s="138" t="str">
        <f>+IFERROR(VLOOKUP(Fact_Analitica[[#This Row],[Concepto Anterior]],Conceptos_Analítica_contraloría[#All],5,0),"")</f>
        <v/>
      </c>
      <c r="F2681" s="138" t="str">
        <f>+IFERROR(VLOOKUP(Fact_Analitica[[#This Row],[Concepto Anterior]],Conceptos_Analítica_contraloría[#All],7,0),"")</f>
        <v/>
      </c>
      <c r="I2681" s="138" t="str">
        <f>+IFERROR(VLOOKUP(D2681,Conceptos_Analítica_contraloría[#All],2,0),"")</f>
        <v/>
      </c>
      <c r="J2681" s="138" t="str">
        <f>+IFERROR(VLOOKUP(D2681,Conceptos_Analítica_contraloría[#All],3,0),"")</f>
        <v/>
      </c>
    </row>
    <row r="2682" spans="3:10" x14ac:dyDescent="0.35">
      <c r="C2682" s="144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s="138" t="str">
        <f>+IFERROR(VLOOKUP(Fact_Analitica[[#This Row],[Concepto Anterior]],Conceptos_Analítica_contraloría[#All],5,0),"")</f>
        <v/>
      </c>
      <c r="F2682" s="138" t="str">
        <f>+IFERROR(VLOOKUP(Fact_Analitica[[#This Row],[Concepto Anterior]],Conceptos_Analítica_contraloría[#All],7,0),"")</f>
        <v/>
      </c>
      <c r="I2682" s="138" t="str">
        <f>+IFERROR(VLOOKUP(D2682,Conceptos_Analítica_contraloría[#All],2,0),"")</f>
        <v/>
      </c>
      <c r="J2682" s="138" t="str">
        <f>+IFERROR(VLOOKUP(D2682,Conceptos_Analítica_contraloría[#All],3,0),"")</f>
        <v/>
      </c>
    </row>
    <row r="2683" spans="3:10" x14ac:dyDescent="0.35">
      <c r="C2683" s="144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s="138" t="str">
        <f>+IFERROR(VLOOKUP(Fact_Analitica[[#This Row],[Concepto Anterior]],Conceptos_Analítica_contraloría[#All],5,0),"")</f>
        <v/>
      </c>
      <c r="F2683" s="138" t="str">
        <f>+IFERROR(VLOOKUP(Fact_Analitica[[#This Row],[Concepto Anterior]],Conceptos_Analítica_contraloría[#All],7,0),"")</f>
        <v/>
      </c>
      <c r="I2683" s="138" t="str">
        <f>+IFERROR(VLOOKUP(D2683,Conceptos_Analítica_contraloría[#All],2,0),"")</f>
        <v/>
      </c>
      <c r="J2683" s="138" t="str">
        <f>+IFERROR(VLOOKUP(D2683,Conceptos_Analítica_contraloría[#All],3,0),"")</f>
        <v/>
      </c>
    </row>
    <row r="2684" spans="3:10" x14ac:dyDescent="0.35">
      <c r="C2684" s="144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s="138" t="str">
        <f>+IFERROR(VLOOKUP(Fact_Analitica[[#This Row],[Concepto Anterior]],Conceptos_Analítica_contraloría[#All],5,0),"")</f>
        <v/>
      </c>
      <c r="F2684" s="138" t="str">
        <f>+IFERROR(VLOOKUP(Fact_Analitica[[#This Row],[Concepto Anterior]],Conceptos_Analítica_contraloría[#All],7,0),"")</f>
        <v/>
      </c>
      <c r="I2684" s="138" t="str">
        <f>+IFERROR(VLOOKUP(D2684,Conceptos_Analítica_contraloría[#All],2,0),"")</f>
        <v/>
      </c>
      <c r="J2684" s="138" t="str">
        <f>+IFERROR(VLOOKUP(D2684,Conceptos_Analítica_contraloría[#All],3,0),"")</f>
        <v/>
      </c>
    </row>
    <row r="2685" spans="3:10" x14ac:dyDescent="0.35">
      <c r="C2685" s="144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s="138" t="str">
        <f>+IFERROR(VLOOKUP(Fact_Analitica[[#This Row],[Concepto Anterior]],Conceptos_Analítica_contraloría[#All],5,0),"")</f>
        <v/>
      </c>
      <c r="F2685" s="138" t="str">
        <f>+IFERROR(VLOOKUP(Fact_Analitica[[#This Row],[Concepto Anterior]],Conceptos_Analítica_contraloría[#All],7,0),"")</f>
        <v/>
      </c>
      <c r="I2685" s="138" t="str">
        <f>+IFERROR(VLOOKUP(D2685,Conceptos_Analítica_contraloría[#All],2,0),"")</f>
        <v/>
      </c>
      <c r="J2685" s="138" t="str">
        <f>+IFERROR(VLOOKUP(D2685,Conceptos_Analítica_contraloría[#All],3,0),"")</f>
        <v/>
      </c>
    </row>
    <row r="2686" spans="3:10" x14ac:dyDescent="0.35">
      <c r="C2686" s="144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s="138" t="str">
        <f>+IFERROR(VLOOKUP(Fact_Analitica[[#This Row],[Concepto Anterior]],Conceptos_Analítica_contraloría[#All],5,0),"")</f>
        <v/>
      </c>
      <c r="F2686" s="138" t="str">
        <f>+IFERROR(VLOOKUP(Fact_Analitica[[#This Row],[Concepto Anterior]],Conceptos_Analítica_contraloría[#All],7,0),"")</f>
        <v/>
      </c>
      <c r="I2686" s="138" t="str">
        <f>+IFERROR(VLOOKUP(D2686,Conceptos_Analítica_contraloría[#All],2,0),"")</f>
        <v/>
      </c>
      <c r="J2686" s="138" t="str">
        <f>+IFERROR(VLOOKUP(D2686,Conceptos_Analítica_contraloría[#All],3,0),"")</f>
        <v/>
      </c>
    </row>
    <row r="2687" spans="3:10" x14ac:dyDescent="0.35">
      <c r="C2687" s="144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s="138" t="str">
        <f>+IFERROR(VLOOKUP(Fact_Analitica[[#This Row],[Concepto Anterior]],Conceptos_Analítica_contraloría[#All],5,0),"")</f>
        <v/>
      </c>
      <c r="F2687" s="138" t="str">
        <f>+IFERROR(VLOOKUP(Fact_Analitica[[#This Row],[Concepto Anterior]],Conceptos_Analítica_contraloría[#All],7,0),"")</f>
        <v/>
      </c>
      <c r="I2687" s="138" t="str">
        <f>+IFERROR(VLOOKUP(D2687,Conceptos_Analítica_contraloría[#All],2,0),"")</f>
        <v/>
      </c>
      <c r="J2687" s="138" t="str">
        <f>+IFERROR(VLOOKUP(D2687,Conceptos_Analítica_contraloría[#All],3,0),"")</f>
        <v/>
      </c>
    </row>
    <row r="2688" spans="3:10" x14ac:dyDescent="0.35">
      <c r="C2688" s="144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s="138" t="str">
        <f>+IFERROR(VLOOKUP(Fact_Analitica[[#This Row],[Concepto Anterior]],Conceptos_Analítica_contraloría[#All],5,0),"")</f>
        <v/>
      </c>
      <c r="F2688" s="138" t="str">
        <f>+IFERROR(VLOOKUP(Fact_Analitica[[#This Row],[Concepto Anterior]],Conceptos_Analítica_contraloría[#All],7,0),"")</f>
        <v/>
      </c>
      <c r="I2688" s="138" t="str">
        <f>+IFERROR(VLOOKUP(D2688,Conceptos_Analítica_contraloría[#All],2,0),"")</f>
        <v/>
      </c>
      <c r="J2688" s="138" t="str">
        <f>+IFERROR(VLOOKUP(D2688,Conceptos_Analítica_contraloría[#All],3,0),"")</f>
        <v/>
      </c>
    </row>
    <row r="2689" spans="3:10" x14ac:dyDescent="0.35">
      <c r="C2689" s="144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s="138" t="str">
        <f>+IFERROR(VLOOKUP(Fact_Analitica[[#This Row],[Concepto Anterior]],Conceptos_Analítica_contraloría[#All],5,0),"")</f>
        <v/>
      </c>
      <c r="F2689" s="138" t="str">
        <f>+IFERROR(VLOOKUP(Fact_Analitica[[#This Row],[Concepto Anterior]],Conceptos_Analítica_contraloría[#All],7,0),"")</f>
        <v/>
      </c>
      <c r="I2689" s="138" t="str">
        <f>+IFERROR(VLOOKUP(D2689,Conceptos_Analítica_contraloría[#All],2,0),"")</f>
        <v/>
      </c>
      <c r="J2689" s="138" t="str">
        <f>+IFERROR(VLOOKUP(D2689,Conceptos_Analítica_contraloría[#All],3,0),"")</f>
        <v/>
      </c>
    </row>
    <row r="2690" spans="3:10" x14ac:dyDescent="0.35">
      <c r="C2690" s="144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s="138" t="str">
        <f>+IFERROR(VLOOKUP(Fact_Analitica[[#This Row],[Concepto Anterior]],Conceptos_Analítica_contraloría[#All],5,0),"")</f>
        <v/>
      </c>
      <c r="F2690" s="138" t="str">
        <f>+IFERROR(VLOOKUP(Fact_Analitica[[#This Row],[Concepto Anterior]],Conceptos_Analítica_contraloría[#All],7,0),"")</f>
        <v/>
      </c>
      <c r="I2690" s="138" t="str">
        <f>+IFERROR(VLOOKUP(D2690,Conceptos_Analítica_contraloría[#All],2,0),"")</f>
        <v/>
      </c>
      <c r="J2690" s="138" t="str">
        <f>+IFERROR(VLOOKUP(D2690,Conceptos_Analítica_contraloría[#All],3,0),"")</f>
        <v/>
      </c>
    </row>
    <row r="2691" spans="3:10" x14ac:dyDescent="0.35">
      <c r="C2691" s="144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s="138" t="str">
        <f>+IFERROR(VLOOKUP(Fact_Analitica[[#This Row],[Concepto Anterior]],Conceptos_Analítica_contraloría[#All],5,0),"")</f>
        <v/>
      </c>
      <c r="F2691" s="138" t="str">
        <f>+IFERROR(VLOOKUP(Fact_Analitica[[#This Row],[Concepto Anterior]],Conceptos_Analítica_contraloría[#All],7,0),"")</f>
        <v/>
      </c>
      <c r="I2691" s="138" t="str">
        <f>+IFERROR(VLOOKUP(D2691,Conceptos_Analítica_contraloría[#All],2,0),"")</f>
        <v/>
      </c>
      <c r="J2691" s="138" t="str">
        <f>+IFERROR(VLOOKUP(D2691,Conceptos_Analítica_contraloría[#All],3,0),"")</f>
        <v/>
      </c>
    </row>
    <row r="2692" spans="3:10" x14ac:dyDescent="0.35">
      <c r="C2692" s="144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s="138" t="str">
        <f>+IFERROR(VLOOKUP(Fact_Analitica[[#This Row],[Concepto Anterior]],Conceptos_Analítica_contraloría[#All],5,0),"")</f>
        <v/>
      </c>
      <c r="F2692" s="138" t="str">
        <f>+IFERROR(VLOOKUP(Fact_Analitica[[#This Row],[Concepto Anterior]],Conceptos_Analítica_contraloría[#All],7,0),"")</f>
        <v/>
      </c>
      <c r="I2692" s="138" t="str">
        <f>+IFERROR(VLOOKUP(D2692,Conceptos_Analítica_contraloría[#All],2,0),"")</f>
        <v/>
      </c>
      <c r="J2692" s="138" t="str">
        <f>+IFERROR(VLOOKUP(D2692,Conceptos_Analítica_contraloría[#All],3,0),"")</f>
        <v/>
      </c>
    </row>
    <row r="2693" spans="3:10" x14ac:dyDescent="0.35">
      <c r="C2693" s="144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s="138" t="str">
        <f>+IFERROR(VLOOKUP(Fact_Analitica[[#This Row],[Concepto Anterior]],Conceptos_Analítica_contraloría[#All],5,0),"")</f>
        <v/>
      </c>
      <c r="F2693" s="138" t="str">
        <f>+IFERROR(VLOOKUP(Fact_Analitica[[#This Row],[Concepto Anterior]],Conceptos_Analítica_contraloría[#All],7,0),"")</f>
        <v/>
      </c>
      <c r="I2693" s="138" t="str">
        <f>+IFERROR(VLOOKUP(D2693,Conceptos_Analítica_contraloría[#All],2,0),"")</f>
        <v/>
      </c>
      <c r="J2693" s="138" t="str">
        <f>+IFERROR(VLOOKUP(D2693,Conceptos_Analítica_contraloría[#All],3,0),"")</f>
        <v/>
      </c>
    </row>
    <row r="2694" spans="3:10" x14ac:dyDescent="0.35">
      <c r="C2694" s="144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s="138" t="str">
        <f>+IFERROR(VLOOKUP(Fact_Analitica[[#This Row],[Concepto Anterior]],Conceptos_Analítica_contraloría[#All],5,0),"")</f>
        <v/>
      </c>
      <c r="F2694" s="138" t="str">
        <f>+IFERROR(VLOOKUP(Fact_Analitica[[#This Row],[Concepto Anterior]],Conceptos_Analítica_contraloría[#All],7,0),"")</f>
        <v/>
      </c>
      <c r="I2694" s="138" t="str">
        <f>+IFERROR(VLOOKUP(D2694,Conceptos_Analítica_contraloría[#All],2,0),"")</f>
        <v/>
      </c>
      <c r="J2694" s="138" t="str">
        <f>+IFERROR(VLOOKUP(D2694,Conceptos_Analítica_contraloría[#All],3,0),"")</f>
        <v/>
      </c>
    </row>
    <row r="2695" spans="3:10" x14ac:dyDescent="0.35">
      <c r="C2695" s="144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s="138" t="str">
        <f>+IFERROR(VLOOKUP(Fact_Analitica[[#This Row],[Concepto Anterior]],Conceptos_Analítica_contraloría[#All],5,0),"")</f>
        <v/>
      </c>
      <c r="F2695" s="138" t="str">
        <f>+IFERROR(VLOOKUP(Fact_Analitica[[#This Row],[Concepto Anterior]],Conceptos_Analítica_contraloría[#All],7,0),"")</f>
        <v/>
      </c>
      <c r="I2695" s="138" t="str">
        <f>+IFERROR(VLOOKUP(D2695,Conceptos_Analítica_contraloría[#All],2,0),"")</f>
        <v/>
      </c>
      <c r="J2695" s="138" t="str">
        <f>+IFERROR(VLOOKUP(D2695,Conceptos_Analítica_contraloría[#All],3,0),"")</f>
        <v/>
      </c>
    </row>
    <row r="2696" spans="3:10" x14ac:dyDescent="0.35">
      <c r="C2696" s="144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s="138" t="str">
        <f>+IFERROR(VLOOKUP(Fact_Analitica[[#This Row],[Concepto Anterior]],Conceptos_Analítica_contraloría[#All],5,0),"")</f>
        <v/>
      </c>
      <c r="F2696" s="138" t="str">
        <f>+IFERROR(VLOOKUP(Fact_Analitica[[#This Row],[Concepto Anterior]],Conceptos_Analítica_contraloría[#All],7,0),"")</f>
        <v/>
      </c>
      <c r="I2696" s="138" t="str">
        <f>+IFERROR(VLOOKUP(D2696,Conceptos_Analítica_contraloría[#All],2,0),"")</f>
        <v/>
      </c>
      <c r="J2696" s="138" t="str">
        <f>+IFERROR(VLOOKUP(D2696,Conceptos_Analítica_contraloría[#All],3,0),"")</f>
        <v/>
      </c>
    </row>
    <row r="2697" spans="3:10" x14ac:dyDescent="0.35">
      <c r="C2697" s="144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s="138" t="str">
        <f>+IFERROR(VLOOKUP(Fact_Analitica[[#This Row],[Concepto Anterior]],Conceptos_Analítica_contraloría[#All],5,0),"")</f>
        <v/>
      </c>
      <c r="F2697" s="138" t="str">
        <f>+IFERROR(VLOOKUP(Fact_Analitica[[#This Row],[Concepto Anterior]],Conceptos_Analítica_contraloría[#All],7,0),"")</f>
        <v/>
      </c>
      <c r="I2697" s="138" t="str">
        <f>+IFERROR(VLOOKUP(D2697,Conceptos_Analítica_contraloría[#All],2,0),"")</f>
        <v/>
      </c>
      <c r="J2697" s="138" t="str">
        <f>+IFERROR(VLOOKUP(D2697,Conceptos_Analítica_contraloría[#All],3,0),"")</f>
        <v/>
      </c>
    </row>
    <row r="2698" spans="3:10" x14ac:dyDescent="0.35">
      <c r="C2698" s="144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s="138" t="str">
        <f>+IFERROR(VLOOKUP(Fact_Analitica[[#This Row],[Concepto Anterior]],Conceptos_Analítica_contraloría[#All],5,0),"")</f>
        <v/>
      </c>
      <c r="F2698" s="138" t="str">
        <f>+IFERROR(VLOOKUP(Fact_Analitica[[#This Row],[Concepto Anterior]],Conceptos_Analítica_contraloría[#All],7,0),"")</f>
        <v/>
      </c>
      <c r="I2698" s="138" t="str">
        <f>+IFERROR(VLOOKUP(D2698,Conceptos_Analítica_contraloría[#All],2,0),"")</f>
        <v/>
      </c>
      <c r="J2698" s="138" t="str">
        <f>+IFERROR(VLOOKUP(D2698,Conceptos_Analítica_contraloría[#All],3,0),"")</f>
        <v/>
      </c>
    </row>
    <row r="2699" spans="3:10" x14ac:dyDescent="0.35">
      <c r="C2699" s="144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s="138" t="str">
        <f>+IFERROR(VLOOKUP(Fact_Analitica[[#This Row],[Concepto Anterior]],Conceptos_Analítica_contraloría[#All],5,0),"")</f>
        <v/>
      </c>
      <c r="F2699" s="138" t="str">
        <f>+IFERROR(VLOOKUP(Fact_Analitica[[#This Row],[Concepto Anterior]],Conceptos_Analítica_contraloría[#All],7,0),"")</f>
        <v/>
      </c>
      <c r="I2699" s="138" t="str">
        <f>+IFERROR(VLOOKUP(D2699,Conceptos_Analítica_contraloría[#All],2,0),"")</f>
        <v/>
      </c>
      <c r="J2699" s="138" t="str">
        <f>+IFERROR(VLOOKUP(D2699,Conceptos_Analítica_contraloría[#All],3,0),"")</f>
        <v/>
      </c>
    </row>
    <row r="2700" spans="3:10" x14ac:dyDescent="0.35">
      <c r="C2700" s="144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s="138" t="str">
        <f>+IFERROR(VLOOKUP(Fact_Analitica[[#This Row],[Concepto Anterior]],Conceptos_Analítica_contraloría[#All],5,0),"")</f>
        <v/>
      </c>
      <c r="F2700" s="138" t="str">
        <f>+IFERROR(VLOOKUP(Fact_Analitica[[#This Row],[Concepto Anterior]],Conceptos_Analítica_contraloría[#All],7,0),"")</f>
        <v/>
      </c>
      <c r="I2700" s="138" t="str">
        <f>+IFERROR(VLOOKUP(D2700,Conceptos_Analítica_contraloría[#All],2,0),"")</f>
        <v/>
      </c>
      <c r="J2700" s="138" t="str">
        <f>+IFERROR(VLOOKUP(D2700,Conceptos_Analítica_contraloría[#All],3,0),"")</f>
        <v/>
      </c>
    </row>
    <row r="2701" spans="3:10" x14ac:dyDescent="0.35">
      <c r="C2701" s="144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s="138" t="str">
        <f>+IFERROR(VLOOKUP(Fact_Analitica[[#This Row],[Concepto Anterior]],Conceptos_Analítica_contraloría[#All],5,0),"")</f>
        <v/>
      </c>
      <c r="F2701" s="138" t="str">
        <f>+IFERROR(VLOOKUP(Fact_Analitica[[#This Row],[Concepto Anterior]],Conceptos_Analítica_contraloría[#All],7,0),"")</f>
        <v/>
      </c>
      <c r="I2701" s="138" t="str">
        <f>+IFERROR(VLOOKUP(D2701,Conceptos_Analítica_contraloría[#All],2,0),"")</f>
        <v/>
      </c>
      <c r="J2701" s="138" t="str">
        <f>+IFERROR(VLOOKUP(D2701,Conceptos_Analítica_contraloría[#All],3,0),"")</f>
        <v/>
      </c>
    </row>
    <row r="2702" spans="3:10" x14ac:dyDescent="0.35">
      <c r="C2702" s="144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s="138" t="str">
        <f>+IFERROR(VLOOKUP(Fact_Analitica[[#This Row],[Concepto Anterior]],Conceptos_Analítica_contraloría[#All],5,0),"")</f>
        <v/>
      </c>
      <c r="F2702" s="138" t="str">
        <f>+IFERROR(VLOOKUP(Fact_Analitica[[#This Row],[Concepto Anterior]],Conceptos_Analítica_contraloría[#All],7,0),"")</f>
        <v/>
      </c>
      <c r="I2702" s="138" t="str">
        <f>+IFERROR(VLOOKUP(D2702,Conceptos_Analítica_contraloría[#All],2,0),"")</f>
        <v/>
      </c>
      <c r="J2702" s="138" t="str">
        <f>+IFERROR(VLOOKUP(D2702,Conceptos_Analítica_contraloría[#All],3,0),"")</f>
        <v/>
      </c>
    </row>
    <row r="2703" spans="3:10" x14ac:dyDescent="0.35">
      <c r="C2703" s="144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s="138" t="str">
        <f>+IFERROR(VLOOKUP(Fact_Analitica[[#This Row],[Concepto Anterior]],Conceptos_Analítica_contraloría[#All],5,0),"")</f>
        <v/>
      </c>
      <c r="F2703" s="138" t="str">
        <f>+IFERROR(VLOOKUP(Fact_Analitica[[#This Row],[Concepto Anterior]],Conceptos_Analítica_contraloría[#All],7,0),"")</f>
        <v/>
      </c>
      <c r="I2703" s="138" t="str">
        <f>+IFERROR(VLOOKUP(D2703,Conceptos_Analítica_contraloría[#All],2,0),"")</f>
        <v/>
      </c>
      <c r="J2703" s="138" t="str">
        <f>+IFERROR(VLOOKUP(D2703,Conceptos_Analítica_contraloría[#All],3,0),"")</f>
        <v/>
      </c>
    </row>
    <row r="2704" spans="3:10" x14ac:dyDescent="0.35">
      <c r="C2704" s="144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s="138" t="str">
        <f>+IFERROR(VLOOKUP(Fact_Analitica[[#This Row],[Concepto Anterior]],Conceptos_Analítica_contraloría[#All],5,0),"")</f>
        <v/>
      </c>
      <c r="F2704" s="138" t="str">
        <f>+IFERROR(VLOOKUP(Fact_Analitica[[#This Row],[Concepto Anterior]],Conceptos_Analítica_contraloría[#All],7,0),"")</f>
        <v/>
      </c>
      <c r="I2704" s="138" t="str">
        <f>+IFERROR(VLOOKUP(D2704,Conceptos_Analítica_contraloría[#All],2,0),"")</f>
        <v/>
      </c>
      <c r="J2704" s="138" t="str">
        <f>+IFERROR(VLOOKUP(D2704,Conceptos_Analítica_contraloría[#All],3,0),"")</f>
        <v/>
      </c>
    </row>
    <row r="2705" spans="3:10" x14ac:dyDescent="0.35">
      <c r="C2705" s="144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s="138" t="str">
        <f>+IFERROR(VLOOKUP(Fact_Analitica[[#This Row],[Concepto Anterior]],Conceptos_Analítica_contraloría[#All],5,0),"")</f>
        <v/>
      </c>
      <c r="F2705" s="138" t="str">
        <f>+IFERROR(VLOOKUP(Fact_Analitica[[#This Row],[Concepto Anterior]],Conceptos_Analítica_contraloría[#All],7,0),"")</f>
        <v/>
      </c>
      <c r="I2705" s="138" t="str">
        <f>+IFERROR(VLOOKUP(D2705,Conceptos_Analítica_contraloría[#All],2,0),"")</f>
        <v/>
      </c>
      <c r="J2705" s="138" t="str">
        <f>+IFERROR(VLOOKUP(D2705,Conceptos_Analítica_contraloría[#All],3,0),"")</f>
        <v/>
      </c>
    </row>
    <row r="2706" spans="3:10" x14ac:dyDescent="0.35">
      <c r="C2706" s="144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s="138" t="str">
        <f>+IFERROR(VLOOKUP(Fact_Analitica[[#This Row],[Concepto Anterior]],Conceptos_Analítica_contraloría[#All],5,0),"")</f>
        <v/>
      </c>
      <c r="F2706" s="138" t="str">
        <f>+IFERROR(VLOOKUP(Fact_Analitica[[#This Row],[Concepto Anterior]],Conceptos_Analítica_contraloría[#All],7,0),"")</f>
        <v/>
      </c>
      <c r="I2706" s="138" t="str">
        <f>+IFERROR(VLOOKUP(D2706,Conceptos_Analítica_contraloría[#All],2,0),"")</f>
        <v/>
      </c>
      <c r="J2706" s="138" t="str">
        <f>+IFERROR(VLOOKUP(D2706,Conceptos_Analítica_contraloría[#All],3,0),"")</f>
        <v/>
      </c>
    </row>
    <row r="2707" spans="3:10" x14ac:dyDescent="0.35">
      <c r="C2707" s="144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s="138" t="str">
        <f>+IFERROR(VLOOKUP(Fact_Analitica[[#This Row],[Concepto Anterior]],Conceptos_Analítica_contraloría[#All],5,0),"")</f>
        <v/>
      </c>
      <c r="F2707" s="138" t="str">
        <f>+IFERROR(VLOOKUP(Fact_Analitica[[#This Row],[Concepto Anterior]],Conceptos_Analítica_contraloría[#All],7,0),"")</f>
        <v/>
      </c>
      <c r="I2707" s="138" t="str">
        <f>+IFERROR(VLOOKUP(D2707,Conceptos_Analítica_contraloría[#All],2,0),"")</f>
        <v/>
      </c>
      <c r="J2707" s="138" t="str">
        <f>+IFERROR(VLOOKUP(D2707,Conceptos_Analítica_contraloría[#All],3,0),"")</f>
        <v/>
      </c>
    </row>
    <row r="2708" spans="3:10" x14ac:dyDescent="0.35">
      <c r="C2708" s="144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s="138" t="str">
        <f>+IFERROR(VLOOKUP(Fact_Analitica[[#This Row],[Concepto Anterior]],Conceptos_Analítica_contraloría[#All],5,0),"")</f>
        <v/>
      </c>
      <c r="F2708" s="138" t="str">
        <f>+IFERROR(VLOOKUP(Fact_Analitica[[#This Row],[Concepto Anterior]],Conceptos_Analítica_contraloría[#All],7,0),"")</f>
        <v/>
      </c>
      <c r="I2708" s="138" t="str">
        <f>+IFERROR(VLOOKUP(D2708,Conceptos_Analítica_contraloría[#All],2,0),"")</f>
        <v/>
      </c>
      <c r="J2708" s="138" t="str">
        <f>+IFERROR(VLOOKUP(D2708,Conceptos_Analítica_contraloría[#All],3,0),"")</f>
        <v/>
      </c>
    </row>
    <row r="2709" spans="3:10" x14ac:dyDescent="0.35">
      <c r="C2709" s="144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s="138" t="str">
        <f>+IFERROR(VLOOKUP(Fact_Analitica[[#This Row],[Concepto Anterior]],Conceptos_Analítica_contraloría[#All],5,0),"")</f>
        <v/>
      </c>
      <c r="F2709" s="138" t="str">
        <f>+IFERROR(VLOOKUP(Fact_Analitica[[#This Row],[Concepto Anterior]],Conceptos_Analítica_contraloría[#All],7,0),"")</f>
        <v/>
      </c>
      <c r="I2709" s="138" t="str">
        <f>+IFERROR(VLOOKUP(D2709,Conceptos_Analítica_contraloría[#All],2,0),"")</f>
        <v/>
      </c>
      <c r="J2709" s="138" t="str">
        <f>+IFERROR(VLOOKUP(D2709,Conceptos_Analítica_contraloría[#All],3,0),"")</f>
        <v/>
      </c>
    </row>
    <row r="2710" spans="3:10" x14ac:dyDescent="0.35">
      <c r="C2710" s="144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s="138" t="str">
        <f>+IFERROR(VLOOKUP(Fact_Analitica[[#This Row],[Concepto Anterior]],Conceptos_Analítica_contraloría[#All],5,0),"")</f>
        <v/>
      </c>
      <c r="F2710" s="138" t="str">
        <f>+IFERROR(VLOOKUP(Fact_Analitica[[#This Row],[Concepto Anterior]],Conceptos_Analítica_contraloría[#All],7,0),"")</f>
        <v/>
      </c>
      <c r="I2710" s="138" t="str">
        <f>+IFERROR(VLOOKUP(D2710,Conceptos_Analítica_contraloría[#All],2,0),"")</f>
        <v/>
      </c>
      <c r="J2710" s="138" t="str">
        <f>+IFERROR(VLOOKUP(D2710,Conceptos_Analítica_contraloría[#All],3,0),"")</f>
        <v/>
      </c>
    </row>
    <row r="2711" spans="3:10" x14ac:dyDescent="0.35">
      <c r="C2711" s="144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s="138" t="str">
        <f>+IFERROR(VLOOKUP(Fact_Analitica[[#This Row],[Concepto Anterior]],Conceptos_Analítica_contraloría[#All],5,0),"")</f>
        <v/>
      </c>
      <c r="F2711" s="138" t="str">
        <f>+IFERROR(VLOOKUP(Fact_Analitica[[#This Row],[Concepto Anterior]],Conceptos_Analítica_contraloría[#All],7,0),"")</f>
        <v/>
      </c>
      <c r="I2711" s="138" t="str">
        <f>+IFERROR(VLOOKUP(D2711,Conceptos_Analítica_contraloría[#All],2,0),"")</f>
        <v/>
      </c>
      <c r="J2711" s="138" t="str">
        <f>+IFERROR(VLOOKUP(D2711,Conceptos_Analítica_contraloría[#All],3,0),"")</f>
        <v/>
      </c>
    </row>
    <row r="2712" spans="3:10" x14ac:dyDescent="0.35">
      <c r="C2712" s="144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s="138" t="str">
        <f>+IFERROR(VLOOKUP(Fact_Analitica[[#This Row],[Concepto Anterior]],Conceptos_Analítica_contraloría[#All],5,0),"")</f>
        <v/>
      </c>
      <c r="F2712" s="138" t="str">
        <f>+IFERROR(VLOOKUP(Fact_Analitica[[#This Row],[Concepto Anterior]],Conceptos_Analítica_contraloría[#All],7,0),"")</f>
        <v/>
      </c>
      <c r="I2712" s="138" t="str">
        <f>+IFERROR(VLOOKUP(D2712,Conceptos_Analítica_contraloría[#All],2,0),"")</f>
        <v/>
      </c>
      <c r="J2712" s="138" t="str">
        <f>+IFERROR(VLOOKUP(D2712,Conceptos_Analítica_contraloría[#All],3,0),"")</f>
        <v/>
      </c>
    </row>
    <row r="2713" spans="3:10" x14ac:dyDescent="0.35">
      <c r="C2713" s="144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s="138" t="str">
        <f>+IFERROR(VLOOKUP(Fact_Analitica[[#This Row],[Concepto Anterior]],Conceptos_Analítica_contraloría[#All],5,0),"")</f>
        <v/>
      </c>
      <c r="F2713" s="138" t="str">
        <f>+IFERROR(VLOOKUP(Fact_Analitica[[#This Row],[Concepto Anterior]],Conceptos_Analítica_contraloría[#All],7,0),"")</f>
        <v/>
      </c>
      <c r="I2713" s="138" t="str">
        <f>+IFERROR(VLOOKUP(D2713,Conceptos_Analítica_contraloría[#All],2,0),"")</f>
        <v/>
      </c>
      <c r="J2713" s="138" t="str">
        <f>+IFERROR(VLOOKUP(D2713,Conceptos_Analítica_contraloría[#All],3,0),"")</f>
        <v/>
      </c>
    </row>
    <row r="2714" spans="3:10" x14ac:dyDescent="0.35">
      <c r="C2714" s="144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s="138" t="str">
        <f>+IFERROR(VLOOKUP(Fact_Analitica[[#This Row],[Concepto Anterior]],Conceptos_Analítica_contraloría[#All],5,0),"")</f>
        <v/>
      </c>
      <c r="F2714" s="138" t="str">
        <f>+IFERROR(VLOOKUP(Fact_Analitica[[#This Row],[Concepto Anterior]],Conceptos_Analítica_contraloría[#All],7,0),"")</f>
        <v/>
      </c>
      <c r="I2714" s="138" t="str">
        <f>+IFERROR(VLOOKUP(D2714,Conceptos_Analítica_contraloría[#All],2,0),"")</f>
        <v/>
      </c>
      <c r="J2714" s="138" t="str">
        <f>+IFERROR(VLOOKUP(D2714,Conceptos_Analítica_contraloría[#All],3,0),"")</f>
        <v/>
      </c>
    </row>
    <row r="2715" spans="3:10" x14ac:dyDescent="0.35">
      <c r="C2715" s="144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s="138" t="str">
        <f>+IFERROR(VLOOKUP(Fact_Analitica[[#This Row],[Concepto Anterior]],Conceptos_Analítica_contraloría[#All],5,0),"")</f>
        <v/>
      </c>
      <c r="F2715" s="138" t="str">
        <f>+IFERROR(VLOOKUP(Fact_Analitica[[#This Row],[Concepto Anterior]],Conceptos_Analítica_contraloría[#All],7,0),"")</f>
        <v/>
      </c>
      <c r="I2715" s="138" t="str">
        <f>+IFERROR(VLOOKUP(D2715,Conceptos_Analítica_contraloría[#All],2,0),"")</f>
        <v/>
      </c>
      <c r="J2715" s="138" t="str">
        <f>+IFERROR(VLOOKUP(D2715,Conceptos_Analítica_contraloría[#All],3,0),"")</f>
        <v/>
      </c>
    </row>
    <row r="2716" spans="3:10" x14ac:dyDescent="0.35">
      <c r="C2716" s="144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s="138" t="str">
        <f>+IFERROR(VLOOKUP(Fact_Analitica[[#This Row],[Concepto Anterior]],Conceptos_Analítica_contraloría[#All],5,0),"")</f>
        <v/>
      </c>
      <c r="F2716" s="138" t="str">
        <f>+IFERROR(VLOOKUP(Fact_Analitica[[#This Row],[Concepto Anterior]],Conceptos_Analítica_contraloría[#All],7,0),"")</f>
        <v/>
      </c>
      <c r="I2716" s="138" t="str">
        <f>+IFERROR(VLOOKUP(D2716,Conceptos_Analítica_contraloría[#All],2,0),"")</f>
        <v/>
      </c>
      <c r="J2716" s="138" t="str">
        <f>+IFERROR(VLOOKUP(D2716,Conceptos_Analítica_contraloría[#All],3,0),"")</f>
        <v/>
      </c>
    </row>
    <row r="2717" spans="3:10" x14ac:dyDescent="0.35">
      <c r="C2717" s="144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s="138" t="str">
        <f>+IFERROR(VLOOKUP(Fact_Analitica[[#This Row],[Concepto Anterior]],Conceptos_Analítica_contraloría[#All],5,0),"")</f>
        <v/>
      </c>
      <c r="F2717" s="138" t="str">
        <f>+IFERROR(VLOOKUP(Fact_Analitica[[#This Row],[Concepto Anterior]],Conceptos_Analítica_contraloría[#All],7,0),"")</f>
        <v/>
      </c>
      <c r="I2717" s="138" t="str">
        <f>+IFERROR(VLOOKUP(D2717,Conceptos_Analítica_contraloría[#All],2,0),"")</f>
        <v/>
      </c>
      <c r="J2717" s="138" t="str">
        <f>+IFERROR(VLOOKUP(D2717,Conceptos_Analítica_contraloría[#All],3,0),"")</f>
        <v/>
      </c>
    </row>
    <row r="2718" spans="3:10" x14ac:dyDescent="0.35">
      <c r="C2718" s="144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s="138" t="str">
        <f>+IFERROR(VLOOKUP(Fact_Analitica[[#This Row],[Concepto Anterior]],Conceptos_Analítica_contraloría[#All],5,0),"")</f>
        <v/>
      </c>
      <c r="F2718" s="138" t="str">
        <f>+IFERROR(VLOOKUP(Fact_Analitica[[#This Row],[Concepto Anterior]],Conceptos_Analítica_contraloría[#All],7,0),"")</f>
        <v/>
      </c>
      <c r="I2718" s="138" t="str">
        <f>+IFERROR(VLOOKUP(D2718,Conceptos_Analítica_contraloría[#All],2,0),"")</f>
        <v/>
      </c>
      <c r="J2718" s="138" t="str">
        <f>+IFERROR(VLOOKUP(D2718,Conceptos_Analítica_contraloría[#All],3,0),"")</f>
        <v/>
      </c>
    </row>
    <row r="2719" spans="3:10" x14ac:dyDescent="0.35">
      <c r="C2719" s="144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s="138" t="str">
        <f>+IFERROR(VLOOKUP(Fact_Analitica[[#This Row],[Concepto Anterior]],Conceptos_Analítica_contraloría[#All],5,0),"")</f>
        <v/>
      </c>
      <c r="F2719" s="138" t="str">
        <f>+IFERROR(VLOOKUP(Fact_Analitica[[#This Row],[Concepto Anterior]],Conceptos_Analítica_contraloría[#All],7,0),"")</f>
        <v/>
      </c>
      <c r="I2719" s="138" t="str">
        <f>+IFERROR(VLOOKUP(D2719,Conceptos_Analítica_contraloría[#All],2,0),"")</f>
        <v/>
      </c>
      <c r="J2719" s="138" t="str">
        <f>+IFERROR(VLOOKUP(D2719,Conceptos_Analítica_contraloría[#All],3,0),"")</f>
        <v/>
      </c>
    </row>
    <row r="2720" spans="3:10" x14ac:dyDescent="0.35">
      <c r="C2720" s="144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s="138" t="str">
        <f>+IFERROR(VLOOKUP(Fact_Analitica[[#This Row],[Concepto Anterior]],Conceptos_Analítica_contraloría[#All],5,0),"")</f>
        <v/>
      </c>
      <c r="F2720" s="138" t="str">
        <f>+IFERROR(VLOOKUP(Fact_Analitica[[#This Row],[Concepto Anterior]],Conceptos_Analítica_contraloría[#All],7,0),"")</f>
        <v/>
      </c>
      <c r="I2720" s="138" t="str">
        <f>+IFERROR(VLOOKUP(D2720,Conceptos_Analítica_contraloría[#All],2,0),"")</f>
        <v/>
      </c>
      <c r="J2720" s="138" t="str">
        <f>+IFERROR(VLOOKUP(D2720,Conceptos_Analítica_contraloría[#All],3,0),"")</f>
        <v/>
      </c>
    </row>
    <row r="2721" spans="3:10" x14ac:dyDescent="0.35">
      <c r="C2721" s="144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s="138" t="str">
        <f>+IFERROR(VLOOKUP(Fact_Analitica[[#This Row],[Concepto Anterior]],Conceptos_Analítica_contraloría[#All],5,0),"")</f>
        <v/>
      </c>
      <c r="F2721" s="138" t="str">
        <f>+IFERROR(VLOOKUP(Fact_Analitica[[#This Row],[Concepto Anterior]],Conceptos_Analítica_contraloría[#All],7,0),"")</f>
        <v/>
      </c>
      <c r="I2721" s="138" t="str">
        <f>+IFERROR(VLOOKUP(D2721,Conceptos_Analítica_contraloría[#All],2,0),"")</f>
        <v/>
      </c>
      <c r="J2721" s="138" t="str">
        <f>+IFERROR(VLOOKUP(D2721,Conceptos_Analítica_contraloría[#All],3,0),"")</f>
        <v/>
      </c>
    </row>
    <row r="2722" spans="3:10" x14ac:dyDescent="0.35">
      <c r="C2722" s="144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s="138" t="str">
        <f>+IFERROR(VLOOKUP(Fact_Analitica[[#This Row],[Concepto Anterior]],Conceptos_Analítica_contraloría[#All],5,0),"")</f>
        <v/>
      </c>
      <c r="F2722" s="138" t="str">
        <f>+IFERROR(VLOOKUP(Fact_Analitica[[#This Row],[Concepto Anterior]],Conceptos_Analítica_contraloría[#All],7,0),"")</f>
        <v/>
      </c>
      <c r="I2722" s="138" t="str">
        <f>+IFERROR(VLOOKUP(D2722,Conceptos_Analítica_contraloría[#All],2,0),"")</f>
        <v/>
      </c>
      <c r="J2722" s="138" t="str">
        <f>+IFERROR(VLOOKUP(D2722,Conceptos_Analítica_contraloría[#All],3,0),"")</f>
        <v/>
      </c>
    </row>
    <row r="2723" spans="3:10" x14ac:dyDescent="0.35">
      <c r="C2723" s="144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s="138" t="str">
        <f>+IFERROR(VLOOKUP(Fact_Analitica[[#This Row],[Concepto Anterior]],Conceptos_Analítica_contraloría[#All],5,0),"")</f>
        <v/>
      </c>
      <c r="F2723" s="138" t="str">
        <f>+IFERROR(VLOOKUP(Fact_Analitica[[#This Row],[Concepto Anterior]],Conceptos_Analítica_contraloría[#All],7,0),"")</f>
        <v/>
      </c>
      <c r="I2723" s="138" t="str">
        <f>+IFERROR(VLOOKUP(D2723,Conceptos_Analítica_contraloría[#All],2,0),"")</f>
        <v/>
      </c>
      <c r="J2723" s="138" t="str">
        <f>+IFERROR(VLOOKUP(D2723,Conceptos_Analítica_contraloría[#All],3,0),"")</f>
        <v/>
      </c>
    </row>
    <row r="2724" spans="3:10" x14ac:dyDescent="0.35">
      <c r="C2724" s="144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s="138" t="str">
        <f>+IFERROR(VLOOKUP(Fact_Analitica[[#This Row],[Concepto Anterior]],Conceptos_Analítica_contraloría[#All],5,0),"")</f>
        <v/>
      </c>
      <c r="F2724" s="138" t="str">
        <f>+IFERROR(VLOOKUP(Fact_Analitica[[#This Row],[Concepto Anterior]],Conceptos_Analítica_contraloría[#All],7,0),"")</f>
        <v/>
      </c>
      <c r="I2724" s="138" t="str">
        <f>+IFERROR(VLOOKUP(D2724,Conceptos_Analítica_contraloría[#All],2,0),"")</f>
        <v/>
      </c>
      <c r="J2724" s="138" t="str">
        <f>+IFERROR(VLOOKUP(D2724,Conceptos_Analítica_contraloría[#All],3,0),"")</f>
        <v/>
      </c>
    </row>
    <row r="2725" spans="3:10" x14ac:dyDescent="0.35">
      <c r="C2725" s="144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s="138" t="str">
        <f>+IFERROR(VLOOKUP(Fact_Analitica[[#This Row],[Concepto Anterior]],Conceptos_Analítica_contraloría[#All],5,0),"")</f>
        <v/>
      </c>
      <c r="F2725" s="138" t="str">
        <f>+IFERROR(VLOOKUP(Fact_Analitica[[#This Row],[Concepto Anterior]],Conceptos_Analítica_contraloría[#All],7,0),"")</f>
        <v/>
      </c>
      <c r="I2725" s="138" t="str">
        <f>+IFERROR(VLOOKUP(D2725,Conceptos_Analítica_contraloría[#All],2,0),"")</f>
        <v/>
      </c>
      <c r="J2725" s="138" t="str">
        <f>+IFERROR(VLOOKUP(D2725,Conceptos_Analítica_contraloría[#All],3,0),"")</f>
        <v/>
      </c>
    </row>
    <row r="2726" spans="3:10" x14ac:dyDescent="0.35">
      <c r="C2726" s="144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s="138" t="str">
        <f>+IFERROR(VLOOKUP(Fact_Analitica[[#This Row],[Concepto Anterior]],Conceptos_Analítica_contraloría[#All],5,0),"")</f>
        <v/>
      </c>
      <c r="F2726" s="138" t="str">
        <f>+IFERROR(VLOOKUP(Fact_Analitica[[#This Row],[Concepto Anterior]],Conceptos_Analítica_contraloría[#All],7,0),"")</f>
        <v/>
      </c>
      <c r="I2726" s="138" t="str">
        <f>+IFERROR(VLOOKUP(D2726,Conceptos_Analítica_contraloría[#All],2,0),"")</f>
        <v/>
      </c>
      <c r="J2726" s="138" t="str">
        <f>+IFERROR(VLOOKUP(D2726,Conceptos_Analítica_contraloría[#All],3,0),"")</f>
        <v/>
      </c>
    </row>
    <row r="2727" spans="3:10" x14ac:dyDescent="0.35">
      <c r="C2727" s="144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s="138" t="str">
        <f>+IFERROR(VLOOKUP(Fact_Analitica[[#This Row],[Concepto Anterior]],Conceptos_Analítica_contraloría[#All],5,0),"")</f>
        <v/>
      </c>
      <c r="F2727" s="138" t="str">
        <f>+IFERROR(VLOOKUP(Fact_Analitica[[#This Row],[Concepto Anterior]],Conceptos_Analítica_contraloría[#All],7,0),"")</f>
        <v/>
      </c>
      <c r="I2727" s="138" t="str">
        <f>+IFERROR(VLOOKUP(D2727,Conceptos_Analítica_contraloría[#All],2,0),"")</f>
        <v/>
      </c>
      <c r="J2727" s="138" t="str">
        <f>+IFERROR(VLOOKUP(D2727,Conceptos_Analítica_contraloría[#All],3,0),"")</f>
        <v/>
      </c>
    </row>
    <row r="2728" spans="3:10" x14ac:dyDescent="0.35">
      <c r="C2728" s="144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s="138" t="str">
        <f>+IFERROR(VLOOKUP(Fact_Analitica[[#This Row],[Concepto Anterior]],Conceptos_Analítica_contraloría[#All],5,0),"")</f>
        <v/>
      </c>
      <c r="F2728" s="138" t="str">
        <f>+IFERROR(VLOOKUP(Fact_Analitica[[#This Row],[Concepto Anterior]],Conceptos_Analítica_contraloría[#All],7,0),"")</f>
        <v/>
      </c>
      <c r="I2728" s="138" t="str">
        <f>+IFERROR(VLOOKUP(D2728,Conceptos_Analítica_contraloría[#All],2,0),"")</f>
        <v/>
      </c>
      <c r="J2728" s="138" t="str">
        <f>+IFERROR(VLOOKUP(D2728,Conceptos_Analítica_contraloría[#All],3,0),"")</f>
        <v/>
      </c>
    </row>
    <row r="2729" spans="3:10" x14ac:dyDescent="0.35">
      <c r="C2729" s="144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s="138" t="str">
        <f>+IFERROR(VLOOKUP(Fact_Analitica[[#This Row],[Concepto Anterior]],Conceptos_Analítica_contraloría[#All],5,0),"")</f>
        <v/>
      </c>
      <c r="F2729" s="138" t="str">
        <f>+IFERROR(VLOOKUP(Fact_Analitica[[#This Row],[Concepto Anterior]],Conceptos_Analítica_contraloría[#All],7,0),"")</f>
        <v/>
      </c>
      <c r="I2729" s="138" t="str">
        <f>+IFERROR(VLOOKUP(D2729,Conceptos_Analítica_contraloría[#All],2,0),"")</f>
        <v/>
      </c>
      <c r="J2729" s="138" t="str">
        <f>+IFERROR(VLOOKUP(D2729,Conceptos_Analítica_contraloría[#All],3,0),"")</f>
        <v/>
      </c>
    </row>
    <row r="2730" spans="3:10" x14ac:dyDescent="0.35">
      <c r="C2730" s="144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s="138" t="str">
        <f>+IFERROR(VLOOKUP(Fact_Analitica[[#This Row],[Concepto Anterior]],Conceptos_Analítica_contraloría[#All],5,0),"")</f>
        <v/>
      </c>
      <c r="F2730" s="138" t="str">
        <f>+IFERROR(VLOOKUP(Fact_Analitica[[#This Row],[Concepto Anterior]],Conceptos_Analítica_contraloría[#All],7,0),"")</f>
        <v/>
      </c>
      <c r="I2730" s="138" t="str">
        <f>+IFERROR(VLOOKUP(D2730,Conceptos_Analítica_contraloría[#All],2,0),"")</f>
        <v/>
      </c>
      <c r="J2730" s="138" t="str">
        <f>+IFERROR(VLOOKUP(D2730,Conceptos_Analítica_contraloría[#All],3,0),"")</f>
        <v/>
      </c>
    </row>
    <row r="2731" spans="3:10" x14ac:dyDescent="0.35">
      <c r="C2731" s="144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s="138" t="str">
        <f>+IFERROR(VLOOKUP(Fact_Analitica[[#This Row],[Concepto Anterior]],Conceptos_Analítica_contraloría[#All],5,0),"")</f>
        <v/>
      </c>
      <c r="F2731" s="138" t="str">
        <f>+IFERROR(VLOOKUP(Fact_Analitica[[#This Row],[Concepto Anterior]],Conceptos_Analítica_contraloría[#All],7,0),"")</f>
        <v/>
      </c>
      <c r="I2731" s="138" t="str">
        <f>+IFERROR(VLOOKUP(D2731,Conceptos_Analítica_contraloría[#All],2,0),"")</f>
        <v/>
      </c>
      <c r="J2731" s="138" t="str">
        <f>+IFERROR(VLOOKUP(D2731,Conceptos_Analítica_contraloría[#All],3,0),"")</f>
        <v/>
      </c>
    </row>
    <row r="2732" spans="3:10" x14ac:dyDescent="0.35">
      <c r="C2732" s="144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s="138" t="str">
        <f>+IFERROR(VLOOKUP(Fact_Analitica[[#This Row],[Concepto Anterior]],Conceptos_Analítica_contraloría[#All],5,0),"")</f>
        <v/>
      </c>
      <c r="F2732" s="138" t="str">
        <f>+IFERROR(VLOOKUP(Fact_Analitica[[#This Row],[Concepto Anterior]],Conceptos_Analítica_contraloría[#All],7,0),"")</f>
        <v/>
      </c>
      <c r="I2732" s="138" t="str">
        <f>+IFERROR(VLOOKUP(D2732,Conceptos_Analítica_contraloría[#All],2,0),"")</f>
        <v/>
      </c>
      <c r="J2732" s="138" t="str">
        <f>+IFERROR(VLOOKUP(D2732,Conceptos_Analítica_contraloría[#All],3,0),"")</f>
        <v/>
      </c>
    </row>
    <row r="2733" spans="3:10" x14ac:dyDescent="0.35">
      <c r="C2733" s="144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s="138" t="str">
        <f>+IFERROR(VLOOKUP(Fact_Analitica[[#This Row],[Concepto Anterior]],Conceptos_Analítica_contraloría[#All],5,0),"")</f>
        <v/>
      </c>
      <c r="F2733" s="138" t="str">
        <f>+IFERROR(VLOOKUP(Fact_Analitica[[#This Row],[Concepto Anterior]],Conceptos_Analítica_contraloría[#All],7,0),"")</f>
        <v/>
      </c>
      <c r="I2733" s="138" t="str">
        <f>+IFERROR(VLOOKUP(D2733,Conceptos_Analítica_contraloría[#All],2,0),"")</f>
        <v/>
      </c>
      <c r="J2733" s="138" t="str">
        <f>+IFERROR(VLOOKUP(D2733,Conceptos_Analítica_contraloría[#All],3,0),"")</f>
        <v/>
      </c>
    </row>
    <row r="2734" spans="3:10" x14ac:dyDescent="0.35">
      <c r="C2734" s="144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s="138" t="str">
        <f>+IFERROR(VLOOKUP(Fact_Analitica[[#This Row],[Concepto Anterior]],Conceptos_Analítica_contraloría[#All],5,0),"")</f>
        <v/>
      </c>
      <c r="F2734" s="138" t="str">
        <f>+IFERROR(VLOOKUP(Fact_Analitica[[#This Row],[Concepto Anterior]],Conceptos_Analítica_contraloría[#All],7,0),"")</f>
        <v/>
      </c>
      <c r="I2734" s="138" t="str">
        <f>+IFERROR(VLOOKUP(D2734,Conceptos_Analítica_contraloría[#All],2,0),"")</f>
        <v/>
      </c>
      <c r="J2734" s="138" t="str">
        <f>+IFERROR(VLOOKUP(D2734,Conceptos_Analítica_contraloría[#All],3,0),"")</f>
        <v/>
      </c>
    </row>
    <row r="2735" spans="3:10" x14ac:dyDescent="0.35">
      <c r="C2735" s="144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s="138" t="str">
        <f>+IFERROR(VLOOKUP(Fact_Analitica[[#This Row],[Concepto Anterior]],Conceptos_Analítica_contraloría[#All],5,0),"")</f>
        <v/>
      </c>
      <c r="F2735" s="138" t="str">
        <f>+IFERROR(VLOOKUP(Fact_Analitica[[#This Row],[Concepto Anterior]],Conceptos_Analítica_contraloría[#All],7,0),"")</f>
        <v/>
      </c>
      <c r="I2735" s="138" t="str">
        <f>+IFERROR(VLOOKUP(D2735,Conceptos_Analítica_contraloría[#All],2,0),"")</f>
        <v/>
      </c>
      <c r="J2735" s="138" t="str">
        <f>+IFERROR(VLOOKUP(D2735,Conceptos_Analítica_contraloría[#All],3,0),"")</f>
        <v/>
      </c>
    </row>
    <row r="2736" spans="3:10" x14ac:dyDescent="0.35">
      <c r="C2736" s="144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s="138" t="str">
        <f>+IFERROR(VLOOKUP(Fact_Analitica[[#This Row],[Concepto Anterior]],Conceptos_Analítica_contraloría[#All],5,0),"")</f>
        <v/>
      </c>
      <c r="F2736" s="138" t="str">
        <f>+IFERROR(VLOOKUP(Fact_Analitica[[#This Row],[Concepto Anterior]],Conceptos_Analítica_contraloría[#All],7,0),"")</f>
        <v/>
      </c>
      <c r="I2736" s="138" t="str">
        <f>+IFERROR(VLOOKUP(D2736,Conceptos_Analítica_contraloría[#All],2,0),"")</f>
        <v/>
      </c>
      <c r="J2736" s="138" t="str">
        <f>+IFERROR(VLOOKUP(D2736,Conceptos_Analítica_contraloría[#All],3,0),"")</f>
        <v/>
      </c>
    </row>
    <row r="2737" spans="3:10" x14ac:dyDescent="0.35">
      <c r="C2737" s="144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s="138" t="str">
        <f>+IFERROR(VLOOKUP(Fact_Analitica[[#This Row],[Concepto Anterior]],Conceptos_Analítica_contraloría[#All],5,0),"")</f>
        <v/>
      </c>
      <c r="F2737" s="138" t="str">
        <f>+IFERROR(VLOOKUP(Fact_Analitica[[#This Row],[Concepto Anterior]],Conceptos_Analítica_contraloría[#All],7,0),"")</f>
        <v/>
      </c>
      <c r="I2737" s="138" t="str">
        <f>+IFERROR(VLOOKUP(D2737,Conceptos_Analítica_contraloría[#All],2,0),"")</f>
        <v/>
      </c>
      <c r="J2737" s="138" t="str">
        <f>+IFERROR(VLOOKUP(D2737,Conceptos_Analítica_contraloría[#All],3,0),"")</f>
        <v/>
      </c>
    </row>
    <row r="2738" spans="3:10" x14ac:dyDescent="0.35">
      <c r="C2738" s="144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s="138" t="str">
        <f>+IFERROR(VLOOKUP(Fact_Analitica[[#This Row],[Concepto Anterior]],Conceptos_Analítica_contraloría[#All],5,0),"")</f>
        <v/>
      </c>
      <c r="F2738" s="138" t="str">
        <f>+IFERROR(VLOOKUP(Fact_Analitica[[#This Row],[Concepto Anterior]],Conceptos_Analítica_contraloría[#All],7,0),"")</f>
        <v/>
      </c>
      <c r="I2738" s="138" t="str">
        <f>+IFERROR(VLOOKUP(D2738,Conceptos_Analítica_contraloría[#All],2,0),"")</f>
        <v/>
      </c>
      <c r="J2738" s="138" t="str">
        <f>+IFERROR(VLOOKUP(D2738,Conceptos_Analítica_contraloría[#All],3,0),"")</f>
        <v/>
      </c>
    </row>
    <row r="2739" spans="3:10" x14ac:dyDescent="0.35">
      <c r="C2739" s="144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s="138" t="str">
        <f>+IFERROR(VLOOKUP(Fact_Analitica[[#This Row],[Concepto Anterior]],Conceptos_Analítica_contraloría[#All],5,0),"")</f>
        <v/>
      </c>
      <c r="F2739" s="138" t="str">
        <f>+IFERROR(VLOOKUP(Fact_Analitica[[#This Row],[Concepto Anterior]],Conceptos_Analítica_contraloría[#All],7,0),"")</f>
        <v/>
      </c>
      <c r="I2739" s="138" t="str">
        <f>+IFERROR(VLOOKUP(D2739,Conceptos_Analítica_contraloría[#All],2,0),"")</f>
        <v/>
      </c>
      <c r="J2739" s="138" t="str">
        <f>+IFERROR(VLOOKUP(D2739,Conceptos_Analítica_contraloría[#All],3,0),"")</f>
        <v/>
      </c>
    </row>
    <row r="2740" spans="3:10" x14ac:dyDescent="0.35">
      <c r="C2740" s="144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s="138" t="str">
        <f>+IFERROR(VLOOKUP(Fact_Analitica[[#This Row],[Concepto Anterior]],Conceptos_Analítica_contraloría[#All],5,0),"")</f>
        <v/>
      </c>
      <c r="F2740" s="138" t="str">
        <f>+IFERROR(VLOOKUP(Fact_Analitica[[#This Row],[Concepto Anterior]],Conceptos_Analítica_contraloría[#All],7,0),"")</f>
        <v/>
      </c>
      <c r="I2740" s="138" t="str">
        <f>+IFERROR(VLOOKUP(D2740,Conceptos_Analítica_contraloría[#All],2,0),"")</f>
        <v/>
      </c>
      <c r="J2740" s="138" t="str">
        <f>+IFERROR(VLOOKUP(D2740,Conceptos_Analítica_contraloría[#All],3,0),"")</f>
        <v/>
      </c>
    </row>
    <row r="2741" spans="3:10" x14ac:dyDescent="0.35">
      <c r="C2741" s="144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s="138" t="str">
        <f>+IFERROR(VLOOKUP(Fact_Analitica[[#This Row],[Concepto Anterior]],Conceptos_Analítica_contraloría[#All],5,0),"")</f>
        <v/>
      </c>
      <c r="F2741" s="138" t="str">
        <f>+IFERROR(VLOOKUP(Fact_Analitica[[#This Row],[Concepto Anterior]],Conceptos_Analítica_contraloría[#All],7,0),"")</f>
        <v/>
      </c>
      <c r="I2741" s="138" t="str">
        <f>+IFERROR(VLOOKUP(D2741,Conceptos_Analítica_contraloría[#All],2,0),"")</f>
        <v/>
      </c>
      <c r="J2741" s="138" t="str">
        <f>+IFERROR(VLOOKUP(D2741,Conceptos_Analítica_contraloría[#All],3,0),"")</f>
        <v/>
      </c>
    </row>
    <row r="2742" spans="3:10" x14ac:dyDescent="0.35">
      <c r="C2742" s="144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s="138" t="str">
        <f>+IFERROR(VLOOKUP(Fact_Analitica[[#This Row],[Concepto Anterior]],Conceptos_Analítica_contraloría[#All],5,0),"")</f>
        <v/>
      </c>
      <c r="F2742" s="138" t="str">
        <f>+IFERROR(VLOOKUP(Fact_Analitica[[#This Row],[Concepto Anterior]],Conceptos_Analítica_contraloría[#All],7,0),"")</f>
        <v/>
      </c>
      <c r="I2742" s="138" t="str">
        <f>+IFERROR(VLOOKUP(D2742,Conceptos_Analítica_contraloría[#All],2,0),"")</f>
        <v/>
      </c>
      <c r="J2742" s="138" t="str">
        <f>+IFERROR(VLOOKUP(D2742,Conceptos_Analítica_contraloría[#All],3,0),"")</f>
        <v/>
      </c>
    </row>
    <row r="2743" spans="3:10" x14ac:dyDescent="0.35">
      <c r="C2743" s="144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s="138" t="str">
        <f>+IFERROR(VLOOKUP(Fact_Analitica[[#This Row],[Concepto Anterior]],Conceptos_Analítica_contraloría[#All],5,0),"")</f>
        <v/>
      </c>
      <c r="F2743" s="138" t="str">
        <f>+IFERROR(VLOOKUP(Fact_Analitica[[#This Row],[Concepto Anterior]],Conceptos_Analítica_contraloría[#All],7,0),"")</f>
        <v/>
      </c>
      <c r="I2743" s="138" t="str">
        <f>+IFERROR(VLOOKUP(D2743,Conceptos_Analítica_contraloría[#All],2,0),"")</f>
        <v/>
      </c>
      <c r="J2743" s="138" t="str">
        <f>+IFERROR(VLOOKUP(D2743,Conceptos_Analítica_contraloría[#All],3,0),"")</f>
        <v/>
      </c>
    </row>
    <row r="2744" spans="3:10" x14ac:dyDescent="0.35">
      <c r="C2744" s="144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s="138" t="str">
        <f>+IFERROR(VLOOKUP(Fact_Analitica[[#This Row],[Concepto Anterior]],Conceptos_Analítica_contraloría[#All],5,0),"")</f>
        <v/>
      </c>
      <c r="F2744" s="138" t="str">
        <f>+IFERROR(VLOOKUP(Fact_Analitica[[#This Row],[Concepto Anterior]],Conceptos_Analítica_contraloría[#All],7,0),"")</f>
        <v/>
      </c>
      <c r="I2744" s="138" t="str">
        <f>+IFERROR(VLOOKUP(D2744,Conceptos_Analítica_contraloría[#All],2,0),"")</f>
        <v/>
      </c>
      <c r="J2744" s="138" t="str">
        <f>+IFERROR(VLOOKUP(D2744,Conceptos_Analítica_contraloría[#All],3,0),"")</f>
        <v/>
      </c>
    </row>
    <row r="2745" spans="3:10" x14ac:dyDescent="0.35">
      <c r="C2745" s="144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s="138" t="str">
        <f>+IFERROR(VLOOKUP(Fact_Analitica[[#This Row],[Concepto Anterior]],Conceptos_Analítica_contraloría[#All],5,0),"")</f>
        <v/>
      </c>
      <c r="F2745" s="138" t="str">
        <f>+IFERROR(VLOOKUP(Fact_Analitica[[#This Row],[Concepto Anterior]],Conceptos_Analítica_contraloría[#All],7,0),"")</f>
        <v/>
      </c>
      <c r="I2745" s="138" t="str">
        <f>+IFERROR(VLOOKUP(D2745,Conceptos_Analítica_contraloría[#All],2,0),"")</f>
        <v/>
      </c>
      <c r="J2745" s="138" t="str">
        <f>+IFERROR(VLOOKUP(D2745,Conceptos_Analítica_contraloría[#All],3,0),"")</f>
        <v/>
      </c>
    </row>
    <row r="2746" spans="3:10" x14ac:dyDescent="0.35">
      <c r="C2746" s="144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s="138" t="str">
        <f>+IFERROR(VLOOKUP(Fact_Analitica[[#This Row],[Concepto Anterior]],Conceptos_Analítica_contraloría[#All],5,0),"")</f>
        <v/>
      </c>
      <c r="F2746" s="138" t="str">
        <f>+IFERROR(VLOOKUP(Fact_Analitica[[#This Row],[Concepto Anterior]],Conceptos_Analítica_contraloría[#All],7,0),"")</f>
        <v/>
      </c>
      <c r="I2746" s="138" t="str">
        <f>+IFERROR(VLOOKUP(D2746,Conceptos_Analítica_contraloría[#All],2,0),"")</f>
        <v/>
      </c>
      <c r="J2746" s="138" t="str">
        <f>+IFERROR(VLOOKUP(D2746,Conceptos_Analítica_contraloría[#All],3,0),"")</f>
        <v/>
      </c>
    </row>
    <row r="2747" spans="3:10" x14ac:dyDescent="0.35">
      <c r="C2747" s="144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s="138" t="str">
        <f>+IFERROR(VLOOKUP(Fact_Analitica[[#This Row],[Concepto Anterior]],Conceptos_Analítica_contraloría[#All],5,0),"")</f>
        <v/>
      </c>
      <c r="F2747" s="138" t="str">
        <f>+IFERROR(VLOOKUP(Fact_Analitica[[#This Row],[Concepto Anterior]],Conceptos_Analítica_contraloría[#All],7,0),"")</f>
        <v/>
      </c>
      <c r="I2747" s="138" t="str">
        <f>+IFERROR(VLOOKUP(D2747,Conceptos_Analítica_contraloría[#All],2,0),"")</f>
        <v/>
      </c>
      <c r="J2747" s="138" t="str">
        <f>+IFERROR(VLOOKUP(D2747,Conceptos_Analítica_contraloría[#All],3,0),"")</f>
        <v/>
      </c>
    </row>
    <row r="2748" spans="3:10" x14ac:dyDescent="0.35">
      <c r="C2748" s="144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s="138" t="str">
        <f>+IFERROR(VLOOKUP(Fact_Analitica[[#This Row],[Concepto Anterior]],Conceptos_Analítica_contraloría[#All],5,0),"")</f>
        <v/>
      </c>
      <c r="F2748" s="138" t="str">
        <f>+IFERROR(VLOOKUP(Fact_Analitica[[#This Row],[Concepto Anterior]],Conceptos_Analítica_contraloría[#All],7,0),"")</f>
        <v/>
      </c>
      <c r="I2748" s="138" t="str">
        <f>+IFERROR(VLOOKUP(D2748,Conceptos_Analítica_contraloría[#All],2,0),"")</f>
        <v/>
      </c>
      <c r="J2748" s="138" t="str">
        <f>+IFERROR(VLOOKUP(D2748,Conceptos_Analítica_contraloría[#All],3,0),"")</f>
        <v/>
      </c>
    </row>
    <row r="2749" spans="3:10" x14ac:dyDescent="0.35">
      <c r="C2749" s="144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s="138" t="str">
        <f>+IFERROR(VLOOKUP(Fact_Analitica[[#This Row],[Concepto Anterior]],Conceptos_Analítica_contraloría[#All],5,0),"")</f>
        <v/>
      </c>
      <c r="F2749" s="138" t="str">
        <f>+IFERROR(VLOOKUP(Fact_Analitica[[#This Row],[Concepto Anterior]],Conceptos_Analítica_contraloría[#All],7,0),"")</f>
        <v/>
      </c>
      <c r="I2749" s="138" t="str">
        <f>+IFERROR(VLOOKUP(D2749,Conceptos_Analítica_contraloría[#All],2,0),"")</f>
        <v/>
      </c>
      <c r="J2749" s="138" t="str">
        <f>+IFERROR(VLOOKUP(D2749,Conceptos_Analítica_contraloría[#All],3,0),"")</f>
        <v/>
      </c>
    </row>
    <row r="2750" spans="3:10" x14ac:dyDescent="0.35">
      <c r="C2750" s="144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s="138" t="str">
        <f>+IFERROR(VLOOKUP(Fact_Analitica[[#This Row],[Concepto Anterior]],Conceptos_Analítica_contraloría[#All],5,0),"")</f>
        <v/>
      </c>
      <c r="F2750" s="138" t="str">
        <f>+IFERROR(VLOOKUP(Fact_Analitica[[#This Row],[Concepto Anterior]],Conceptos_Analítica_contraloría[#All],7,0),"")</f>
        <v/>
      </c>
      <c r="I2750" s="138" t="str">
        <f>+IFERROR(VLOOKUP(D2750,Conceptos_Analítica_contraloría[#All],2,0),"")</f>
        <v/>
      </c>
      <c r="J2750" s="138" t="str">
        <f>+IFERROR(VLOOKUP(D2750,Conceptos_Analítica_contraloría[#All],3,0),"")</f>
        <v/>
      </c>
    </row>
    <row r="2751" spans="3:10" x14ac:dyDescent="0.35">
      <c r="C2751" s="144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s="138" t="str">
        <f>+IFERROR(VLOOKUP(Fact_Analitica[[#This Row],[Concepto Anterior]],Conceptos_Analítica_contraloría[#All],5,0),"")</f>
        <v/>
      </c>
      <c r="F2751" s="138" t="str">
        <f>+IFERROR(VLOOKUP(Fact_Analitica[[#This Row],[Concepto Anterior]],Conceptos_Analítica_contraloría[#All],7,0),"")</f>
        <v/>
      </c>
      <c r="I2751" s="138" t="str">
        <f>+IFERROR(VLOOKUP(D2751,Conceptos_Analítica_contraloría[#All],2,0),"")</f>
        <v/>
      </c>
      <c r="J2751" s="138" t="str">
        <f>+IFERROR(VLOOKUP(D2751,Conceptos_Analítica_contraloría[#All],3,0),"")</f>
        <v/>
      </c>
    </row>
    <row r="2752" spans="3:10" x14ac:dyDescent="0.35">
      <c r="C2752" s="144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s="138" t="str">
        <f>+IFERROR(VLOOKUP(Fact_Analitica[[#This Row],[Concepto Anterior]],Conceptos_Analítica_contraloría[#All],5,0),"")</f>
        <v/>
      </c>
      <c r="F2752" s="138" t="str">
        <f>+IFERROR(VLOOKUP(Fact_Analitica[[#This Row],[Concepto Anterior]],Conceptos_Analítica_contraloría[#All],7,0),"")</f>
        <v/>
      </c>
      <c r="I2752" s="138" t="str">
        <f>+IFERROR(VLOOKUP(D2752,Conceptos_Analítica_contraloría[#All],2,0),"")</f>
        <v/>
      </c>
      <c r="J2752" s="138" t="str">
        <f>+IFERROR(VLOOKUP(D2752,Conceptos_Analítica_contraloría[#All],3,0),"")</f>
        <v/>
      </c>
    </row>
    <row r="2753" spans="3:10" x14ac:dyDescent="0.35">
      <c r="C2753" s="144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s="138" t="str">
        <f>+IFERROR(VLOOKUP(Fact_Analitica[[#This Row],[Concepto Anterior]],Conceptos_Analítica_contraloría[#All],5,0),"")</f>
        <v/>
      </c>
      <c r="F2753" s="138" t="str">
        <f>+IFERROR(VLOOKUP(Fact_Analitica[[#This Row],[Concepto Anterior]],Conceptos_Analítica_contraloría[#All],7,0),"")</f>
        <v/>
      </c>
      <c r="I2753" s="138" t="str">
        <f>+IFERROR(VLOOKUP(D2753,Conceptos_Analítica_contraloría[#All],2,0),"")</f>
        <v/>
      </c>
      <c r="J2753" s="138" t="str">
        <f>+IFERROR(VLOOKUP(D2753,Conceptos_Analítica_contraloría[#All],3,0),"")</f>
        <v/>
      </c>
    </row>
    <row r="2754" spans="3:10" x14ac:dyDescent="0.35">
      <c r="C2754" s="144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s="138" t="str">
        <f>+IFERROR(VLOOKUP(Fact_Analitica[[#This Row],[Concepto Anterior]],Conceptos_Analítica_contraloría[#All],5,0),"")</f>
        <v/>
      </c>
      <c r="F2754" s="138" t="str">
        <f>+IFERROR(VLOOKUP(Fact_Analitica[[#This Row],[Concepto Anterior]],Conceptos_Analítica_contraloría[#All],7,0),"")</f>
        <v/>
      </c>
      <c r="I2754" s="138" t="str">
        <f>+IFERROR(VLOOKUP(D2754,Conceptos_Analítica_contraloría[#All],2,0),"")</f>
        <v/>
      </c>
      <c r="J2754" s="138" t="str">
        <f>+IFERROR(VLOOKUP(D2754,Conceptos_Analítica_contraloría[#All],3,0),"")</f>
        <v/>
      </c>
    </row>
    <row r="2755" spans="3:10" x14ac:dyDescent="0.35">
      <c r="C2755" s="144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s="138" t="str">
        <f>+IFERROR(VLOOKUP(Fact_Analitica[[#This Row],[Concepto Anterior]],Conceptos_Analítica_contraloría[#All],5,0),"")</f>
        <v/>
      </c>
      <c r="F2755" s="138" t="str">
        <f>+IFERROR(VLOOKUP(Fact_Analitica[[#This Row],[Concepto Anterior]],Conceptos_Analítica_contraloría[#All],7,0),"")</f>
        <v/>
      </c>
      <c r="I2755" s="138" t="str">
        <f>+IFERROR(VLOOKUP(D2755,Conceptos_Analítica_contraloría[#All],2,0),"")</f>
        <v/>
      </c>
      <c r="J2755" s="138" t="str">
        <f>+IFERROR(VLOOKUP(D2755,Conceptos_Analítica_contraloría[#All],3,0),"")</f>
        <v/>
      </c>
    </row>
    <row r="2756" spans="3:10" x14ac:dyDescent="0.35">
      <c r="C2756" s="144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s="138" t="str">
        <f>+IFERROR(VLOOKUP(Fact_Analitica[[#This Row],[Concepto Anterior]],Conceptos_Analítica_contraloría[#All],5,0),"")</f>
        <v/>
      </c>
      <c r="F2756" s="138" t="str">
        <f>+IFERROR(VLOOKUP(Fact_Analitica[[#This Row],[Concepto Anterior]],Conceptos_Analítica_contraloría[#All],7,0),"")</f>
        <v/>
      </c>
      <c r="I2756" s="138" t="str">
        <f>+IFERROR(VLOOKUP(D2756,Conceptos_Analítica_contraloría[#All],2,0),"")</f>
        <v/>
      </c>
      <c r="J2756" s="138" t="str">
        <f>+IFERROR(VLOOKUP(D2756,Conceptos_Analítica_contraloría[#All],3,0),"")</f>
        <v/>
      </c>
    </row>
    <row r="2757" spans="3:10" x14ac:dyDescent="0.35">
      <c r="C2757" s="144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s="138" t="str">
        <f>+IFERROR(VLOOKUP(Fact_Analitica[[#This Row],[Concepto Anterior]],Conceptos_Analítica_contraloría[#All],5,0),"")</f>
        <v/>
      </c>
      <c r="F2757" s="138" t="str">
        <f>+IFERROR(VLOOKUP(Fact_Analitica[[#This Row],[Concepto Anterior]],Conceptos_Analítica_contraloría[#All],7,0),"")</f>
        <v/>
      </c>
      <c r="I2757" s="138" t="str">
        <f>+IFERROR(VLOOKUP(D2757,Conceptos_Analítica_contraloría[#All],2,0),"")</f>
        <v/>
      </c>
      <c r="J2757" s="138" t="str">
        <f>+IFERROR(VLOOKUP(D2757,Conceptos_Analítica_contraloría[#All],3,0),"")</f>
        <v/>
      </c>
    </row>
    <row r="2758" spans="3:10" x14ac:dyDescent="0.35">
      <c r="C2758" s="144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s="138" t="str">
        <f>+IFERROR(VLOOKUP(Fact_Analitica[[#This Row],[Concepto Anterior]],Conceptos_Analítica_contraloría[#All],5,0),"")</f>
        <v/>
      </c>
      <c r="F2758" s="138" t="str">
        <f>+IFERROR(VLOOKUP(Fact_Analitica[[#This Row],[Concepto Anterior]],Conceptos_Analítica_contraloría[#All],7,0),"")</f>
        <v/>
      </c>
      <c r="I2758" s="138" t="str">
        <f>+IFERROR(VLOOKUP(D2758,Conceptos_Analítica_contraloría[#All],2,0),"")</f>
        <v/>
      </c>
      <c r="J2758" s="138" t="str">
        <f>+IFERROR(VLOOKUP(D2758,Conceptos_Analítica_contraloría[#All],3,0),"")</f>
        <v/>
      </c>
    </row>
    <row r="2759" spans="3:10" x14ac:dyDescent="0.35">
      <c r="C2759" s="144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s="138" t="str">
        <f>+IFERROR(VLOOKUP(Fact_Analitica[[#This Row],[Concepto Anterior]],Conceptos_Analítica_contraloría[#All],5,0),"")</f>
        <v/>
      </c>
      <c r="F2759" s="138" t="str">
        <f>+IFERROR(VLOOKUP(Fact_Analitica[[#This Row],[Concepto Anterior]],Conceptos_Analítica_contraloría[#All],7,0),"")</f>
        <v/>
      </c>
      <c r="I2759" s="138" t="str">
        <f>+IFERROR(VLOOKUP(D2759,Conceptos_Analítica_contraloría[#All],2,0),"")</f>
        <v/>
      </c>
      <c r="J2759" s="138" t="str">
        <f>+IFERROR(VLOOKUP(D2759,Conceptos_Analítica_contraloría[#All],3,0),"")</f>
        <v/>
      </c>
    </row>
    <row r="2760" spans="3:10" x14ac:dyDescent="0.35">
      <c r="C2760" s="144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s="138" t="str">
        <f>+IFERROR(VLOOKUP(Fact_Analitica[[#This Row],[Concepto Anterior]],Conceptos_Analítica_contraloría[#All],5,0),"")</f>
        <v/>
      </c>
      <c r="F2760" s="138" t="str">
        <f>+IFERROR(VLOOKUP(Fact_Analitica[[#This Row],[Concepto Anterior]],Conceptos_Analítica_contraloría[#All],7,0),"")</f>
        <v/>
      </c>
      <c r="I2760" s="138" t="str">
        <f>+IFERROR(VLOOKUP(D2760,Conceptos_Analítica_contraloría[#All],2,0),"")</f>
        <v/>
      </c>
      <c r="J2760" s="138" t="str">
        <f>+IFERROR(VLOOKUP(D2760,Conceptos_Analítica_contraloría[#All],3,0),"")</f>
        <v/>
      </c>
    </row>
    <row r="2761" spans="3:10" x14ac:dyDescent="0.35">
      <c r="C2761" s="144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s="138" t="str">
        <f>+IFERROR(VLOOKUP(Fact_Analitica[[#This Row],[Concepto Anterior]],Conceptos_Analítica_contraloría[#All],5,0),"")</f>
        <v/>
      </c>
      <c r="F2761" s="138" t="str">
        <f>+IFERROR(VLOOKUP(Fact_Analitica[[#This Row],[Concepto Anterior]],Conceptos_Analítica_contraloría[#All],7,0),"")</f>
        <v/>
      </c>
      <c r="I2761" s="138" t="str">
        <f>+IFERROR(VLOOKUP(D2761,Conceptos_Analítica_contraloría[#All],2,0),"")</f>
        <v/>
      </c>
      <c r="J2761" s="138" t="str">
        <f>+IFERROR(VLOOKUP(D2761,Conceptos_Analítica_contraloría[#All],3,0),"")</f>
        <v/>
      </c>
    </row>
    <row r="2762" spans="3:10" x14ac:dyDescent="0.35">
      <c r="C2762" s="144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s="138" t="str">
        <f>+IFERROR(VLOOKUP(Fact_Analitica[[#This Row],[Concepto Anterior]],Conceptos_Analítica_contraloría[#All],5,0),"")</f>
        <v/>
      </c>
      <c r="F2762" s="138" t="str">
        <f>+IFERROR(VLOOKUP(Fact_Analitica[[#This Row],[Concepto Anterior]],Conceptos_Analítica_contraloría[#All],7,0),"")</f>
        <v/>
      </c>
      <c r="I2762" s="138" t="str">
        <f>+IFERROR(VLOOKUP(D2762,Conceptos_Analítica_contraloría[#All],2,0),"")</f>
        <v/>
      </c>
      <c r="J2762" s="138" t="str">
        <f>+IFERROR(VLOOKUP(D2762,Conceptos_Analítica_contraloría[#All],3,0),"")</f>
        <v/>
      </c>
    </row>
    <row r="2763" spans="3:10" x14ac:dyDescent="0.35">
      <c r="C2763" s="144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s="138" t="str">
        <f>+IFERROR(VLOOKUP(Fact_Analitica[[#This Row],[Concepto Anterior]],Conceptos_Analítica_contraloría[#All],5,0),"")</f>
        <v/>
      </c>
      <c r="F2763" s="138" t="str">
        <f>+IFERROR(VLOOKUP(Fact_Analitica[[#This Row],[Concepto Anterior]],Conceptos_Analítica_contraloría[#All],7,0),"")</f>
        <v/>
      </c>
      <c r="I2763" s="138" t="str">
        <f>+IFERROR(VLOOKUP(D2763,Conceptos_Analítica_contraloría[#All],2,0),"")</f>
        <v/>
      </c>
      <c r="J2763" s="138" t="str">
        <f>+IFERROR(VLOOKUP(D2763,Conceptos_Analítica_contraloría[#All],3,0),"")</f>
        <v/>
      </c>
    </row>
    <row r="2764" spans="3:10" x14ac:dyDescent="0.35">
      <c r="C2764" s="144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s="138" t="str">
        <f>+IFERROR(VLOOKUP(Fact_Analitica[[#This Row],[Concepto Anterior]],Conceptos_Analítica_contraloría[#All],5,0),"")</f>
        <v/>
      </c>
      <c r="F2764" s="138" t="str">
        <f>+IFERROR(VLOOKUP(Fact_Analitica[[#This Row],[Concepto Anterior]],Conceptos_Analítica_contraloría[#All],7,0),"")</f>
        <v/>
      </c>
      <c r="I2764" s="138" t="str">
        <f>+IFERROR(VLOOKUP(D2764,Conceptos_Analítica_contraloría[#All],2,0),"")</f>
        <v/>
      </c>
      <c r="J2764" s="138" t="str">
        <f>+IFERROR(VLOOKUP(D2764,Conceptos_Analítica_contraloría[#All],3,0),"")</f>
        <v/>
      </c>
    </row>
    <row r="2765" spans="3:10" x14ac:dyDescent="0.35">
      <c r="C2765" s="144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s="138" t="str">
        <f>+IFERROR(VLOOKUP(Fact_Analitica[[#This Row],[Concepto Anterior]],Conceptos_Analítica_contraloría[#All],5,0),"")</f>
        <v/>
      </c>
      <c r="F2765" s="138" t="str">
        <f>+IFERROR(VLOOKUP(Fact_Analitica[[#This Row],[Concepto Anterior]],Conceptos_Analítica_contraloría[#All],7,0),"")</f>
        <v/>
      </c>
      <c r="I2765" s="138" t="str">
        <f>+IFERROR(VLOOKUP(D2765,Conceptos_Analítica_contraloría[#All],2,0),"")</f>
        <v/>
      </c>
      <c r="J2765" s="138" t="str">
        <f>+IFERROR(VLOOKUP(D2765,Conceptos_Analítica_contraloría[#All],3,0),"")</f>
        <v/>
      </c>
    </row>
    <row r="2766" spans="3:10" x14ac:dyDescent="0.35">
      <c r="C2766" s="144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s="138" t="str">
        <f>+IFERROR(VLOOKUP(Fact_Analitica[[#This Row],[Concepto Anterior]],Conceptos_Analítica_contraloría[#All],5,0),"")</f>
        <v/>
      </c>
      <c r="F2766" s="138" t="str">
        <f>+IFERROR(VLOOKUP(Fact_Analitica[[#This Row],[Concepto Anterior]],Conceptos_Analítica_contraloría[#All],7,0),"")</f>
        <v/>
      </c>
      <c r="I2766" s="138" t="str">
        <f>+IFERROR(VLOOKUP(D2766,Conceptos_Analítica_contraloría[#All],2,0),"")</f>
        <v/>
      </c>
      <c r="J2766" s="138" t="str">
        <f>+IFERROR(VLOOKUP(D2766,Conceptos_Analítica_contraloría[#All],3,0),"")</f>
        <v/>
      </c>
    </row>
    <row r="2767" spans="3:10" x14ac:dyDescent="0.35">
      <c r="C2767" s="144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s="138" t="str">
        <f>+IFERROR(VLOOKUP(Fact_Analitica[[#This Row],[Concepto Anterior]],Conceptos_Analítica_contraloría[#All],5,0),"")</f>
        <v/>
      </c>
      <c r="F2767" s="138" t="str">
        <f>+IFERROR(VLOOKUP(Fact_Analitica[[#This Row],[Concepto Anterior]],Conceptos_Analítica_contraloría[#All],7,0),"")</f>
        <v/>
      </c>
      <c r="I2767" s="138" t="str">
        <f>+IFERROR(VLOOKUP(D2767,Conceptos_Analítica_contraloría[#All],2,0),"")</f>
        <v/>
      </c>
      <c r="J2767" s="138" t="str">
        <f>+IFERROR(VLOOKUP(D2767,Conceptos_Analítica_contraloría[#All],3,0),"")</f>
        <v/>
      </c>
    </row>
    <row r="2768" spans="3:10" x14ac:dyDescent="0.35">
      <c r="C2768" s="144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s="138" t="str">
        <f>+IFERROR(VLOOKUP(Fact_Analitica[[#This Row],[Concepto Anterior]],Conceptos_Analítica_contraloría[#All],5,0),"")</f>
        <v/>
      </c>
      <c r="F2768" s="138" t="str">
        <f>+IFERROR(VLOOKUP(Fact_Analitica[[#This Row],[Concepto Anterior]],Conceptos_Analítica_contraloría[#All],7,0),"")</f>
        <v/>
      </c>
      <c r="I2768" s="138" t="str">
        <f>+IFERROR(VLOOKUP(D2768,Conceptos_Analítica_contraloría[#All],2,0),"")</f>
        <v/>
      </c>
      <c r="J2768" s="138" t="str">
        <f>+IFERROR(VLOOKUP(D2768,Conceptos_Analítica_contraloría[#All],3,0),"")</f>
        <v/>
      </c>
    </row>
    <row r="2769" spans="3:10" x14ac:dyDescent="0.35">
      <c r="C2769" s="144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s="138" t="str">
        <f>+IFERROR(VLOOKUP(Fact_Analitica[[#This Row],[Concepto Anterior]],Conceptos_Analítica_contraloría[#All],5,0),"")</f>
        <v/>
      </c>
      <c r="F2769" s="138" t="str">
        <f>+IFERROR(VLOOKUP(Fact_Analitica[[#This Row],[Concepto Anterior]],Conceptos_Analítica_contraloría[#All],7,0),"")</f>
        <v/>
      </c>
      <c r="I2769" s="138" t="str">
        <f>+IFERROR(VLOOKUP(D2769,Conceptos_Analítica_contraloría[#All],2,0),"")</f>
        <v/>
      </c>
      <c r="J2769" s="138" t="str">
        <f>+IFERROR(VLOOKUP(D2769,Conceptos_Analítica_contraloría[#All],3,0),"")</f>
        <v/>
      </c>
    </row>
    <row r="2770" spans="3:10" x14ac:dyDescent="0.35">
      <c r="C2770" s="144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s="138" t="str">
        <f>+IFERROR(VLOOKUP(Fact_Analitica[[#This Row],[Concepto Anterior]],Conceptos_Analítica_contraloría[#All],5,0),"")</f>
        <v/>
      </c>
      <c r="F2770" s="138" t="str">
        <f>+IFERROR(VLOOKUP(Fact_Analitica[[#This Row],[Concepto Anterior]],Conceptos_Analítica_contraloría[#All],7,0),"")</f>
        <v/>
      </c>
      <c r="I2770" s="138" t="str">
        <f>+IFERROR(VLOOKUP(D2770,Conceptos_Analítica_contraloría[#All],2,0),"")</f>
        <v/>
      </c>
      <c r="J2770" s="138" t="str">
        <f>+IFERROR(VLOOKUP(D2770,Conceptos_Analítica_contraloría[#All],3,0),"")</f>
        <v/>
      </c>
    </row>
    <row r="2771" spans="3:10" x14ac:dyDescent="0.35">
      <c r="C2771" s="144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s="138" t="str">
        <f>+IFERROR(VLOOKUP(Fact_Analitica[[#This Row],[Concepto Anterior]],Conceptos_Analítica_contraloría[#All],5,0),"")</f>
        <v/>
      </c>
      <c r="F2771" s="138" t="str">
        <f>+IFERROR(VLOOKUP(Fact_Analitica[[#This Row],[Concepto Anterior]],Conceptos_Analítica_contraloría[#All],7,0),"")</f>
        <v/>
      </c>
      <c r="I2771" s="138" t="str">
        <f>+IFERROR(VLOOKUP(D2771,Conceptos_Analítica_contraloría[#All],2,0),"")</f>
        <v/>
      </c>
      <c r="J2771" s="138" t="str">
        <f>+IFERROR(VLOOKUP(D2771,Conceptos_Analítica_contraloría[#All],3,0),"")</f>
        <v/>
      </c>
    </row>
    <row r="2772" spans="3:10" x14ac:dyDescent="0.35">
      <c r="C2772" s="144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s="138" t="str">
        <f>+IFERROR(VLOOKUP(Fact_Analitica[[#This Row],[Concepto Anterior]],Conceptos_Analítica_contraloría[#All],5,0),"")</f>
        <v/>
      </c>
      <c r="F2772" s="138" t="str">
        <f>+IFERROR(VLOOKUP(Fact_Analitica[[#This Row],[Concepto Anterior]],Conceptos_Analítica_contraloría[#All],7,0),"")</f>
        <v/>
      </c>
      <c r="I2772" s="138" t="str">
        <f>+IFERROR(VLOOKUP(D2772,Conceptos_Analítica_contraloría[#All],2,0),"")</f>
        <v/>
      </c>
      <c r="J2772" s="138" t="str">
        <f>+IFERROR(VLOOKUP(D2772,Conceptos_Analítica_contraloría[#All],3,0),"")</f>
        <v/>
      </c>
    </row>
    <row r="2773" spans="3:10" x14ac:dyDescent="0.35">
      <c r="C2773" s="144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s="138" t="str">
        <f>+IFERROR(VLOOKUP(Fact_Analitica[[#This Row],[Concepto Anterior]],Conceptos_Analítica_contraloría[#All],5,0),"")</f>
        <v/>
      </c>
      <c r="F2773" s="138" t="str">
        <f>+IFERROR(VLOOKUP(Fact_Analitica[[#This Row],[Concepto Anterior]],Conceptos_Analítica_contraloría[#All],7,0),"")</f>
        <v/>
      </c>
      <c r="I2773" s="138" t="str">
        <f>+IFERROR(VLOOKUP(D2773,Conceptos_Analítica_contraloría[#All],2,0),"")</f>
        <v/>
      </c>
      <c r="J2773" s="138" t="str">
        <f>+IFERROR(VLOOKUP(D2773,Conceptos_Analítica_contraloría[#All],3,0),"")</f>
        <v/>
      </c>
    </row>
    <row r="2774" spans="3:10" x14ac:dyDescent="0.35">
      <c r="C2774" s="144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s="138" t="str">
        <f>+IFERROR(VLOOKUP(Fact_Analitica[[#This Row],[Concepto Anterior]],Conceptos_Analítica_contraloría[#All],5,0),"")</f>
        <v/>
      </c>
      <c r="F2774" s="138" t="str">
        <f>+IFERROR(VLOOKUP(Fact_Analitica[[#This Row],[Concepto Anterior]],Conceptos_Analítica_contraloría[#All],7,0),"")</f>
        <v/>
      </c>
      <c r="I2774" s="138" t="str">
        <f>+IFERROR(VLOOKUP(D2774,Conceptos_Analítica_contraloría[#All],2,0),"")</f>
        <v/>
      </c>
      <c r="J2774" s="138" t="str">
        <f>+IFERROR(VLOOKUP(D2774,Conceptos_Analítica_contraloría[#All],3,0),"")</f>
        <v/>
      </c>
    </row>
    <row r="2775" spans="3:10" x14ac:dyDescent="0.35">
      <c r="C2775" s="144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s="138" t="str">
        <f>+IFERROR(VLOOKUP(Fact_Analitica[[#This Row],[Concepto Anterior]],Conceptos_Analítica_contraloría[#All],5,0),"")</f>
        <v/>
      </c>
      <c r="F2775" s="138" t="str">
        <f>+IFERROR(VLOOKUP(Fact_Analitica[[#This Row],[Concepto Anterior]],Conceptos_Analítica_contraloría[#All],7,0),"")</f>
        <v/>
      </c>
      <c r="I2775" s="138" t="str">
        <f>+IFERROR(VLOOKUP(D2775,Conceptos_Analítica_contraloría[#All],2,0),"")</f>
        <v/>
      </c>
      <c r="J2775" s="138" t="str">
        <f>+IFERROR(VLOOKUP(D2775,Conceptos_Analítica_contraloría[#All],3,0),"")</f>
        <v/>
      </c>
    </row>
    <row r="2776" spans="3:10" x14ac:dyDescent="0.35">
      <c r="C2776" s="144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s="138" t="str">
        <f>+IFERROR(VLOOKUP(Fact_Analitica[[#This Row],[Concepto Anterior]],Conceptos_Analítica_contraloría[#All],5,0),"")</f>
        <v/>
      </c>
      <c r="F2776" s="138" t="str">
        <f>+IFERROR(VLOOKUP(Fact_Analitica[[#This Row],[Concepto Anterior]],Conceptos_Analítica_contraloría[#All],7,0),"")</f>
        <v/>
      </c>
      <c r="I2776" s="138" t="str">
        <f>+IFERROR(VLOOKUP(D2776,Conceptos_Analítica_contraloría[#All],2,0),"")</f>
        <v/>
      </c>
      <c r="J2776" s="138" t="str">
        <f>+IFERROR(VLOOKUP(D2776,Conceptos_Analítica_contraloría[#All],3,0),"")</f>
        <v/>
      </c>
    </row>
    <row r="2777" spans="3:10" x14ac:dyDescent="0.35">
      <c r="C2777" s="144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s="138" t="str">
        <f>+IFERROR(VLOOKUP(Fact_Analitica[[#This Row],[Concepto Anterior]],Conceptos_Analítica_contraloría[#All],5,0),"")</f>
        <v/>
      </c>
      <c r="F2777" s="138" t="str">
        <f>+IFERROR(VLOOKUP(Fact_Analitica[[#This Row],[Concepto Anterior]],Conceptos_Analítica_contraloría[#All],7,0),"")</f>
        <v/>
      </c>
      <c r="I2777" s="138" t="str">
        <f>+IFERROR(VLOOKUP(D2777,Conceptos_Analítica_contraloría[#All],2,0),"")</f>
        <v/>
      </c>
      <c r="J2777" s="138" t="str">
        <f>+IFERROR(VLOOKUP(D2777,Conceptos_Analítica_contraloría[#All],3,0),"")</f>
        <v/>
      </c>
    </row>
    <row r="2778" spans="3:10" x14ac:dyDescent="0.35">
      <c r="C2778" s="144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s="138" t="str">
        <f>+IFERROR(VLOOKUP(Fact_Analitica[[#This Row],[Concepto Anterior]],Conceptos_Analítica_contraloría[#All],5,0),"")</f>
        <v/>
      </c>
      <c r="F2778" s="138" t="str">
        <f>+IFERROR(VLOOKUP(Fact_Analitica[[#This Row],[Concepto Anterior]],Conceptos_Analítica_contraloría[#All],7,0),"")</f>
        <v/>
      </c>
      <c r="I2778" s="138" t="str">
        <f>+IFERROR(VLOOKUP(D2778,Conceptos_Analítica_contraloría[#All],2,0),"")</f>
        <v/>
      </c>
      <c r="J2778" s="138" t="str">
        <f>+IFERROR(VLOOKUP(D2778,Conceptos_Analítica_contraloría[#All],3,0),"")</f>
        <v/>
      </c>
    </row>
    <row r="2779" spans="3:10" x14ac:dyDescent="0.35">
      <c r="C2779" s="144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s="138" t="str">
        <f>+IFERROR(VLOOKUP(Fact_Analitica[[#This Row],[Concepto Anterior]],Conceptos_Analítica_contraloría[#All],5,0),"")</f>
        <v/>
      </c>
      <c r="F2779" s="138" t="str">
        <f>+IFERROR(VLOOKUP(Fact_Analitica[[#This Row],[Concepto Anterior]],Conceptos_Analítica_contraloría[#All],7,0),"")</f>
        <v/>
      </c>
      <c r="I2779" s="138" t="str">
        <f>+IFERROR(VLOOKUP(D2779,Conceptos_Analítica_contraloría[#All],2,0),"")</f>
        <v/>
      </c>
      <c r="J2779" s="138" t="str">
        <f>+IFERROR(VLOOKUP(D2779,Conceptos_Analítica_contraloría[#All],3,0),"")</f>
        <v/>
      </c>
    </row>
    <row r="2780" spans="3:10" x14ac:dyDescent="0.35">
      <c r="C2780" s="144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s="138" t="str">
        <f>+IFERROR(VLOOKUP(Fact_Analitica[[#This Row],[Concepto Anterior]],Conceptos_Analítica_contraloría[#All],5,0),"")</f>
        <v/>
      </c>
      <c r="F2780" s="138" t="str">
        <f>+IFERROR(VLOOKUP(Fact_Analitica[[#This Row],[Concepto Anterior]],Conceptos_Analítica_contraloría[#All],7,0),"")</f>
        <v/>
      </c>
      <c r="I2780" s="138" t="str">
        <f>+IFERROR(VLOOKUP(D2780,Conceptos_Analítica_contraloría[#All],2,0),"")</f>
        <v/>
      </c>
      <c r="J2780" s="138" t="str">
        <f>+IFERROR(VLOOKUP(D2780,Conceptos_Analítica_contraloría[#All],3,0),"")</f>
        <v/>
      </c>
    </row>
    <row r="2781" spans="3:10" x14ac:dyDescent="0.35">
      <c r="C2781" s="144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s="138" t="str">
        <f>+IFERROR(VLOOKUP(Fact_Analitica[[#This Row],[Concepto Anterior]],Conceptos_Analítica_contraloría[#All],5,0),"")</f>
        <v/>
      </c>
      <c r="F2781" s="138" t="str">
        <f>+IFERROR(VLOOKUP(Fact_Analitica[[#This Row],[Concepto Anterior]],Conceptos_Analítica_contraloría[#All],7,0),"")</f>
        <v/>
      </c>
      <c r="I2781" s="138" t="str">
        <f>+IFERROR(VLOOKUP(D2781,Conceptos_Analítica_contraloría[#All],2,0),"")</f>
        <v/>
      </c>
      <c r="J2781" s="138" t="str">
        <f>+IFERROR(VLOOKUP(D2781,Conceptos_Analítica_contraloría[#All],3,0),"")</f>
        <v/>
      </c>
    </row>
    <row r="2782" spans="3:10" x14ac:dyDescent="0.35">
      <c r="C2782" s="144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s="138" t="str">
        <f>+IFERROR(VLOOKUP(Fact_Analitica[[#This Row],[Concepto Anterior]],Conceptos_Analítica_contraloría[#All],5,0),"")</f>
        <v/>
      </c>
      <c r="F2782" s="138" t="str">
        <f>+IFERROR(VLOOKUP(Fact_Analitica[[#This Row],[Concepto Anterior]],Conceptos_Analítica_contraloría[#All],7,0),"")</f>
        <v/>
      </c>
      <c r="I2782" s="138" t="str">
        <f>+IFERROR(VLOOKUP(D2782,Conceptos_Analítica_contraloría[#All],2,0),"")</f>
        <v/>
      </c>
      <c r="J2782" s="138" t="str">
        <f>+IFERROR(VLOOKUP(D2782,Conceptos_Analítica_contraloría[#All],3,0),"")</f>
        <v/>
      </c>
    </row>
    <row r="2783" spans="3:10" x14ac:dyDescent="0.35">
      <c r="C2783" s="144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s="138" t="str">
        <f>+IFERROR(VLOOKUP(Fact_Analitica[[#This Row],[Concepto Anterior]],Conceptos_Analítica_contraloría[#All],5,0),"")</f>
        <v/>
      </c>
      <c r="F2783" s="138" t="str">
        <f>+IFERROR(VLOOKUP(Fact_Analitica[[#This Row],[Concepto Anterior]],Conceptos_Analítica_contraloría[#All],7,0),"")</f>
        <v/>
      </c>
      <c r="I2783" s="138" t="str">
        <f>+IFERROR(VLOOKUP(D2783,Conceptos_Analítica_contraloría[#All],2,0),"")</f>
        <v/>
      </c>
      <c r="J2783" s="138" t="str">
        <f>+IFERROR(VLOOKUP(D2783,Conceptos_Analítica_contraloría[#All],3,0),"")</f>
        <v/>
      </c>
    </row>
    <row r="2784" spans="3:10" x14ac:dyDescent="0.35">
      <c r="C2784" s="144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s="138" t="str">
        <f>+IFERROR(VLOOKUP(Fact_Analitica[[#This Row],[Concepto Anterior]],Conceptos_Analítica_contraloría[#All],5,0),"")</f>
        <v/>
      </c>
      <c r="F2784" s="138" t="str">
        <f>+IFERROR(VLOOKUP(Fact_Analitica[[#This Row],[Concepto Anterior]],Conceptos_Analítica_contraloría[#All],7,0),"")</f>
        <v/>
      </c>
      <c r="I2784" s="138" t="str">
        <f>+IFERROR(VLOOKUP(D2784,Conceptos_Analítica_contraloría[#All],2,0),"")</f>
        <v/>
      </c>
      <c r="J2784" s="138" t="str">
        <f>+IFERROR(VLOOKUP(D2784,Conceptos_Analítica_contraloría[#All],3,0),"")</f>
        <v/>
      </c>
    </row>
    <row r="2785" spans="3:10" x14ac:dyDescent="0.35">
      <c r="C2785" s="144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s="138" t="str">
        <f>+IFERROR(VLOOKUP(Fact_Analitica[[#This Row],[Concepto Anterior]],Conceptos_Analítica_contraloría[#All],5,0),"")</f>
        <v/>
      </c>
      <c r="F2785" s="138" t="str">
        <f>+IFERROR(VLOOKUP(Fact_Analitica[[#This Row],[Concepto Anterior]],Conceptos_Analítica_contraloría[#All],7,0),"")</f>
        <v/>
      </c>
      <c r="I2785" s="138" t="str">
        <f>+IFERROR(VLOOKUP(D2785,Conceptos_Analítica_contraloría[#All],2,0),"")</f>
        <v/>
      </c>
      <c r="J2785" s="138" t="str">
        <f>+IFERROR(VLOOKUP(D2785,Conceptos_Analítica_contraloría[#All],3,0),"")</f>
        <v/>
      </c>
    </row>
    <row r="2786" spans="3:10" x14ac:dyDescent="0.35">
      <c r="C2786" s="144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s="138" t="str">
        <f>+IFERROR(VLOOKUP(Fact_Analitica[[#This Row],[Concepto Anterior]],Conceptos_Analítica_contraloría[#All],5,0),"")</f>
        <v/>
      </c>
      <c r="F2786" s="138" t="str">
        <f>+IFERROR(VLOOKUP(Fact_Analitica[[#This Row],[Concepto Anterior]],Conceptos_Analítica_contraloría[#All],7,0),"")</f>
        <v/>
      </c>
      <c r="I2786" s="138" t="str">
        <f>+IFERROR(VLOOKUP(D2786,Conceptos_Analítica_contraloría[#All],2,0),"")</f>
        <v/>
      </c>
      <c r="J2786" s="138" t="str">
        <f>+IFERROR(VLOOKUP(D2786,Conceptos_Analítica_contraloría[#All],3,0),"")</f>
        <v/>
      </c>
    </row>
    <row r="2787" spans="3:10" x14ac:dyDescent="0.35">
      <c r="C2787" s="144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s="138" t="str">
        <f>+IFERROR(VLOOKUP(Fact_Analitica[[#This Row],[Concepto Anterior]],Conceptos_Analítica_contraloría[#All],5,0),"")</f>
        <v/>
      </c>
      <c r="F2787" s="138" t="str">
        <f>+IFERROR(VLOOKUP(Fact_Analitica[[#This Row],[Concepto Anterior]],Conceptos_Analítica_contraloría[#All],7,0),"")</f>
        <v/>
      </c>
      <c r="I2787" s="138" t="str">
        <f>+IFERROR(VLOOKUP(D2787,Conceptos_Analítica_contraloría[#All],2,0),"")</f>
        <v/>
      </c>
      <c r="J2787" s="138" t="str">
        <f>+IFERROR(VLOOKUP(D2787,Conceptos_Analítica_contraloría[#All],3,0),"")</f>
        <v/>
      </c>
    </row>
    <row r="2788" spans="3:10" x14ac:dyDescent="0.35">
      <c r="C2788" s="144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s="138" t="str">
        <f>+IFERROR(VLOOKUP(Fact_Analitica[[#This Row],[Concepto Anterior]],Conceptos_Analítica_contraloría[#All],5,0),"")</f>
        <v/>
      </c>
      <c r="F2788" s="138" t="str">
        <f>+IFERROR(VLOOKUP(Fact_Analitica[[#This Row],[Concepto Anterior]],Conceptos_Analítica_contraloría[#All],7,0),"")</f>
        <v/>
      </c>
      <c r="I2788" s="138" t="str">
        <f>+IFERROR(VLOOKUP(D2788,Conceptos_Analítica_contraloría[#All],2,0),"")</f>
        <v/>
      </c>
      <c r="J2788" s="138" t="str">
        <f>+IFERROR(VLOOKUP(D2788,Conceptos_Analítica_contraloría[#All],3,0),"")</f>
        <v/>
      </c>
    </row>
    <row r="2789" spans="3:10" x14ac:dyDescent="0.35">
      <c r="C2789" s="144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s="138" t="str">
        <f>+IFERROR(VLOOKUP(Fact_Analitica[[#This Row],[Concepto Anterior]],Conceptos_Analítica_contraloría[#All],5,0),"")</f>
        <v/>
      </c>
      <c r="F2789" s="138" t="str">
        <f>+IFERROR(VLOOKUP(Fact_Analitica[[#This Row],[Concepto Anterior]],Conceptos_Analítica_contraloría[#All],7,0),"")</f>
        <v/>
      </c>
      <c r="I2789" s="138" t="str">
        <f>+IFERROR(VLOOKUP(D2789,Conceptos_Analítica_contraloría[#All],2,0),"")</f>
        <v/>
      </c>
      <c r="J2789" s="138" t="str">
        <f>+IFERROR(VLOOKUP(D2789,Conceptos_Analítica_contraloría[#All],3,0),"")</f>
        <v/>
      </c>
    </row>
    <row r="2790" spans="3:10" x14ac:dyDescent="0.35">
      <c r="C2790" s="144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s="138" t="str">
        <f>+IFERROR(VLOOKUP(Fact_Analitica[[#This Row],[Concepto Anterior]],Conceptos_Analítica_contraloría[#All],5,0),"")</f>
        <v/>
      </c>
      <c r="F2790" s="138" t="str">
        <f>+IFERROR(VLOOKUP(Fact_Analitica[[#This Row],[Concepto Anterior]],Conceptos_Analítica_contraloría[#All],7,0),"")</f>
        <v/>
      </c>
      <c r="I2790" s="138" t="str">
        <f>+IFERROR(VLOOKUP(D2790,Conceptos_Analítica_contraloría[#All],2,0),"")</f>
        <v/>
      </c>
      <c r="J2790" s="138" t="str">
        <f>+IFERROR(VLOOKUP(D2790,Conceptos_Analítica_contraloría[#All],3,0),"")</f>
        <v/>
      </c>
    </row>
    <row r="2791" spans="3:10" x14ac:dyDescent="0.35">
      <c r="C2791" s="144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s="138" t="str">
        <f>+IFERROR(VLOOKUP(Fact_Analitica[[#This Row],[Concepto Anterior]],Conceptos_Analítica_contraloría[#All],5,0),"")</f>
        <v/>
      </c>
      <c r="F2791" s="138" t="str">
        <f>+IFERROR(VLOOKUP(Fact_Analitica[[#This Row],[Concepto Anterior]],Conceptos_Analítica_contraloría[#All],7,0),"")</f>
        <v/>
      </c>
      <c r="I2791" s="138" t="str">
        <f>+IFERROR(VLOOKUP(D2791,Conceptos_Analítica_contraloría[#All],2,0),"")</f>
        <v/>
      </c>
      <c r="J2791" s="138" t="str">
        <f>+IFERROR(VLOOKUP(D2791,Conceptos_Analítica_contraloría[#All],3,0),"")</f>
        <v/>
      </c>
    </row>
    <row r="2792" spans="3:10" x14ac:dyDescent="0.35">
      <c r="C2792" s="144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s="138" t="str">
        <f>+IFERROR(VLOOKUP(Fact_Analitica[[#This Row],[Concepto Anterior]],Conceptos_Analítica_contraloría[#All],5,0),"")</f>
        <v/>
      </c>
      <c r="F2792" s="138" t="str">
        <f>+IFERROR(VLOOKUP(Fact_Analitica[[#This Row],[Concepto Anterior]],Conceptos_Analítica_contraloría[#All],7,0),"")</f>
        <v/>
      </c>
      <c r="I2792" s="138" t="str">
        <f>+IFERROR(VLOOKUP(D2792,Conceptos_Analítica_contraloría[#All],2,0),"")</f>
        <v/>
      </c>
      <c r="J2792" s="138" t="str">
        <f>+IFERROR(VLOOKUP(D2792,Conceptos_Analítica_contraloría[#All],3,0),"")</f>
        <v/>
      </c>
    </row>
    <row r="2793" spans="3:10" x14ac:dyDescent="0.35">
      <c r="C2793" s="144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s="138" t="str">
        <f>+IFERROR(VLOOKUP(Fact_Analitica[[#This Row],[Concepto Anterior]],Conceptos_Analítica_contraloría[#All],5,0),"")</f>
        <v/>
      </c>
      <c r="F2793" s="138" t="str">
        <f>+IFERROR(VLOOKUP(Fact_Analitica[[#This Row],[Concepto Anterior]],Conceptos_Analítica_contraloría[#All],7,0),"")</f>
        <v/>
      </c>
      <c r="I2793" s="138" t="str">
        <f>+IFERROR(VLOOKUP(D2793,Conceptos_Analítica_contraloría[#All],2,0),"")</f>
        <v/>
      </c>
      <c r="J2793" s="138" t="str">
        <f>+IFERROR(VLOOKUP(D2793,Conceptos_Analítica_contraloría[#All],3,0),"")</f>
        <v/>
      </c>
    </row>
    <row r="2794" spans="3:10" x14ac:dyDescent="0.35">
      <c r="C2794" s="144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s="138" t="str">
        <f>+IFERROR(VLOOKUP(Fact_Analitica[[#This Row],[Concepto Anterior]],Conceptos_Analítica_contraloría[#All],5,0),"")</f>
        <v/>
      </c>
      <c r="F2794" s="138" t="str">
        <f>+IFERROR(VLOOKUP(Fact_Analitica[[#This Row],[Concepto Anterior]],Conceptos_Analítica_contraloría[#All],7,0),"")</f>
        <v/>
      </c>
      <c r="I2794" s="138" t="str">
        <f>+IFERROR(VLOOKUP(D2794,Conceptos_Analítica_contraloría[#All],2,0),"")</f>
        <v/>
      </c>
      <c r="J2794" s="138" t="str">
        <f>+IFERROR(VLOOKUP(D2794,Conceptos_Analítica_contraloría[#All],3,0),"")</f>
        <v/>
      </c>
    </row>
    <row r="2795" spans="3:10" x14ac:dyDescent="0.35">
      <c r="C2795" s="144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s="138" t="str">
        <f>+IFERROR(VLOOKUP(Fact_Analitica[[#This Row],[Concepto Anterior]],Conceptos_Analítica_contraloría[#All],5,0),"")</f>
        <v/>
      </c>
      <c r="F2795" s="138" t="str">
        <f>+IFERROR(VLOOKUP(Fact_Analitica[[#This Row],[Concepto Anterior]],Conceptos_Analítica_contraloría[#All],7,0),"")</f>
        <v/>
      </c>
      <c r="I2795" s="138" t="str">
        <f>+IFERROR(VLOOKUP(D2795,Conceptos_Analítica_contraloría[#All],2,0),"")</f>
        <v/>
      </c>
      <c r="J2795" s="138" t="str">
        <f>+IFERROR(VLOOKUP(D2795,Conceptos_Analítica_contraloría[#All],3,0),"")</f>
        <v/>
      </c>
    </row>
    <row r="2796" spans="3:10" x14ac:dyDescent="0.35">
      <c r="C2796" s="144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s="138" t="str">
        <f>+IFERROR(VLOOKUP(Fact_Analitica[[#This Row],[Concepto Anterior]],Conceptos_Analítica_contraloría[#All],5,0),"")</f>
        <v/>
      </c>
      <c r="F2796" s="138" t="str">
        <f>+IFERROR(VLOOKUP(Fact_Analitica[[#This Row],[Concepto Anterior]],Conceptos_Analítica_contraloría[#All],7,0),"")</f>
        <v/>
      </c>
      <c r="I2796" s="138" t="str">
        <f>+IFERROR(VLOOKUP(D2796,Conceptos_Analítica_contraloría[#All],2,0),"")</f>
        <v/>
      </c>
      <c r="J2796" s="138" t="str">
        <f>+IFERROR(VLOOKUP(D2796,Conceptos_Analítica_contraloría[#All],3,0),"")</f>
        <v/>
      </c>
    </row>
    <row r="2797" spans="3:10" x14ac:dyDescent="0.35">
      <c r="C2797" s="144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s="138" t="str">
        <f>+IFERROR(VLOOKUP(Fact_Analitica[[#This Row],[Concepto Anterior]],Conceptos_Analítica_contraloría[#All],5,0),"")</f>
        <v/>
      </c>
      <c r="F2797" s="138" t="str">
        <f>+IFERROR(VLOOKUP(Fact_Analitica[[#This Row],[Concepto Anterior]],Conceptos_Analítica_contraloría[#All],7,0),"")</f>
        <v/>
      </c>
      <c r="I2797" s="138" t="str">
        <f>+IFERROR(VLOOKUP(D2797,Conceptos_Analítica_contraloría[#All],2,0),"")</f>
        <v/>
      </c>
      <c r="J2797" s="138" t="str">
        <f>+IFERROR(VLOOKUP(D2797,Conceptos_Analítica_contraloría[#All],3,0),"")</f>
        <v/>
      </c>
    </row>
    <row r="2798" spans="3:10" x14ac:dyDescent="0.35">
      <c r="C2798" s="144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s="138" t="str">
        <f>+IFERROR(VLOOKUP(Fact_Analitica[[#This Row],[Concepto Anterior]],Conceptos_Analítica_contraloría[#All],5,0),"")</f>
        <v/>
      </c>
      <c r="F2798" s="138" t="str">
        <f>+IFERROR(VLOOKUP(Fact_Analitica[[#This Row],[Concepto Anterior]],Conceptos_Analítica_contraloría[#All],7,0),"")</f>
        <v/>
      </c>
      <c r="I2798" s="138" t="str">
        <f>+IFERROR(VLOOKUP(D2798,Conceptos_Analítica_contraloría[#All],2,0),"")</f>
        <v/>
      </c>
      <c r="J2798" s="138" t="str">
        <f>+IFERROR(VLOOKUP(D2798,Conceptos_Analítica_contraloría[#All],3,0),"")</f>
        <v/>
      </c>
    </row>
    <row r="2799" spans="3:10" x14ac:dyDescent="0.35">
      <c r="C2799" s="144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s="138" t="str">
        <f>+IFERROR(VLOOKUP(Fact_Analitica[[#This Row],[Concepto Anterior]],Conceptos_Analítica_contraloría[#All],5,0),"")</f>
        <v/>
      </c>
      <c r="F2799" s="138" t="str">
        <f>+IFERROR(VLOOKUP(Fact_Analitica[[#This Row],[Concepto Anterior]],Conceptos_Analítica_contraloría[#All],7,0),"")</f>
        <v/>
      </c>
      <c r="I2799" s="138" t="str">
        <f>+IFERROR(VLOOKUP(D2799,Conceptos_Analítica_contraloría[#All],2,0),"")</f>
        <v/>
      </c>
      <c r="J2799" s="138" t="str">
        <f>+IFERROR(VLOOKUP(D2799,Conceptos_Analítica_contraloría[#All],3,0),"")</f>
        <v/>
      </c>
    </row>
    <row r="2800" spans="3:10" x14ac:dyDescent="0.35">
      <c r="C2800" s="144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s="138" t="str">
        <f>+IFERROR(VLOOKUP(Fact_Analitica[[#This Row],[Concepto Anterior]],Conceptos_Analítica_contraloría[#All],5,0),"")</f>
        <v/>
      </c>
      <c r="F2800" s="138" t="str">
        <f>+IFERROR(VLOOKUP(Fact_Analitica[[#This Row],[Concepto Anterior]],Conceptos_Analítica_contraloría[#All],7,0),"")</f>
        <v/>
      </c>
      <c r="I2800" s="138" t="str">
        <f>+IFERROR(VLOOKUP(D2800,Conceptos_Analítica_contraloría[#All],2,0),"")</f>
        <v/>
      </c>
      <c r="J2800" s="138" t="str">
        <f>+IFERROR(VLOOKUP(D2800,Conceptos_Analítica_contraloría[#All],3,0),"")</f>
        <v/>
      </c>
    </row>
    <row r="2801" spans="3:10" x14ac:dyDescent="0.35">
      <c r="C2801" s="144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s="138" t="str">
        <f>+IFERROR(VLOOKUP(Fact_Analitica[[#This Row],[Concepto Anterior]],Conceptos_Analítica_contraloría[#All],5,0),"")</f>
        <v/>
      </c>
      <c r="F2801" s="138" t="str">
        <f>+IFERROR(VLOOKUP(Fact_Analitica[[#This Row],[Concepto Anterior]],Conceptos_Analítica_contraloría[#All],7,0),"")</f>
        <v/>
      </c>
      <c r="I2801" s="138" t="str">
        <f>+IFERROR(VLOOKUP(D2801,Conceptos_Analítica_contraloría[#All],2,0),"")</f>
        <v/>
      </c>
      <c r="J2801" s="138" t="str">
        <f>+IFERROR(VLOOKUP(D2801,Conceptos_Analítica_contraloría[#All],3,0),"")</f>
        <v/>
      </c>
    </row>
    <row r="2802" spans="3:10" x14ac:dyDescent="0.35">
      <c r="C2802" s="144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s="138" t="str">
        <f>+IFERROR(VLOOKUP(Fact_Analitica[[#This Row],[Concepto Anterior]],Conceptos_Analítica_contraloría[#All],5,0),"")</f>
        <v/>
      </c>
      <c r="F2802" s="138" t="str">
        <f>+IFERROR(VLOOKUP(Fact_Analitica[[#This Row],[Concepto Anterior]],Conceptos_Analítica_contraloría[#All],7,0),"")</f>
        <v/>
      </c>
      <c r="I2802" s="138" t="str">
        <f>+IFERROR(VLOOKUP(D2802,Conceptos_Analítica_contraloría[#All],2,0),"")</f>
        <v/>
      </c>
      <c r="J2802" s="138" t="str">
        <f>+IFERROR(VLOOKUP(D2802,Conceptos_Analítica_contraloría[#All],3,0),"")</f>
        <v/>
      </c>
    </row>
    <row r="2803" spans="3:10" x14ac:dyDescent="0.35">
      <c r="C2803" s="144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s="138" t="str">
        <f>+IFERROR(VLOOKUP(Fact_Analitica[[#This Row],[Concepto Anterior]],Conceptos_Analítica_contraloría[#All],5,0),"")</f>
        <v/>
      </c>
      <c r="F2803" s="138" t="str">
        <f>+IFERROR(VLOOKUP(Fact_Analitica[[#This Row],[Concepto Anterior]],Conceptos_Analítica_contraloría[#All],7,0),"")</f>
        <v/>
      </c>
      <c r="I2803" s="138" t="str">
        <f>+IFERROR(VLOOKUP(D2803,Conceptos_Analítica_contraloría[#All],2,0),"")</f>
        <v/>
      </c>
      <c r="J2803" s="138" t="str">
        <f>+IFERROR(VLOOKUP(D2803,Conceptos_Analítica_contraloría[#All],3,0),"")</f>
        <v/>
      </c>
    </row>
    <row r="2804" spans="3:10" x14ac:dyDescent="0.35">
      <c r="C2804" s="144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s="138" t="str">
        <f>+IFERROR(VLOOKUP(Fact_Analitica[[#This Row],[Concepto Anterior]],Conceptos_Analítica_contraloría[#All],5,0),"")</f>
        <v/>
      </c>
      <c r="F2804" s="138" t="str">
        <f>+IFERROR(VLOOKUP(Fact_Analitica[[#This Row],[Concepto Anterior]],Conceptos_Analítica_contraloría[#All],7,0),"")</f>
        <v/>
      </c>
      <c r="I2804" s="138" t="str">
        <f>+IFERROR(VLOOKUP(D2804,Conceptos_Analítica_contraloría[#All],2,0),"")</f>
        <v/>
      </c>
      <c r="J2804" s="138" t="str">
        <f>+IFERROR(VLOOKUP(D2804,Conceptos_Analítica_contraloría[#All],3,0),"")</f>
        <v/>
      </c>
    </row>
    <row r="2805" spans="3:10" x14ac:dyDescent="0.35">
      <c r="C2805" s="144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s="138" t="str">
        <f>+IFERROR(VLOOKUP(Fact_Analitica[[#This Row],[Concepto Anterior]],Conceptos_Analítica_contraloría[#All],5,0),"")</f>
        <v/>
      </c>
      <c r="F2805" s="138" t="str">
        <f>+IFERROR(VLOOKUP(Fact_Analitica[[#This Row],[Concepto Anterior]],Conceptos_Analítica_contraloría[#All],7,0),"")</f>
        <v/>
      </c>
      <c r="I2805" s="138" t="str">
        <f>+IFERROR(VLOOKUP(D2805,Conceptos_Analítica_contraloría[#All],2,0),"")</f>
        <v/>
      </c>
      <c r="J2805" s="138" t="str">
        <f>+IFERROR(VLOOKUP(D2805,Conceptos_Analítica_contraloría[#All],3,0),"")</f>
        <v/>
      </c>
    </row>
    <row r="2806" spans="3:10" x14ac:dyDescent="0.35">
      <c r="C2806" s="144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s="138" t="str">
        <f>+IFERROR(VLOOKUP(Fact_Analitica[[#This Row],[Concepto Anterior]],Conceptos_Analítica_contraloría[#All],5,0),"")</f>
        <v/>
      </c>
      <c r="F2806" s="138" t="str">
        <f>+IFERROR(VLOOKUP(Fact_Analitica[[#This Row],[Concepto Anterior]],Conceptos_Analítica_contraloría[#All],7,0),"")</f>
        <v/>
      </c>
      <c r="I2806" s="138" t="str">
        <f>+IFERROR(VLOOKUP(D2806,Conceptos_Analítica_contraloría[#All],2,0),"")</f>
        <v/>
      </c>
      <c r="J2806" s="138" t="str">
        <f>+IFERROR(VLOOKUP(D2806,Conceptos_Analítica_contraloría[#All],3,0),"")</f>
        <v/>
      </c>
    </row>
    <row r="2807" spans="3:10" x14ac:dyDescent="0.35">
      <c r="C2807" s="144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s="138" t="str">
        <f>+IFERROR(VLOOKUP(Fact_Analitica[[#This Row],[Concepto Anterior]],Conceptos_Analítica_contraloría[#All],5,0),"")</f>
        <v/>
      </c>
      <c r="F2807" s="138" t="str">
        <f>+IFERROR(VLOOKUP(Fact_Analitica[[#This Row],[Concepto Anterior]],Conceptos_Analítica_contraloría[#All],7,0),"")</f>
        <v/>
      </c>
      <c r="I2807" s="138" t="str">
        <f>+IFERROR(VLOOKUP(D2807,Conceptos_Analítica_contraloría[#All],2,0),"")</f>
        <v/>
      </c>
      <c r="J2807" s="138" t="str">
        <f>+IFERROR(VLOOKUP(D2807,Conceptos_Analítica_contraloría[#All],3,0),"")</f>
        <v/>
      </c>
    </row>
    <row r="2808" spans="3:10" x14ac:dyDescent="0.35">
      <c r="C2808" s="144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s="138" t="str">
        <f>+IFERROR(VLOOKUP(Fact_Analitica[[#This Row],[Concepto Anterior]],Conceptos_Analítica_contraloría[#All],5,0),"")</f>
        <v/>
      </c>
      <c r="F2808" s="138" t="str">
        <f>+IFERROR(VLOOKUP(Fact_Analitica[[#This Row],[Concepto Anterior]],Conceptos_Analítica_contraloría[#All],7,0),"")</f>
        <v/>
      </c>
      <c r="I2808" s="138" t="str">
        <f>+IFERROR(VLOOKUP(D2808,Conceptos_Analítica_contraloría[#All],2,0),"")</f>
        <v/>
      </c>
      <c r="J2808" s="138" t="str">
        <f>+IFERROR(VLOOKUP(D2808,Conceptos_Analítica_contraloría[#All],3,0),"")</f>
        <v/>
      </c>
    </row>
    <row r="2809" spans="3:10" x14ac:dyDescent="0.35">
      <c r="C2809" s="144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s="138" t="str">
        <f>+IFERROR(VLOOKUP(Fact_Analitica[[#This Row],[Concepto Anterior]],Conceptos_Analítica_contraloría[#All],5,0),"")</f>
        <v/>
      </c>
      <c r="F2809" s="138" t="str">
        <f>+IFERROR(VLOOKUP(Fact_Analitica[[#This Row],[Concepto Anterior]],Conceptos_Analítica_contraloría[#All],7,0),"")</f>
        <v/>
      </c>
      <c r="I2809" s="138" t="str">
        <f>+IFERROR(VLOOKUP(D2809,Conceptos_Analítica_contraloría[#All],2,0),"")</f>
        <v/>
      </c>
      <c r="J2809" s="138" t="str">
        <f>+IFERROR(VLOOKUP(D2809,Conceptos_Analítica_contraloría[#All],3,0),"")</f>
        <v/>
      </c>
    </row>
    <row r="2810" spans="3:10" x14ac:dyDescent="0.35">
      <c r="C2810" s="144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s="138" t="str">
        <f>+IFERROR(VLOOKUP(Fact_Analitica[[#This Row],[Concepto Anterior]],Conceptos_Analítica_contraloría[#All],5,0),"")</f>
        <v/>
      </c>
      <c r="F2810" s="138" t="str">
        <f>+IFERROR(VLOOKUP(Fact_Analitica[[#This Row],[Concepto Anterior]],Conceptos_Analítica_contraloría[#All],7,0),"")</f>
        <v/>
      </c>
      <c r="I2810" s="138" t="str">
        <f>+IFERROR(VLOOKUP(D2810,Conceptos_Analítica_contraloría[#All],2,0),"")</f>
        <v/>
      </c>
      <c r="J2810" s="138" t="str">
        <f>+IFERROR(VLOOKUP(D2810,Conceptos_Analítica_contraloría[#All],3,0),"")</f>
        <v/>
      </c>
    </row>
    <row r="2811" spans="3:10" x14ac:dyDescent="0.35">
      <c r="C2811" s="144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s="138" t="str">
        <f>+IFERROR(VLOOKUP(Fact_Analitica[[#This Row],[Concepto Anterior]],Conceptos_Analítica_contraloría[#All],5,0),"")</f>
        <v/>
      </c>
      <c r="F2811" s="138" t="str">
        <f>+IFERROR(VLOOKUP(Fact_Analitica[[#This Row],[Concepto Anterior]],Conceptos_Analítica_contraloría[#All],7,0),"")</f>
        <v/>
      </c>
      <c r="I2811" s="138" t="str">
        <f>+IFERROR(VLOOKUP(D2811,Conceptos_Analítica_contraloría[#All],2,0),"")</f>
        <v/>
      </c>
      <c r="J2811" s="138" t="str">
        <f>+IFERROR(VLOOKUP(D2811,Conceptos_Analítica_contraloría[#All],3,0),"")</f>
        <v/>
      </c>
    </row>
    <row r="2812" spans="3:10" x14ac:dyDescent="0.35">
      <c r="C2812" s="144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s="138" t="str">
        <f>+IFERROR(VLOOKUP(Fact_Analitica[[#This Row],[Concepto Anterior]],Conceptos_Analítica_contraloría[#All],5,0),"")</f>
        <v/>
      </c>
      <c r="F2812" s="138" t="str">
        <f>+IFERROR(VLOOKUP(Fact_Analitica[[#This Row],[Concepto Anterior]],Conceptos_Analítica_contraloría[#All],7,0),"")</f>
        <v/>
      </c>
      <c r="I2812" s="138" t="str">
        <f>+IFERROR(VLOOKUP(D2812,Conceptos_Analítica_contraloría[#All],2,0),"")</f>
        <v/>
      </c>
      <c r="J2812" s="138" t="str">
        <f>+IFERROR(VLOOKUP(D2812,Conceptos_Analítica_contraloría[#All],3,0),"")</f>
        <v/>
      </c>
    </row>
    <row r="2813" spans="3:10" x14ac:dyDescent="0.35">
      <c r="C2813" s="144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s="138" t="str">
        <f>+IFERROR(VLOOKUP(Fact_Analitica[[#This Row],[Concepto Anterior]],Conceptos_Analítica_contraloría[#All],5,0),"")</f>
        <v/>
      </c>
      <c r="F2813" s="138" t="str">
        <f>+IFERROR(VLOOKUP(Fact_Analitica[[#This Row],[Concepto Anterior]],Conceptos_Analítica_contraloría[#All],7,0),"")</f>
        <v/>
      </c>
      <c r="I2813" s="138" t="str">
        <f>+IFERROR(VLOOKUP(D2813,Conceptos_Analítica_contraloría[#All],2,0),"")</f>
        <v/>
      </c>
      <c r="J2813" s="138" t="str">
        <f>+IFERROR(VLOOKUP(D2813,Conceptos_Analítica_contraloría[#All],3,0),"")</f>
        <v/>
      </c>
    </row>
    <row r="2814" spans="3:10" x14ac:dyDescent="0.35">
      <c r="C2814" s="144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s="138" t="str">
        <f>+IFERROR(VLOOKUP(Fact_Analitica[[#This Row],[Concepto Anterior]],Conceptos_Analítica_contraloría[#All],5,0),"")</f>
        <v/>
      </c>
      <c r="F2814" s="138" t="str">
        <f>+IFERROR(VLOOKUP(Fact_Analitica[[#This Row],[Concepto Anterior]],Conceptos_Analítica_contraloría[#All],7,0),"")</f>
        <v/>
      </c>
      <c r="I2814" s="138" t="str">
        <f>+IFERROR(VLOOKUP(D2814,Conceptos_Analítica_contraloría[#All],2,0),"")</f>
        <v/>
      </c>
      <c r="J2814" s="138" t="str">
        <f>+IFERROR(VLOOKUP(D2814,Conceptos_Analítica_contraloría[#All],3,0),"")</f>
        <v/>
      </c>
    </row>
    <row r="2815" spans="3:10" x14ac:dyDescent="0.35">
      <c r="C2815" s="144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s="138" t="str">
        <f>+IFERROR(VLOOKUP(Fact_Analitica[[#This Row],[Concepto Anterior]],Conceptos_Analítica_contraloría[#All],5,0),"")</f>
        <v/>
      </c>
      <c r="F2815" s="138" t="str">
        <f>+IFERROR(VLOOKUP(Fact_Analitica[[#This Row],[Concepto Anterior]],Conceptos_Analítica_contraloría[#All],7,0),"")</f>
        <v/>
      </c>
      <c r="I2815" s="138" t="str">
        <f>+IFERROR(VLOOKUP(D2815,Conceptos_Analítica_contraloría[#All],2,0),"")</f>
        <v/>
      </c>
      <c r="J2815" s="138" t="str">
        <f>+IFERROR(VLOOKUP(D2815,Conceptos_Analítica_contraloría[#All],3,0),"")</f>
        <v/>
      </c>
    </row>
    <row r="2816" spans="3:10" x14ac:dyDescent="0.35">
      <c r="C2816" s="144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s="138" t="str">
        <f>+IFERROR(VLOOKUP(Fact_Analitica[[#This Row],[Concepto Anterior]],Conceptos_Analítica_contraloría[#All],5,0),"")</f>
        <v/>
      </c>
      <c r="F2816" s="138" t="str">
        <f>+IFERROR(VLOOKUP(Fact_Analitica[[#This Row],[Concepto Anterior]],Conceptos_Analítica_contraloría[#All],7,0),"")</f>
        <v/>
      </c>
      <c r="I2816" s="138" t="str">
        <f>+IFERROR(VLOOKUP(D2816,Conceptos_Analítica_contraloría[#All],2,0),"")</f>
        <v/>
      </c>
      <c r="J2816" s="138" t="str">
        <f>+IFERROR(VLOOKUP(D2816,Conceptos_Analítica_contraloría[#All],3,0),"")</f>
        <v/>
      </c>
    </row>
    <row r="2817" spans="3:10" x14ac:dyDescent="0.35">
      <c r="C2817" s="144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s="138" t="str">
        <f>+IFERROR(VLOOKUP(Fact_Analitica[[#This Row],[Concepto Anterior]],Conceptos_Analítica_contraloría[#All],5,0),"")</f>
        <v/>
      </c>
      <c r="F2817" s="138" t="str">
        <f>+IFERROR(VLOOKUP(Fact_Analitica[[#This Row],[Concepto Anterior]],Conceptos_Analítica_contraloría[#All],7,0),"")</f>
        <v/>
      </c>
      <c r="I2817" s="138" t="str">
        <f>+IFERROR(VLOOKUP(D2817,Conceptos_Analítica_contraloría[#All],2,0),"")</f>
        <v/>
      </c>
      <c r="J2817" s="138" t="str">
        <f>+IFERROR(VLOOKUP(D2817,Conceptos_Analítica_contraloría[#All],3,0),"")</f>
        <v/>
      </c>
    </row>
    <row r="2818" spans="3:10" x14ac:dyDescent="0.35">
      <c r="C2818" s="144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s="138" t="str">
        <f>+IFERROR(VLOOKUP(Fact_Analitica[[#This Row],[Concepto Anterior]],Conceptos_Analítica_contraloría[#All],5,0),"")</f>
        <v/>
      </c>
      <c r="F2818" s="138" t="str">
        <f>+IFERROR(VLOOKUP(Fact_Analitica[[#This Row],[Concepto Anterior]],Conceptos_Analítica_contraloría[#All],7,0),"")</f>
        <v/>
      </c>
      <c r="I2818" s="138" t="str">
        <f>+IFERROR(VLOOKUP(D2818,Conceptos_Analítica_contraloría[#All],2,0),"")</f>
        <v/>
      </c>
      <c r="J2818" s="138" t="str">
        <f>+IFERROR(VLOOKUP(D2818,Conceptos_Analítica_contraloría[#All],3,0),"")</f>
        <v/>
      </c>
    </row>
    <row r="2819" spans="3:10" x14ac:dyDescent="0.35">
      <c r="C2819" s="144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s="138" t="str">
        <f>+IFERROR(VLOOKUP(Fact_Analitica[[#This Row],[Concepto Anterior]],Conceptos_Analítica_contraloría[#All],5,0),"")</f>
        <v/>
      </c>
      <c r="F2819" s="138" t="str">
        <f>+IFERROR(VLOOKUP(Fact_Analitica[[#This Row],[Concepto Anterior]],Conceptos_Analítica_contraloría[#All],7,0),"")</f>
        <v/>
      </c>
      <c r="I2819" s="138" t="str">
        <f>+IFERROR(VLOOKUP(D2819,Conceptos_Analítica_contraloría[#All],2,0),"")</f>
        <v/>
      </c>
      <c r="J2819" s="138" t="str">
        <f>+IFERROR(VLOOKUP(D2819,Conceptos_Analítica_contraloría[#All],3,0),"")</f>
        <v/>
      </c>
    </row>
    <row r="2820" spans="3:10" x14ac:dyDescent="0.35">
      <c r="C2820" s="144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s="138" t="str">
        <f>+IFERROR(VLOOKUP(Fact_Analitica[[#This Row],[Concepto Anterior]],Conceptos_Analítica_contraloría[#All],5,0),"")</f>
        <v/>
      </c>
      <c r="F2820" s="138" t="str">
        <f>+IFERROR(VLOOKUP(Fact_Analitica[[#This Row],[Concepto Anterior]],Conceptos_Analítica_contraloría[#All],7,0),"")</f>
        <v/>
      </c>
      <c r="I2820" s="138" t="str">
        <f>+IFERROR(VLOOKUP(D2820,Conceptos_Analítica_contraloría[#All],2,0),"")</f>
        <v/>
      </c>
      <c r="J2820" s="138" t="str">
        <f>+IFERROR(VLOOKUP(D2820,Conceptos_Analítica_contraloría[#All],3,0),"")</f>
        <v/>
      </c>
    </row>
    <row r="2821" spans="3:10" x14ac:dyDescent="0.35">
      <c r="C2821" s="144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s="138" t="str">
        <f>+IFERROR(VLOOKUP(Fact_Analitica[[#This Row],[Concepto Anterior]],Conceptos_Analítica_contraloría[#All],5,0),"")</f>
        <v/>
      </c>
      <c r="F2821" s="138" t="str">
        <f>+IFERROR(VLOOKUP(Fact_Analitica[[#This Row],[Concepto Anterior]],Conceptos_Analítica_contraloría[#All],7,0),"")</f>
        <v/>
      </c>
      <c r="I2821" s="138" t="str">
        <f>+IFERROR(VLOOKUP(D2821,Conceptos_Analítica_contraloría[#All],2,0),"")</f>
        <v/>
      </c>
      <c r="J2821" s="138" t="str">
        <f>+IFERROR(VLOOKUP(D2821,Conceptos_Analítica_contraloría[#All],3,0),"")</f>
        <v/>
      </c>
    </row>
    <row r="2822" spans="3:10" x14ac:dyDescent="0.35">
      <c r="C2822" s="144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s="138" t="str">
        <f>+IFERROR(VLOOKUP(Fact_Analitica[[#This Row],[Concepto Anterior]],Conceptos_Analítica_contraloría[#All],5,0),"")</f>
        <v/>
      </c>
      <c r="F2822" s="138" t="str">
        <f>+IFERROR(VLOOKUP(Fact_Analitica[[#This Row],[Concepto Anterior]],Conceptos_Analítica_contraloría[#All],7,0),"")</f>
        <v/>
      </c>
      <c r="I2822" s="138" t="str">
        <f>+IFERROR(VLOOKUP(D2822,Conceptos_Analítica_contraloría[#All],2,0),"")</f>
        <v/>
      </c>
      <c r="J2822" s="138" t="str">
        <f>+IFERROR(VLOOKUP(D2822,Conceptos_Analítica_contraloría[#All],3,0),"")</f>
        <v/>
      </c>
    </row>
    <row r="2823" spans="3:10" x14ac:dyDescent="0.35">
      <c r="C2823" s="144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s="138" t="str">
        <f>+IFERROR(VLOOKUP(Fact_Analitica[[#This Row],[Concepto Anterior]],Conceptos_Analítica_contraloría[#All],5,0),"")</f>
        <v/>
      </c>
      <c r="F2823" s="138" t="str">
        <f>+IFERROR(VLOOKUP(Fact_Analitica[[#This Row],[Concepto Anterior]],Conceptos_Analítica_contraloría[#All],7,0),"")</f>
        <v/>
      </c>
      <c r="I2823" s="138" t="str">
        <f>+IFERROR(VLOOKUP(D2823,Conceptos_Analítica_contraloría[#All],2,0),"")</f>
        <v/>
      </c>
      <c r="J2823" s="138" t="str">
        <f>+IFERROR(VLOOKUP(D2823,Conceptos_Analítica_contraloría[#All],3,0),"")</f>
        <v/>
      </c>
    </row>
    <row r="2824" spans="3:10" x14ac:dyDescent="0.35">
      <c r="C2824" s="144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s="138" t="str">
        <f>+IFERROR(VLOOKUP(Fact_Analitica[[#This Row],[Concepto Anterior]],Conceptos_Analítica_contraloría[#All],5,0),"")</f>
        <v/>
      </c>
      <c r="F2824" s="138" t="str">
        <f>+IFERROR(VLOOKUP(Fact_Analitica[[#This Row],[Concepto Anterior]],Conceptos_Analítica_contraloría[#All],7,0),"")</f>
        <v/>
      </c>
      <c r="I2824" s="138" t="str">
        <f>+IFERROR(VLOOKUP(D2824,Conceptos_Analítica_contraloría[#All],2,0),"")</f>
        <v/>
      </c>
      <c r="J2824" s="138" t="str">
        <f>+IFERROR(VLOOKUP(D2824,Conceptos_Analítica_contraloría[#All],3,0),"")</f>
        <v/>
      </c>
    </row>
    <row r="2825" spans="3:10" x14ac:dyDescent="0.35">
      <c r="C2825" s="144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s="138" t="str">
        <f>+IFERROR(VLOOKUP(Fact_Analitica[[#This Row],[Concepto Anterior]],Conceptos_Analítica_contraloría[#All],5,0),"")</f>
        <v/>
      </c>
      <c r="F2825" s="138" t="str">
        <f>+IFERROR(VLOOKUP(Fact_Analitica[[#This Row],[Concepto Anterior]],Conceptos_Analítica_contraloría[#All],7,0),"")</f>
        <v/>
      </c>
      <c r="I2825" s="138" t="str">
        <f>+IFERROR(VLOOKUP(D2825,Conceptos_Analítica_contraloría[#All],2,0),"")</f>
        <v/>
      </c>
      <c r="J2825" s="138" t="str">
        <f>+IFERROR(VLOOKUP(D2825,Conceptos_Analítica_contraloría[#All],3,0),"")</f>
        <v/>
      </c>
    </row>
    <row r="2826" spans="3:10" x14ac:dyDescent="0.35">
      <c r="C2826" s="144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s="138" t="str">
        <f>+IFERROR(VLOOKUP(Fact_Analitica[[#This Row],[Concepto Anterior]],Conceptos_Analítica_contraloría[#All],5,0),"")</f>
        <v/>
      </c>
      <c r="F2826" s="138" t="str">
        <f>+IFERROR(VLOOKUP(Fact_Analitica[[#This Row],[Concepto Anterior]],Conceptos_Analítica_contraloría[#All],7,0),"")</f>
        <v/>
      </c>
      <c r="I2826" s="138" t="str">
        <f>+IFERROR(VLOOKUP(D2826,Conceptos_Analítica_contraloría[#All],2,0),"")</f>
        <v/>
      </c>
      <c r="J2826" s="138" t="str">
        <f>+IFERROR(VLOOKUP(D2826,Conceptos_Analítica_contraloría[#All],3,0),"")</f>
        <v/>
      </c>
    </row>
    <row r="2827" spans="3:10" x14ac:dyDescent="0.35">
      <c r="C2827" s="144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s="138" t="str">
        <f>+IFERROR(VLOOKUP(Fact_Analitica[[#This Row],[Concepto Anterior]],Conceptos_Analítica_contraloría[#All],5,0),"")</f>
        <v/>
      </c>
      <c r="F2827" s="138" t="str">
        <f>+IFERROR(VLOOKUP(Fact_Analitica[[#This Row],[Concepto Anterior]],Conceptos_Analítica_contraloría[#All],7,0),"")</f>
        <v/>
      </c>
      <c r="I2827" s="138" t="str">
        <f>+IFERROR(VLOOKUP(D2827,Conceptos_Analítica_contraloría[#All],2,0),"")</f>
        <v/>
      </c>
      <c r="J2827" s="138" t="str">
        <f>+IFERROR(VLOOKUP(D2827,Conceptos_Analítica_contraloría[#All],3,0),"")</f>
        <v/>
      </c>
    </row>
    <row r="2828" spans="3:10" x14ac:dyDescent="0.35">
      <c r="C2828" s="144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s="138" t="str">
        <f>+IFERROR(VLOOKUP(Fact_Analitica[[#This Row],[Concepto Anterior]],Conceptos_Analítica_contraloría[#All],5,0),"")</f>
        <v/>
      </c>
      <c r="F2828" s="138" t="str">
        <f>+IFERROR(VLOOKUP(Fact_Analitica[[#This Row],[Concepto Anterior]],Conceptos_Analítica_contraloría[#All],7,0),"")</f>
        <v/>
      </c>
      <c r="I2828" s="138" t="str">
        <f>+IFERROR(VLOOKUP(D2828,Conceptos_Analítica_contraloría[#All],2,0),"")</f>
        <v/>
      </c>
      <c r="J2828" s="138" t="str">
        <f>+IFERROR(VLOOKUP(D2828,Conceptos_Analítica_contraloría[#All],3,0),"")</f>
        <v/>
      </c>
    </row>
    <row r="2829" spans="3:10" x14ac:dyDescent="0.35">
      <c r="C2829" s="144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s="138" t="str">
        <f>+IFERROR(VLOOKUP(Fact_Analitica[[#This Row],[Concepto Anterior]],Conceptos_Analítica_contraloría[#All],5,0),"")</f>
        <v/>
      </c>
      <c r="F2829" s="138" t="str">
        <f>+IFERROR(VLOOKUP(Fact_Analitica[[#This Row],[Concepto Anterior]],Conceptos_Analítica_contraloría[#All],7,0),"")</f>
        <v/>
      </c>
      <c r="I2829" s="138" t="str">
        <f>+IFERROR(VLOOKUP(D2829,Conceptos_Analítica_contraloría[#All],2,0),"")</f>
        <v/>
      </c>
      <c r="J2829" s="138" t="str">
        <f>+IFERROR(VLOOKUP(D2829,Conceptos_Analítica_contraloría[#All],3,0),"")</f>
        <v/>
      </c>
    </row>
    <row r="2830" spans="3:10" x14ac:dyDescent="0.35">
      <c r="C2830" s="144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s="138" t="str">
        <f>+IFERROR(VLOOKUP(Fact_Analitica[[#This Row],[Concepto Anterior]],Conceptos_Analítica_contraloría[#All],5,0),"")</f>
        <v/>
      </c>
      <c r="F2830" s="138" t="str">
        <f>+IFERROR(VLOOKUP(Fact_Analitica[[#This Row],[Concepto Anterior]],Conceptos_Analítica_contraloría[#All],7,0),"")</f>
        <v/>
      </c>
      <c r="I2830" s="138" t="str">
        <f>+IFERROR(VLOOKUP(D2830,Conceptos_Analítica_contraloría[#All],2,0),"")</f>
        <v/>
      </c>
      <c r="J2830" s="138" t="str">
        <f>+IFERROR(VLOOKUP(D2830,Conceptos_Analítica_contraloría[#All],3,0),"")</f>
        <v/>
      </c>
    </row>
    <row r="2831" spans="3:10" x14ac:dyDescent="0.35">
      <c r="C2831" s="144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s="138" t="str">
        <f>+IFERROR(VLOOKUP(Fact_Analitica[[#This Row],[Concepto Anterior]],Conceptos_Analítica_contraloría[#All],5,0),"")</f>
        <v/>
      </c>
      <c r="F2831" s="138" t="str">
        <f>+IFERROR(VLOOKUP(Fact_Analitica[[#This Row],[Concepto Anterior]],Conceptos_Analítica_contraloría[#All],7,0),"")</f>
        <v/>
      </c>
      <c r="I2831" s="138" t="str">
        <f>+IFERROR(VLOOKUP(D2831,Conceptos_Analítica_contraloría[#All],2,0),"")</f>
        <v/>
      </c>
      <c r="J2831" s="138" t="str">
        <f>+IFERROR(VLOOKUP(D2831,Conceptos_Analítica_contraloría[#All],3,0),"")</f>
        <v/>
      </c>
    </row>
    <row r="2832" spans="3:10" x14ac:dyDescent="0.35">
      <c r="C2832" s="144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s="138" t="str">
        <f>+IFERROR(VLOOKUP(Fact_Analitica[[#This Row],[Concepto Anterior]],Conceptos_Analítica_contraloría[#All],5,0),"")</f>
        <v/>
      </c>
      <c r="F2832" s="138" t="str">
        <f>+IFERROR(VLOOKUP(Fact_Analitica[[#This Row],[Concepto Anterior]],Conceptos_Analítica_contraloría[#All],7,0),"")</f>
        <v/>
      </c>
      <c r="I2832" s="138" t="str">
        <f>+IFERROR(VLOOKUP(D2832,Conceptos_Analítica_contraloría[#All],2,0),"")</f>
        <v/>
      </c>
      <c r="J2832" s="138" t="str">
        <f>+IFERROR(VLOOKUP(D2832,Conceptos_Analítica_contraloría[#All],3,0),"")</f>
        <v/>
      </c>
    </row>
    <row r="2833" spans="3:10" x14ac:dyDescent="0.35">
      <c r="C2833" s="144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s="138" t="str">
        <f>+IFERROR(VLOOKUP(Fact_Analitica[[#This Row],[Concepto Anterior]],Conceptos_Analítica_contraloría[#All],5,0),"")</f>
        <v/>
      </c>
      <c r="F2833" s="138" t="str">
        <f>+IFERROR(VLOOKUP(Fact_Analitica[[#This Row],[Concepto Anterior]],Conceptos_Analítica_contraloría[#All],7,0),"")</f>
        <v/>
      </c>
      <c r="I2833" s="138" t="str">
        <f>+IFERROR(VLOOKUP(D2833,Conceptos_Analítica_contraloría[#All],2,0),"")</f>
        <v/>
      </c>
      <c r="J2833" s="138" t="str">
        <f>+IFERROR(VLOOKUP(D2833,Conceptos_Analítica_contraloría[#All],3,0),"")</f>
        <v/>
      </c>
    </row>
    <row r="2834" spans="3:10" x14ac:dyDescent="0.35">
      <c r="C2834" s="144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s="138" t="str">
        <f>+IFERROR(VLOOKUP(Fact_Analitica[[#This Row],[Concepto Anterior]],Conceptos_Analítica_contraloría[#All],5,0),"")</f>
        <v/>
      </c>
      <c r="F2834" s="138" t="str">
        <f>+IFERROR(VLOOKUP(Fact_Analitica[[#This Row],[Concepto Anterior]],Conceptos_Analítica_contraloría[#All],7,0),"")</f>
        <v/>
      </c>
      <c r="I2834" s="138" t="str">
        <f>+IFERROR(VLOOKUP(D2834,Conceptos_Analítica_contraloría[#All],2,0),"")</f>
        <v/>
      </c>
      <c r="J2834" s="138" t="str">
        <f>+IFERROR(VLOOKUP(D2834,Conceptos_Analítica_contraloría[#All],3,0),"")</f>
        <v/>
      </c>
    </row>
    <row r="2835" spans="3:10" x14ac:dyDescent="0.35">
      <c r="C2835" s="144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s="138" t="str">
        <f>+IFERROR(VLOOKUP(Fact_Analitica[[#This Row],[Concepto Anterior]],Conceptos_Analítica_contraloría[#All],5,0),"")</f>
        <v/>
      </c>
      <c r="F2835" s="138" t="str">
        <f>+IFERROR(VLOOKUP(Fact_Analitica[[#This Row],[Concepto Anterior]],Conceptos_Analítica_contraloría[#All],7,0),"")</f>
        <v/>
      </c>
      <c r="I2835" s="138" t="str">
        <f>+IFERROR(VLOOKUP(D2835,Conceptos_Analítica_contraloría[#All],2,0),"")</f>
        <v/>
      </c>
      <c r="J2835" s="138" t="str">
        <f>+IFERROR(VLOOKUP(D2835,Conceptos_Analítica_contraloría[#All],3,0),"")</f>
        <v/>
      </c>
    </row>
    <row r="2836" spans="3:10" x14ac:dyDescent="0.35">
      <c r="C2836" s="144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s="138" t="str">
        <f>+IFERROR(VLOOKUP(Fact_Analitica[[#This Row],[Concepto Anterior]],Conceptos_Analítica_contraloría[#All],5,0),"")</f>
        <v/>
      </c>
      <c r="F2836" s="138" t="str">
        <f>+IFERROR(VLOOKUP(Fact_Analitica[[#This Row],[Concepto Anterior]],Conceptos_Analítica_contraloría[#All],7,0),"")</f>
        <v/>
      </c>
      <c r="I2836" s="138" t="str">
        <f>+IFERROR(VLOOKUP(D2836,Conceptos_Analítica_contraloría[#All],2,0),"")</f>
        <v/>
      </c>
      <c r="J2836" s="138" t="str">
        <f>+IFERROR(VLOOKUP(D2836,Conceptos_Analítica_contraloría[#All],3,0),"")</f>
        <v/>
      </c>
    </row>
    <row r="2837" spans="3:10" x14ac:dyDescent="0.35">
      <c r="C2837" s="144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s="138" t="str">
        <f>+IFERROR(VLOOKUP(Fact_Analitica[[#This Row],[Concepto Anterior]],Conceptos_Analítica_contraloría[#All],5,0),"")</f>
        <v/>
      </c>
      <c r="F2837" s="138" t="str">
        <f>+IFERROR(VLOOKUP(Fact_Analitica[[#This Row],[Concepto Anterior]],Conceptos_Analítica_contraloría[#All],7,0),"")</f>
        <v/>
      </c>
      <c r="I2837" s="138" t="str">
        <f>+IFERROR(VLOOKUP(D2837,Conceptos_Analítica_contraloría[#All],2,0),"")</f>
        <v/>
      </c>
      <c r="J2837" s="138" t="str">
        <f>+IFERROR(VLOOKUP(D2837,Conceptos_Analítica_contraloría[#All],3,0),"")</f>
        <v/>
      </c>
    </row>
    <row r="2838" spans="3:10" x14ac:dyDescent="0.35">
      <c r="C2838" s="144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s="138" t="str">
        <f>+IFERROR(VLOOKUP(Fact_Analitica[[#This Row],[Concepto Anterior]],Conceptos_Analítica_contraloría[#All],5,0),"")</f>
        <v/>
      </c>
      <c r="F2838" s="138" t="str">
        <f>+IFERROR(VLOOKUP(Fact_Analitica[[#This Row],[Concepto Anterior]],Conceptos_Analítica_contraloría[#All],7,0),"")</f>
        <v/>
      </c>
      <c r="I2838" s="138" t="str">
        <f>+IFERROR(VLOOKUP(D2838,Conceptos_Analítica_contraloría[#All],2,0),"")</f>
        <v/>
      </c>
      <c r="J2838" s="138" t="str">
        <f>+IFERROR(VLOOKUP(D2838,Conceptos_Analítica_contraloría[#All],3,0),"")</f>
        <v/>
      </c>
    </row>
    <row r="2839" spans="3:10" x14ac:dyDescent="0.35">
      <c r="C2839" s="144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s="138" t="str">
        <f>+IFERROR(VLOOKUP(Fact_Analitica[[#This Row],[Concepto Anterior]],Conceptos_Analítica_contraloría[#All],5,0),"")</f>
        <v/>
      </c>
      <c r="F2839" s="138" t="str">
        <f>+IFERROR(VLOOKUP(Fact_Analitica[[#This Row],[Concepto Anterior]],Conceptos_Analítica_contraloría[#All],7,0),"")</f>
        <v/>
      </c>
      <c r="I2839" s="138" t="str">
        <f>+IFERROR(VLOOKUP(D2839,Conceptos_Analítica_contraloría[#All],2,0),"")</f>
        <v/>
      </c>
      <c r="J2839" s="138" t="str">
        <f>+IFERROR(VLOOKUP(D2839,Conceptos_Analítica_contraloría[#All],3,0),"")</f>
        <v/>
      </c>
    </row>
    <row r="2840" spans="3:10" x14ac:dyDescent="0.35">
      <c r="C2840" s="144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s="138" t="str">
        <f>+IFERROR(VLOOKUP(Fact_Analitica[[#This Row],[Concepto Anterior]],Conceptos_Analítica_contraloría[#All],5,0),"")</f>
        <v/>
      </c>
      <c r="F2840" s="138" t="str">
        <f>+IFERROR(VLOOKUP(Fact_Analitica[[#This Row],[Concepto Anterior]],Conceptos_Analítica_contraloría[#All],7,0),"")</f>
        <v/>
      </c>
      <c r="I2840" s="138" t="str">
        <f>+IFERROR(VLOOKUP(D2840,Conceptos_Analítica_contraloría[#All],2,0),"")</f>
        <v/>
      </c>
      <c r="J2840" s="138" t="str">
        <f>+IFERROR(VLOOKUP(D2840,Conceptos_Analítica_contraloría[#All],3,0),"")</f>
        <v/>
      </c>
    </row>
    <row r="2841" spans="3:10" x14ac:dyDescent="0.35">
      <c r="C2841" s="144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s="138" t="str">
        <f>+IFERROR(VLOOKUP(Fact_Analitica[[#This Row],[Concepto Anterior]],Conceptos_Analítica_contraloría[#All],5,0),"")</f>
        <v/>
      </c>
      <c r="F2841" s="138" t="str">
        <f>+IFERROR(VLOOKUP(Fact_Analitica[[#This Row],[Concepto Anterior]],Conceptos_Analítica_contraloría[#All],7,0),"")</f>
        <v/>
      </c>
      <c r="I2841" s="138" t="str">
        <f>+IFERROR(VLOOKUP(D2841,Conceptos_Analítica_contraloría[#All],2,0),"")</f>
        <v/>
      </c>
      <c r="J2841" s="138" t="str">
        <f>+IFERROR(VLOOKUP(D2841,Conceptos_Analítica_contraloría[#All],3,0),"")</f>
        <v/>
      </c>
    </row>
    <row r="2842" spans="3:10" x14ac:dyDescent="0.35">
      <c r="C2842" s="144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s="138" t="str">
        <f>+IFERROR(VLOOKUP(Fact_Analitica[[#This Row],[Concepto Anterior]],Conceptos_Analítica_contraloría[#All],5,0),"")</f>
        <v/>
      </c>
      <c r="F2842" s="138" t="str">
        <f>+IFERROR(VLOOKUP(Fact_Analitica[[#This Row],[Concepto Anterior]],Conceptos_Analítica_contraloría[#All],7,0),"")</f>
        <v/>
      </c>
      <c r="I2842" s="138" t="str">
        <f>+IFERROR(VLOOKUP(D2842,Conceptos_Analítica_contraloría[#All],2,0),"")</f>
        <v/>
      </c>
      <c r="J2842" s="138" t="str">
        <f>+IFERROR(VLOOKUP(D2842,Conceptos_Analítica_contraloría[#All],3,0),"")</f>
        <v/>
      </c>
    </row>
    <row r="2843" spans="3:10" x14ac:dyDescent="0.35">
      <c r="C2843" s="144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s="138" t="str">
        <f>+IFERROR(VLOOKUP(Fact_Analitica[[#This Row],[Concepto Anterior]],Conceptos_Analítica_contraloría[#All],5,0),"")</f>
        <v/>
      </c>
      <c r="F2843" s="138" t="str">
        <f>+IFERROR(VLOOKUP(Fact_Analitica[[#This Row],[Concepto Anterior]],Conceptos_Analítica_contraloría[#All],7,0),"")</f>
        <v/>
      </c>
      <c r="I2843" s="138" t="str">
        <f>+IFERROR(VLOOKUP(D2843,Conceptos_Analítica_contraloría[#All],2,0),"")</f>
        <v/>
      </c>
      <c r="J2843" s="138" t="str">
        <f>+IFERROR(VLOOKUP(D2843,Conceptos_Analítica_contraloría[#All],3,0),"")</f>
        <v/>
      </c>
    </row>
    <row r="2844" spans="3:10" x14ac:dyDescent="0.35">
      <c r="C2844" s="144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s="138" t="str">
        <f>+IFERROR(VLOOKUP(Fact_Analitica[[#This Row],[Concepto Anterior]],Conceptos_Analítica_contraloría[#All],5,0),"")</f>
        <v/>
      </c>
      <c r="F2844" s="138" t="str">
        <f>+IFERROR(VLOOKUP(Fact_Analitica[[#This Row],[Concepto Anterior]],Conceptos_Analítica_contraloría[#All],7,0),"")</f>
        <v/>
      </c>
      <c r="I2844" s="138" t="str">
        <f>+IFERROR(VLOOKUP(D2844,Conceptos_Analítica_contraloría[#All],2,0),"")</f>
        <v/>
      </c>
      <c r="J2844" s="138" t="str">
        <f>+IFERROR(VLOOKUP(D2844,Conceptos_Analítica_contraloría[#All],3,0),"")</f>
        <v/>
      </c>
    </row>
    <row r="2845" spans="3:10" x14ac:dyDescent="0.35">
      <c r="C2845" s="144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s="138" t="str">
        <f>+IFERROR(VLOOKUP(Fact_Analitica[[#This Row],[Concepto Anterior]],Conceptos_Analítica_contraloría[#All],5,0),"")</f>
        <v/>
      </c>
      <c r="F2845" s="138" t="str">
        <f>+IFERROR(VLOOKUP(Fact_Analitica[[#This Row],[Concepto Anterior]],Conceptos_Analítica_contraloría[#All],7,0),"")</f>
        <v/>
      </c>
      <c r="I2845" s="138" t="str">
        <f>+IFERROR(VLOOKUP(D2845,Conceptos_Analítica_contraloría[#All],2,0),"")</f>
        <v/>
      </c>
      <c r="J2845" s="138" t="str">
        <f>+IFERROR(VLOOKUP(D2845,Conceptos_Analítica_contraloría[#All],3,0),"")</f>
        <v/>
      </c>
    </row>
    <row r="2846" spans="3:10" x14ac:dyDescent="0.35">
      <c r="C2846" s="144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s="138" t="str">
        <f>+IFERROR(VLOOKUP(Fact_Analitica[[#This Row],[Concepto Anterior]],Conceptos_Analítica_contraloría[#All],5,0),"")</f>
        <v/>
      </c>
      <c r="F2846" s="138" t="str">
        <f>+IFERROR(VLOOKUP(Fact_Analitica[[#This Row],[Concepto Anterior]],Conceptos_Analítica_contraloría[#All],7,0),"")</f>
        <v/>
      </c>
      <c r="I2846" s="138" t="str">
        <f>+IFERROR(VLOOKUP(D2846,Conceptos_Analítica_contraloría[#All],2,0),"")</f>
        <v/>
      </c>
      <c r="J2846" s="138" t="str">
        <f>+IFERROR(VLOOKUP(D2846,Conceptos_Analítica_contraloría[#All],3,0),"")</f>
        <v/>
      </c>
    </row>
    <row r="2847" spans="3:10" x14ac:dyDescent="0.35">
      <c r="C2847" s="144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s="138" t="str">
        <f>+IFERROR(VLOOKUP(Fact_Analitica[[#This Row],[Concepto Anterior]],Conceptos_Analítica_contraloría[#All],5,0),"")</f>
        <v/>
      </c>
      <c r="F2847" s="138" t="str">
        <f>+IFERROR(VLOOKUP(Fact_Analitica[[#This Row],[Concepto Anterior]],Conceptos_Analítica_contraloría[#All],7,0),"")</f>
        <v/>
      </c>
      <c r="I2847" s="138" t="str">
        <f>+IFERROR(VLOOKUP(D2847,Conceptos_Analítica_contraloría[#All],2,0),"")</f>
        <v/>
      </c>
      <c r="J2847" s="138" t="str">
        <f>+IFERROR(VLOOKUP(D2847,Conceptos_Analítica_contraloría[#All],3,0),"")</f>
        <v/>
      </c>
    </row>
    <row r="2848" spans="3:10" x14ac:dyDescent="0.35">
      <c r="C2848" s="144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s="138" t="str">
        <f>+IFERROR(VLOOKUP(Fact_Analitica[[#This Row],[Concepto Anterior]],Conceptos_Analítica_contraloría[#All],5,0),"")</f>
        <v/>
      </c>
      <c r="F2848" s="138" t="str">
        <f>+IFERROR(VLOOKUP(Fact_Analitica[[#This Row],[Concepto Anterior]],Conceptos_Analítica_contraloría[#All],7,0),"")</f>
        <v/>
      </c>
      <c r="I2848" s="138" t="str">
        <f>+IFERROR(VLOOKUP(D2848,Conceptos_Analítica_contraloría[#All],2,0),"")</f>
        <v/>
      </c>
      <c r="J2848" s="138" t="str">
        <f>+IFERROR(VLOOKUP(D2848,Conceptos_Analítica_contraloría[#All],3,0),"")</f>
        <v/>
      </c>
    </row>
    <row r="2849" spans="3:10" x14ac:dyDescent="0.35">
      <c r="C2849" s="144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s="138" t="str">
        <f>+IFERROR(VLOOKUP(Fact_Analitica[[#This Row],[Concepto Anterior]],Conceptos_Analítica_contraloría[#All],5,0),"")</f>
        <v/>
      </c>
      <c r="F2849" s="138" t="str">
        <f>+IFERROR(VLOOKUP(Fact_Analitica[[#This Row],[Concepto Anterior]],Conceptos_Analítica_contraloría[#All],7,0),"")</f>
        <v/>
      </c>
      <c r="I2849" s="138" t="str">
        <f>+IFERROR(VLOOKUP(D2849,Conceptos_Analítica_contraloría[#All],2,0),"")</f>
        <v/>
      </c>
      <c r="J2849" s="138" t="str">
        <f>+IFERROR(VLOOKUP(D2849,Conceptos_Analítica_contraloría[#All],3,0),"")</f>
        <v/>
      </c>
    </row>
    <row r="2850" spans="3:10" x14ac:dyDescent="0.35">
      <c r="C2850" s="144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s="138" t="str">
        <f>+IFERROR(VLOOKUP(Fact_Analitica[[#This Row],[Concepto Anterior]],Conceptos_Analítica_contraloría[#All],5,0),"")</f>
        <v/>
      </c>
      <c r="F2850" s="138" t="str">
        <f>+IFERROR(VLOOKUP(Fact_Analitica[[#This Row],[Concepto Anterior]],Conceptos_Analítica_contraloría[#All],7,0),"")</f>
        <v/>
      </c>
      <c r="I2850" s="138" t="str">
        <f>+IFERROR(VLOOKUP(D2850,Conceptos_Analítica_contraloría[#All],2,0),"")</f>
        <v/>
      </c>
      <c r="J2850" s="138" t="str">
        <f>+IFERROR(VLOOKUP(D2850,Conceptos_Analítica_contraloría[#All],3,0),"")</f>
        <v/>
      </c>
    </row>
    <row r="2851" spans="3:10" x14ac:dyDescent="0.35">
      <c r="C2851" s="144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s="138" t="str">
        <f>+IFERROR(VLOOKUP(Fact_Analitica[[#This Row],[Concepto Anterior]],Conceptos_Analítica_contraloría[#All],5,0),"")</f>
        <v/>
      </c>
      <c r="F2851" s="138" t="str">
        <f>+IFERROR(VLOOKUP(Fact_Analitica[[#This Row],[Concepto Anterior]],Conceptos_Analítica_contraloría[#All],7,0),"")</f>
        <v/>
      </c>
      <c r="I2851" s="138" t="str">
        <f>+IFERROR(VLOOKUP(D2851,Conceptos_Analítica_contraloría[#All],2,0),"")</f>
        <v/>
      </c>
      <c r="J2851" s="138" t="str">
        <f>+IFERROR(VLOOKUP(D2851,Conceptos_Analítica_contraloría[#All],3,0),"")</f>
        <v/>
      </c>
    </row>
    <row r="2852" spans="3:10" x14ac:dyDescent="0.35">
      <c r="C2852" s="144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s="138" t="str">
        <f>+IFERROR(VLOOKUP(Fact_Analitica[[#This Row],[Concepto Anterior]],Conceptos_Analítica_contraloría[#All],5,0),"")</f>
        <v/>
      </c>
      <c r="F2852" s="138" t="str">
        <f>+IFERROR(VLOOKUP(Fact_Analitica[[#This Row],[Concepto Anterior]],Conceptos_Analítica_contraloría[#All],7,0),"")</f>
        <v/>
      </c>
      <c r="I2852" s="138" t="str">
        <f>+IFERROR(VLOOKUP(D2852,Conceptos_Analítica_contraloría[#All],2,0),"")</f>
        <v/>
      </c>
      <c r="J2852" s="138" t="str">
        <f>+IFERROR(VLOOKUP(D2852,Conceptos_Analítica_contraloría[#All],3,0),"")</f>
        <v/>
      </c>
    </row>
    <row r="2853" spans="3:10" x14ac:dyDescent="0.35">
      <c r="C2853" s="144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s="138" t="str">
        <f>+IFERROR(VLOOKUP(Fact_Analitica[[#This Row],[Concepto Anterior]],Conceptos_Analítica_contraloría[#All],5,0),"")</f>
        <v/>
      </c>
      <c r="F2853" s="138" t="str">
        <f>+IFERROR(VLOOKUP(Fact_Analitica[[#This Row],[Concepto Anterior]],Conceptos_Analítica_contraloría[#All],7,0),"")</f>
        <v/>
      </c>
      <c r="I2853" s="138" t="str">
        <f>+IFERROR(VLOOKUP(D2853,Conceptos_Analítica_contraloría[#All],2,0),"")</f>
        <v/>
      </c>
      <c r="J2853" s="138" t="str">
        <f>+IFERROR(VLOOKUP(D2853,Conceptos_Analítica_contraloría[#All],3,0),"")</f>
        <v/>
      </c>
    </row>
    <row r="2854" spans="3:10" x14ac:dyDescent="0.35">
      <c r="C2854" s="144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s="138" t="str">
        <f>+IFERROR(VLOOKUP(Fact_Analitica[[#This Row],[Concepto Anterior]],Conceptos_Analítica_contraloría[#All],5,0),"")</f>
        <v/>
      </c>
      <c r="F2854" s="138" t="str">
        <f>+IFERROR(VLOOKUP(Fact_Analitica[[#This Row],[Concepto Anterior]],Conceptos_Analítica_contraloría[#All],7,0),"")</f>
        <v/>
      </c>
      <c r="I2854" s="138" t="str">
        <f>+IFERROR(VLOOKUP(D2854,Conceptos_Analítica_contraloría[#All],2,0),"")</f>
        <v/>
      </c>
      <c r="J2854" s="138" t="str">
        <f>+IFERROR(VLOOKUP(D2854,Conceptos_Analítica_contraloría[#All],3,0),"")</f>
        <v/>
      </c>
    </row>
    <row r="2855" spans="3:10" x14ac:dyDescent="0.35">
      <c r="C2855" s="144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s="138" t="str">
        <f>+IFERROR(VLOOKUP(Fact_Analitica[[#This Row],[Concepto Anterior]],Conceptos_Analítica_contraloría[#All],5,0),"")</f>
        <v/>
      </c>
      <c r="F2855" s="138" t="str">
        <f>+IFERROR(VLOOKUP(Fact_Analitica[[#This Row],[Concepto Anterior]],Conceptos_Analítica_contraloría[#All],7,0),"")</f>
        <v/>
      </c>
      <c r="I2855" s="138" t="str">
        <f>+IFERROR(VLOOKUP(D2855,Conceptos_Analítica_contraloría[#All],2,0),"")</f>
        <v/>
      </c>
      <c r="J2855" s="138" t="str">
        <f>+IFERROR(VLOOKUP(D2855,Conceptos_Analítica_contraloría[#All],3,0),"")</f>
        <v/>
      </c>
    </row>
    <row r="2856" spans="3:10" x14ac:dyDescent="0.35">
      <c r="C2856" s="144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s="138" t="str">
        <f>+IFERROR(VLOOKUP(Fact_Analitica[[#This Row],[Concepto Anterior]],Conceptos_Analítica_contraloría[#All],5,0),"")</f>
        <v/>
      </c>
      <c r="F2856" s="138" t="str">
        <f>+IFERROR(VLOOKUP(Fact_Analitica[[#This Row],[Concepto Anterior]],Conceptos_Analítica_contraloría[#All],7,0),"")</f>
        <v/>
      </c>
      <c r="I2856" s="138" t="str">
        <f>+IFERROR(VLOOKUP(D2856,Conceptos_Analítica_contraloría[#All],2,0),"")</f>
        <v/>
      </c>
      <c r="J2856" s="138" t="str">
        <f>+IFERROR(VLOOKUP(D2856,Conceptos_Analítica_contraloría[#All],3,0),"")</f>
        <v/>
      </c>
    </row>
    <row r="2857" spans="3:10" x14ac:dyDescent="0.35">
      <c r="C2857" s="144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s="138" t="str">
        <f>+IFERROR(VLOOKUP(Fact_Analitica[[#This Row],[Concepto Anterior]],Conceptos_Analítica_contraloría[#All],5,0),"")</f>
        <v/>
      </c>
      <c r="F2857" s="138" t="str">
        <f>+IFERROR(VLOOKUP(Fact_Analitica[[#This Row],[Concepto Anterior]],Conceptos_Analítica_contraloría[#All],7,0),"")</f>
        <v/>
      </c>
      <c r="I2857" s="138" t="str">
        <f>+IFERROR(VLOOKUP(D2857,Conceptos_Analítica_contraloría[#All],2,0),"")</f>
        <v/>
      </c>
      <c r="J2857" s="138" t="str">
        <f>+IFERROR(VLOOKUP(D2857,Conceptos_Analítica_contraloría[#All],3,0),"")</f>
        <v/>
      </c>
    </row>
    <row r="2858" spans="3:10" x14ac:dyDescent="0.35">
      <c r="C2858" s="144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s="138" t="str">
        <f>+IFERROR(VLOOKUP(Fact_Analitica[[#This Row],[Concepto Anterior]],Conceptos_Analítica_contraloría[#All],5,0),"")</f>
        <v/>
      </c>
      <c r="F2858" s="138" t="str">
        <f>+IFERROR(VLOOKUP(Fact_Analitica[[#This Row],[Concepto Anterior]],Conceptos_Analítica_contraloría[#All],7,0),"")</f>
        <v/>
      </c>
      <c r="I2858" s="138" t="str">
        <f>+IFERROR(VLOOKUP(D2858,Conceptos_Analítica_contraloría[#All],2,0),"")</f>
        <v/>
      </c>
      <c r="J2858" s="138" t="str">
        <f>+IFERROR(VLOOKUP(D2858,Conceptos_Analítica_contraloría[#All],3,0),"")</f>
        <v/>
      </c>
    </row>
    <row r="2859" spans="3:10" x14ac:dyDescent="0.35">
      <c r="C2859" s="144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s="138" t="str">
        <f>+IFERROR(VLOOKUP(Fact_Analitica[[#This Row],[Concepto Anterior]],Conceptos_Analítica_contraloría[#All],5,0),"")</f>
        <v/>
      </c>
      <c r="F2859" s="138" t="str">
        <f>+IFERROR(VLOOKUP(Fact_Analitica[[#This Row],[Concepto Anterior]],Conceptos_Analítica_contraloría[#All],7,0),"")</f>
        <v/>
      </c>
      <c r="I2859" s="138" t="str">
        <f>+IFERROR(VLOOKUP(D2859,Conceptos_Analítica_contraloría[#All],2,0),"")</f>
        <v/>
      </c>
      <c r="J2859" s="138" t="str">
        <f>+IFERROR(VLOOKUP(D2859,Conceptos_Analítica_contraloría[#All],3,0),"")</f>
        <v/>
      </c>
    </row>
    <row r="2860" spans="3:10" x14ac:dyDescent="0.35">
      <c r="C2860" s="144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s="138" t="str">
        <f>+IFERROR(VLOOKUP(Fact_Analitica[[#This Row],[Concepto Anterior]],Conceptos_Analítica_contraloría[#All],5,0),"")</f>
        <v/>
      </c>
      <c r="F2860" s="138" t="str">
        <f>+IFERROR(VLOOKUP(Fact_Analitica[[#This Row],[Concepto Anterior]],Conceptos_Analítica_contraloría[#All],7,0),"")</f>
        <v/>
      </c>
      <c r="I2860" s="138" t="str">
        <f>+IFERROR(VLOOKUP(D2860,Conceptos_Analítica_contraloría[#All],2,0),"")</f>
        <v/>
      </c>
      <c r="J2860" s="138" t="str">
        <f>+IFERROR(VLOOKUP(D2860,Conceptos_Analítica_contraloría[#All],3,0),"")</f>
        <v/>
      </c>
    </row>
    <row r="2861" spans="3:10" x14ac:dyDescent="0.35">
      <c r="C2861" s="144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s="138" t="str">
        <f>+IFERROR(VLOOKUP(Fact_Analitica[[#This Row],[Concepto Anterior]],Conceptos_Analítica_contraloría[#All],5,0),"")</f>
        <v/>
      </c>
      <c r="F2861" s="138" t="str">
        <f>+IFERROR(VLOOKUP(Fact_Analitica[[#This Row],[Concepto Anterior]],Conceptos_Analítica_contraloría[#All],7,0),"")</f>
        <v/>
      </c>
      <c r="I2861" s="138" t="str">
        <f>+IFERROR(VLOOKUP(D2861,Conceptos_Analítica_contraloría[#All],2,0),"")</f>
        <v/>
      </c>
      <c r="J2861" s="138" t="str">
        <f>+IFERROR(VLOOKUP(D2861,Conceptos_Analítica_contraloría[#All],3,0),"")</f>
        <v/>
      </c>
    </row>
    <row r="2862" spans="3:10" x14ac:dyDescent="0.35">
      <c r="C2862" s="144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s="138" t="str">
        <f>+IFERROR(VLOOKUP(Fact_Analitica[[#This Row],[Concepto Anterior]],Conceptos_Analítica_contraloría[#All],5,0),"")</f>
        <v/>
      </c>
      <c r="F2862" s="138" t="str">
        <f>+IFERROR(VLOOKUP(Fact_Analitica[[#This Row],[Concepto Anterior]],Conceptos_Analítica_contraloría[#All],7,0),"")</f>
        <v/>
      </c>
      <c r="I2862" s="138" t="str">
        <f>+IFERROR(VLOOKUP(D2862,Conceptos_Analítica_contraloría[#All],2,0),"")</f>
        <v/>
      </c>
      <c r="J2862" s="138" t="str">
        <f>+IFERROR(VLOOKUP(D2862,Conceptos_Analítica_contraloría[#All],3,0),"")</f>
        <v/>
      </c>
    </row>
    <row r="2863" spans="3:10" x14ac:dyDescent="0.35">
      <c r="C2863" s="144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s="138" t="str">
        <f>+IFERROR(VLOOKUP(Fact_Analitica[[#This Row],[Concepto Anterior]],Conceptos_Analítica_contraloría[#All],5,0),"")</f>
        <v/>
      </c>
      <c r="F2863" s="138" t="str">
        <f>+IFERROR(VLOOKUP(Fact_Analitica[[#This Row],[Concepto Anterior]],Conceptos_Analítica_contraloría[#All],7,0),"")</f>
        <v/>
      </c>
      <c r="I2863" s="138" t="str">
        <f>+IFERROR(VLOOKUP(D2863,Conceptos_Analítica_contraloría[#All],2,0),"")</f>
        <v/>
      </c>
      <c r="J2863" s="138" t="str">
        <f>+IFERROR(VLOOKUP(D2863,Conceptos_Analítica_contraloría[#All],3,0),"")</f>
        <v/>
      </c>
    </row>
    <row r="2864" spans="3:10" x14ac:dyDescent="0.35">
      <c r="C2864" s="144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s="138" t="str">
        <f>+IFERROR(VLOOKUP(Fact_Analitica[[#This Row],[Concepto Anterior]],Conceptos_Analítica_contraloría[#All],5,0),"")</f>
        <v/>
      </c>
      <c r="F2864" s="138" t="str">
        <f>+IFERROR(VLOOKUP(Fact_Analitica[[#This Row],[Concepto Anterior]],Conceptos_Analítica_contraloría[#All],7,0),"")</f>
        <v/>
      </c>
      <c r="I2864" s="138" t="str">
        <f>+IFERROR(VLOOKUP(D2864,Conceptos_Analítica_contraloría[#All],2,0),"")</f>
        <v/>
      </c>
      <c r="J2864" s="138" t="str">
        <f>+IFERROR(VLOOKUP(D2864,Conceptos_Analítica_contraloría[#All],3,0),"")</f>
        <v/>
      </c>
    </row>
    <row r="2865" spans="3:10" x14ac:dyDescent="0.35">
      <c r="C2865" s="144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s="138" t="str">
        <f>+IFERROR(VLOOKUP(Fact_Analitica[[#This Row],[Concepto Anterior]],Conceptos_Analítica_contraloría[#All],5,0),"")</f>
        <v/>
      </c>
      <c r="F2865" s="138" t="str">
        <f>+IFERROR(VLOOKUP(Fact_Analitica[[#This Row],[Concepto Anterior]],Conceptos_Analítica_contraloría[#All],7,0),"")</f>
        <v/>
      </c>
      <c r="I2865" s="138" t="str">
        <f>+IFERROR(VLOOKUP(D2865,Conceptos_Analítica_contraloría[#All],2,0),"")</f>
        <v/>
      </c>
      <c r="J2865" s="138" t="str">
        <f>+IFERROR(VLOOKUP(D2865,Conceptos_Analítica_contraloría[#All],3,0),"")</f>
        <v/>
      </c>
    </row>
    <row r="2866" spans="3:10" x14ac:dyDescent="0.35">
      <c r="C2866" s="144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s="138" t="str">
        <f>+IFERROR(VLOOKUP(Fact_Analitica[[#This Row],[Concepto Anterior]],Conceptos_Analítica_contraloría[#All],5,0),"")</f>
        <v/>
      </c>
      <c r="F2866" s="138" t="str">
        <f>+IFERROR(VLOOKUP(Fact_Analitica[[#This Row],[Concepto Anterior]],Conceptos_Analítica_contraloría[#All],7,0),"")</f>
        <v/>
      </c>
      <c r="I2866" s="138" t="str">
        <f>+IFERROR(VLOOKUP(D2866,Conceptos_Analítica_contraloría[#All],2,0),"")</f>
        <v/>
      </c>
      <c r="J2866" s="138" t="str">
        <f>+IFERROR(VLOOKUP(D2866,Conceptos_Analítica_contraloría[#All],3,0),"")</f>
        <v/>
      </c>
    </row>
    <row r="2867" spans="3:10" x14ac:dyDescent="0.35">
      <c r="C2867" s="144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s="138" t="str">
        <f>+IFERROR(VLOOKUP(Fact_Analitica[[#This Row],[Concepto Anterior]],Conceptos_Analítica_contraloría[#All],5,0),"")</f>
        <v/>
      </c>
      <c r="F2867" s="138" t="str">
        <f>+IFERROR(VLOOKUP(Fact_Analitica[[#This Row],[Concepto Anterior]],Conceptos_Analítica_contraloría[#All],7,0),"")</f>
        <v/>
      </c>
      <c r="I2867" s="138" t="str">
        <f>+IFERROR(VLOOKUP(D2867,Conceptos_Analítica_contraloría[#All],2,0),"")</f>
        <v/>
      </c>
      <c r="J2867" s="138" t="str">
        <f>+IFERROR(VLOOKUP(D2867,Conceptos_Analítica_contraloría[#All],3,0),"")</f>
        <v/>
      </c>
    </row>
    <row r="2868" spans="3:10" x14ac:dyDescent="0.35">
      <c r="C2868" s="144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s="138" t="str">
        <f>+IFERROR(VLOOKUP(Fact_Analitica[[#This Row],[Concepto Anterior]],Conceptos_Analítica_contraloría[#All],5,0),"")</f>
        <v/>
      </c>
      <c r="F2868" s="138" t="str">
        <f>+IFERROR(VLOOKUP(Fact_Analitica[[#This Row],[Concepto Anterior]],Conceptos_Analítica_contraloría[#All],7,0),"")</f>
        <v/>
      </c>
      <c r="I2868" s="138" t="str">
        <f>+IFERROR(VLOOKUP(D2868,Conceptos_Analítica_contraloría[#All],2,0),"")</f>
        <v/>
      </c>
      <c r="J2868" s="138" t="str">
        <f>+IFERROR(VLOOKUP(D2868,Conceptos_Analítica_contraloría[#All],3,0),"")</f>
        <v/>
      </c>
    </row>
    <row r="2869" spans="3:10" x14ac:dyDescent="0.35">
      <c r="C2869" s="144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s="138" t="str">
        <f>+IFERROR(VLOOKUP(Fact_Analitica[[#This Row],[Concepto Anterior]],Conceptos_Analítica_contraloría[#All],5,0),"")</f>
        <v/>
      </c>
      <c r="F2869" s="138" t="str">
        <f>+IFERROR(VLOOKUP(Fact_Analitica[[#This Row],[Concepto Anterior]],Conceptos_Analítica_contraloría[#All],7,0),"")</f>
        <v/>
      </c>
      <c r="I2869" s="138" t="str">
        <f>+IFERROR(VLOOKUP(D2869,Conceptos_Analítica_contraloría[#All],2,0),"")</f>
        <v/>
      </c>
      <c r="J2869" s="138" t="str">
        <f>+IFERROR(VLOOKUP(D2869,Conceptos_Analítica_contraloría[#All],3,0),"")</f>
        <v/>
      </c>
    </row>
    <row r="2870" spans="3:10" x14ac:dyDescent="0.35">
      <c r="C2870" s="144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s="138" t="str">
        <f>+IFERROR(VLOOKUP(Fact_Analitica[[#This Row],[Concepto Anterior]],Conceptos_Analítica_contraloría[#All],5,0),"")</f>
        <v/>
      </c>
      <c r="F2870" s="138" t="str">
        <f>+IFERROR(VLOOKUP(Fact_Analitica[[#This Row],[Concepto Anterior]],Conceptos_Analítica_contraloría[#All],7,0),"")</f>
        <v/>
      </c>
      <c r="I2870" s="138" t="str">
        <f>+IFERROR(VLOOKUP(D2870,Conceptos_Analítica_contraloría[#All],2,0),"")</f>
        <v/>
      </c>
      <c r="J2870" s="138" t="str">
        <f>+IFERROR(VLOOKUP(D2870,Conceptos_Analítica_contraloría[#All],3,0),"")</f>
        <v/>
      </c>
    </row>
    <row r="2871" spans="3:10" x14ac:dyDescent="0.35">
      <c r="C2871" s="144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s="138" t="str">
        <f>+IFERROR(VLOOKUP(Fact_Analitica[[#This Row],[Concepto Anterior]],Conceptos_Analítica_contraloría[#All],5,0),"")</f>
        <v/>
      </c>
      <c r="F2871" s="138" t="str">
        <f>+IFERROR(VLOOKUP(Fact_Analitica[[#This Row],[Concepto Anterior]],Conceptos_Analítica_contraloría[#All],7,0),"")</f>
        <v/>
      </c>
      <c r="I2871" s="138" t="str">
        <f>+IFERROR(VLOOKUP(D2871,Conceptos_Analítica_contraloría[#All],2,0),"")</f>
        <v/>
      </c>
      <c r="J2871" s="138" t="str">
        <f>+IFERROR(VLOOKUP(D2871,Conceptos_Analítica_contraloría[#All],3,0),"")</f>
        <v/>
      </c>
    </row>
    <row r="2872" spans="3:10" x14ac:dyDescent="0.35">
      <c r="C2872" s="144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s="138" t="str">
        <f>+IFERROR(VLOOKUP(Fact_Analitica[[#This Row],[Concepto Anterior]],Conceptos_Analítica_contraloría[#All],5,0),"")</f>
        <v/>
      </c>
      <c r="F2872" s="138" t="str">
        <f>+IFERROR(VLOOKUP(Fact_Analitica[[#This Row],[Concepto Anterior]],Conceptos_Analítica_contraloría[#All],7,0),"")</f>
        <v/>
      </c>
      <c r="I2872" s="138" t="str">
        <f>+IFERROR(VLOOKUP(D2872,Conceptos_Analítica_contraloría[#All],2,0),"")</f>
        <v/>
      </c>
      <c r="J2872" s="138" t="str">
        <f>+IFERROR(VLOOKUP(D2872,Conceptos_Analítica_contraloría[#All],3,0),"")</f>
        <v/>
      </c>
    </row>
    <row r="2873" spans="3:10" x14ac:dyDescent="0.35">
      <c r="C2873" s="144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s="138" t="str">
        <f>+IFERROR(VLOOKUP(Fact_Analitica[[#This Row],[Concepto Anterior]],Conceptos_Analítica_contraloría[#All],5,0),"")</f>
        <v/>
      </c>
      <c r="F2873" s="138" t="str">
        <f>+IFERROR(VLOOKUP(Fact_Analitica[[#This Row],[Concepto Anterior]],Conceptos_Analítica_contraloría[#All],7,0),"")</f>
        <v/>
      </c>
      <c r="I2873" s="138" t="str">
        <f>+IFERROR(VLOOKUP(D2873,Conceptos_Analítica_contraloría[#All],2,0),"")</f>
        <v/>
      </c>
      <c r="J2873" s="138" t="str">
        <f>+IFERROR(VLOOKUP(D2873,Conceptos_Analítica_contraloría[#All],3,0),"")</f>
        <v/>
      </c>
    </row>
    <row r="2874" spans="3:10" x14ac:dyDescent="0.35">
      <c r="C2874" s="144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s="138" t="str">
        <f>+IFERROR(VLOOKUP(Fact_Analitica[[#This Row],[Concepto Anterior]],Conceptos_Analítica_contraloría[#All],5,0),"")</f>
        <v/>
      </c>
      <c r="F2874" s="138" t="str">
        <f>+IFERROR(VLOOKUP(Fact_Analitica[[#This Row],[Concepto Anterior]],Conceptos_Analítica_contraloría[#All],7,0),"")</f>
        <v/>
      </c>
      <c r="I2874" s="138" t="str">
        <f>+IFERROR(VLOOKUP(D2874,Conceptos_Analítica_contraloría[#All],2,0),"")</f>
        <v/>
      </c>
      <c r="J2874" s="138" t="str">
        <f>+IFERROR(VLOOKUP(D2874,Conceptos_Analítica_contraloría[#All],3,0),"")</f>
        <v/>
      </c>
    </row>
    <row r="2875" spans="3:10" x14ac:dyDescent="0.35">
      <c r="C2875" s="144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s="138" t="str">
        <f>+IFERROR(VLOOKUP(Fact_Analitica[[#This Row],[Concepto Anterior]],Conceptos_Analítica_contraloría[#All],5,0),"")</f>
        <v/>
      </c>
      <c r="F2875" s="138" t="str">
        <f>+IFERROR(VLOOKUP(Fact_Analitica[[#This Row],[Concepto Anterior]],Conceptos_Analítica_contraloría[#All],7,0),"")</f>
        <v/>
      </c>
      <c r="I2875" s="138" t="str">
        <f>+IFERROR(VLOOKUP(D2875,Conceptos_Analítica_contraloría[#All],2,0),"")</f>
        <v/>
      </c>
      <c r="J2875" s="138" t="str">
        <f>+IFERROR(VLOOKUP(D2875,Conceptos_Analítica_contraloría[#All],3,0),"")</f>
        <v/>
      </c>
    </row>
    <row r="2876" spans="3:10" x14ac:dyDescent="0.35">
      <c r="C2876" s="144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s="138" t="str">
        <f>+IFERROR(VLOOKUP(Fact_Analitica[[#This Row],[Concepto Anterior]],Conceptos_Analítica_contraloría[#All],5,0),"")</f>
        <v/>
      </c>
      <c r="F2876" s="138" t="str">
        <f>+IFERROR(VLOOKUP(Fact_Analitica[[#This Row],[Concepto Anterior]],Conceptos_Analítica_contraloría[#All],7,0),"")</f>
        <v/>
      </c>
      <c r="I2876" s="138" t="str">
        <f>+IFERROR(VLOOKUP(D2876,Conceptos_Analítica_contraloría[#All],2,0),"")</f>
        <v/>
      </c>
      <c r="J2876" s="138" t="str">
        <f>+IFERROR(VLOOKUP(D2876,Conceptos_Analítica_contraloría[#All],3,0),"")</f>
        <v/>
      </c>
    </row>
    <row r="2877" spans="3:10" x14ac:dyDescent="0.35">
      <c r="C2877" s="144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s="138" t="str">
        <f>+IFERROR(VLOOKUP(Fact_Analitica[[#This Row],[Concepto Anterior]],Conceptos_Analítica_contraloría[#All],5,0),"")</f>
        <v/>
      </c>
      <c r="F2877" s="138" t="str">
        <f>+IFERROR(VLOOKUP(Fact_Analitica[[#This Row],[Concepto Anterior]],Conceptos_Analítica_contraloría[#All],7,0),"")</f>
        <v/>
      </c>
      <c r="I2877" s="138" t="str">
        <f>+IFERROR(VLOOKUP(D2877,Conceptos_Analítica_contraloría[#All],2,0),"")</f>
        <v/>
      </c>
      <c r="J2877" s="138" t="str">
        <f>+IFERROR(VLOOKUP(D2877,Conceptos_Analítica_contraloría[#All],3,0),"")</f>
        <v/>
      </c>
    </row>
    <row r="2878" spans="3:10" x14ac:dyDescent="0.35">
      <c r="C2878" s="144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s="138" t="str">
        <f>+IFERROR(VLOOKUP(Fact_Analitica[[#This Row],[Concepto Anterior]],Conceptos_Analítica_contraloría[#All],5,0),"")</f>
        <v/>
      </c>
      <c r="F2878" s="138" t="str">
        <f>+IFERROR(VLOOKUP(Fact_Analitica[[#This Row],[Concepto Anterior]],Conceptos_Analítica_contraloría[#All],7,0),"")</f>
        <v/>
      </c>
      <c r="I2878" s="138" t="str">
        <f>+IFERROR(VLOOKUP(D2878,Conceptos_Analítica_contraloría[#All],2,0),"")</f>
        <v/>
      </c>
      <c r="J2878" s="138" t="str">
        <f>+IFERROR(VLOOKUP(D2878,Conceptos_Analítica_contraloría[#All],3,0),"")</f>
        <v/>
      </c>
    </row>
    <row r="2879" spans="3:10" x14ac:dyDescent="0.35">
      <c r="C2879" s="144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s="138" t="str">
        <f>+IFERROR(VLOOKUP(Fact_Analitica[[#This Row],[Concepto Anterior]],Conceptos_Analítica_contraloría[#All],5,0),"")</f>
        <v/>
      </c>
      <c r="F2879" s="138" t="str">
        <f>+IFERROR(VLOOKUP(Fact_Analitica[[#This Row],[Concepto Anterior]],Conceptos_Analítica_contraloría[#All],7,0),"")</f>
        <v/>
      </c>
      <c r="I2879" s="138" t="str">
        <f>+IFERROR(VLOOKUP(D2879,Conceptos_Analítica_contraloría[#All],2,0),"")</f>
        <v/>
      </c>
      <c r="J2879" s="138" t="str">
        <f>+IFERROR(VLOOKUP(D2879,Conceptos_Analítica_contraloría[#All],3,0),"")</f>
        <v/>
      </c>
    </row>
    <row r="2880" spans="3:10" x14ac:dyDescent="0.35">
      <c r="C2880" s="144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s="138" t="str">
        <f>+IFERROR(VLOOKUP(Fact_Analitica[[#This Row],[Concepto Anterior]],Conceptos_Analítica_contraloría[#All],5,0),"")</f>
        <v/>
      </c>
      <c r="F2880" s="138" t="str">
        <f>+IFERROR(VLOOKUP(Fact_Analitica[[#This Row],[Concepto Anterior]],Conceptos_Analítica_contraloría[#All],7,0),"")</f>
        <v/>
      </c>
      <c r="I2880" s="138" t="str">
        <f>+IFERROR(VLOOKUP(D2880,Conceptos_Analítica_contraloría[#All],2,0),"")</f>
        <v/>
      </c>
      <c r="J2880" s="138" t="str">
        <f>+IFERROR(VLOOKUP(D2880,Conceptos_Analítica_contraloría[#All],3,0),"")</f>
        <v/>
      </c>
    </row>
    <row r="2881" spans="3:10" x14ac:dyDescent="0.35">
      <c r="C2881" s="144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s="138" t="str">
        <f>+IFERROR(VLOOKUP(Fact_Analitica[[#This Row],[Concepto Anterior]],Conceptos_Analítica_contraloría[#All],5,0),"")</f>
        <v/>
      </c>
      <c r="F2881" s="138" t="str">
        <f>+IFERROR(VLOOKUP(Fact_Analitica[[#This Row],[Concepto Anterior]],Conceptos_Analítica_contraloría[#All],7,0),"")</f>
        <v/>
      </c>
      <c r="I2881" s="138" t="str">
        <f>+IFERROR(VLOOKUP(D2881,Conceptos_Analítica_contraloría[#All],2,0),"")</f>
        <v/>
      </c>
      <c r="J2881" s="138" t="str">
        <f>+IFERROR(VLOOKUP(D2881,Conceptos_Analítica_contraloría[#All],3,0),"")</f>
        <v/>
      </c>
    </row>
    <row r="2882" spans="3:10" x14ac:dyDescent="0.35">
      <c r="C2882" s="144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s="138" t="str">
        <f>+IFERROR(VLOOKUP(Fact_Analitica[[#This Row],[Concepto Anterior]],Conceptos_Analítica_contraloría[#All],5,0),"")</f>
        <v/>
      </c>
      <c r="F2882" s="138" t="str">
        <f>+IFERROR(VLOOKUP(Fact_Analitica[[#This Row],[Concepto Anterior]],Conceptos_Analítica_contraloría[#All],7,0),"")</f>
        <v/>
      </c>
      <c r="I2882" s="138" t="str">
        <f>+IFERROR(VLOOKUP(D2882,Conceptos_Analítica_contraloría[#All],2,0),"")</f>
        <v/>
      </c>
      <c r="J2882" s="138" t="str">
        <f>+IFERROR(VLOOKUP(D2882,Conceptos_Analítica_contraloría[#All],3,0),"")</f>
        <v/>
      </c>
    </row>
    <row r="2883" spans="3:10" x14ac:dyDescent="0.35">
      <c r="C2883" s="144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s="138" t="str">
        <f>+IFERROR(VLOOKUP(Fact_Analitica[[#This Row],[Concepto Anterior]],Conceptos_Analítica_contraloría[#All],5,0),"")</f>
        <v/>
      </c>
      <c r="F2883" s="138" t="str">
        <f>+IFERROR(VLOOKUP(Fact_Analitica[[#This Row],[Concepto Anterior]],Conceptos_Analítica_contraloría[#All],7,0),"")</f>
        <v/>
      </c>
      <c r="I2883" s="138" t="str">
        <f>+IFERROR(VLOOKUP(D2883,Conceptos_Analítica_contraloría[#All],2,0),"")</f>
        <v/>
      </c>
      <c r="J2883" s="138" t="str">
        <f>+IFERROR(VLOOKUP(D2883,Conceptos_Analítica_contraloría[#All],3,0),"")</f>
        <v/>
      </c>
    </row>
    <row r="2884" spans="3:10" x14ac:dyDescent="0.35">
      <c r="C2884" s="144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s="138" t="str">
        <f>+IFERROR(VLOOKUP(Fact_Analitica[[#This Row],[Concepto Anterior]],Conceptos_Analítica_contraloría[#All],5,0),"")</f>
        <v/>
      </c>
      <c r="F2884" s="138" t="str">
        <f>+IFERROR(VLOOKUP(Fact_Analitica[[#This Row],[Concepto Anterior]],Conceptos_Analítica_contraloría[#All],7,0),"")</f>
        <v/>
      </c>
      <c r="I2884" s="138" t="str">
        <f>+IFERROR(VLOOKUP(D2884,Conceptos_Analítica_contraloría[#All],2,0),"")</f>
        <v/>
      </c>
      <c r="J2884" s="138" t="str">
        <f>+IFERROR(VLOOKUP(D2884,Conceptos_Analítica_contraloría[#All],3,0),"")</f>
        <v/>
      </c>
    </row>
    <row r="2885" spans="3:10" x14ac:dyDescent="0.35">
      <c r="C2885" s="144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s="138" t="str">
        <f>+IFERROR(VLOOKUP(Fact_Analitica[[#This Row],[Concepto Anterior]],Conceptos_Analítica_contraloría[#All],5,0),"")</f>
        <v/>
      </c>
      <c r="F2885" s="138" t="str">
        <f>+IFERROR(VLOOKUP(Fact_Analitica[[#This Row],[Concepto Anterior]],Conceptos_Analítica_contraloría[#All],7,0),"")</f>
        <v/>
      </c>
      <c r="I2885" s="138" t="str">
        <f>+IFERROR(VLOOKUP(D2885,Conceptos_Analítica_contraloría[#All],2,0),"")</f>
        <v/>
      </c>
      <c r="J2885" s="138" t="str">
        <f>+IFERROR(VLOOKUP(D2885,Conceptos_Analítica_contraloría[#All],3,0),"")</f>
        <v/>
      </c>
    </row>
    <row r="2886" spans="3:10" x14ac:dyDescent="0.35">
      <c r="C2886" s="144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s="138" t="str">
        <f>+IFERROR(VLOOKUP(Fact_Analitica[[#This Row],[Concepto Anterior]],Conceptos_Analítica_contraloría[#All],5,0),"")</f>
        <v/>
      </c>
      <c r="F2886" s="138" t="str">
        <f>+IFERROR(VLOOKUP(Fact_Analitica[[#This Row],[Concepto Anterior]],Conceptos_Analítica_contraloría[#All],7,0),"")</f>
        <v/>
      </c>
      <c r="I2886" s="138" t="str">
        <f>+IFERROR(VLOOKUP(D2886,Conceptos_Analítica_contraloría[#All],2,0),"")</f>
        <v/>
      </c>
      <c r="J2886" s="138" t="str">
        <f>+IFERROR(VLOOKUP(D2886,Conceptos_Analítica_contraloría[#All],3,0),"")</f>
        <v/>
      </c>
    </row>
    <row r="2887" spans="3:10" x14ac:dyDescent="0.35">
      <c r="C2887" s="144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s="138" t="str">
        <f>+IFERROR(VLOOKUP(Fact_Analitica[[#This Row],[Concepto Anterior]],Conceptos_Analítica_contraloría[#All],5,0),"")</f>
        <v/>
      </c>
      <c r="F2887" s="138" t="str">
        <f>+IFERROR(VLOOKUP(Fact_Analitica[[#This Row],[Concepto Anterior]],Conceptos_Analítica_contraloría[#All],7,0),"")</f>
        <v/>
      </c>
      <c r="I2887" s="138" t="str">
        <f>+IFERROR(VLOOKUP(D2887,Conceptos_Analítica_contraloría[#All],2,0),"")</f>
        <v/>
      </c>
      <c r="J2887" s="138" t="str">
        <f>+IFERROR(VLOOKUP(D2887,Conceptos_Analítica_contraloría[#All],3,0),"")</f>
        <v/>
      </c>
    </row>
    <row r="2888" spans="3:10" x14ac:dyDescent="0.35">
      <c r="C2888" s="144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s="138" t="str">
        <f>+IFERROR(VLOOKUP(Fact_Analitica[[#This Row],[Concepto Anterior]],Conceptos_Analítica_contraloría[#All],5,0),"")</f>
        <v/>
      </c>
      <c r="F2888" s="138" t="str">
        <f>+IFERROR(VLOOKUP(Fact_Analitica[[#This Row],[Concepto Anterior]],Conceptos_Analítica_contraloría[#All],7,0),"")</f>
        <v/>
      </c>
      <c r="I2888" s="138" t="str">
        <f>+IFERROR(VLOOKUP(D2888,Conceptos_Analítica_contraloría[#All],2,0),"")</f>
        <v/>
      </c>
      <c r="J2888" s="138" t="str">
        <f>+IFERROR(VLOOKUP(D2888,Conceptos_Analítica_contraloría[#All],3,0),"")</f>
        <v/>
      </c>
    </row>
    <row r="2889" spans="3:10" x14ac:dyDescent="0.35">
      <c r="C2889" s="144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s="138" t="str">
        <f>+IFERROR(VLOOKUP(Fact_Analitica[[#This Row],[Concepto Anterior]],Conceptos_Analítica_contraloría[#All],5,0),"")</f>
        <v/>
      </c>
      <c r="F2889" s="138" t="str">
        <f>+IFERROR(VLOOKUP(Fact_Analitica[[#This Row],[Concepto Anterior]],Conceptos_Analítica_contraloría[#All],7,0),"")</f>
        <v/>
      </c>
      <c r="I2889" s="138" t="str">
        <f>+IFERROR(VLOOKUP(D2889,Conceptos_Analítica_contraloría[#All],2,0),"")</f>
        <v/>
      </c>
      <c r="J2889" s="138" t="str">
        <f>+IFERROR(VLOOKUP(D2889,Conceptos_Analítica_contraloría[#All],3,0),"")</f>
        <v/>
      </c>
    </row>
    <row r="2890" spans="3:10" x14ac:dyDescent="0.35">
      <c r="C2890" s="144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s="138" t="str">
        <f>+IFERROR(VLOOKUP(Fact_Analitica[[#This Row],[Concepto Anterior]],Conceptos_Analítica_contraloría[#All],5,0),"")</f>
        <v/>
      </c>
      <c r="F2890" s="138" t="str">
        <f>+IFERROR(VLOOKUP(Fact_Analitica[[#This Row],[Concepto Anterior]],Conceptos_Analítica_contraloría[#All],7,0),"")</f>
        <v/>
      </c>
      <c r="I2890" s="138" t="str">
        <f>+IFERROR(VLOOKUP(D2890,Conceptos_Analítica_contraloría[#All],2,0),"")</f>
        <v/>
      </c>
      <c r="J2890" s="138" t="str">
        <f>+IFERROR(VLOOKUP(D2890,Conceptos_Analítica_contraloría[#All],3,0),"")</f>
        <v/>
      </c>
    </row>
    <row r="2891" spans="3:10" x14ac:dyDescent="0.35">
      <c r="C2891" s="144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s="138" t="str">
        <f>+IFERROR(VLOOKUP(Fact_Analitica[[#This Row],[Concepto Anterior]],Conceptos_Analítica_contraloría[#All],5,0),"")</f>
        <v/>
      </c>
      <c r="F2891" s="138" t="str">
        <f>+IFERROR(VLOOKUP(Fact_Analitica[[#This Row],[Concepto Anterior]],Conceptos_Analítica_contraloría[#All],7,0),"")</f>
        <v/>
      </c>
      <c r="I2891" s="138" t="str">
        <f>+IFERROR(VLOOKUP(D2891,Conceptos_Analítica_contraloría[#All],2,0),"")</f>
        <v/>
      </c>
      <c r="J2891" s="138" t="str">
        <f>+IFERROR(VLOOKUP(D2891,Conceptos_Analítica_contraloría[#All],3,0),"")</f>
        <v/>
      </c>
    </row>
    <row r="2892" spans="3:10" x14ac:dyDescent="0.35">
      <c r="C2892" s="144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s="138" t="str">
        <f>+IFERROR(VLOOKUP(Fact_Analitica[[#This Row],[Concepto Anterior]],Conceptos_Analítica_contraloría[#All],5,0),"")</f>
        <v/>
      </c>
      <c r="F2892" s="138" t="str">
        <f>+IFERROR(VLOOKUP(Fact_Analitica[[#This Row],[Concepto Anterior]],Conceptos_Analítica_contraloría[#All],7,0),"")</f>
        <v/>
      </c>
      <c r="I2892" s="138" t="str">
        <f>+IFERROR(VLOOKUP(D2892,Conceptos_Analítica_contraloría[#All],2,0),"")</f>
        <v/>
      </c>
      <c r="J2892" s="138" t="str">
        <f>+IFERROR(VLOOKUP(D2892,Conceptos_Analítica_contraloría[#All],3,0),"")</f>
        <v/>
      </c>
    </row>
    <row r="2893" spans="3:10" x14ac:dyDescent="0.35">
      <c r="C2893" s="144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s="138" t="str">
        <f>+IFERROR(VLOOKUP(Fact_Analitica[[#This Row],[Concepto Anterior]],Conceptos_Analítica_contraloría[#All],5,0),"")</f>
        <v/>
      </c>
      <c r="F2893" s="138" t="str">
        <f>+IFERROR(VLOOKUP(Fact_Analitica[[#This Row],[Concepto Anterior]],Conceptos_Analítica_contraloría[#All],7,0),"")</f>
        <v/>
      </c>
      <c r="I2893" s="138" t="str">
        <f>+IFERROR(VLOOKUP(D2893,Conceptos_Analítica_contraloría[#All],2,0),"")</f>
        <v/>
      </c>
      <c r="J2893" s="138" t="str">
        <f>+IFERROR(VLOOKUP(D2893,Conceptos_Analítica_contraloría[#All],3,0),"")</f>
        <v/>
      </c>
    </row>
    <row r="2894" spans="3:10" x14ac:dyDescent="0.35">
      <c r="C2894" s="144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s="138" t="str">
        <f>+IFERROR(VLOOKUP(Fact_Analitica[[#This Row],[Concepto Anterior]],Conceptos_Analítica_contraloría[#All],5,0),"")</f>
        <v/>
      </c>
      <c r="F2894" s="138" t="str">
        <f>+IFERROR(VLOOKUP(Fact_Analitica[[#This Row],[Concepto Anterior]],Conceptos_Analítica_contraloría[#All],7,0),"")</f>
        <v/>
      </c>
      <c r="I2894" s="138" t="str">
        <f>+IFERROR(VLOOKUP(D2894,Conceptos_Analítica_contraloría[#All],2,0),"")</f>
        <v/>
      </c>
      <c r="J2894" s="138" t="str">
        <f>+IFERROR(VLOOKUP(D2894,Conceptos_Analítica_contraloría[#All],3,0),"")</f>
        <v/>
      </c>
    </row>
    <row r="2895" spans="3:10" x14ac:dyDescent="0.35">
      <c r="C2895" s="144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s="138" t="str">
        <f>+IFERROR(VLOOKUP(Fact_Analitica[[#This Row],[Concepto Anterior]],Conceptos_Analítica_contraloría[#All],5,0),"")</f>
        <v/>
      </c>
      <c r="F2895" s="138" t="str">
        <f>+IFERROR(VLOOKUP(Fact_Analitica[[#This Row],[Concepto Anterior]],Conceptos_Analítica_contraloría[#All],7,0),"")</f>
        <v/>
      </c>
      <c r="I2895" s="138" t="str">
        <f>+IFERROR(VLOOKUP(D2895,Conceptos_Analítica_contraloría[#All],2,0),"")</f>
        <v/>
      </c>
      <c r="J2895" s="138" t="str">
        <f>+IFERROR(VLOOKUP(D2895,Conceptos_Analítica_contraloría[#All],3,0),"")</f>
        <v/>
      </c>
    </row>
    <row r="2896" spans="3:10" x14ac:dyDescent="0.35">
      <c r="C2896" s="144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s="138" t="str">
        <f>+IFERROR(VLOOKUP(Fact_Analitica[[#This Row],[Concepto Anterior]],Conceptos_Analítica_contraloría[#All],5,0),"")</f>
        <v/>
      </c>
      <c r="F2896" s="138" t="str">
        <f>+IFERROR(VLOOKUP(Fact_Analitica[[#This Row],[Concepto Anterior]],Conceptos_Analítica_contraloría[#All],7,0),"")</f>
        <v/>
      </c>
      <c r="I2896" s="138" t="str">
        <f>+IFERROR(VLOOKUP(D2896,Conceptos_Analítica_contraloría[#All],2,0),"")</f>
        <v/>
      </c>
      <c r="J2896" s="138" t="str">
        <f>+IFERROR(VLOOKUP(D2896,Conceptos_Analítica_contraloría[#All],3,0),"")</f>
        <v/>
      </c>
    </row>
    <row r="2897" spans="3:10" x14ac:dyDescent="0.35">
      <c r="C2897" s="144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s="138" t="str">
        <f>+IFERROR(VLOOKUP(Fact_Analitica[[#This Row],[Concepto Anterior]],Conceptos_Analítica_contraloría[#All],5,0),"")</f>
        <v/>
      </c>
      <c r="F2897" s="138" t="str">
        <f>+IFERROR(VLOOKUP(Fact_Analitica[[#This Row],[Concepto Anterior]],Conceptos_Analítica_contraloría[#All],7,0),"")</f>
        <v/>
      </c>
      <c r="I2897" s="138" t="str">
        <f>+IFERROR(VLOOKUP(D2897,Conceptos_Analítica_contraloría[#All],2,0),"")</f>
        <v/>
      </c>
      <c r="J2897" s="138" t="str">
        <f>+IFERROR(VLOOKUP(D2897,Conceptos_Analítica_contraloría[#All],3,0),"")</f>
        <v/>
      </c>
    </row>
    <row r="2898" spans="3:10" x14ac:dyDescent="0.35">
      <c r="C2898" s="144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s="138" t="str">
        <f>+IFERROR(VLOOKUP(Fact_Analitica[[#This Row],[Concepto Anterior]],Conceptos_Analítica_contraloría[#All],5,0),"")</f>
        <v/>
      </c>
      <c r="F2898" s="138" t="str">
        <f>+IFERROR(VLOOKUP(Fact_Analitica[[#This Row],[Concepto Anterior]],Conceptos_Analítica_contraloría[#All],7,0),"")</f>
        <v/>
      </c>
      <c r="I2898" s="138" t="str">
        <f>+IFERROR(VLOOKUP(D2898,Conceptos_Analítica_contraloría[#All],2,0),"")</f>
        <v/>
      </c>
      <c r="J2898" s="138" t="str">
        <f>+IFERROR(VLOOKUP(D2898,Conceptos_Analítica_contraloría[#All],3,0),"")</f>
        <v/>
      </c>
    </row>
    <row r="2899" spans="3:10" x14ac:dyDescent="0.35">
      <c r="C2899" s="144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s="138" t="str">
        <f>+IFERROR(VLOOKUP(Fact_Analitica[[#This Row],[Concepto Anterior]],Conceptos_Analítica_contraloría[#All],5,0),"")</f>
        <v/>
      </c>
      <c r="F2899" s="138" t="str">
        <f>+IFERROR(VLOOKUP(Fact_Analitica[[#This Row],[Concepto Anterior]],Conceptos_Analítica_contraloría[#All],7,0),"")</f>
        <v/>
      </c>
      <c r="I2899" s="138" t="str">
        <f>+IFERROR(VLOOKUP(D2899,Conceptos_Analítica_contraloría[#All],2,0),"")</f>
        <v/>
      </c>
      <c r="J2899" s="138" t="str">
        <f>+IFERROR(VLOOKUP(D2899,Conceptos_Analítica_contraloría[#All],3,0),"")</f>
        <v/>
      </c>
    </row>
    <row r="2900" spans="3:10" x14ac:dyDescent="0.35">
      <c r="C2900" s="144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s="138" t="str">
        <f>+IFERROR(VLOOKUP(Fact_Analitica[[#This Row],[Concepto Anterior]],Conceptos_Analítica_contraloría[#All],5,0),"")</f>
        <v/>
      </c>
      <c r="F2900" s="138" t="str">
        <f>+IFERROR(VLOOKUP(Fact_Analitica[[#This Row],[Concepto Anterior]],Conceptos_Analítica_contraloría[#All],7,0),"")</f>
        <v/>
      </c>
      <c r="I2900" s="138" t="str">
        <f>+IFERROR(VLOOKUP(D2900,Conceptos_Analítica_contraloría[#All],2,0),"")</f>
        <v/>
      </c>
      <c r="J2900" s="138" t="str">
        <f>+IFERROR(VLOOKUP(D2900,Conceptos_Analítica_contraloría[#All],3,0),"")</f>
        <v/>
      </c>
    </row>
    <row r="2901" spans="3:10" x14ac:dyDescent="0.35">
      <c r="C2901" s="144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s="138" t="str">
        <f>+IFERROR(VLOOKUP(Fact_Analitica[[#This Row],[Concepto Anterior]],Conceptos_Analítica_contraloría[#All],5,0),"")</f>
        <v/>
      </c>
      <c r="F2901" s="138" t="str">
        <f>+IFERROR(VLOOKUP(Fact_Analitica[[#This Row],[Concepto Anterior]],Conceptos_Analítica_contraloría[#All],7,0),"")</f>
        <v/>
      </c>
      <c r="I2901" s="138" t="str">
        <f>+IFERROR(VLOOKUP(D2901,Conceptos_Analítica_contraloría[#All],2,0),"")</f>
        <v/>
      </c>
      <c r="J2901" s="138" t="str">
        <f>+IFERROR(VLOOKUP(D2901,Conceptos_Analítica_contraloría[#All],3,0),"")</f>
        <v/>
      </c>
    </row>
    <row r="2902" spans="3:10" x14ac:dyDescent="0.35">
      <c r="C2902" s="144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s="138" t="str">
        <f>+IFERROR(VLOOKUP(Fact_Analitica[[#This Row],[Concepto Anterior]],Conceptos_Analítica_contraloría[#All],5,0),"")</f>
        <v/>
      </c>
      <c r="F2902" s="138" t="str">
        <f>+IFERROR(VLOOKUP(Fact_Analitica[[#This Row],[Concepto Anterior]],Conceptos_Analítica_contraloría[#All],7,0),"")</f>
        <v/>
      </c>
      <c r="I2902" s="138" t="str">
        <f>+IFERROR(VLOOKUP(D2902,Conceptos_Analítica_contraloría[#All],2,0),"")</f>
        <v/>
      </c>
      <c r="J2902" s="138" t="str">
        <f>+IFERROR(VLOOKUP(D2902,Conceptos_Analítica_contraloría[#All],3,0),"")</f>
        <v/>
      </c>
    </row>
    <row r="2903" spans="3:10" x14ac:dyDescent="0.35">
      <c r="C2903" s="144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s="138" t="str">
        <f>+IFERROR(VLOOKUP(Fact_Analitica[[#This Row],[Concepto Anterior]],Conceptos_Analítica_contraloría[#All],5,0),"")</f>
        <v/>
      </c>
      <c r="F2903" s="138" t="str">
        <f>+IFERROR(VLOOKUP(Fact_Analitica[[#This Row],[Concepto Anterior]],Conceptos_Analítica_contraloría[#All],7,0),"")</f>
        <v/>
      </c>
      <c r="I2903" s="138" t="str">
        <f>+IFERROR(VLOOKUP(D2903,Conceptos_Analítica_contraloría[#All],2,0),"")</f>
        <v/>
      </c>
      <c r="J2903" s="138" t="str">
        <f>+IFERROR(VLOOKUP(D2903,Conceptos_Analítica_contraloría[#All],3,0),"")</f>
        <v/>
      </c>
    </row>
    <row r="2904" spans="3:10" x14ac:dyDescent="0.35">
      <c r="C2904" s="144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s="138" t="str">
        <f>+IFERROR(VLOOKUP(Fact_Analitica[[#This Row],[Concepto Anterior]],Conceptos_Analítica_contraloría[#All],5,0),"")</f>
        <v/>
      </c>
      <c r="F2904" s="138" t="str">
        <f>+IFERROR(VLOOKUP(Fact_Analitica[[#This Row],[Concepto Anterior]],Conceptos_Analítica_contraloría[#All],7,0),"")</f>
        <v/>
      </c>
      <c r="I2904" s="138" t="str">
        <f>+IFERROR(VLOOKUP(D2904,Conceptos_Analítica_contraloría[#All],2,0),"")</f>
        <v/>
      </c>
      <c r="J2904" s="138" t="str">
        <f>+IFERROR(VLOOKUP(D2904,Conceptos_Analítica_contraloría[#All],3,0),"")</f>
        <v/>
      </c>
    </row>
    <row r="2905" spans="3:10" x14ac:dyDescent="0.35">
      <c r="C2905" s="144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s="138" t="str">
        <f>+IFERROR(VLOOKUP(Fact_Analitica[[#This Row],[Concepto Anterior]],Conceptos_Analítica_contraloría[#All],5,0),"")</f>
        <v/>
      </c>
      <c r="F2905" s="138" t="str">
        <f>+IFERROR(VLOOKUP(Fact_Analitica[[#This Row],[Concepto Anterior]],Conceptos_Analítica_contraloría[#All],7,0),"")</f>
        <v/>
      </c>
      <c r="I2905" s="138" t="str">
        <f>+IFERROR(VLOOKUP(D2905,Conceptos_Analítica_contraloría[#All],2,0),"")</f>
        <v/>
      </c>
      <c r="J2905" s="138" t="str">
        <f>+IFERROR(VLOOKUP(D2905,Conceptos_Analítica_contraloría[#All],3,0),"")</f>
        <v/>
      </c>
    </row>
    <row r="2906" spans="3:10" x14ac:dyDescent="0.35">
      <c r="C2906" s="144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s="138" t="str">
        <f>+IFERROR(VLOOKUP(Fact_Analitica[[#This Row],[Concepto Anterior]],Conceptos_Analítica_contraloría[#All],5,0),"")</f>
        <v/>
      </c>
      <c r="F2906" s="138" t="str">
        <f>+IFERROR(VLOOKUP(Fact_Analitica[[#This Row],[Concepto Anterior]],Conceptos_Analítica_contraloría[#All],7,0),"")</f>
        <v/>
      </c>
      <c r="I2906" s="138" t="str">
        <f>+IFERROR(VLOOKUP(D2906,Conceptos_Analítica_contraloría[#All],2,0),"")</f>
        <v/>
      </c>
      <c r="J2906" s="138" t="str">
        <f>+IFERROR(VLOOKUP(D2906,Conceptos_Analítica_contraloría[#All],3,0),"")</f>
        <v/>
      </c>
    </row>
    <row r="2907" spans="3:10" x14ac:dyDescent="0.35">
      <c r="C2907" s="144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s="138" t="str">
        <f>+IFERROR(VLOOKUP(Fact_Analitica[[#This Row],[Concepto Anterior]],Conceptos_Analítica_contraloría[#All],5,0),"")</f>
        <v/>
      </c>
      <c r="F2907" s="138" t="str">
        <f>+IFERROR(VLOOKUP(Fact_Analitica[[#This Row],[Concepto Anterior]],Conceptos_Analítica_contraloría[#All],7,0),"")</f>
        <v/>
      </c>
      <c r="I2907" s="138" t="str">
        <f>+IFERROR(VLOOKUP(D2907,Conceptos_Analítica_contraloría[#All],2,0),"")</f>
        <v/>
      </c>
      <c r="J2907" s="138" t="str">
        <f>+IFERROR(VLOOKUP(D2907,Conceptos_Analítica_contraloría[#All],3,0),"")</f>
        <v/>
      </c>
    </row>
    <row r="2908" spans="3:10" x14ac:dyDescent="0.35">
      <c r="C2908" s="144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s="138" t="str">
        <f>+IFERROR(VLOOKUP(Fact_Analitica[[#This Row],[Concepto Anterior]],Conceptos_Analítica_contraloría[#All],5,0),"")</f>
        <v/>
      </c>
      <c r="F2908" s="138" t="str">
        <f>+IFERROR(VLOOKUP(Fact_Analitica[[#This Row],[Concepto Anterior]],Conceptos_Analítica_contraloría[#All],7,0),"")</f>
        <v/>
      </c>
      <c r="I2908" s="138" t="str">
        <f>+IFERROR(VLOOKUP(D2908,Conceptos_Analítica_contraloría[#All],2,0),"")</f>
        <v/>
      </c>
      <c r="J2908" s="138" t="str">
        <f>+IFERROR(VLOOKUP(D2908,Conceptos_Analítica_contraloría[#All],3,0),"")</f>
        <v/>
      </c>
    </row>
    <row r="2909" spans="3:10" x14ac:dyDescent="0.35">
      <c r="C2909" s="144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s="138" t="str">
        <f>+IFERROR(VLOOKUP(Fact_Analitica[[#This Row],[Concepto Anterior]],Conceptos_Analítica_contraloría[#All],5,0),"")</f>
        <v/>
      </c>
      <c r="F2909" s="138" t="str">
        <f>+IFERROR(VLOOKUP(Fact_Analitica[[#This Row],[Concepto Anterior]],Conceptos_Analítica_contraloría[#All],7,0),"")</f>
        <v/>
      </c>
      <c r="I2909" s="138" t="str">
        <f>+IFERROR(VLOOKUP(D2909,Conceptos_Analítica_contraloría[#All],2,0),"")</f>
        <v/>
      </c>
      <c r="J2909" s="138" t="str">
        <f>+IFERROR(VLOOKUP(D2909,Conceptos_Analítica_contraloría[#All],3,0),"")</f>
        <v/>
      </c>
    </row>
    <row r="2910" spans="3:10" x14ac:dyDescent="0.35">
      <c r="C2910" s="144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s="138" t="str">
        <f>+IFERROR(VLOOKUP(Fact_Analitica[[#This Row],[Concepto Anterior]],Conceptos_Analítica_contraloría[#All],5,0),"")</f>
        <v/>
      </c>
      <c r="F2910" s="138" t="str">
        <f>+IFERROR(VLOOKUP(Fact_Analitica[[#This Row],[Concepto Anterior]],Conceptos_Analítica_contraloría[#All],7,0),"")</f>
        <v/>
      </c>
      <c r="I2910" s="138" t="str">
        <f>+IFERROR(VLOOKUP(D2910,Conceptos_Analítica_contraloría[#All],2,0),"")</f>
        <v/>
      </c>
      <c r="J2910" s="138" t="str">
        <f>+IFERROR(VLOOKUP(D2910,Conceptos_Analítica_contraloría[#All],3,0),"")</f>
        <v/>
      </c>
    </row>
    <row r="2911" spans="3:10" x14ac:dyDescent="0.35">
      <c r="C2911" s="144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s="138" t="str">
        <f>+IFERROR(VLOOKUP(Fact_Analitica[[#This Row],[Concepto Anterior]],Conceptos_Analítica_contraloría[#All],5,0),"")</f>
        <v/>
      </c>
      <c r="F2911" s="138" t="str">
        <f>+IFERROR(VLOOKUP(Fact_Analitica[[#This Row],[Concepto Anterior]],Conceptos_Analítica_contraloría[#All],7,0),"")</f>
        <v/>
      </c>
      <c r="I2911" s="138" t="str">
        <f>+IFERROR(VLOOKUP(D2911,Conceptos_Analítica_contraloría[#All],2,0),"")</f>
        <v/>
      </c>
      <c r="J2911" s="138" t="str">
        <f>+IFERROR(VLOOKUP(D2911,Conceptos_Analítica_contraloría[#All],3,0),"")</f>
        <v/>
      </c>
    </row>
    <row r="2912" spans="3:10" x14ac:dyDescent="0.35">
      <c r="C2912" s="144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s="138" t="str">
        <f>+IFERROR(VLOOKUP(Fact_Analitica[[#This Row],[Concepto Anterior]],Conceptos_Analítica_contraloría[#All],5,0),"")</f>
        <v/>
      </c>
      <c r="F2912" s="138" t="str">
        <f>+IFERROR(VLOOKUP(Fact_Analitica[[#This Row],[Concepto Anterior]],Conceptos_Analítica_contraloría[#All],7,0),"")</f>
        <v/>
      </c>
      <c r="I2912" s="138" t="str">
        <f>+IFERROR(VLOOKUP(D2912,Conceptos_Analítica_contraloría[#All],2,0),"")</f>
        <v/>
      </c>
      <c r="J2912" s="138" t="str">
        <f>+IFERROR(VLOOKUP(D2912,Conceptos_Analítica_contraloría[#All],3,0),"")</f>
        <v/>
      </c>
    </row>
    <row r="2913" spans="3:10" x14ac:dyDescent="0.35">
      <c r="C2913" s="144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s="138" t="str">
        <f>+IFERROR(VLOOKUP(Fact_Analitica[[#This Row],[Concepto Anterior]],Conceptos_Analítica_contraloría[#All],5,0),"")</f>
        <v/>
      </c>
      <c r="F2913" s="138" t="str">
        <f>+IFERROR(VLOOKUP(Fact_Analitica[[#This Row],[Concepto Anterior]],Conceptos_Analítica_contraloría[#All],7,0),"")</f>
        <v/>
      </c>
      <c r="I2913" s="138" t="str">
        <f>+IFERROR(VLOOKUP(D2913,Conceptos_Analítica_contraloría[#All],2,0),"")</f>
        <v/>
      </c>
      <c r="J2913" s="138" t="str">
        <f>+IFERROR(VLOOKUP(D2913,Conceptos_Analítica_contraloría[#All],3,0),"")</f>
        <v/>
      </c>
    </row>
    <row r="2914" spans="3:10" x14ac:dyDescent="0.35">
      <c r="C2914" s="144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s="138" t="str">
        <f>+IFERROR(VLOOKUP(Fact_Analitica[[#This Row],[Concepto Anterior]],Conceptos_Analítica_contraloría[#All],5,0),"")</f>
        <v/>
      </c>
      <c r="F2914" s="138" t="str">
        <f>+IFERROR(VLOOKUP(Fact_Analitica[[#This Row],[Concepto Anterior]],Conceptos_Analítica_contraloría[#All],7,0),"")</f>
        <v/>
      </c>
      <c r="I2914" s="138" t="str">
        <f>+IFERROR(VLOOKUP(D2914,Conceptos_Analítica_contraloría[#All],2,0),"")</f>
        <v/>
      </c>
      <c r="J2914" s="138" t="str">
        <f>+IFERROR(VLOOKUP(D2914,Conceptos_Analítica_contraloría[#All],3,0),"")</f>
        <v/>
      </c>
    </row>
    <row r="2915" spans="3:10" x14ac:dyDescent="0.35">
      <c r="C2915" s="144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s="138" t="str">
        <f>+IFERROR(VLOOKUP(Fact_Analitica[[#This Row],[Concepto Anterior]],Conceptos_Analítica_contraloría[#All],5,0),"")</f>
        <v/>
      </c>
      <c r="F2915" s="138" t="str">
        <f>+IFERROR(VLOOKUP(Fact_Analitica[[#This Row],[Concepto Anterior]],Conceptos_Analítica_contraloría[#All],7,0),"")</f>
        <v/>
      </c>
      <c r="I2915" s="138" t="str">
        <f>+IFERROR(VLOOKUP(D2915,Conceptos_Analítica_contraloría[#All],2,0),"")</f>
        <v/>
      </c>
      <c r="J2915" s="138" t="str">
        <f>+IFERROR(VLOOKUP(D2915,Conceptos_Analítica_contraloría[#All],3,0),"")</f>
        <v/>
      </c>
    </row>
    <row r="2916" spans="3:10" x14ac:dyDescent="0.35">
      <c r="C2916" s="144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s="138" t="str">
        <f>+IFERROR(VLOOKUP(Fact_Analitica[[#This Row],[Concepto Anterior]],Conceptos_Analítica_contraloría[#All],5,0),"")</f>
        <v/>
      </c>
      <c r="F2916" s="138" t="str">
        <f>+IFERROR(VLOOKUP(Fact_Analitica[[#This Row],[Concepto Anterior]],Conceptos_Analítica_contraloría[#All],7,0),"")</f>
        <v/>
      </c>
      <c r="I2916" s="138" t="str">
        <f>+IFERROR(VLOOKUP(D2916,Conceptos_Analítica_contraloría[#All],2,0),"")</f>
        <v/>
      </c>
      <c r="J2916" s="138" t="str">
        <f>+IFERROR(VLOOKUP(D2916,Conceptos_Analítica_contraloría[#All],3,0),"")</f>
        <v/>
      </c>
    </row>
    <row r="2917" spans="3:10" x14ac:dyDescent="0.35">
      <c r="C2917" s="144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s="138" t="str">
        <f>+IFERROR(VLOOKUP(Fact_Analitica[[#This Row],[Concepto Anterior]],Conceptos_Analítica_contraloría[#All],5,0),"")</f>
        <v/>
      </c>
      <c r="F2917" s="138" t="str">
        <f>+IFERROR(VLOOKUP(Fact_Analitica[[#This Row],[Concepto Anterior]],Conceptos_Analítica_contraloría[#All],7,0),"")</f>
        <v/>
      </c>
      <c r="I2917" s="138" t="str">
        <f>+IFERROR(VLOOKUP(D2917,Conceptos_Analítica_contraloría[#All],2,0),"")</f>
        <v/>
      </c>
      <c r="J2917" s="138" t="str">
        <f>+IFERROR(VLOOKUP(D2917,Conceptos_Analítica_contraloría[#All],3,0),"")</f>
        <v/>
      </c>
    </row>
    <row r="2918" spans="3:10" x14ac:dyDescent="0.35">
      <c r="C2918" s="144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s="138" t="str">
        <f>+IFERROR(VLOOKUP(Fact_Analitica[[#This Row],[Concepto Anterior]],Conceptos_Analítica_contraloría[#All],5,0),"")</f>
        <v/>
      </c>
      <c r="F2918" s="138" t="str">
        <f>+IFERROR(VLOOKUP(Fact_Analitica[[#This Row],[Concepto Anterior]],Conceptos_Analítica_contraloría[#All],7,0),"")</f>
        <v/>
      </c>
      <c r="I2918" s="138" t="str">
        <f>+IFERROR(VLOOKUP(D2918,Conceptos_Analítica_contraloría[#All],2,0),"")</f>
        <v/>
      </c>
      <c r="J2918" s="138" t="str">
        <f>+IFERROR(VLOOKUP(D2918,Conceptos_Analítica_contraloría[#All],3,0),"")</f>
        <v/>
      </c>
    </row>
    <row r="2919" spans="3:10" x14ac:dyDescent="0.35">
      <c r="C2919" s="144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s="138" t="str">
        <f>+IFERROR(VLOOKUP(Fact_Analitica[[#This Row],[Concepto Anterior]],Conceptos_Analítica_contraloría[#All],5,0),"")</f>
        <v/>
      </c>
      <c r="F2919" s="138" t="str">
        <f>+IFERROR(VLOOKUP(Fact_Analitica[[#This Row],[Concepto Anterior]],Conceptos_Analítica_contraloría[#All],7,0),"")</f>
        <v/>
      </c>
      <c r="I2919" s="138" t="str">
        <f>+IFERROR(VLOOKUP(D2919,Conceptos_Analítica_contraloría[#All],2,0),"")</f>
        <v/>
      </c>
      <c r="J2919" s="138" t="str">
        <f>+IFERROR(VLOOKUP(D2919,Conceptos_Analítica_contraloría[#All],3,0),"")</f>
        <v/>
      </c>
    </row>
    <row r="2920" spans="3:10" x14ac:dyDescent="0.35">
      <c r="C2920" s="144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s="138" t="str">
        <f>+IFERROR(VLOOKUP(Fact_Analitica[[#This Row],[Concepto Anterior]],Conceptos_Analítica_contraloría[#All],5,0),"")</f>
        <v/>
      </c>
      <c r="F2920" s="138" t="str">
        <f>+IFERROR(VLOOKUP(Fact_Analitica[[#This Row],[Concepto Anterior]],Conceptos_Analítica_contraloría[#All],7,0),"")</f>
        <v/>
      </c>
      <c r="I2920" s="138" t="str">
        <f>+IFERROR(VLOOKUP(D2920,Conceptos_Analítica_contraloría[#All],2,0),"")</f>
        <v/>
      </c>
      <c r="J2920" s="138" t="str">
        <f>+IFERROR(VLOOKUP(D2920,Conceptos_Analítica_contraloría[#All],3,0),"")</f>
        <v/>
      </c>
    </row>
    <row r="2921" spans="3:10" x14ac:dyDescent="0.35">
      <c r="C2921" s="144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s="138" t="str">
        <f>+IFERROR(VLOOKUP(Fact_Analitica[[#This Row],[Concepto Anterior]],Conceptos_Analítica_contraloría[#All],5,0),"")</f>
        <v/>
      </c>
      <c r="F2921" s="138" t="str">
        <f>+IFERROR(VLOOKUP(Fact_Analitica[[#This Row],[Concepto Anterior]],Conceptos_Analítica_contraloría[#All],7,0),"")</f>
        <v/>
      </c>
      <c r="I2921" s="138" t="str">
        <f>+IFERROR(VLOOKUP(D2921,Conceptos_Analítica_contraloría[#All],2,0),"")</f>
        <v/>
      </c>
      <c r="J2921" s="138" t="str">
        <f>+IFERROR(VLOOKUP(D2921,Conceptos_Analítica_contraloría[#All],3,0),"")</f>
        <v/>
      </c>
    </row>
    <row r="2922" spans="3:10" x14ac:dyDescent="0.35">
      <c r="C2922" s="144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s="138" t="str">
        <f>+IFERROR(VLOOKUP(Fact_Analitica[[#This Row],[Concepto Anterior]],Conceptos_Analítica_contraloría[#All],5,0),"")</f>
        <v/>
      </c>
      <c r="F2922" s="138" t="str">
        <f>+IFERROR(VLOOKUP(Fact_Analitica[[#This Row],[Concepto Anterior]],Conceptos_Analítica_contraloría[#All],7,0),"")</f>
        <v/>
      </c>
      <c r="I2922" s="138" t="str">
        <f>+IFERROR(VLOOKUP(D2922,Conceptos_Analítica_contraloría[#All],2,0),"")</f>
        <v/>
      </c>
      <c r="J2922" s="138" t="str">
        <f>+IFERROR(VLOOKUP(D2922,Conceptos_Analítica_contraloría[#All],3,0),"")</f>
        <v/>
      </c>
    </row>
    <row r="2923" spans="3:10" x14ac:dyDescent="0.35">
      <c r="C2923" s="144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s="138" t="str">
        <f>+IFERROR(VLOOKUP(Fact_Analitica[[#This Row],[Concepto Anterior]],Conceptos_Analítica_contraloría[#All],5,0),"")</f>
        <v/>
      </c>
      <c r="F2923" s="138" t="str">
        <f>+IFERROR(VLOOKUP(Fact_Analitica[[#This Row],[Concepto Anterior]],Conceptos_Analítica_contraloría[#All],7,0),"")</f>
        <v/>
      </c>
      <c r="I2923" s="138" t="str">
        <f>+IFERROR(VLOOKUP(D2923,Conceptos_Analítica_contraloría[#All],2,0),"")</f>
        <v/>
      </c>
      <c r="J2923" s="138" t="str">
        <f>+IFERROR(VLOOKUP(D2923,Conceptos_Analítica_contraloría[#All],3,0),"")</f>
        <v/>
      </c>
    </row>
    <row r="2924" spans="3:10" x14ac:dyDescent="0.35">
      <c r="C2924" s="144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s="138" t="str">
        <f>+IFERROR(VLOOKUP(Fact_Analitica[[#This Row],[Concepto Anterior]],Conceptos_Analítica_contraloría[#All],5,0),"")</f>
        <v/>
      </c>
      <c r="F2924" s="138" t="str">
        <f>+IFERROR(VLOOKUP(Fact_Analitica[[#This Row],[Concepto Anterior]],Conceptos_Analítica_contraloría[#All],7,0),"")</f>
        <v/>
      </c>
      <c r="I2924" s="138" t="str">
        <f>+IFERROR(VLOOKUP(D2924,Conceptos_Analítica_contraloría[#All],2,0),"")</f>
        <v/>
      </c>
      <c r="J2924" s="138" t="str">
        <f>+IFERROR(VLOOKUP(D2924,Conceptos_Analítica_contraloría[#All],3,0),"")</f>
        <v/>
      </c>
    </row>
    <row r="2925" spans="3:10" x14ac:dyDescent="0.35">
      <c r="C2925" s="144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s="138" t="str">
        <f>+IFERROR(VLOOKUP(Fact_Analitica[[#This Row],[Concepto Anterior]],Conceptos_Analítica_contraloría[#All],5,0),"")</f>
        <v/>
      </c>
      <c r="F2925" s="138" t="str">
        <f>+IFERROR(VLOOKUP(Fact_Analitica[[#This Row],[Concepto Anterior]],Conceptos_Analítica_contraloría[#All],7,0),"")</f>
        <v/>
      </c>
      <c r="I2925" s="138" t="str">
        <f>+IFERROR(VLOOKUP(D2925,Conceptos_Analítica_contraloría[#All],2,0),"")</f>
        <v/>
      </c>
      <c r="J2925" s="138" t="str">
        <f>+IFERROR(VLOOKUP(D2925,Conceptos_Analítica_contraloría[#All],3,0),"")</f>
        <v/>
      </c>
    </row>
    <row r="2926" spans="3:10" x14ac:dyDescent="0.35">
      <c r="C2926" s="144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s="138" t="str">
        <f>+IFERROR(VLOOKUP(Fact_Analitica[[#This Row],[Concepto Anterior]],Conceptos_Analítica_contraloría[#All],5,0),"")</f>
        <v/>
      </c>
      <c r="F2926" s="138" t="str">
        <f>+IFERROR(VLOOKUP(Fact_Analitica[[#This Row],[Concepto Anterior]],Conceptos_Analítica_contraloría[#All],7,0),"")</f>
        <v/>
      </c>
      <c r="I2926" s="138" t="str">
        <f>+IFERROR(VLOOKUP(D2926,Conceptos_Analítica_contraloría[#All],2,0),"")</f>
        <v/>
      </c>
      <c r="J2926" s="138" t="str">
        <f>+IFERROR(VLOOKUP(D2926,Conceptos_Analítica_contraloría[#All],3,0),"")</f>
        <v/>
      </c>
    </row>
    <row r="2927" spans="3:10" x14ac:dyDescent="0.35">
      <c r="C2927" s="144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s="138" t="str">
        <f>+IFERROR(VLOOKUP(Fact_Analitica[[#This Row],[Concepto Anterior]],Conceptos_Analítica_contraloría[#All],5,0),"")</f>
        <v/>
      </c>
      <c r="F2927" s="138" t="str">
        <f>+IFERROR(VLOOKUP(Fact_Analitica[[#This Row],[Concepto Anterior]],Conceptos_Analítica_contraloría[#All],7,0),"")</f>
        <v/>
      </c>
      <c r="I2927" s="138" t="str">
        <f>+IFERROR(VLOOKUP(D2927,Conceptos_Analítica_contraloría[#All],2,0),"")</f>
        <v/>
      </c>
      <c r="J2927" s="138" t="str">
        <f>+IFERROR(VLOOKUP(D2927,Conceptos_Analítica_contraloría[#All],3,0),"")</f>
        <v/>
      </c>
    </row>
    <row r="2928" spans="3:10" x14ac:dyDescent="0.35">
      <c r="C2928" s="144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s="138" t="str">
        <f>+IFERROR(VLOOKUP(Fact_Analitica[[#This Row],[Concepto Anterior]],Conceptos_Analítica_contraloría[#All],5,0),"")</f>
        <v/>
      </c>
      <c r="F2928" s="138" t="str">
        <f>+IFERROR(VLOOKUP(Fact_Analitica[[#This Row],[Concepto Anterior]],Conceptos_Analítica_contraloría[#All],7,0),"")</f>
        <v/>
      </c>
      <c r="I2928" s="138" t="str">
        <f>+IFERROR(VLOOKUP(D2928,Conceptos_Analítica_contraloría[#All],2,0),"")</f>
        <v/>
      </c>
      <c r="J2928" s="138" t="str">
        <f>+IFERROR(VLOOKUP(D2928,Conceptos_Analítica_contraloría[#All],3,0),"")</f>
        <v/>
      </c>
    </row>
    <row r="2929" spans="3:10" x14ac:dyDescent="0.35">
      <c r="C2929" s="144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s="138" t="str">
        <f>+IFERROR(VLOOKUP(Fact_Analitica[[#This Row],[Concepto Anterior]],Conceptos_Analítica_contraloría[#All],5,0),"")</f>
        <v/>
      </c>
      <c r="F2929" s="138" t="str">
        <f>+IFERROR(VLOOKUP(Fact_Analitica[[#This Row],[Concepto Anterior]],Conceptos_Analítica_contraloría[#All],7,0),"")</f>
        <v/>
      </c>
      <c r="I2929" s="138" t="str">
        <f>+IFERROR(VLOOKUP(D2929,Conceptos_Analítica_contraloría[#All],2,0),"")</f>
        <v/>
      </c>
      <c r="J2929" s="138" t="str">
        <f>+IFERROR(VLOOKUP(D2929,Conceptos_Analítica_contraloría[#All],3,0),"")</f>
        <v/>
      </c>
    </row>
    <row r="2930" spans="3:10" x14ac:dyDescent="0.35">
      <c r="C2930" s="144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s="138" t="str">
        <f>+IFERROR(VLOOKUP(Fact_Analitica[[#This Row],[Concepto Anterior]],Conceptos_Analítica_contraloría[#All],5,0),"")</f>
        <v/>
      </c>
      <c r="F2930" s="138" t="str">
        <f>+IFERROR(VLOOKUP(Fact_Analitica[[#This Row],[Concepto Anterior]],Conceptos_Analítica_contraloría[#All],7,0),"")</f>
        <v/>
      </c>
      <c r="I2930" s="138" t="str">
        <f>+IFERROR(VLOOKUP(D2930,Conceptos_Analítica_contraloría[#All],2,0),"")</f>
        <v/>
      </c>
      <c r="J2930" s="138" t="str">
        <f>+IFERROR(VLOOKUP(D2930,Conceptos_Analítica_contraloría[#All],3,0),"")</f>
        <v/>
      </c>
    </row>
    <row r="2931" spans="3:10" x14ac:dyDescent="0.35">
      <c r="C2931" s="144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s="138" t="str">
        <f>+IFERROR(VLOOKUP(Fact_Analitica[[#This Row],[Concepto Anterior]],Conceptos_Analítica_contraloría[#All],5,0),"")</f>
        <v/>
      </c>
      <c r="F2931" s="138" t="str">
        <f>+IFERROR(VLOOKUP(Fact_Analitica[[#This Row],[Concepto Anterior]],Conceptos_Analítica_contraloría[#All],7,0),"")</f>
        <v/>
      </c>
      <c r="I2931" s="138" t="str">
        <f>+IFERROR(VLOOKUP(D2931,Conceptos_Analítica_contraloría[#All],2,0),"")</f>
        <v/>
      </c>
      <c r="J2931" s="138" t="str">
        <f>+IFERROR(VLOOKUP(D2931,Conceptos_Analítica_contraloría[#All],3,0),"")</f>
        <v/>
      </c>
    </row>
    <row r="2932" spans="3:10" x14ac:dyDescent="0.35">
      <c r="C2932" s="144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s="138" t="str">
        <f>+IFERROR(VLOOKUP(Fact_Analitica[[#This Row],[Concepto Anterior]],Conceptos_Analítica_contraloría[#All],5,0),"")</f>
        <v/>
      </c>
      <c r="F2932" s="138" t="str">
        <f>+IFERROR(VLOOKUP(Fact_Analitica[[#This Row],[Concepto Anterior]],Conceptos_Analítica_contraloría[#All],7,0),"")</f>
        <v/>
      </c>
      <c r="I2932" s="138" t="str">
        <f>+IFERROR(VLOOKUP(D2932,Conceptos_Analítica_contraloría[#All],2,0),"")</f>
        <v/>
      </c>
      <c r="J2932" s="138" t="str">
        <f>+IFERROR(VLOOKUP(D2932,Conceptos_Analítica_contraloría[#All],3,0),"")</f>
        <v/>
      </c>
    </row>
    <row r="2933" spans="3:10" x14ac:dyDescent="0.35">
      <c r="C2933" s="144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s="138" t="str">
        <f>+IFERROR(VLOOKUP(Fact_Analitica[[#This Row],[Concepto Anterior]],Conceptos_Analítica_contraloría[#All],5,0),"")</f>
        <v/>
      </c>
      <c r="F2933" s="138" t="str">
        <f>+IFERROR(VLOOKUP(Fact_Analitica[[#This Row],[Concepto Anterior]],Conceptos_Analítica_contraloría[#All],7,0),"")</f>
        <v/>
      </c>
      <c r="I2933" s="138" t="str">
        <f>+IFERROR(VLOOKUP(D2933,Conceptos_Analítica_contraloría[#All],2,0),"")</f>
        <v/>
      </c>
      <c r="J2933" s="138" t="str">
        <f>+IFERROR(VLOOKUP(D2933,Conceptos_Analítica_contraloría[#All],3,0),"")</f>
        <v/>
      </c>
    </row>
    <row r="2934" spans="3:10" x14ac:dyDescent="0.35">
      <c r="C2934" s="144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s="138" t="str">
        <f>+IFERROR(VLOOKUP(Fact_Analitica[[#This Row],[Concepto Anterior]],Conceptos_Analítica_contraloría[#All],5,0),"")</f>
        <v/>
      </c>
      <c r="F2934" s="138" t="str">
        <f>+IFERROR(VLOOKUP(Fact_Analitica[[#This Row],[Concepto Anterior]],Conceptos_Analítica_contraloría[#All],7,0),"")</f>
        <v/>
      </c>
      <c r="I2934" s="138" t="str">
        <f>+IFERROR(VLOOKUP(D2934,Conceptos_Analítica_contraloría[#All],2,0),"")</f>
        <v/>
      </c>
      <c r="J2934" s="138" t="str">
        <f>+IFERROR(VLOOKUP(D2934,Conceptos_Analítica_contraloría[#All],3,0),"")</f>
        <v/>
      </c>
    </row>
    <row r="2935" spans="3:10" x14ac:dyDescent="0.35">
      <c r="C2935" s="144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s="138" t="str">
        <f>+IFERROR(VLOOKUP(Fact_Analitica[[#This Row],[Concepto Anterior]],Conceptos_Analítica_contraloría[#All],5,0),"")</f>
        <v/>
      </c>
      <c r="F2935" s="138" t="str">
        <f>+IFERROR(VLOOKUP(Fact_Analitica[[#This Row],[Concepto Anterior]],Conceptos_Analítica_contraloría[#All],7,0),"")</f>
        <v/>
      </c>
      <c r="I2935" s="138" t="str">
        <f>+IFERROR(VLOOKUP(D2935,Conceptos_Analítica_contraloría[#All],2,0),"")</f>
        <v/>
      </c>
      <c r="J2935" s="138" t="str">
        <f>+IFERROR(VLOOKUP(D2935,Conceptos_Analítica_contraloría[#All],3,0),"")</f>
        <v/>
      </c>
    </row>
    <row r="2936" spans="3:10" x14ac:dyDescent="0.35">
      <c r="C2936" s="144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s="138" t="str">
        <f>+IFERROR(VLOOKUP(Fact_Analitica[[#This Row],[Concepto Anterior]],Conceptos_Analítica_contraloría[#All],5,0),"")</f>
        <v/>
      </c>
      <c r="F2936" s="138" t="str">
        <f>+IFERROR(VLOOKUP(Fact_Analitica[[#This Row],[Concepto Anterior]],Conceptos_Analítica_contraloría[#All],7,0),"")</f>
        <v/>
      </c>
      <c r="I2936" s="138" t="str">
        <f>+IFERROR(VLOOKUP(D2936,Conceptos_Analítica_contraloría[#All],2,0),"")</f>
        <v/>
      </c>
      <c r="J2936" s="138" t="str">
        <f>+IFERROR(VLOOKUP(D2936,Conceptos_Analítica_contraloría[#All],3,0),"")</f>
        <v/>
      </c>
    </row>
    <row r="2937" spans="3:10" x14ac:dyDescent="0.35">
      <c r="C2937" s="144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s="138" t="str">
        <f>+IFERROR(VLOOKUP(Fact_Analitica[[#This Row],[Concepto Anterior]],Conceptos_Analítica_contraloría[#All],5,0),"")</f>
        <v/>
      </c>
      <c r="F2937" s="138" t="str">
        <f>+IFERROR(VLOOKUP(Fact_Analitica[[#This Row],[Concepto Anterior]],Conceptos_Analítica_contraloría[#All],7,0),"")</f>
        <v/>
      </c>
      <c r="I2937" s="138" t="str">
        <f>+IFERROR(VLOOKUP(D2937,Conceptos_Analítica_contraloría[#All],2,0),"")</f>
        <v/>
      </c>
      <c r="J2937" s="138" t="str">
        <f>+IFERROR(VLOOKUP(D2937,Conceptos_Analítica_contraloría[#All],3,0),"")</f>
        <v/>
      </c>
    </row>
    <row r="2938" spans="3:10" x14ac:dyDescent="0.35">
      <c r="C2938" s="144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s="138" t="str">
        <f>+IFERROR(VLOOKUP(Fact_Analitica[[#This Row],[Concepto Anterior]],Conceptos_Analítica_contraloría[#All],5,0),"")</f>
        <v/>
      </c>
      <c r="F2938" s="138" t="str">
        <f>+IFERROR(VLOOKUP(Fact_Analitica[[#This Row],[Concepto Anterior]],Conceptos_Analítica_contraloría[#All],7,0),"")</f>
        <v/>
      </c>
      <c r="I2938" s="138" t="str">
        <f>+IFERROR(VLOOKUP(D2938,Conceptos_Analítica_contraloría[#All],2,0),"")</f>
        <v/>
      </c>
      <c r="J2938" s="138" t="str">
        <f>+IFERROR(VLOOKUP(D2938,Conceptos_Analítica_contraloría[#All],3,0),"")</f>
        <v/>
      </c>
    </row>
    <row r="2939" spans="3:10" x14ac:dyDescent="0.35">
      <c r="C2939" s="144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s="138" t="str">
        <f>+IFERROR(VLOOKUP(Fact_Analitica[[#This Row],[Concepto Anterior]],Conceptos_Analítica_contraloría[#All],5,0),"")</f>
        <v/>
      </c>
      <c r="F2939" s="138" t="str">
        <f>+IFERROR(VLOOKUP(Fact_Analitica[[#This Row],[Concepto Anterior]],Conceptos_Analítica_contraloría[#All],7,0),"")</f>
        <v/>
      </c>
      <c r="I2939" s="138" t="str">
        <f>+IFERROR(VLOOKUP(D2939,Conceptos_Analítica_contraloría[#All],2,0),"")</f>
        <v/>
      </c>
      <c r="J2939" s="138" t="str">
        <f>+IFERROR(VLOOKUP(D2939,Conceptos_Analítica_contraloría[#All],3,0),"")</f>
        <v/>
      </c>
    </row>
    <row r="2940" spans="3:10" x14ac:dyDescent="0.35">
      <c r="C2940" s="144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s="138" t="str">
        <f>+IFERROR(VLOOKUP(Fact_Analitica[[#This Row],[Concepto Anterior]],Conceptos_Analítica_contraloría[#All],5,0),"")</f>
        <v/>
      </c>
      <c r="F2940" s="138" t="str">
        <f>+IFERROR(VLOOKUP(Fact_Analitica[[#This Row],[Concepto Anterior]],Conceptos_Analítica_contraloría[#All],7,0),"")</f>
        <v/>
      </c>
      <c r="I2940" s="138" t="str">
        <f>+IFERROR(VLOOKUP(D2940,Conceptos_Analítica_contraloría[#All],2,0),"")</f>
        <v/>
      </c>
      <c r="J2940" s="138" t="str">
        <f>+IFERROR(VLOOKUP(D2940,Conceptos_Analítica_contraloría[#All],3,0),"")</f>
        <v/>
      </c>
    </row>
    <row r="2941" spans="3:10" x14ac:dyDescent="0.35">
      <c r="C2941" s="144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s="138" t="str">
        <f>+IFERROR(VLOOKUP(Fact_Analitica[[#This Row],[Concepto Anterior]],Conceptos_Analítica_contraloría[#All],5,0),"")</f>
        <v/>
      </c>
      <c r="F2941" s="138" t="str">
        <f>+IFERROR(VLOOKUP(Fact_Analitica[[#This Row],[Concepto Anterior]],Conceptos_Analítica_contraloría[#All],7,0),"")</f>
        <v/>
      </c>
      <c r="I2941" s="138" t="str">
        <f>+IFERROR(VLOOKUP(D2941,Conceptos_Analítica_contraloría[#All],2,0),"")</f>
        <v/>
      </c>
      <c r="J2941" s="138" t="str">
        <f>+IFERROR(VLOOKUP(D2941,Conceptos_Analítica_contraloría[#All],3,0),"")</f>
        <v/>
      </c>
    </row>
    <row r="2942" spans="3:10" x14ac:dyDescent="0.35">
      <c r="C2942" s="144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s="138" t="str">
        <f>+IFERROR(VLOOKUP(Fact_Analitica[[#This Row],[Concepto Anterior]],Conceptos_Analítica_contraloría[#All],5,0),"")</f>
        <v/>
      </c>
      <c r="F2942" s="138" t="str">
        <f>+IFERROR(VLOOKUP(Fact_Analitica[[#This Row],[Concepto Anterior]],Conceptos_Analítica_contraloría[#All],7,0),"")</f>
        <v/>
      </c>
      <c r="I2942" s="138" t="str">
        <f>+IFERROR(VLOOKUP(D2942,Conceptos_Analítica_contraloría[#All],2,0),"")</f>
        <v/>
      </c>
      <c r="J2942" s="138" t="str">
        <f>+IFERROR(VLOOKUP(D2942,Conceptos_Analítica_contraloría[#All],3,0),"")</f>
        <v/>
      </c>
    </row>
    <row r="2943" spans="3:10" x14ac:dyDescent="0.35">
      <c r="C2943" s="144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s="138" t="str">
        <f>+IFERROR(VLOOKUP(Fact_Analitica[[#This Row],[Concepto Anterior]],Conceptos_Analítica_contraloría[#All],5,0),"")</f>
        <v/>
      </c>
      <c r="F2943" s="138" t="str">
        <f>+IFERROR(VLOOKUP(Fact_Analitica[[#This Row],[Concepto Anterior]],Conceptos_Analítica_contraloría[#All],7,0),"")</f>
        <v/>
      </c>
      <c r="I2943" s="138" t="str">
        <f>+IFERROR(VLOOKUP(D2943,Conceptos_Analítica_contraloría[#All],2,0),"")</f>
        <v/>
      </c>
      <c r="J2943" s="138" t="str">
        <f>+IFERROR(VLOOKUP(D2943,Conceptos_Analítica_contraloría[#All],3,0),"")</f>
        <v/>
      </c>
    </row>
    <row r="2944" spans="3:10" x14ac:dyDescent="0.35">
      <c r="C2944" s="144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s="138" t="str">
        <f>+IFERROR(VLOOKUP(Fact_Analitica[[#This Row],[Concepto Anterior]],Conceptos_Analítica_contraloría[#All],5,0),"")</f>
        <v/>
      </c>
      <c r="F2944" s="138" t="str">
        <f>+IFERROR(VLOOKUP(Fact_Analitica[[#This Row],[Concepto Anterior]],Conceptos_Analítica_contraloría[#All],7,0),"")</f>
        <v/>
      </c>
      <c r="I2944" s="138" t="str">
        <f>+IFERROR(VLOOKUP(D2944,Conceptos_Analítica_contraloría[#All],2,0),"")</f>
        <v/>
      </c>
      <c r="J2944" s="138" t="str">
        <f>+IFERROR(VLOOKUP(D2944,Conceptos_Analítica_contraloría[#All],3,0),"")</f>
        <v/>
      </c>
    </row>
    <row r="2945" spans="3:10" x14ac:dyDescent="0.35">
      <c r="C2945" s="144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s="138" t="str">
        <f>+IFERROR(VLOOKUP(Fact_Analitica[[#This Row],[Concepto Anterior]],Conceptos_Analítica_contraloría[#All],5,0),"")</f>
        <v/>
      </c>
      <c r="F2945" s="138" t="str">
        <f>+IFERROR(VLOOKUP(Fact_Analitica[[#This Row],[Concepto Anterior]],Conceptos_Analítica_contraloría[#All],7,0),"")</f>
        <v/>
      </c>
      <c r="I2945" s="138" t="str">
        <f>+IFERROR(VLOOKUP(D2945,Conceptos_Analítica_contraloría[#All],2,0),"")</f>
        <v/>
      </c>
      <c r="J2945" s="138" t="str">
        <f>+IFERROR(VLOOKUP(D2945,Conceptos_Analítica_contraloría[#All],3,0),"")</f>
        <v/>
      </c>
    </row>
    <row r="2946" spans="3:10" x14ac:dyDescent="0.35">
      <c r="C2946" s="144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s="138" t="str">
        <f>+IFERROR(VLOOKUP(Fact_Analitica[[#This Row],[Concepto Anterior]],Conceptos_Analítica_contraloría[#All],5,0),"")</f>
        <v/>
      </c>
      <c r="F2946" s="138" t="str">
        <f>+IFERROR(VLOOKUP(Fact_Analitica[[#This Row],[Concepto Anterior]],Conceptos_Analítica_contraloría[#All],7,0),"")</f>
        <v/>
      </c>
      <c r="I2946" s="138" t="str">
        <f>+IFERROR(VLOOKUP(D2946,Conceptos_Analítica_contraloría[#All],2,0),"")</f>
        <v/>
      </c>
      <c r="J2946" s="138" t="str">
        <f>+IFERROR(VLOOKUP(D2946,Conceptos_Analítica_contraloría[#All],3,0),"")</f>
        <v/>
      </c>
    </row>
    <row r="2947" spans="3:10" x14ac:dyDescent="0.35">
      <c r="C2947" s="144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s="138" t="str">
        <f>+IFERROR(VLOOKUP(Fact_Analitica[[#This Row],[Concepto Anterior]],Conceptos_Analítica_contraloría[#All],5,0),"")</f>
        <v/>
      </c>
      <c r="F2947" s="138" t="str">
        <f>+IFERROR(VLOOKUP(Fact_Analitica[[#This Row],[Concepto Anterior]],Conceptos_Analítica_contraloría[#All],7,0),"")</f>
        <v/>
      </c>
      <c r="I2947" s="138" t="str">
        <f>+IFERROR(VLOOKUP(D2947,Conceptos_Analítica_contraloría[#All],2,0),"")</f>
        <v/>
      </c>
      <c r="J2947" s="138" t="str">
        <f>+IFERROR(VLOOKUP(D2947,Conceptos_Analítica_contraloría[#All],3,0),"")</f>
        <v/>
      </c>
    </row>
    <row r="2948" spans="3:10" x14ac:dyDescent="0.35">
      <c r="C2948" s="144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s="138" t="str">
        <f>+IFERROR(VLOOKUP(Fact_Analitica[[#This Row],[Concepto Anterior]],Conceptos_Analítica_contraloría[#All],5,0),"")</f>
        <v/>
      </c>
      <c r="F2948" s="138" t="str">
        <f>+IFERROR(VLOOKUP(Fact_Analitica[[#This Row],[Concepto Anterior]],Conceptos_Analítica_contraloría[#All],7,0),"")</f>
        <v/>
      </c>
      <c r="I2948" s="138" t="str">
        <f>+IFERROR(VLOOKUP(D2948,Conceptos_Analítica_contraloría[#All],2,0),"")</f>
        <v/>
      </c>
      <c r="J2948" s="138" t="str">
        <f>+IFERROR(VLOOKUP(D2948,Conceptos_Analítica_contraloría[#All],3,0),"")</f>
        <v/>
      </c>
    </row>
    <row r="2949" spans="3:10" x14ac:dyDescent="0.35">
      <c r="C2949" s="144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s="138" t="str">
        <f>+IFERROR(VLOOKUP(Fact_Analitica[[#This Row],[Concepto Anterior]],Conceptos_Analítica_contraloría[#All],5,0),"")</f>
        <v/>
      </c>
      <c r="F2949" s="138" t="str">
        <f>+IFERROR(VLOOKUP(Fact_Analitica[[#This Row],[Concepto Anterior]],Conceptos_Analítica_contraloría[#All],7,0),"")</f>
        <v/>
      </c>
      <c r="I2949" s="138" t="str">
        <f>+IFERROR(VLOOKUP(D2949,Conceptos_Analítica_contraloría[#All],2,0),"")</f>
        <v/>
      </c>
      <c r="J2949" s="138" t="str">
        <f>+IFERROR(VLOOKUP(D2949,Conceptos_Analítica_contraloría[#All],3,0),"")</f>
        <v/>
      </c>
    </row>
    <row r="2950" spans="3:10" x14ac:dyDescent="0.35">
      <c r="C2950" s="144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s="138" t="str">
        <f>+IFERROR(VLOOKUP(Fact_Analitica[[#This Row],[Concepto Anterior]],Conceptos_Analítica_contraloría[#All],5,0),"")</f>
        <v/>
      </c>
      <c r="F2950" s="138" t="str">
        <f>+IFERROR(VLOOKUP(Fact_Analitica[[#This Row],[Concepto Anterior]],Conceptos_Analítica_contraloría[#All],7,0),"")</f>
        <v/>
      </c>
      <c r="I2950" s="138" t="str">
        <f>+IFERROR(VLOOKUP(D2950,Conceptos_Analítica_contraloría[#All],2,0),"")</f>
        <v/>
      </c>
      <c r="J2950" s="138" t="str">
        <f>+IFERROR(VLOOKUP(D2950,Conceptos_Analítica_contraloría[#All],3,0),"")</f>
        <v/>
      </c>
    </row>
    <row r="2951" spans="3:10" x14ac:dyDescent="0.35">
      <c r="C2951" s="144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s="138" t="str">
        <f>+IFERROR(VLOOKUP(Fact_Analitica[[#This Row],[Concepto Anterior]],Conceptos_Analítica_contraloría[#All],5,0),"")</f>
        <v/>
      </c>
      <c r="F2951" s="138" t="str">
        <f>+IFERROR(VLOOKUP(Fact_Analitica[[#This Row],[Concepto Anterior]],Conceptos_Analítica_contraloría[#All],7,0),"")</f>
        <v/>
      </c>
      <c r="I2951" s="138" t="str">
        <f>+IFERROR(VLOOKUP(D2951,Conceptos_Analítica_contraloría[#All],2,0),"")</f>
        <v/>
      </c>
      <c r="J2951" s="138" t="str">
        <f>+IFERROR(VLOOKUP(D2951,Conceptos_Analítica_contraloría[#All],3,0),"")</f>
        <v/>
      </c>
    </row>
    <row r="2952" spans="3:10" x14ac:dyDescent="0.35">
      <c r="C2952" s="144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s="138" t="str">
        <f>+IFERROR(VLOOKUP(Fact_Analitica[[#This Row],[Concepto Anterior]],Conceptos_Analítica_contraloría[#All],5,0),"")</f>
        <v/>
      </c>
      <c r="F2952" s="138" t="str">
        <f>+IFERROR(VLOOKUP(Fact_Analitica[[#This Row],[Concepto Anterior]],Conceptos_Analítica_contraloría[#All],7,0),"")</f>
        <v/>
      </c>
      <c r="I2952" s="138" t="str">
        <f>+IFERROR(VLOOKUP(D2952,Conceptos_Analítica_contraloría[#All],2,0),"")</f>
        <v/>
      </c>
      <c r="J2952" s="138" t="str">
        <f>+IFERROR(VLOOKUP(D2952,Conceptos_Analítica_contraloría[#All],3,0),"")</f>
        <v/>
      </c>
    </row>
    <row r="2953" spans="3:10" x14ac:dyDescent="0.35">
      <c r="C2953" s="144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s="138" t="str">
        <f>+IFERROR(VLOOKUP(Fact_Analitica[[#This Row],[Concepto Anterior]],Conceptos_Analítica_contraloría[#All],5,0),"")</f>
        <v/>
      </c>
      <c r="F2953" s="138" t="str">
        <f>+IFERROR(VLOOKUP(Fact_Analitica[[#This Row],[Concepto Anterior]],Conceptos_Analítica_contraloría[#All],7,0),"")</f>
        <v/>
      </c>
      <c r="I2953" s="138" t="str">
        <f>+IFERROR(VLOOKUP(D2953,Conceptos_Analítica_contraloría[#All],2,0),"")</f>
        <v/>
      </c>
      <c r="J2953" s="138" t="str">
        <f>+IFERROR(VLOOKUP(D2953,Conceptos_Analítica_contraloría[#All],3,0),"")</f>
        <v/>
      </c>
    </row>
    <row r="2954" spans="3:10" x14ac:dyDescent="0.35">
      <c r="C2954" s="144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s="138" t="str">
        <f>+IFERROR(VLOOKUP(Fact_Analitica[[#This Row],[Concepto Anterior]],Conceptos_Analítica_contraloría[#All],5,0),"")</f>
        <v/>
      </c>
      <c r="F2954" s="138" t="str">
        <f>+IFERROR(VLOOKUP(Fact_Analitica[[#This Row],[Concepto Anterior]],Conceptos_Analítica_contraloría[#All],7,0),"")</f>
        <v/>
      </c>
      <c r="I2954" s="138" t="str">
        <f>+IFERROR(VLOOKUP(D2954,Conceptos_Analítica_contraloría[#All],2,0),"")</f>
        <v/>
      </c>
      <c r="J2954" s="138" t="str">
        <f>+IFERROR(VLOOKUP(D2954,Conceptos_Analítica_contraloría[#All],3,0),"")</f>
        <v/>
      </c>
    </row>
    <row r="2955" spans="3:10" x14ac:dyDescent="0.35">
      <c r="C2955" s="144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s="138" t="str">
        <f>+IFERROR(VLOOKUP(Fact_Analitica[[#This Row],[Concepto Anterior]],Conceptos_Analítica_contraloría[#All],5,0),"")</f>
        <v/>
      </c>
      <c r="F2955" s="138" t="str">
        <f>+IFERROR(VLOOKUP(Fact_Analitica[[#This Row],[Concepto Anterior]],Conceptos_Analítica_contraloría[#All],7,0),"")</f>
        <v/>
      </c>
      <c r="I2955" s="138" t="str">
        <f>+IFERROR(VLOOKUP(D2955,Conceptos_Analítica_contraloría[#All],2,0),"")</f>
        <v/>
      </c>
      <c r="J2955" s="138" t="str">
        <f>+IFERROR(VLOOKUP(D2955,Conceptos_Analítica_contraloría[#All],3,0),"")</f>
        <v/>
      </c>
    </row>
    <row r="2956" spans="3:10" x14ac:dyDescent="0.35">
      <c r="C2956" s="144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s="138" t="str">
        <f>+IFERROR(VLOOKUP(Fact_Analitica[[#This Row],[Concepto Anterior]],Conceptos_Analítica_contraloría[#All],5,0),"")</f>
        <v/>
      </c>
      <c r="F2956" s="138" t="str">
        <f>+IFERROR(VLOOKUP(Fact_Analitica[[#This Row],[Concepto Anterior]],Conceptos_Analítica_contraloría[#All],7,0),"")</f>
        <v/>
      </c>
      <c r="I2956" s="138" t="str">
        <f>+IFERROR(VLOOKUP(D2956,Conceptos_Analítica_contraloría[#All],2,0),"")</f>
        <v/>
      </c>
      <c r="J2956" s="138" t="str">
        <f>+IFERROR(VLOOKUP(D2956,Conceptos_Analítica_contraloría[#All],3,0),"")</f>
        <v/>
      </c>
    </row>
    <row r="2957" spans="3:10" x14ac:dyDescent="0.35">
      <c r="C2957" s="144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s="138" t="str">
        <f>+IFERROR(VLOOKUP(Fact_Analitica[[#This Row],[Concepto Anterior]],Conceptos_Analítica_contraloría[#All],5,0),"")</f>
        <v/>
      </c>
      <c r="F2957" s="138" t="str">
        <f>+IFERROR(VLOOKUP(Fact_Analitica[[#This Row],[Concepto Anterior]],Conceptos_Analítica_contraloría[#All],7,0),"")</f>
        <v/>
      </c>
      <c r="I2957" s="138" t="str">
        <f>+IFERROR(VLOOKUP(D2957,Conceptos_Analítica_contraloría[#All],2,0),"")</f>
        <v/>
      </c>
      <c r="J2957" s="138" t="str">
        <f>+IFERROR(VLOOKUP(D2957,Conceptos_Analítica_contraloría[#All],3,0),"")</f>
        <v/>
      </c>
    </row>
    <row r="2958" spans="3:10" x14ac:dyDescent="0.35">
      <c r="C2958" s="144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s="138" t="str">
        <f>+IFERROR(VLOOKUP(Fact_Analitica[[#This Row],[Concepto Anterior]],Conceptos_Analítica_contraloría[#All],5,0),"")</f>
        <v/>
      </c>
      <c r="F2958" s="138" t="str">
        <f>+IFERROR(VLOOKUP(Fact_Analitica[[#This Row],[Concepto Anterior]],Conceptos_Analítica_contraloría[#All],7,0),"")</f>
        <v/>
      </c>
      <c r="I2958" s="138" t="str">
        <f>+IFERROR(VLOOKUP(D2958,Conceptos_Analítica_contraloría[#All],2,0),"")</f>
        <v/>
      </c>
      <c r="J2958" s="138" t="str">
        <f>+IFERROR(VLOOKUP(D2958,Conceptos_Analítica_contraloría[#All],3,0),"")</f>
        <v/>
      </c>
    </row>
    <row r="2959" spans="3:10" x14ac:dyDescent="0.35">
      <c r="C2959" s="144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s="138" t="str">
        <f>+IFERROR(VLOOKUP(Fact_Analitica[[#This Row],[Concepto Anterior]],Conceptos_Analítica_contraloría[#All],5,0),"")</f>
        <v/>
      </c>
      <c r="F2959" s="138" t="str">
        <f>+IFERROR(VLOOKUP(Fact_Analitica[[#This Row],[Concepto Anterior]],Conceptos_Analítica_contraloría[#All],7,0),"")</f>
        <v/>
      </c>
      <c r="I2959" s="138" t="str">
        <f>+IFERROR(VLOOKUP(D2959,Conceptos_Analítica_contraloría[#All],2,0),"")</f>
        <v/>
      </c>
      <c r="J2959" s="138" t="str">
        <f>+IFERROR(VLOOKUP(D2959,Conceptos_Analítica_contraloría[#All],3,0),"")</f>
        <v/>
      </c>
    </row>
    <row r="2960" spans="3:10" x14ac:dyDescent="0.35">
      <c r="C2960" s="144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s="138" t="str">
        <f>+IFERROR(VLOOKUP(Fact_Analitica[[#This Row],[Concepto Anterior]],Conceptos_Analítica_contraloría[#All],5,0),"")</f>
        <v/>
      </c>
      <c r="F2960" s="138" t="str">
        <f>+IFERROR(VLOOKUP(Fact_Analitica[[#This Row],[Concepto Anterior]],Conceptos_Analítica_contraloría[#All],7,0),"")</f>
        <v/>
      </c>
      <c r="I2960" s="138" t="str">
        <f>+IFERROR(VLOOKUP(D2960,Conceptos_Analítica_contraloría[#All],2,0),"")</f>
        <v/>
      </c>
      <c r="J2960" s="138" t="str">
        <f>+IFERROR(VLOOKUP(D2960,Conceptos_Analítica_contraloría[#All],3,0),"")</f>
        <v/>
      </c>
    </row>
    <row r="2961" spans="3:10" x14ac:dyDescent="0.35">
      <c r="C2961" s="144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s="138" t="str">
        <f>+IFERROR(VLOOKUP(Fact_Analitica[[#This Row],[Concepto Anterior]],Conceptos_Analítica_contraloría[#All],5,0),"")</f>
        <v/>
      </c>
      <c r="F2961" s="138" t="str">
        <f>+IFERROR(VLOOKUP(Fact_Analitica[[#This Row],[Concepto Anterior]],Conceptos_Analítica_contraloría[#All],7,0),"")</f>
        <v/>
      </c>
      <c r="I2961" s="138" t="str">
        <f>+IFERROR(VLOOKUP(D2961,Conceptos_Analítica_contraloría[#All],2,0),"")</f>
        <v/>
      </c>
      <c r="J2961" s="138" t="str">
        <f>+IFERROR(VLOOKUP(D2961,Conceptos_Analítica_contraloría[#All],3,0),"")</f>
        <v/>
      </c>
    </row>
    <row r="2962" spans="3:10" x14ac:dyDescent="0.35">
      <c r="C2962" s="144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s="138" t="str">
        <f>+IFERROR(VLOOKUP(Fact_Analitica[[#This Row],[Concepto Anterior]],Conceptos_Analítica_contraloría[#All],5,0),"")</f>
        <v/>
      </c>
      <c r="F2962" s="138" t="str">
        <f>+IFERROR(VLOOKUP(Fact_Analitica[[#This Row],[Concepto Anterior]],Conceptos_Analítica_contraloría[#All],7,0),"")</f>
        <v/>
      </c>
      <c r="I2962" s="138" t="str">
        <f>+IFERROR(VLOOKUP(D2962,Conceptos_Analítica_contraloría[#All],2,0),"")</f>
        <v/>
      </c>
      <c r="J2962" s="138" t="str">
        <f>+IFERROR(VLOOKUP(D2962,Conceptos_Analítica_contraloría[#All],3,0),"")</f>
        <v/>
      </c>
    </row>
    <row r="2963" spans="3:10" x14ac:dyDescent="0.35">
      <c r="C2963" s="144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s="138" t="str">
        <f>+IFERROR(VLOOKUP(Fact_Analitica[[#This Row],[Concepto Anterior]],Conceptos_Analítica_contraloría[#All],5,0),"")</f>
        <v/>
      </c>
      <c r="F2963" s="138" t="str">
        <f>+IFERROR(VLOOKUP(Fact_Analitica[[#This Row],[Concepto Anterior]],Conceptos_Analítica_contraloría[#All],7,0),"")</f>
        <v/>
      </c>
      <c r="I2963" s="138" t="str">
        <f>+IFERROR(VLOOKUP(D2963,Conceptos_Analítica_contraloría[#All],2,0),"")</f>
        <v/>
      </c>
      <c r="J2963" s="138" t="str">
        <f>+IFERROR(VLOOKUP(D2963,Conceptos_Analítica_contraloría[#All],3,0),"")</f>
        <v/>
      </c>
    </row>
    <row r="2964" spans="3:10" x14ac:dyDescent="0.35">
      <c r="C2964" s="144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s="138" t="str">
        <f>+IFERROR(VLOOKUP(Fact_Analitica[[#This Row],[Concepto Anterior]],Conceptos_Analítica_contraloría[#All],5,0),"")</f>
        <v/>
      </c>
      <c r="F2964" s="138" t="str">
        <f>+IFERROR(VLOOKUP(Fact_Analitica[[#This Row],[Concepto Anterior]],Conceptos_Analítica_contraloría[#All],7,0),"")</f>
        <v/>
      </c>
      <c r="I2964" s="138" t="str">
        <f>+IFERROR(VLOOKUP(D2964,Conceptos_Analítica_contraloría[#All],2,0),"")</f>
        <v/>
      </c>
      <c r="J2964" s="138" t="str">
        <f>+IFERROR(VLOOKUP(D2964,Conceptos_Analítica_contraloría[#All],3,0),"")</f>
        <v/>
      </c>
    </row>
    <row r="2965" spans="3:10" x14ac:dyDescent="0.35">
      <c r="C2965" s="144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s="138" t="str">
        <f>+IFERROR(VLOOKUP(Fact_Analitica[[#This Row],[Concepto Anterior]],Conceptos_Analítica_contraloría[#All],5,0),"")</f>
        <v/>
      </c>
      <c r="F2965" s="138" t="str">
        <f>+IFERROR(VLOOKUP(Fact_Analitica[[#This Row],[Concepto Anterior]],Conceptos_Analítica_contraloría[#All],7,0),"")</f>
        <v/>
      </c>
      <c r="I2965" s="138" t="str">
        <f>+IFERROR(VLOOKUP(D2965,Conceptos_Analítica_contraloría[#All],2,0),"")</f>
        <v/>
      </c>
      <c r="J2965" s="138" t="str">
        <f>+IFERROR(VLOOKUP(D2965,Conceptos_Analítica_contraloría[#All],3,0),"")</f>
        <v/>
      </c>
    </row>
    <row r="2966" spans="3:10" x14ac:dyDescent="0.35">
      <c r="C2966" s="144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s="138" t="str">
        <f>+IFERROR(VLOOKUP(Fact_Analitica[[#This Row],[Concepto Anterior]],Conceptos_Analítica_contraloría[#All],5,0),"")</f>
        <v/>
      </c>
      <c r="F2966" s="138" t="str">
        <f>+IFERROR(VLOOKUP(Fact_Analitica[[#This Row],[Concepto Anterior]],Conceptos_Analítica_contraloría[#All],7,0),"")</f>
        <v/>
      </c>
      <c r="I2966" s="138" t="str">
        <f>+IFERROR(VLOOKUP(D2966,Conceptos_Analítica_contraloría[#All],2,0),"")</f>
        <v/>
      </c>
      <c r="J2966" s="138" t="str">
        <f>+IFERROR(VLOOKUP(D2966,Conceptos_Analítica_contraloría[#All],3,0),"")</f>
        <v/>
      </c>
    </row>
    <row r="2967" spans="3:10" x14ac:dyDescent="0.35">
      <c r="C2967" s="144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s="138" t="str">
        <f>+IFERROR(VLOOKUP(Fact_Analitica[[#This Row],[Concepto Anterior]],Conceptos_Analítica_contraloría[#All],5,0),"")</f>
        <v/>
      </c>
      <c r="F2967" s="138" t="str">
        <f>+IFERROR(VLOOKUP(Fact_Analitica[[#This Row],[Concepto Anterior]],Conceptos_Analítica_contraloría[#All],7,0),"")</f>
        <v/>
      </c>
      <c r="I2967" s="138" t="str">
        <f>+IFERROR(VLOOKUP(D2967,Conceptos_Analítica_contraloría[#All],2,0),"")</f>
        <v/>
      </c>
      <c r="J2967" s="138" t="str">
        <f>+IFERROR(VLOOKUP(D2967,Conceptos_Analítica_contraloría[#All],3,0),"")</f>
        <v/>
      </c>
    </row>
    <row r="2968" spans="3:10" x14ac:dyDescent="0.35">
      <c r="C2968" s="144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s="138" t="str">
        <f>+IFERROR(VLOOKUP(Fact_Analitica[[#This Row],[Concepto Anterior]],Conceptos_Analítica_contraloría[#All],5,0),"")</f>
        <v/>
      </c>
      <c r="F2968" s="138" t="str">
        <f>+IFERROR(VLOOKUP(Fact_Analitica[[#This Row],[Concepto Anterior]],Conceptos_Analítica_contraloría[#All],7,0),"")</f>
        <v/>
      </c>
      <c r="I2968" s="138" t="str">
        <f>+IFERROR(VLOOKUP(D2968,Conceptos_Analítica_contraloría[#All],2,0),"")</f>
        <v/>
      </c>
      <c r="J2968" s="138" t="str">
        <f>+IFERROR(VLOOKUP(D2968,Conceptos_Analítica_contraloría[#All],3,0),"")</f>
        <v/>
      </c>
    </row>
    <row r="2969" spans="3:10" x14ac:dyDescent="0.35">
      <c r="C2969" s="144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s="138" t="str">
        <f>+IFERROR(VLOOKUP(Fact_Analitica[[#This Row],[Concepto Anterior]],Conceptos_Analítica_contraloría[#All],5,0),"")</f>
        <v/>
      </c>
      <c r="F2969" s="138" t="str">
        <f>+IFERROR(VLOOKUP(Fact_Analitica[[#This Row],[Concepto Anterior]],Conceptos_Analítica_contraloría[#All],7,0),"")</f>
        <v/>
      </c>
      <c r="I2969" s="138" t="str">
        <f>+IFERROR(VLOOKUP(D2969,Conceptos_Analítica_contraloría[#All],2,0),"")</f>
        <v/>
      </c>
      <c r="J2969" s="138" t="str">
        <f>+IFERROR(VLOOKUP(D2969,Conceptos_Analítica_contraloría[#All],3,0),"")</f>
        <v/>
      </c>
    </row>
    <row r="2970" spans="3:10" x14ac:dyDescent="0.35">
      <c r="C2970" s="144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s="138" t="str">
        <f>+IFERROR(VLOOKUP(Fact_Analitica[[#This Row],[Concepto Anterior]],Conceptos_Analítica_contraloría[#All],5,0),"")</f>
        <v/>
      </c>
      <c r="F2970" s="138" t="str">
        <f>+IFERROR(VLOOKUP(Fact_Analitica[[#This Row],[Concepto Anterior]],Conceptos_Analítica_contraloría[#All],7,0),"")</f>
        <v/>
      </c>
      <c r="I2970" s="138" t="str">
        <f>+IFERROR(VLOOKUP(D2970,Conceptos_Analítica_contraloría[#All],2,0),"")</f>
        <v/>
      </c>
      <c r="J2970" s="138" t="str">
        <f>+IFERROR(VLOOKUP(D2970,Conceptos_Analítica_contraloría[#All],3,0),"")</f>
        <v/>
      </c>
    </row>
    <row r="2971" spans="3:10" x14ac:dyDescent="0.35">
      <c r="C2971" s="144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s="138" t="str">
        <f>+IFERROR(VLOOKUP(Fact_Analitica[[#This Row],[Concepto Anterior]],Conceptos_Analítica_contraloría[#All],5,0),"")</f>
        <v/>
      </c>
      <c r="F2971" s="138" t="str">
        <f>+IFERROR(VLOOKUP(Fact_Analitica[[#This Row],[Concepto Anterior]],Conceptos_Analítica_contraloría[#All],7,0),"")</f>
        <v/>
      </c>
      <c r="I2971" s="138" t="str">
        <f>+IFERROR(VLOOKUP(D2971,Conceptos_Analítica_contraloría[#All],2,0),"")</f>
        <v/>
      </c>
      <c r="J2971" s="138" t="str">
        <f>+IFERROR(VLOOKUP(D2971,Conceptos_Analítica_contraloría[#All],3,0),"")</f>
        <v/>
      </c>
    </row>
    <row r="2972" spans="3:10" x14ac:dyDescent="0.35">
      <c r="C2972" s="144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s="138" t="str">
        <f>+IFERROR(VLOOKUP(Fact_Analitica[[#This Row],[Concepto Anterior]],Conceptos_Analítica_contraloría[#All],5,0),"")</f>
        <v/>
      </c>
      <c r="F2972" s="138" t="str">
        <f>+IFERROR(VLOOKUP(Fact_Analitica[[#This Row],[Concepto Anterior]],Conceptos_Analítica_contraloría[#All],7,0),"")</f>
        <v/>
      </c>
      <c r="I2972" s="138" t="str">
        <f>+IFERROR(VLOOKUP(D2972,Conceptos_Analítica_contraloría[#All],2,0),"")</f>
        <v/>
      </c>
      <c r="J2972" s="138" t="str">
        <f>+IFERROR(VLOOKUP(D2972,Conceptos_Analítica_contraloría[#All],3,0),"")</f>
        <v/>
      </c>
    </row>
    <row r="2973" spans="3:10" x14ac:dyDescent="0.35">
      <c r="C2973" s="144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s="138" t="str">
        <f>+IFERROR(VLOOKUP(Fact_Analitica[[#This Row],[Concepto Anterior]],Conceptos_Analítica_contraloría[#All],5,0),"")</f>
        <v/>
      </c>
      <c r="F2973" s="138" t="str">
        <f>+IFERROR(VLOOKUP(Fact_Analitica[[#This Row],[Concepto Anterior]],Conceptos_Analítica_contraloría[#All],7,0),"")</f>
        <v/>
      </c>
      <c r="I2973" s="138" t="str">
        <f>+IFERROR(VLOOKUP(D2973,Conceptos_Analítica_contraloría[#All],2,0),"")</f>
        <v/>
      </c>
      <c r="J2973" s="138" t="str">
        <f>+IFERROR(VLOOKUP(D2973,Conceptos_Analítica_contraloría[#All],3,0),"")</f>
        <v/>
      </c>
    </row>
    <row r="2974" spans="3:10" x14ac:dyDescent="0.35">
      <c r="C2974" s="144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s="138" t="str">
        <f>+IFERROR(VLOOKUP(Fact_Analitica[[#This Row],[Concepto Anterior]],Conceptos_Analítica_contraloría[#All],5,0),"")</f>
        <v/>
      </c>
      <c r="F2974" s="138" t="str">
        <f>+IFERROR(VLOOKUP(Fact_Analitica[[#This Row],[Concepto Anterior]],Conceptos_Analítica_contraloría[#All],7,0),"")</f>
        <v/>
      </c>
      <c r="I2974" s="138" t="str">
        <f>+IFERROR(VLOOKUP(D2974,Conceptos_Analítica_contraloría[#All],2,0),"")</f>
        <v/>
      </c>
      <c r="J2974" s="138" t="str">
        <f>+IFERROR(VLOOKUP(D2974,Conceptos_Analítica_contraloría[#All],3,0),"")</f>
        <v/>
      </c>
    </row>
    <row r="2975" spans="3:10" x14ac:dyDescent="0.35">
      <c r="C2975" s="144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s="138" t="str">
        <f>+IFERROR(VLOOKUP(Fact_Analitica[[#This Row],[Concepto Anterior]],Conceptos_Analítica_contraloría[#All],5,0),"")</f>
        <v/>
      </c>
      <c r="F2975" s="138" t="str">
        <f>+IFERROR(VLOOKUP(Fact_Analitica[[#This Row],[Concepto Anterior]],Conceptos_Analítica_contraloría[#All],7,0),"")</f>
        <v/>
      </c>
      <c r="I2975" s="138" t="str">
        <f>+IFERROR(VLOOKUP(D2975,Conceptos_Analítica_contraloría[#All],2,0),"")</f>
        <v/>
      </c>
      <c r="J2975" s="138" t="str">
        <f>+IFERROR(VLOOKUP(D2975,Conceptos_Analítica_contraloría[#All],3,0),"")</f>
        <v/>
      </c>
    </row>
    <row r="2976" spans="3:10" x14ac:dyDescent="0.35">
      <c r="C2976" s="144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s="138" t="str">
        <f>+IFERROR(VLOOKUP(Fact_Analitica[[#This Row],[Concepto Anterior]],Conceptos_Analítica_contraloría[#All],5,0),"")</f>
        <v/>
      </c>
      <c r="F2976" s="138" t="str">
        <f>+IFERROR(VLOOKUP(Fact_Analitica[[#This Row],[Concepto Anterior]],Conceptos_Analítica_contraloría[#All],7,0),"")</f>
        <v/>
      </c>
      <c r="I2976" s="138" t="str">
        <f>+IFERROR(VLOOKUP(D2976,Conceptos_Analítica_contraloría[#All],2,0),"")</f>
        <v/>
      </c>
      <c r="J2976" s="138" t="str">
        <f>+IFERROR(VLOOKUP(D2976,Conceptos_Analítica_contraloría[#All],3,0),"")</f>
        <v/>
      </c>
    </row>
    <row r="2977" spans="3:10" x14ac:dyDescent="0.35">
      <c r="C2977" s="144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s="138" t="str">
        <f>+IFERROR(VLOOKUP(Fact_Analitica[[#This Row],[Concepto Anterior]],Conceptos_Analítica_contraloría[#All],5,0),"")</f>
        <v/>
      </c>
      <c r="F2977" s="138" t="str">
        <f>+IFERROR(VLOOKUP(Fact_Analitica[[#This Row],[Concepto Anterior]],Conceptos_Analítica_contraloría[#All],7,0),"")</f>
        <v/>
      </c>
      <c r="I2977" s="138" t="str">
        <f>+IFERROR(VLOOKUP(D2977,Conceptos_Analítica_contraloría[#All],2,0),"")</f>
        <v/>
      </c>
      <c r="J2977" s="138" t="str">
        <f>+IFERROR(VLOOKUP(D2977,Conceptos_Analítica_contraloría[#All],3,0),"")</f>
        <v/>
      </c>
    </row>
    <row r="2978" spans="3:10" x14ac:dyDescent="0.35">
      <c r="C2978" s="144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s="138" t="str">
        <f>+IFERROR(VLOOKUP(Fact_Analitica[[#This Row],[Concepto Anterior]],Conceptos_Analítica_contraloría[#All],5,0),"")</f>
        <v/>
      </c>
      <c r="F2978" s="138" t="str">
        <f>+IFERROR(VLOOKUP(Fact_Analitica[[#This Row],[Concepto Anterior]],Conceptos_Analítica_contraloría[#All],7,0),"")</f>
        <v/>
      </c>
      <c r="I2978" s="138" t="str">
        <f>+IFERROR(VLOOKUP(D2978,Conceptos_Analítica_contraloría[#All],2,0),"")</f>
        <v/>
      </c>
      <c r="J2978" s="138" t="str">
        <f>+IFERROR(VLOOKUP(D2978,Conceptos_Analítica_contraloría[#All],3,0),"")</f>
        <v/>
      </c>
    </row>
    <row r="2979" spans="3:10" x14ac:dyDescent="0.35">
      <c r="C2979" s="144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s="138" t="str">
        <f>+IFERROR(VLOOKUP(Fact_Analitica[[#This Row],[Concepto Anterior]],Conceptos_Analítica_contraloría[#All],5,0),"")</f>
        <v/>
      </c>
      <c r="F2979" s="138" t="str">
        <f>+IFERROR(VLOOKUP(Fact_Analitica[[#This Row],[Concepto Anterior]],Conceptos_Analítica_contraloría[#All],7,0),"")</f>
        <v/>
      </c>
      <c r="I2979" s="138" t="str">
        <f>+IFERROR(VLOOKUP(D2979,Conceptos_Analítica_contraloría[#All],2,0),"")</f>
        <v/>
      </c>
      <c r="J2979" s="138" t="str">
        <f>+IFERROR(VLOOKUP(D2979,Conceptos_Analítica_contraloría[#All],3,0),"")</f>
        <v/>
      </c>
    </row>
    <row r="2980" spans="3:10" x14ac:dyDescent="0.35">
      <c r="C2980" s="144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s="138" t="str">
        <f>+IFERROR(VLOOKUP(Fact_Analitica[[#This Row],[Concepto Anterior]],Conceptos_Analítica_contraloría[#All],5,0),"")</f>
        <v/>
      </c>
      <c r="F2980" s="138" t="str">
        <f>+IFERROR(VLOOKUP(Fact_Analitica[[#This Row],[Concepto Anterior]],Conceptos_Analítica_contraloría[#All],7,0),"")</f>
        <v/>
      </c>
      <c r="I2980" s="138" t="str">
        <f>+IFERROR(VLOOKUP(D2980,Conceptos_Analítica_contraloría[#All],2,0),"")</f>
        <v/>
      </c>
      <c r="J2980" s="138" t="str">
        <f>+IFERROR(VLOOKUP(D2980,Conceptos_Analítica_contraloría[#All],3,0),"")</f>
        <v/>
      </c>
    </row>
    <row r="2981" spans="3:10" x14ac:dyDescent="0.35">
      <c r="C2981" s="144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s="138" t="str">
        <f>+IFERROR(VLOOKUP(Fact_Analitica[[#This Row],[Concepto Anterior]],Conceptos_Analítica_contraloría[#All],5,0),"")</f>
        <v/>
      </c>
      <c r="F2981" s="138" t="str">
        <f>+IFERROR(VLOOKUP(Fact_Analitica[[#This Row],[Concepto Anterior]],Conceptos_Analítica_contraloría[#All],7,0),"")</f>
        <v/>
      </c>
      <c r="I2981" s="138" t="str">
        <f>+IFERROR(VLOOKUP(D2981,Conceptos_Analítica_contraloría[#All],2,0),"")</f>
        <v/>
      </c>
      <c r="J2981" s="138" t="str">
        <f>+IFERROR(VLOOKUP(D2981,Conceptos_Analítica_contraloría[#All],3,0),"")</f>
        <v/>
      </c>
    </row>
    <row r="2982" spans="3:10" x14ac:dyDescent="0.35">
      <c r="C2982" s="144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s="138" t="str">
        <f>+IFERROR(VLOOKUP(Fact_Analitica[[#This Row],[Concepto Anterior]],Conceptos_Analítica_contraloría[#All],5,0),"")</f>
        <v/>
      </c>
      <c r="F2982" s="138" t="str">
        <f>+IFERROR(VLOOKUP(Fact_Analitica[[#This Row],[Concepto Anterior]],Conceptos_Analítica_contraloría[#All],7,0),"")</f>
        <v/>
      </c>
      <c r="I2982" s="138" t="str">
        <f>+IFERROR(VLOOKUP(D2982,Conceptos_Analítica_contraloría[#All],2,0),"")</f>
        <v/>
      </c>
      <c r="J2982" s="138" t="str">
        <f>+IFERROR(VLOOKUP(D2982,Conceptos_Analítica_contraloría[#All],3,0),"")</f>
        <v/>
      </c>
    </row>
    <row r="2983" spans="3:10" x14ac:dyDescent="0.35">
      <c r="C2983" s="144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s="138" t="str">
        <f>+IFERROR(VLOOKUP(Fact_Analitica[[#This Row],[Concepto Anterior]],Conceptos_Analítica_contraloría[#All],5,0),"")</f>
        <v/>
      </c>
      <c r="F2983" s="138" t="str">
        <f>+IFERROR(VLOOKUP(Fact_Analitica[[#This Row],[Concepto Anterior]],Conceptos_Analítica_contraloría[#All],7,0),"")</f>
        <v/>
      </c>
      <c r="I2983" s="138" t="str">
        <f>+IFERROR(VLOOKUP(D2983,Conceptos_Analítica_contraloría[#All],2,0),"")</f>
        <v/>
      </c>
      <c r="J2983" s="138" t="str">
        <f>+IFERROR(VLOOKUP(D2983,Conceptos_Analítica_contraloría[#All],3,0),"")</f>
        <v/>
      </c>
    </row>
    <row r="2984" spans="3:10" x14ac:dyDescent="0.35">
      <c r="C2984" s="144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s="138" t="str">
        <f>+IFERROR(VLOOKUP(Fact_Analitica[[#This Row],[Concepto Anterior]],Conceptos_Analítica_contraloría[#All],5,0),"")</f>
        <v/>
      </c>
      <c r="F2984" s="138" t="str">
        <f>+IFERROR(VLOOKUP(Fact_Analitica[[#This Row],[Concepto Anterior]],Conceptos_Analítica_contraloría[#All],7,0),"")</f>
        <v/>
      </c>
      <c r="I2984" s="138" t="str">
        <f>+IFERROR(VLOOKUP(D2984,Conceptos_Analítica_contraloría[#All],2,0),"")</f>
        <v/>
      </c>
      <c r="J2984" s="138" t="str">
        <f>+IFERROR(VLOOKUP(D2984,Conceptos_Analítica_contraloría[#All],3,0),"")</f>
        <v/>
      </c>
    </row>
    <row r="2985" spans="3:10" x14ac:dyDescent="0.35">
      <c r="C2985" s="144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s="138" t="str">
        <f>+IFERROR(VLOOKUP(Fact_Analitica[[#This Row],[Concepto Anterior]],Conceptos_Analítica_contraloría[#All],5,0),"")</f>
        <v/>
      </c>
      <c r="F2985" s="138" t="str">
        <f>+IFERROR(VLOOKUP(Fact_Analitica[[#This Row],[Concepto Anterior]],Conceptos_Analítica_contraloría[#All],7,0),"")</f>
        <v/>
      </c>
      <c r="I2985" s="138" t="str">
        <f>+IFERROR(VLOOKUP(D2985,Conceptos_Analítica_contraloría[#All],2,0),"")</f>
        <v/>
      </c>
      <c r="J2985" s="138" t="str">
        <f>+IFERROR(VLOOKUP(D2985,Conceptos_Analítica_contraloría[#All],3,0),"")</f>
        <v/>
      </c>
    </row>
    <row r="2986" spans="3:10" x14ac:dyDescent="0.35">
      <c r="C2986" s="144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s="138" t="str">
        <f>+IFERROR(VLOOKUP(Fact_Analitica[[#This Row],[Concepto Anterior]],Conceptos_Analítica_contraloría[#All],5,0),"")</f>
        <v/>
      </c>
      <c r="F2986" s="138" t="str">
        <f>+IFERROR(VLOOKUP(Fact_Analitica[[#This Row],[Concepto Anterior]],Conceptos_Analítica_contraloría[#All],7,0),"")</f>
        <v/>
      </c>
      <c r="I2986" s="138" t="str">
        <f>+IFERROR(VLOOKUP(D2986,Conceptos_Analítica_contraloría[#All],2,0),"")</f>
        <v/>
      </c>
      <c r="J2986" s="138" t="str">
        <f>+IFERROR(VLOOKUP(D2986,Conceptos_Analítica_contraloría[#All],3,0),"")</f>
        <v/>
      </c>
    </row>
    <row r="2987" spans="3:10" x14ac:dyDescent="0.35">
      <c r="C2987" s="144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s="138" t="str">
        <f>+IFERROR(VLOOKUP(Fact_Analitica[[#This Row],[Concepto Anterior]],Conceptos_Analítica_contraloría[#All],5,0),"")</f>
        <v/>
      </c>
      <c r="F2987" s="138" t="str">
        <f>+IFERROR(VLOOKUP(Fact_Analitica[[#This Row],[Concepto Anterior]],Conceptos_Analítica_contraloría[#All],7,0),"")</f>
        <v/>
      </c>
      <c r="I2987" s="138" t="str">
        <f>+IFERROR(VLOOKUP(D2987,Conceptos_Analítica_contraloría[#All],2,0),"")</f>
        <v/>
      </c>
      <c r="J2987" s="138" t="str">
        <f>+IFERROR(VLOOKUP(D2987,Conceptos_Analítica_contraloría[#All],3,0),"")</f>
        <v/>
      </c>
    </row>
    <row r="2988" spans="3:10" x14ac:dyDescent="0.35">
      <c r="C2988" s="144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s="138" t="str">
        <f>+IFERROR(VLOOKUP(Fact_Analitica[[#This Row],[Concepto Anterior]],Conceptos_Analítica_contraloría[#All],5,0),"")</f>
        <v/>
      </c>
      <c r="F2988" s="138" t="str">
        <f>+IFERROR(VLOOKUP(Fact_Analitica[[#This Row],[Concepto Anterior]],Conceptos_Analítica_contraloría[#All],7,0),"")</f>
        <v/>
      </c>
      <c r="I2988" s="138" t="str">
        <f>+IFERROR(VLOOKUP(D2988,Conceptos_Analítica_contraloría[#All],2,0),"")</f>
        <v/>
      </c>
      <c r="J2988" s="138" t="str">
        <f>+IFERROR(VLOOKUP(D2988,Conceptos_Analítica_contraloría[#All],3,0),"")</f>
        <v/>
      </c>
    </row>
    <row r="2989" spans="3:10" x14ac:dyDescent="0.35">
      <c r="C2989" s="144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s="138" t="str">
        <f>+IFERROR(VLOOKUP(Fact_Analitica[[#This Row],[Concepto Anterior]],Conceptos_Analítica_contraloría[#All],5,0),"")</f>
        <v/>
      </c>
      <c r="F2989" s="138" t="str">
        <f>+IFERROR(VLOOKUP(Fact_Analitica[[#This Row],[Concepto Anterior]],Conceptos_Analítica_contraloría[#All],7,0),"")</f>
        <v/>
      </c>
      <c r="I2989" s="138" t="str">
        <f>+IFERROR(VLOOKUP(D2989,Conceptos_Analítica_contraloría[#All],2,0),"")</f>
        <v/>
      </c>
      <c r="J2989" s="138" t="str">
        <f>+IFERROR(VLOOKUP(D2989,Conceptos_Analítica_contraloría[#All],3,0),"")</f>
        <v/>
      </c>
    </row>
    <row r="2990" spans="3:10" x14ac:dyDescent="0.35">
      <c r="C2990" s="144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s="138" t="str">
        <f>+IFERROR(VLOOKUP(Fact_Analitica[[#This Row],[Concepto Anterior]],Conceptos_Analítica_contraloría[#All],5,0),"")</f>
        <v/>
      </c>
      <c r="F2990" s="138" t="str">
        <f>+IFERROR(VLOOKUP(Fact_Analitica[[#This Row],[Concepto Anterior]],Conceptos_Analítica_contraloría[#All],7,0),"")</f>
        <v/>
      </c>
      <c r="I2990" s="138" t="str">
        <f>+IFERROR(VLOOKUP(D2990,Conceptos_Analítica_contraloría[#All],2,0),"")</f>
        <v/>
      </c>
      <c r="J2990" s="138" t="str">
        <f>+IFERROR(VLOOKUP(D2990,Conceptos_Analítica_contraloría[#All],3,0),"")</f>
        <v/>
      </c>
    </row>
    <row r="2991" spans="3:10" x14ac:dyDescent="0.35">
      <c r="C2991" s="144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s="138" t="str">
        <f>+IFERROR(VLOOKUP(Fact_Analitica[[#This Row],[Concepto Anterior]],Conceptos_Analítica_contraloría[#All],5,0),"")</f>
        <v/>
      </c>
      <c r="F2991" s="138" t="str">
        <f>+IFERROR(VLOOKUP(Fact_Analitica[[#This Row],[Concepto Anterior]],Conceptos_Analítica_contraloría[#All],7,0),"")</f>
        <v/>
      </c>
      <c r="I2991" s="138" t="str">
        <f>+IFERROR(VLOOKUP(D2991,Conceptos_Analítica_contraloría[#All],2,0),"")</f>
        <v/>
      </c>
      <c r="J2991" s="138" t="str">
        <f>+IFERROR(VLOOKUP(D2991,Conceptos_Analítica_contraloría[#All],3,0),"")</f>
        <v/>
      </c>
    </row>
    <row r="2992" spans="3:10" x14ac:dyDescent="0.35">
      <c r="C2992" s="144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s="138" t="str">
        <f>+IFERROR(VLOOKUP(Fact_Analitica[[#This Row],[Concepto Anterior]],Conceptos_Analítica_contraloría[#All],5,0),"")</f>
        <v/>
      </c>
      <c r="F2992" s="138" t="str">
        <f>+IFERROR(VLOOKUP(Fact_Analitica[[#This Row],[Concepto Anterior]],Conceptos_Analítica_contraloría[#All],7,0),"")</f>
        <v/>
      </c>
      <c r="I2992" s="138" t="str">
        <f>+IFERROR(VLOOKUP(D2992,Conceptos_Analítica_contraloría[#All],2,0),"")</f>
        <v/>
      </c>
      <c r="J2992" s="138" t="str">
        <f>+IFERROR(VLOOKUP(D2992,Conceptos_Analítica_contraloría[#All],3,0),"")</f>
        <v/>
      </c>
    </row>
    <row r="2993" spans="1:11" x14ac:dyDescent="0.35">
      <c r="C2993" s="144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s="138" t="str">
        <f>+IFERROR(VLOOKUP(Fact_Analitica[[#This Row],[Concepto Anterior]],Conceptos_Analítica_contraloría[#All],5,0),"")</f>
        <v/>
      </c>
      <c r="F2993" s="138" t="str">
        <f>+IFERROR(VLOOKUP(Fact_Analitica[[#This Row],[Concepto Anterior]],Conceptos_Analítica_contraloría[#All],7,0),"")</f>
        <v/>
      </c>
      <c r="I2993" s="138" t="str">
        <f>+IFERROR(VLOOKUP(D2993,Conceptos_Analítica_contraloría[#All],2,0),"")</f>
        <v/>
      </c>
      <c r="J2993" s="138" t="str">
        <f>+IFERROR(VLOOKUP(D2993,Conceptos_Analítica_contraloría[#All],3,0),"")</f>
        <v/>
      </c>
    </row>
    <row r="2994" spans="1:11" x14ac:dyDescent="0.35">
      <c r="C2994" s="144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s="138" t="str">
        <f>+IFERROR(VLOOKUP(Fact_Analitica[[#This Row],[Concepto Anterior]],Conceptos_Analítica_contraloría[#All],5,0),"")</f>
        <v/>
      </c>
      <c r="F2994" s="138" t="str">
        <f>+IFERROR(VLOOKUP(Fact_Analitica[[#This Row],[Concepto Anterior]],Conceptos_Analítica_contraloría[#All],7,0),"")</f>
        <v/>
      </c>
      <c r="I2994" s="138" t="str">
        <f>+IFERROR(VLOOKUP(D2994,Conceptos_Analítica_contraloría[#All],2,0),"")</f>
        <v/>
      </c>
      <c r="J2994" s="138" t="str">
        <f>+IFERROR(VLOOKUP(D2994,Conceptos_Analítica_contraloría[#All],3,0),"")</f>
        <v/>
      </c>
    </row>
    <row r="2995" spans="1:11" x14ac:dyDescent="0.35">
      <c r="C2995" s="144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s="138" t="str">
        <f>+IFERROR(VLOOKUP(Fact_Analitica[[#This Row],[Concepto Anterior]],Conceptos_Analítica_contraloría[#All],5,0),"")</f>
        <v/>
      </c>
      <c r="F2995" s="138" t="str">
        <f>+IFERROR(VLOOKUP(Fact_Analitica[[#This Row],[Concepto Anterior]],Conceptos_Analítica_contraloría[#All],7,0),"")</f>
        <v/>
      </c>
      <c r="I2995" s="138" t="str">
        <f>+IFERROR(VLOOKUP(D2995,Conceptos_Analítica_contraloría[#All],2,0),"")</f>
        <v/>
      </c>
      <c r="J2995" s="138" t="str">
        <f>+IFERROR(VLOOKUP(D2995,Conceptos_Analítica_contraloría[#All],3,0),"")</f>
        <v/>
      </c>
    </row>
    <row r="2996" spans="1:11" x14ac:dyDescent="0.35">
      <c r="C2996" s="144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s="138" t="str">
        <f>+IFERROR(VLOOKUP(Fact_Analitica[[#This Row],[Concepto Anterior]],Conceptos_Analítica_contraloría[#All],5,0),"")</f>
        <v/>
      </c>
      <c r="F2996" s="138" t="str">
        <f>+IFERROR(VLOOKUP(Fact_Analitica[[#This Row],[Concepto Anterior]],Conceptos_Analítica_contraloría[#All],7,0),"")</f>
        <v/>
      </c>
      <c r="I2996" s="138" t="str">
        <f>+IFERROR(VLOOKUP(D2996,Conceptos_Analítica_contraloría[#All],2,0),"")</f>
        <v/>
      </c>
      <c r="J2996" s="138" t="str">
        <f>+IFERROR(VLOOKUP(D2996,Conceptos_Analítica_contraloría[#All],3,0),"")</f>
        <v/>
      </c>
    </row>
    <row r="2997" spans="1:11" x14ac:dyDescent="0.35">
      <c r="C2997" s="144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s="138" t="str">
        <f>+IFERROR(VLOOKUP(Fact_Analitica[[#This Row],[Concepto Anterior]],Conceptos_Analítica_contraloría[#All],5,0),"")</f>
        <v/>
      </c>
      <c r="F2997" s="138" t="str">
        <f>+IFERROR(VLOOKUP(Fact_Analitica[[#This Row],[Concepto Anterior]],Conceptos_Analítica_contraloría[#All],7,0),"")</f>
        <v/>
      </c>
      <c r="I2997" s="138" t="str">
        <f>+IFERROR(VLOOKUP(D2997,Conceptos_Analítica_contraloría[#All],2,0),"")</f>
        <v/>
      </c>
      <c r="J2997" s="138" t="str">
        <f>+IFERROR(VLOOKUP(D2997,Conceptos_Analítica_contraloría[#All],3,0),"")</f>
        <v/>
      </c>
    </row>
    <row r="2998" spans="1:11" x14ac:dyDescent="0.35">
      <c r="C2998" s="144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s="138" t="str">
        <f>+IFERROR(VLOOKUP(Fact_Analitica[[#This Row],[Concepto Anterior]],Conceptos_Analítica_contraloría[#All],5,0),"")</f>
        <v/>
      </c>
      <c r="F2998" s="138" t="str">
        <f>+IFERROR(VLOOKUP(Fact_Analitica[[#This Row],[Concepto Anterior]],Conceptos_Analítica_contraloría[#All],7,0),"")</f>
        <v/>
      </c>
      <c r="I2998" s="138" t="str">
        <f>+IFERROR(VLOOKUP(D2998,Conceptos_Analítica_contraloría[#All],2,0),"")</f>
        <v/>
      </c>
      <c r="J2998" s="138" t="str">
        <f>+IFERROR(VLOOKUP(D2998,Conceptos_Analítica_contraloría[#All],3,0),"")</f>
        <v/>
      </c>
    </row>
    <row r="2999" spans="1:11" x14ac:dyDescent="0.35">
      <c r="C2999" s="144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s="138" t="str">
        <f>+IFERROR(VLOOKUP(Fact_Analitica[[#This Row],[Concepto Anterior]],Conceptos_Analítica_contraloría[#All],5,0),"")</f>
        <v/>
      </c>
      <c r="F2999" s="138" t="str">
        <f>+IFERROR(VLOOKUP(Fact_Analitica[[#This Row],[Concepto Anterior]],Conceptos_Analítica_contraloría[#All],7,0),"")</f>
        <v/>
      </c>
      <c r="I2999" s="138" t="str">
        <f>+IFERROR(VLOOKUP(D2999,Conceptos_Analítica_contraloría[#All],2,0),"")</f>
        <v/>
      </c>
      <c r="J2999" s="138" t="str">
        <f>+IFERROR(VLOOKUP(D2999,Conceptos_Analítica_contraloría[#All],3,0),"")</f>
        <v/>
      </c>
    </row>
    <row r="3000" spans="1:11" x14ac:dyDescent="0.35">
      <c r="C3000" s="144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s="138" t="str">
        <f>+IFERROR(VLOOKUP(Fact_Analitica[[#This Row],[Concepto Anterior]],Conceptos_Analítica_contraloría[#All],5,0),"")</f>
        <v/>
      </c>
      <c r="F3000" s="138" t="str">
        <f>+IFERROR(VLOOKUP(Fact_Analitica[[#This Row],[Concepto Anterior]],Conceptos_Analítica_contraloría[#All],7,0),"")</f>
        <v/>
      </c>
      <c r="I3000" s="138" t="str">
        <f>+IFERROR(VLOOKUP(D3000,Conceptos_Analítica_contraloría[#All],2,0),"")</f>
        <v/>
      </c>
      <c r="J3000" s="138" t="str">
        <f>+IFERROR(VLOOKUP(D3000,Conceptos_Analítica_contraloría[#All],3,0),"")</f>
        <v/>
      </c>
    </row>
    <row r="3001" spans="1:11" x14ac:dyDescent="0.35">
      <c r="A3001">
        <v>2025</v>
      </c>
      <c r="B3001" t="s">
        <v>376</v>
      </c>
      <c r="D3001" t="s">
        <v>37</v>
      </c>
      <c r="G3001" t="s">
        <v>131</v>
      </c>
      <c r="H3001" t="s">
        <v>132</v>
      </c>
      <c r="K3001">
        <v>150000</v>
      </c>
    </row>
    <row r="3002" spans="1:11" x14ac:dyDescent="0.35">
      <c r="A3002" s="138">
        <v>2025</v>
      </c>
      <c r="B3002" s="138" t="s">
        <v>375</v>
      </c>
      <c r="D3002" s="138" t="s">
        <v>110</v>
      </c>
      <c r="G3002" s="138" t="s">
        <v>125</v>
      </c>
      <c r="H3002" s="138" t="s">
        <v>119</v>
      </c>
      <c r="K3002" s="138">
        <v>-1000</v>
      </c>
    </row>
    <row r="3003" spans="1:11" x14ac:dyDescent="0.35">
      <c r="A3003" s="138">
        <v>2026</v>
      </c>
      <c r="B3003" s="138" t="s">
        <v>377</v>
      </c>
      <c r="D3003" s="138" t="s">
        <v>133</v>
      </c>
      <c r="G3003" s="138" t="s">
        <v>150</v>
      </c>
      <c r="H3003" s="138" t="s">
        <v>142</v>
      </c>
      <c r="K3003" s="138">
        <v>1000</v>
      </c>
    </row>
  </sheetData>
  <sheetProtection algorithmName="SHA-512" hashValue="H45ryhlthFShxOrLLUVZX7iviYuhGggIvec0g+Rxh5pc30YILIs5e6B5aT/FKk1oWbsUvQqs6HKzIA529EONCQ==" saltValue="qhKzYHyqK3NR7BDSVjw8VQ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92D050"/>
  </sheetPr>
  <dimension ref="A1:K5957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52</v>
      </c>
      <c r="E2" t="str">
        <f>+IFERROR(VLOOKUP(Fact_Contabilidad[[#This Row],[Concepto Anterior]],Conceptos_Contabilidad[#All],5,0),"")</f>
        <v>Cuentas Contables Conciliadas</v>
      </c>
      <c r="F2" t="str">
        <f ca="1">+IFERROR(VLOOKUP(Fact_Contabilidad[[#This Row],[Concepto Anterior]],Conceptos_Contabilidad[#All],7,0),"")</f>
        <v/>
      </c>
      <c r="G2" s="138" t="s">
        <v>230</v>
      </c>
      <c r="H2" s="138" t="s">
        <v>230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105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45</v>
      </c>
      <c r="E3" t="str">
        <f>+IFERROR(VLOOKUP(Fact_Contabilidad[[#This Row],[Concepto Anterior]],Conceptos_Contabilidad[#All],5,0),"")</f>
        <v>Facturas Contabilizada</v>
      </c>
      <c r="F3" t="str">
        <f ca="1">+IFERROR(VLOOKUP(Fact_Contabilidad[[#This Row],[Concepto Anterior]],Conceptos_Contabilidad[#All],7,0),"")</f>
        <v/>
      </c>
      <c r="G3" s="138" t="s">
        <v>230</v>
      </c>
      <c r="H3" s="138" t="s">
        <v>230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105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46</v>
      </c>
      <c r="E4" t="str">
        <f>+IFERROR(VLOOKUP(Fact_Contabilidad[[#This Row],[Concepto Anterior]],Conceptos_Contabilidad[#All],5,0),"")</f>
        <v>Facturas Contabilizada</v>
      </c>
      <c r="F4" t="str">
        <f ca="1">+IFERROR(VLOOKUP(Fact_Contabilidad[[#This Row],[Concepto Anterior]],Conceptos_Contabilidad[#All],7,0),"")</f>
        <v/>
      </c>
      <c r="G4" s="138" t="s">
        <v>230</v>
      </c>
      <c r="H4" s="138" t="s">
        <v>230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105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47</v>
      </c>
      <c r="E5" t="str">
        <f>+IFERROR(VLOOKUP(Fact_Contabilidad[[#This Row],[Concepto Anterior]],Conceptos_Contabilidad[#All],5,0),"")</f>
        <v>Cantidad de legalizaciones de rendiciones registradas</v>
      </c>
      <c r="F5" t="str">
        <f ca="1">+IFERROR(VLOOKUP(Fact_Contabilidad[[#This Row],[Concepto Anterior]],Conceptos_Contabilidad[#All],7,0),"")</f>
        <v/>
      </c>
      <c r="G5" s="138" t="s">
        <v>230</v>
      </c>
      <c r="H5" s="138" t="s">
        <v>230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105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48</v>
      </c>
      <c r="E6" t="str">
        <f>+IFERROR(VLOOKUP(Fact_Contabilidad[[#This Row],[Concepto Anterior]],Conceptos_Contabilidad[#All],5,0),"")</f>
        <v>Cantidad de legalizaciones de TC registradas</v>
      </c>
      <c r="F6" t="str">
        <f ca="1">+IFERROR(VLOOKUP(Fact_Contabilidad[[#This Row],[Concepto Anterior]],Conceptos_Contabilidad[#All],7,0),"")</f>
        <v/>
      </c>
      <c r="G6" s="138" t="s">
        <v>230</v>
      </c>
      <c r="H6" s="138" t="s">
        <v>230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105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153</v>
      </c>
      <c r="E7" t="str">
        <f>+IFERROR(VLOOKUP(Fact_Contabilidad[[#This Row],[Concepto Anterior]],Conceptos_Contabilidad[#All],5,0),"")</f>
        <v>el 95 % del cumplimiento (sale del promedio de la fila)</v>
      </c>
      <c r="F7" t="str">
        <f ca="1">+IFERROR(VLOOKUP(Fact_Contabilidad[[#This Row],[Concepto Anterior]],Conceptos_Contabilidad[#All],7,0),"")</f>
        <v/>
      </c>
      <c r="G7" s="138" t="s">
        <v>230</v>
      </c>
      <c r="H7" s="138" t="s">
        <v>230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105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49</v>
      </c>
      <c r="E8" t="str">
        <f>+IFERROR(VLOOKUP(Fact_Contabilidad[[#This Row],[Concepto Anterior]],Conceptos_Contabilidad[#All],5,0),"")</f>
        <v>Descuentos por nomina de anticipo</v>
      </c>
      <c r="F8" t="str">
        <f ca="1">+IFERROR(VLOOKUP(Fact_Contabilidad[[#This Row],[Concepto Anterior]],Conceptos_Contabilidad[#All],7,0),"")</f>
        <v/>
      </c>
      <c r="G8" s="138" t="s">
        <v>230</v>
      </c>
      <c r="H8" s="138" t="s">
        <v>230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105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50</v>
      </c>
      <c r="E9" t="str">
        <f>+IFERROR(VLOOKUP(Fact_Contabilidad[[#This Row],[Concepto Anterior]],Conceptos_Contabilidad[#All],5,0),"")</f>
        <v>Fusiones</v>
      </c>
      <c r="F9" t="str">
        <f ca="1">+IFERROR(VLOOKUP(Fact_Contabilidad[[#This Row],[Concepto Anterior]],Conceptos_Contabilidad[#All],7,0),"")</f>
        <v/>
      </c>
      <c r="G9" s="138" t="s">
        <v>230</v>
      </c>
      <c r="H9" s="138" t="s">
        <v>230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170</v>
      </c>
      <c r="E10" t="str">
        <f>+IFERROR(VLOOKUP(Fact_Contabilidad[[#This Row],[Concepto Anterior]],Conceptos_Contabilidad[#All],5,0),"")</f>
        <v>Informes Contables</v>
      </c>
      <c r="F10" t="str">
        <f ca="1">+IFERROR(VLOOKUP(Fact_Contabilidad[[#This Row],[Concepto Anterior]],Conceptos_Contabilidad[#All],7,0),"")</f>
        <v/>
      </c>
      <c r="G10" s="138" t="s">
        <v>230</v>
      </c>
      <c r="H10" s="138" t="s">
        <v>230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105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51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 ca="1">+IFERROR(VLOOKUP(Fact_Contabilidad[[#This Row],[Concepto Anterior]],Conceptos_Contabilidad[#All],7,0),"")</f>
        <v/>
      </c>
      <c r="G11" s="138" t="s">
        <v>230</v>
      </c>
      <c r="H11" s="138" t="s">
        <v>230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117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52</v>
      </c>
      <c r="E12" t="str">
        <f>+IFERROR(VLOOKUP(Fact_Contabilidad[[#This Row],[Concepto Anterior]],Conceptos_Contabilidad[#All],5,0),"")</f>
        <v>Cuentas Contables Conciliadas</v>
      </c>
      <c r="F12" t="str">
        <f ca="1">+IFERROR(VLOOKUP(Fact_Contabilidad[[#This Row],[Concepto Anterior]],Conceptos_Contabilidad[#All],7,0),"")</f>
        <v/>
      </c>
      <c r="G12" s="138" t="s">
        <v>230</v>
      </c>
      <c r="H12" s="138" t="s">
        <v>230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117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45</v>
      </c>
      <c r="E13" t="str">
        <f>+IFERROR(VLOOKUP(Fact_Contabilidad[[#This Row],[Concepto Anterior]],Conceptos_Contabilidad[#All],5,0),"")</f>
        <v>Facturas Contabilizada</v>
      </c>
      <c r="F13" t="str">
        <f ca="1">+IFERROR(VLOOKUP(Fact_Contabilidad[[#This Row],[Concepto Anterior]],Conceptos_Contabilidad[#All],7,0),"")</f>
        <v/>
      </c>
      <c r="G13" s="138" t="s">
        <v>230</v>
      </c>
      <c r="H13" s="138" t="s">
        <v>230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117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46</v>
      </c>
      <c r="E14" t="str">
        <f>+IFERROR(VLOOKUP(Fact_Contabilidad[[#This Row],[Concepto Anterior]],Conceptos_Contabilidad[#All],5,0),"")</f>
        <v>Facturas Contabilizada</v>
      </c>
      <c r="F14" t="str">
        <f ca="1">+IFERROR(VLOOKUP(Fact_Contabilidad[[#This Row],[Concepto Anterior]],Conceptos_Contabilidad[#All],7,0),"")</f>
        <v/>
      </c>
      <c r="G14" s="138" t="s">
        <v>230</v>
      </c>
      <c r="H14" s="138" t="s">
        <v>230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117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47</v>
      </c>
      <c r="E15" t="str">
        <f>+IFERROR(VLOOKUP(Fact_Contabilidad[[#This Row],[Concepto Anterior]],Conceptos_Contabilidad[#All],5,0),"")</f>
        <v>Cantidad de legalizaciones de rendiciones registradas</v>
      </c>
      <c r="F15" t="str">
        <f ca="1">+IFERROR(VLOOKUP(Fact_Contabilidad[[#This Row],[Concepto Anterior]],Conceptos_Contabilidad[#All],7,0),"")</f>
        <v/>
      </c>
      <c r="G15" s="138" t="s">
        <v>230</v>
      </c>
      <c r="H15" s="138" t="s">
        <v>230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117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48</v>
      </c>
      <c r="E16" t="str">
        <f>+IFERROR(VLOOKUP(Fact_Contabilidad[[#This Row],[Concepto Anterior]],Conceptos_Contabilidad[#All],5,0),"")</f>
        <v>Cantidad de legalizaciones de TC registradas</v>
      </c>
      <c r="F16" t="str">
        <f ca="1">+IFERROR(VLOOKUP(Fact_Contabilidad[[#This Row],[Concepto Anterior]],Conceptos_Contabilidad[#All],7,0),"")</f>
        <v/>
      </c>
      <c r="G16" s="138" t="s">
        <v>230</v>
      </c>
      <c r="H16" s="138" t="s">
        <v>230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117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153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 ca="1">+IFERROR(VLOOKUP(Fact_Contabilidad[[#This Row],[Concepto Anterior]],Conceptos_Contabilidad[#All],7,0),"")</f>
        <v/>
      </c>
      <c r="G17" s="138" t="s">
        <v>230</v>
      </c>
      <c r="H17" s="138" t="s">
        <v>230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117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49</v>
      </c>
      <c r="E18" t="str">
        <f>+IFERROR(VLOOKUP(Fact_Contabilidad[[#This Row],[Concepto Anterior]],Conceptos_Contabilidad[#All],5,0),"")</f>
        <v>Descuentos por nomina de anticipo</v>
      </c>
      <c r="F18" t="str">
        <f ca="1">+IFERROR(VLOOKUP(Fact_Contabilidad[[#This Row],[Concepto Anterior]],Conceptos_Contabilidad[#All],7,0),"")</f>
        <v/>
      </c>
      <c r="G18" s="138" t="s">
        <v>230</v>
      </c>
      <c r="H18" s="138" t="s">
        <v>230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117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50</v>
      </c>
      <c r="E19" t="str">
        <f>+IFERROR(VLOOKUP(Fact_Contabilidad[[#This Row],[Concepto Anterior]],Conceptos_Contabilidad[#All],5,0),"")</f>
        <v>Fusiones</v>
      </c>
      <c r="F19" t="str">
        <f ca="1">+IFERROR(VLOOKUP(Fact_Contabilidad[[#This Row],[Concepto Anterior]],Conceptos_Contabilidad[#All],7,0),"")</f>
        <v/>
      </c>
      <c r="G19" s="138" t="s">
        <v>230</v>
      </c>
      <c r="H19" s="138" t="s">
        <v>230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117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170</v>
      </c>
      <c r="E20" t="str">
        <f>+IFERROR(VLOOKUP(Fact_Contabilidad[[#This Row],[Concepto Anterior]],Conceptos_Contabilidad[#All],5,0),"")</f>
        <v>Informes Contables</v>
      </c>
      <c r="F20" t="str">
        <f ca="1">+IFERROR(VLOOKUP(Fact_Contabilidad[[#This Row],[Concepto Anterior]],Conceptos_Contabilidad[#All],7,0),"")</f>
        <v/>
      </c>
      <c r="G20" s="138" t="s">
        <v>230</v>
      </c>
      <c r="H20" s="138" t="s">
        <v>230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117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51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 ca="1">+IFERROR(VLOOKUP(Fact_Contabilidad[[#This Row],[Concepto Anterior]],Conceptos_Contabilidad[#All],7,0),"")</f>
        <v/>
      </c>
      <c r="G21" s="138" t="s">
        <v>230</v>
      </c>
      <c r="H21" s="138" t="s">
        <v>230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123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52</v>
      </c>
      <c r="E22" t="str">
        <f>+IFERROR(VLOOKUP(Fact_Contabilidad[[#This Row],[Concepto Anterior]],Conceptos_Contabilidad[#All],5,0),"")</f>
        <v>Cuentas Contables Conciliadas</v>
      </c>
      <c r="F22" t="str">
        <f ca="1">+IFERROR(VLOOKUP(Fact_Contabilidad[[#This Row],[Concepto Anterior]],Conceptos_Contabilidad[#All],7,0),"")</f>
        <v/>
      </c>
      <c r="G22" s="138" t="s">
        <v>230</v>
      </c>
      <c r="H22" s="138" t="s">
        <v>230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123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45</v>
      </c>
      <c r="E23" t="str">
        <f>+IFERROR(VLOOKUP(Fact_Contabilidad[[#This Row],[Concepto Anterior]],Conceptos_Contabilidad[#All],5,0),"")</f>
        <v>Facturas Contabilizada</v>
      </c>
      <c r="F23" t="str">
        <f ca="1">+IFERROR(VLOOKUP(Fact_Contabilidad[[#This Row],[Concepto Anterior]],Conceptos_Contabilidad[#All],7,0),"")</f>
        <v/>
      </c>
      <c r="G23" s="138" t="s">
        <v>230</v>
      </c>
      <c r="H23" s="138" t="s">
        <v>230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123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46</v>
      </c>
      <c r="E24" t="str">
        <f>+IFERROR(VLOOKUP(Fact_Contabilidad[[#This Row],[Concepto Anterior]],Conceptos_Contabilidad[#All],5,0),"")</f>
        <v>Facturas Contabilizada</v>
      </c>
      <c r="F24" t="str">
        <f ca="1">+IFERROR(VLOOKUP(Fact_Contabilidad[[#This Row],[Concepto Anterior]],Conceptos_Contabilidad[#All],7,0),"")</f>
        <v/>
      </c>
      <c r="G24" s="138" t="s">
        <v>230</v>
      </c>
      <c r="H24" s="138" t="s">
        <v>230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123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47</v>
      </c>
      <c r="E25" t="str">
        <f>+IFERROR(VLOOKUP(Fact_Contabilidad[[#This Row],[Concepto Anterior]],Conceptos_Contabilidad[#All],5,0),"")</f>
        <v>Cantidad de legalizaciones de rendiciones registradas</v>
      </c>
      <c r="F25" t="str">
        <f ca="1">+IFERROR(VLOOKUP(Fact_Contabilidad[[#This Row],[Concepto Anterior]],Conceptos_Contabilidad[#All],7,0),"")</f>
        <v/>
      </c>
      <c r="G25" s="138" t="s">
        <v>230</v>
      </c>
      <c r="H25" s="138" t="s">
        <v>230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123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48</v>
      </c>
      <c r="E26" t="str">
        <f>+IFERROR(VLOOKUP(Fact_Contabilidad[[#This Row],[Concepto Anterior]],Conceptos_Contabilidad[#All],5,0),"")</f>
        <v>Cantidad de legalizaciones de TC registradas</v>
      </c>
      <c r="F26" t="str">
        <f ca="1">+IFERROR(VLOOKUP(Fact_Contabilidad[[#This Row],[Concepto Anterior]],Conceptos_Contabilidad[#All],7,0),"")</f>
        <v/>
      </c>
      <c r="G26" s="138" t="s">
        <v>230</v>
      </c>
      <c r="H26" s="138" t="s">
        <v>230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123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153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 ca="1">+IFERROR(VLOOKUP(Fact_Contabilidad[[#This Row],[Concepto Anterior]],Conceptos_Contabilidad[#All],7,0),"")</f>
        <v/>
      </c>
      <c r="G27" s="138" t="s">
        <v>230</v>
      </c>
      <c r="H27" s="138" t="s">
        <v>230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123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49</v>
      </c>
      <c r="E28" t="str">
        <f>+IFERROR(VLOOKUP(Fact_Contabilidad[[#This Row],[Concepto Anterior]],Conceptos_Contabilidad[#All],5,0),"")</f>
        <v>Descuentos por nomina de anticipo</v>
      </c>
      <c r="F28" t="str">
        <f ca="1">+IFERROR(VLOOKUP(Fact_Contabilidad[[#This Row],[Concepto Anterior]],Conceptos_Contabilidad[#All],7,0),"")</f>
        <v/>
      </c>
      <c r="G28" s="138" t="s">
        <v>230</v>
      </c>
      <c r="H28" s="138" t="s">
        <v>230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123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50</v>
      </c>
      <c r="E29" t="str">
        <f>+IFERROR(VLOOKUP(Fact_Contabilidad[[#This Row],[Concepto Anterior]],Conceptos_Contabilidad[#All],5,0),"")</f>
        <v>Fusiones</v>
      </c>
      <c r="F29" t="str">
        <f ca="1">+IFERROR(VLOOKUP(Fact_Contabilidad[[#This Row],[Concepto Anterior]],Conceptos_Contabilidad[#All],7,0),"")</f>
        <v/>
      </c>
      <c r="G29" s="138" t="s">
        <v>230</v>
      </c>
      <c r="H29" s="138" t="s">
        <v>230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123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170</v>
      </c>
      <c r="E30" t="str">
        <f>+IFERROR(VLOOKUP(Fact_Contabilidad[[#This Row],[Concepto Anterior]],Conceptos_Contabilidad[#All],5,0),"")</f>
        <v>Informes Contables</v>
      </c>
      <c r="F30" t="str">
        <f ca="1">+IFERROR(VLOOKUP(Fact_Contabilidad[[#This Row],[Concepto Anterior]],Conceptos_Contabilidad[#All],7,0),"")</f>
        <v/>
      </c>
      <c r="G30" s="138" t="s">
        <v>230</v>
      </c>
      <c r="H30" s="138" t="s">
        <v>230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123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51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 ca="1">+IFERROR(VLOOKUP(Fact_Contabilidad[[#This Row],[Concepto Anterior]],Conceptos_Contabilidad[#All],7,0),"")</f>
        <v/>
      </c>
      <c r="G31" s="138" t="s">
        <v>230</v>
      </c>
      <c r="H31" s="138" t="s">
        <v>230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130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52</v>
      </c>
      <c r="E32" t="str">
        <f>+IFERROR(VLOOKUP(Fact_Contabilidad[[#This Row],[Concepto Anterior]],Conceptos_Contabilidad[#All],5,0),"")</f>
        <v>Cuentas Contables Conciliadas</v>
      </c>
      <c r="F32" t="str">
        <f ca="1">+IFERROR(VLOOKUP(Fact_Contabilidad[[#This Row],[Concepto Anterior]],Conceptos_Contabilidad[#All],7,0),"")</f>
        <v/>
      </c>
      <c r="G32" s="138" t="s">
        <v>230</v>
      </c>
      <c r="H32" s="138" t="s">
        <v>230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130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45</v>
      </c>
      <c r="E33" t="str">
        <f>+IFERROR(VLOOKUP(Fact_Contabilidad[[#This Row],[Concepto Anterior]],Conceptos_Contabilidad[#All],5,0),"")</f>
        <v>Facturas Contabilizada</v>
      </c>
      <c r="F33" t="str">
        <f ca="1">+IFERROR(VLOOKUP(Fact_Contabilidad[[#This Row],[Concepto Anterior]],Conceptos_Contabilidad[#All],7,0),"")</f>
        <v/>
      </c>
      <c r="G33" s="138" t="s">
        <v>230</v>
      </c>
      <c r="H33" s="138" t="s">
        <v>230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130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46</v>
      </c>
      <c r="E34" t="str">
        <f>+IFERROR(VLOOKUP(Fact_Contabilidad[[#This Row],[Concepto Anterior]],Conceptos_Contabilidad[#All],5,0),"")</f>
        <v>Facturas Contabilizada</v>
      </c>
      <c r="F34" t="str">
        <f ca="1">+IFERROR(VLOOKUP(Fact_Contabilidad[[#This Row],[Concepto Anterior]],Conceptos_Contabilidad[#All],7,0),"")</f>
        <v/>
      </c>
      <c r="G34" s="138" t="s">
        <v>230</v>
      </c>
      <c r="H34" s="138" t="s">
        <v>230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130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47</v>
      </c>
      <c r="E35" t="str">
        <f>+IFERROR(VLOOKUP(Fact_Contabilidad[[#This Row],[Concepto Anterior]],Conceptos_Contabilidad[#All],5,0),"")</f>
        <v>Cantidad de legalizaciones de rendiciones registradas</v>
      </c>
      <c r="F35" t="str">
        <f ca="1">+IFERROR(VLOOKUP(Fact_Contabilidad[[#This Row],[Concepto Anterior]],Conceptos_Contabilidad[#All],7,0),"")</f>
        <v/>
      </c>
      <c r="G35" s="138" t="s">
        <v>230</v>
      </c>
      <c r="H35" s="138" t="s">
        <v>230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130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48</v>
      </c>
      <c r="E36" t="str">
        <f>+IFERROR(VLOOKUP(Fact_Contabilidad[[#This Row],[Concepto Anterior]],Conceptos_Contabilidad[#All],5,0),"")</f>
        <v>Cantidad de legalizaciones de TC registradas</v>
      </c>
      <c r="F36" t="str">
        <f ca="1">+IFERROR(VLOOKUP(Fact_Contabilidad[[#This Row],[Concepto Anterior]],Conceptos_Contabilidad[#All],7,0),"")</f>
        <v/>
      </c>
      <c r="G36" s="138" t="s">
        <v>230</v>
      </c>
      <c r="H36" s="138" t="s">
        <v>230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130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153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 ca="1">+IFERROR(VLOOKUP(Fact_Contabilidad[[#This Row],[Concepto Anterior]],Conceptos_Contabilidad[#All],7,0),"")</f>
        <v/>
      </c>
      <c r="G37" s="138" t="s">
        <v>230</v>
      </c>
      <c r="H37" s="138" t="s">
        <v>230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130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49</v>
      </c>
      <c r="E38" t="str">
        <f>+IFERROR(VLOOKUP(Fact_Contabilidad[[#This Row],[Concepto Anterior]],Conceptos_Contabilidad[#All],5,0),"")</f>
        <v>Descuentos por nomina de anticipo</v>
      </c>
      <c r="F38" t="str">
        <f ca="1">+IFERROR(VLOOKUP(Fact_Contabilidad[[#This Row],[Concepto Anterior]],Conceptos_Contabilidad[#All],7,0),"")</f>
        <v/>
      </c>
      <c r="G38" s="138" t="s">
        <v>230</v>
      </c>
      <c r="H38" s="138" t="s">
        <v>230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130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50</v>
      </c>
      <c r="E39" t="str">
        <f>+IFERROR(VLOOKUP(Fact_Contabilidad[[#This Row],[Concepto Anterior]],Conceptos_Contabilidad[#All],5,0),"")</f>
        <v>Fusiones</v>
      </c>
      <c r="F39" t="str">
        <f ca="1">+IFERROR(VLOOKUP(Fact_Contabilidad[[#This Row],[Concepto Anterior]],Conceptos_Contabilidad[#All],7,0),"")</f>
        <v/>
      </c>
      <c r="G39" s="138" t="s">
        <v>230</v>
      </c>
      <c r="H39" s="138" t="s">
        <v>230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130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170</v>
      </c>
      <c r="E40" t="str">
        <f>+IFERROR(VLOOKUP(Fact_Contabilidad[[#This Row],[Concepto Anterior]],Conceptos_Contabilidad[#All],5,0),"")</f>
        <v>Informes Contables</v>
      </c>
      <c r="F40" t="str">
        <f ca="1">+IFERROR(VLOOKUP(Fact_Contabilidad[[#This Row],[Concepto Anterior]],Conceptos_Contabilidad[#All],7,0),"")</f>
        <v/>
      </c>
      <c r="G40" s="138" t="s">
        <v>230</v>
      </c>
      <c r="H40" s="138" t="s">
        <v>230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130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51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 ca="1">+IFERROR(VLOOKUP(Fact_Contabilidad[[#This Row],[Concepto Anterior]],Conceptos_Contabilidad[#All],7,0),"")</f>
        <v/>
      </c>
      <c r="G41" s="138" t="s">
        <v>230</v>
      </c>
      <c r="H41" s="138" t="s">
        <v>230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137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52</v>
      </c>
      <c r="E42" t="str">
        <f>+IFERROR(VLOOKUP(Fact_Contabilidad[[#This Row],[Concepto Anterior]],Conceptos_Contabilidad[#All],5,0),"")</f>
        <v>Cuentas Contables Conciliadas</v>
      </c>
      <c r="F42" t="str">
        <f ca="1">+IFERROR(VLOOKUP(Fact_Contabilidad[[#This Row],[Concepto Anterior]],Conceptos_Contabilidad[#All],7,0),"")</f>
        <v/>
      </c>
      <c r="G42" s="138" t="s">
        <v>230</v>
      </c>
      <c r="H42" s="138" t="s">
        <v>230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137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45</v>
      </c>
      <c r="E43" t="str">
        <f>+IFERROR(VLOOKUP(Fact_Contabilidad[[#This Row],[Concepto Anterior]],Conceptos_Contabilidad[#All],5,0),"")</f>
        <v>Facturas Contabilizada</v>
      </c>
      <c r="F43" t="str">
        <f ca="1">+IFERROR(VLOOKUP(Fact_Contabilidad[[#This Row],[Concepto Anterior]],Conceptos_Contabilidad[#All],7,0),"")</f>
        <v/>
      </c>
      <c r="G43" s="138" t="s">
        <v>230</v>
      </c>
      <c r="H43" s="138" t="s">
        <v>230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137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46</v>
      </c>
      <c r="E44" t="str">
        <f>+IFERROR(VLOOKUP(Fact_Contabilidad[[#This Row],[Concepto Anterior]],Conceptos_Contabilidad[#All],5,0),"")</f>
        <v>Facturas Contabilizada</v>
      </c>
      <c r="F44" t="str">
        <f ca="1">+IFERROR(VLOOKUP(Fact_Contabilidad[[#This Row],[Concepto Anterior]],Conceptos_Contabilidad[#All],7,0),"")</f>
        <v/>
      </c>
      <c r="G44" s="138" t="s">
        <v>230</v>
      </c>
      <c r="H44" s="138" t="s">
        <v>230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137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47</v>
      </c>
      <c r="E45" t="str">
        <f>+IFERROR(VLOOKUP(Fact_Contabilidad[[#This Row],[Concepto Anterior]],Conceptos_Contabilidad[#All],5,0),"")</f>
        <v>Cantidad de legalizaciones de rendiciones registradas</v>
      </c>
      <c r="F45" t="str">
        <f ca="1">+IFERROR(VLOOKUP(Fact_Contabilidad[[#This Row],[Concepto Anterior]],Conceptos_Contabilidad[#All],7,0),"")</f>
        <v/>
      </c>
      <c r="G45" s="138" t="s">
        <v>230</v>
      </c>
      <c r="H45" s="138" t="s">
        <v>230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137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48</v>
      </c>
      <c r="E46" t="str">
        <f>+IFERROR(VLOOKUP(Fact_Contabilidad[[#This Row],[Concepto Anterior]],Conceptos_Contabilidad[#All],5,0),"")</f>
        <v>Cantidad de legalizaciones de TC registradas</v>
      </c>
      <c r="F46" t="str">
        <f ca="1">+IFERROR(VLOOKUP(Fact_Contabilidad[[#This Row],[Concepto Anterior]],Conceptos_Contabilidad[#All],7,0),"")</f>
        <v/>
      </c>
      <c r="G46" s="138" t="s">
        <v>230</v>
      </c>
      <c r="H46" s="138" t="s">
        <v>230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137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153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 ca="1">+IFERROR(VLOOKUP(Fact_Contabilidad[[#This Row],[Concepto Anterior]],Conceptos_Contabilidad[#All],7,0),"")</f>
        <v/>
      </c>
      <c r="G47" s="138" t="s">
        <v>230</v>
      </c>
      <c r="H47" s="138" t="s">
        <v>230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137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49</v>
      </c>
      <c r="E48" t="str">
        <f>+IFERROR(VLOOKUP(Fact_Contabilidad[[#This Row],[Concepto Anterior]],Conceptos_Contabilidad[#All],5,0),"")</f>
        <v>Descuentos por nomina de anticipo</v>
      </c>
      <c r="F48" t="str">
        <f ca="1">+IFERROR(VLOOKUP(Fact_Contabilidad[[#This Row],[Concepto Anterior]],Conceptos_Contabilidad[#All],7,0),"")</f>
        <v/>
      </c>
      <c r="G48" s="138" t="s">
        <v>230</v>
      </c>
      <c r="H48" s="138" t="s">
        <v>230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137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50</v>
      </c>
      <c r="E49" t="str">
        <f>+IFERROR(VLOOKUP(Fact_Contabilidad[[#This Row],[Concepto Anterior]],Conceptos_Contabilidad[#All],5,0),"")</f>
        <v>Fusiones</v>
      </c>
      <c r="F49" t="str">
        <f ca="1">+IFERROR(VLOOKUP(Fact_Contabilidad[[#This Row],[Concepto Anterior]],Conceptos_Contabilidad[#All],7,0),"")</f>
        <v/>
      </c>
      <c r="G49" s="138" t="s">
        <v>230</v>
      </c>
      <c r="H49" s="138" t="s">
        <v>230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137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170</v>
      </c>
      <c r="E50" t="str">
        <f>+IFERROR(VLOOKUP(Fact_Contabilidad[[#This Row],[Concepto Anterior]],Conceptos_Contabilidad[#All],5,0),"")</f>
        <v>Informes Contables</v>
      </c>
      <c r="F50" t="str">
        <f ca="1">+IFERROR(VLOOKUP(Fact_Contabilidad[[#This Row],[Concepto Anterior]],Conceptos_Contabilidad[#All],7,0),"")</f>
        <v/>
      </c>
      <c r="G50" s="138" t="s">
        <v>230</v>
      </c>
      <c r="H50" s="138" t="s">
        <v>230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137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51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 ca="1">+IFERROR(VLOOKUP(Fact_Contabilidad[[#This Row],[Concepto Anterior]],Conceptos_Contabilidad[#All],7,0),"")</f>
        <v/>
      </c>
      <c r="G51" s="138" t="s">
        <v>230</v>
      </c>
      <c r="H51" s="138" t="s">
        <v>230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147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52</v>
      </c>
      <c r="E52" t="str">
        <f>+IFERROR(VLOOKUP(Fact_Contabilidad[[#This Row],[Concepto Anterior]],Conceptos_Contabilidad[#All],5,0),"")</f>
        <v>Cuentas Contables Conciliadas</v>
      </c>
      <c r="F52" t="str">
        <f ca="1">+IFERROR(VLOOKUP(Fact_Contabilidad[[#This Row],[Concepto Anterior]],Conceptos_Contabilidad[#All],7,0),"")</f>
        <v/>
      </c>
      <c r="G52" s="138" t="s">
        <v>230</v>
      </c>
      <c r="H52" s="138" t="s">
        <v>230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147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45</v>
      </c>
      <c r="E53" t="str">
        <f>+IFERROR(VLOOKUP(Fact_Contabilidad[[#This Row],[Concepto Anterior]],Conceptos_Contabilidad[#All],5,0),"")</f>
        <v>Facturas Contabilizada</v>
      </c>
      <c r="F53" t="str">
        <f ca="1">+IFERROR(VLOOKUP(Fact_Contabilidad[[#This Row],[Concepto Anterior]],Conceptos_Contabilidad[#All],7,0),"")</f>
        <v/>
      </c>
      <c r="G53" s="138" t="s">
        <v>230</v>
      </c>
      <c r="H53" s="138" t="s">
        <v>230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147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46</v>
      </c>
      <c r="E54" t="str">
        <f>+IFERROR(VLOOKUP(Fact_Contabilidad[[#This Row],[Concepto Anterior]],Conceptos_Contabilidad[#All],5,0),"")</f>
        <v>Facturas Contabilizada</v>
      </c>
      <c r="F54" t="str">
        <f ca="1">+IFERROR(VLOOKUP(Fact_Contabilidad[[#This Row],[Concepto Anterior]],Conceptos_Contabilidad[#All],7,0),"")</f>
        <v/>
      </c>
      <c r="G54" s="138" t="s">
        <v>230</v>
      </c>
      <c r="H54" s="138" t="s">
        <v>230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147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47</v>
      </c>
      <c r="E55" t="str">
        <f>+IFERROR(VLOOKUP(Fact_Contabilidad[[#This Row],[Concepto Anterior]],Conceptos_Contabilidad[#All],5,0),"")</f>
        <v>Cantidad de legalizaciones de rendiciones registradas</v>
      </c>
      <c r="F55" t="str">
        <f ca="1">+IFERROR(VLOOKUP(Fact_Contabilidad[[#This Row],[Concepto Anterior]],Conceptos_Contabilidad[#All],7,0),"")</f>
        <v/>
      </c>
      <c r="G55" s="138" t="s">
        <v>230</v>
      </c>
      <c r="H55" s="138" t="s">
        <v>230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147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48</v>
      </c>
      <c r="E56" t="str">
        <f>+IFERROR(VLOOKUP(Fact_Contabilidad[[#This Row],[Concepto Anterior]],Conceptos_Contabilidad[#All],5,0),"")</f>
        <v>Cantidad de legalizaciones de TC registradas</v>
      </c>
      <c r="F56" t="str">
        <f ca="1">+IFERROR(VLOOKUP(Fact_Contabilidad[[#This Row],[Concepto Anterior]],Conceptos_Contabilidad[#All],7,0),"")</f>
        <v/>
      </c>
      <c r="G56" s="138" t="s">
        <v>230</v>
      </c>
      <c r="H56" s="138" t="s">
        <v>230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147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153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 ca="1">+IFERROR(VLOOKUP(Fact_Contabilidad[[#This Row],[Concepto Anterior]],Conceptos_Contabilidad[#All],7,0),"")</f>
        <v/>
      </c>
      <c r="G57" s="138" t="s">
        <v>230</v>
      </c>
      <c r="H57" s="138" t="s">
        <v>230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147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49</v>
      </c>
      <c r="E58" t="str">
        <f>+IFERROR(VLOOKUP(Fact_Contabilidad[[#This Row],[Concepto Anterior]],Conceptos_Contabilidad[#All],5,0),"")</f>
        <v>Descuentos por nomina de anticipo</v>
      </c>
      <c r="F58" t="str">
        <f ca="1">+IFERROR(VLOOKUP(Fact_Contabilidad[[#This Row],[Concepto Anterior]],Conceptos_Contabilidad[#All],7,0),"")</f>
        <v/>
      </c>
      <c r="G58" s="138" t="s">
        <v>230</v>
      </c>
      <c r="H58" s="138" t="s">
        <v>230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147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50</v>
      </c>
      <c r="E59" t="str">
        <f>+IFERROR(VLOOKUP(Fact_Contabilidad[[#This Row],[Concepto Anterior]],Conceptos_Contabilidad[#All],5,0),"")</f>
        <v>Fusiones</v>
      </c>
      <c r="F59" t="str">
        <f ca="1">+IFERROR(VLOOKUP(Fact_Contabilidad[[#This Row],[Concepto Anterior]],Conceptos_Contabilidad[#All],7,0),"")</f>
        <v/>
      </c>
      <c r="G59" s="138" t="s">
        <v>230</v>
      </c>
      <c r="H59" s="138" t="s">
        <v>230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147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170</v>
      </c>
      <c r="E60" t="str">
        <f>+IFERROR(VLOOKUP(Fact_Contabilidad[[#This Row],[Concepto Anterior]],Conceptos_Contabilidad[#All],5,0),"")</f>
        <v>Informes Contables</v>
      </c>
      <c r="F60" t="str">
        <f ca="1">+IFERROR(VLOOKUP(Fact_Contabilidad[[#This Row],[Concepto Anterior]],Conceptos_Contabilidad[#All],7,0),"")</f>
        <v/>
      </c>
      <c r="G60" s="138" t="s">
        <v>230</v>
      </c>
      <c r="H60" s="138" t="s">
        <v>230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147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51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 ca="1">+IFERROR(VLOOKUP(Fact_Contabilidad[[#This Row],[Concepto Anterior]],Conceptos_Contabilidad[#All],7,0),"")</f>
        <v/>
      </c>
      <c r="G61" s="138" t="s">
        <v>230</v>
      </c>
      <c r="H61" s="138" t="s">
        <v>230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157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52</v>
      </c>
      <c r="E62" t="str">
        <f>+IFERROR(VLOOKUP(Fact_Contabilidad[[#This Row],[Concepto Anterior]],Conceptos_Contabilidad[#All],5,0),"")</f>
        <v>Cuentas Contables Conciliadas</v>
      </c>
      <c r="F62" t="str">
        <f ca="1">+IFERROR(VLOOKUP(Fact_Contabilidad[[#This Row],[Concepto Anterior]],Conceptos_Contabilidad[#All],7,0),"")</f>
        <v/>
      </c>
      <c r="G62" s="138" t="s">
        <v>230</v>
      </c>
      <c r="H62" s="138" t="s">
        <v>230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157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45</v>
      </c>
      <c r="E63" t="str">
        <f>+IFERROR(VLOOKUP(Fact_Contabilidad[[#This Row],[Concepto Anterior]],Conceptos_Contabilidad[#All],5,0),"")</f>
        <v>Facturas Contabilizada</v>
      </c>
      <c r="F63" t="str">
        <f ca="1">+IFERROR(VLOOKUP(Fact_Contabilidad[[#This Row],[Concepto Anterior]],Conceptos_Contabilidad[#All],7,0),"")</f>
        <v/>
      </c>
      <c r="G63" s="138" t="s">
        <v>230</v>
      </c>
      <c r="H63" s="138" t="s">
        <v>230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157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46</v>
      </c>
      <c r="E64" t="str">
        <f>+IFERROR(VLOOKUP(Fact_Contabilidad[[#This Row],[Concepto Anterior]],Conceptos_Contabilidad[#All],5,0),"")</f>
        <v>Facturas Contabilizada</v>
      </c>
      <c r="F64" t="str">
        <f ca="1">+IFERROR(VLOOKUP(Fact_Contabilidad[[#This Row],[Concepto Anterior]],Conceptos_Contabilidad[#All],7,0),"")</f>
        <v/>
      </c>
      <c r="G64" s="138" t="s">
        <v>230</v>
      </c>
      <c r="H64" s="138" t="s">
        <v>230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157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47</v>
      </c>
      <c r="E65" t="str">
        <f>+IFERROR(VLOOKUP(Fact_Contabilidad[[#This Row],[Concepto Anterior]],Conceptos_Contabilidad[#All],5,0),"")</f>
        <v>Cantidad de legalizaciones de rendiciones registradas</v>
      </c>
      <c r="F65" t="str">
        <f ca="1">+IFERROR(VLOOKUP(Fact_Contabilidad[[#This Row],[Concepto Anterior]],Conceptos_Contabilidad[#All],7,0),"")</f>
        <v/>
      </c>
      <c r="G65" s="138" t="s">
        <v>230</v>
      </c>
      <c r="H65" s="138" t="s">
        <v>230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157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48</v>
      </c>
      <c r="E66" t="str">
        <f>+IFERROR(VLOOKUP(Fact_Contabilidad[[#This Row],[Concepto Anterior]],Conceptos_Contabilidad[#All],5,0),"")</f>
        <v>Cantidad de legalizaciones de TC registradas</v>
      </c>
      <c r="F66" t="str">
        <f ca="1">+IFERROR(VLOOKUP(Fact_Contabilidad[[#This Row],[Concepto Anterior]],Conceptos_Contabilidad[#All],7,0),"")</f>
        <v/>
      </c>
      <c r="G66" s="138" t="s">
        <v>230</v>
      </c>
      <c r="H66" s="138" t="s">
        <v>230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157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153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 ca="1">+IFERROR(VLOOKUP(Fact_Contabilidad[[#This Row],[Concepto Anterior]],Conceptos_Contabilidad[#All],7,0),"")</f>
        <v/>
      </c>
      <c r="G67" s="138" t="s">
        <v>230</v>
      </c>
      <c r="H67" s="138" t="s">
        <v>230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157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49</v>
      </c>
      <c r="E68" t="str">
        <f>+IFERROR(VLOOKUP(Fact_Contabilidad[[#This Row],[Concepto Anterior]],Conceptos_Contabilidad[#All],5,0),"")</f>
        <v>Descuentos por nomina de anticipo</v>
      </c>
      <c r="F68" t="str">
        <f ca="1">+IFERROR(VLOOKUP(Fact_Contabilidad[[#This Row],[Concepto Anterior]],Conceptos_Contabilidad[#All],7,0),"")</f>
        <v/>
      </c>
      <c r="G68" s="138" t="s">
        <v>230</v>
      </c>
      <c r="H68" s="138" t="s">
        <v>230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157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50</v>
      </c>
      <c r="E69" t="str">
        <f>+IFERROR(VLOOKUP(Fact_Contabilidad[[#This Row],[Concepto Anterior]],Conceptos_Contabilidad[#All],5,0),"")</f>
        <v>Fusiones</v>
      </c>
      <c r="F69" t="str">
        <f ca="1">+IFERROR(VLOOKUP(Fact_Contabilidad[[#This Row],[Concepto Anterior]],Conceptos_Contabilidad[#All],7,0),"")</f>
        <v/>
      </c>
      <c r="G69" s="138" t="s">
        <v>230</v>
      </c>
      <c r="H69" s="138" t="s">
        <v>230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157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170</v>
      </c>
      <c r="E70" t="str">
        <f>+IFERROR(VLOOKUP(Fact_Contabilidad[[#This Row],[Concepto Anterior]],Conceptos_Contabilidad[#All],5,0),"")</f>
        <v>Informes Contables</v>
      </c>
      <c r="F70" t="str">
        <f ca="1">+IFERROR(VLOOKUP(Fact_Contabilidad[[#This Row],[Concepto Anterior]],Conceptos_Contabilidad[#All],7,0),"")</f>
        <v/>
      </c>
      <c r="G70" s="138" t="s">
        <v>230</v>
      </c>
      <c r="H70" s="138" t="s">
        <v>230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157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51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 ca="1">+IFERROR(VLOOKUP(Fact_Contabilidad[[#This Row],[Concepto Anterior]],Conceptos_Contabilidad[#All],7,0),"")</f>
        <v/>
      </c>
      <c r="G71" s="138" t="s">
        <v>230</v>
      </c>
      <c r="H71" s="138" t="s">
        <v>230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165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52</v>
      </c>
      <c r="E72" t="str">
        <f>+IFERROR(VLOOKUP(Fact_Contabilidad[[#This Row],[Concepto Anterior]],Conceptos_Contabilidad[#All],5,0),"")</f>
        <v>Cuentas Contables Conciliadas</v>
      </c>
      <c r="F72" t="str">
        <f ca="1">+IFERROR(VLOOKUP(Fact_Contabilidad[[#This Row],[Concepto Anterior]],Conceptos_Contabilidad[#All],7,0),"")</f>
        <v/>
      </c>
      <c r="G72" s="138" t="s">
        <v>230</v>
      </c>
      <c r="H72" s="138" t="s">
        <v>230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165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45</v>
      </c>
      <c r="E73" t="str">
        <f>+IFERROR(VLOOKUP(Fact_Contabilidad[[#This Row],[Concepto Anterior]],Conceptos_Contabilidad[#All],5,0),"")</f>
        <v>Facturas Contabilizada</v>
      </c>
      <c r="F73" t="str">
        <f ca="1">+IFERROR(VLOOKUP(Fact_Contabilidad[[#This Row],[Concepto Anterior]],Conceptos_Contabilidad[#All],7,0),"")</f>
        <v/>
      </c>
      <c r="G73" s="138" t="s">
        <v>230</v>
      </c>
      <c r="H73" s="138" t="s">
        <v>230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165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46</v>
      </c>
      <c r="E74" t="str">
        <f>+IFERROR(VLOOKUP(Fact_Contabilidad[[#This Row],[Concepto Anterior]],Conceptos_Contabilidad[#All],5,0),"")</f>
        <v>Facturas Contabilizada</v>
      </c>
      <c r="F74" t="str">
        <f ca="1">+IFERROR(VLOOKUP(Fact_Contabilidad[[#This Row],[Concepto Anterior]],Conceptos_Contabilidad[#All],7,0),"")</f>
        <v/>
      </c>
      <c r="G74" s="138" t="s">
        <v>230</v>
      </c>
      <c r="H74" s="138" t="s">
        <v>230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165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47</v>
      </c>
      <c r="E75" t="str">
        <f>+IFERROR(VLOOKUP(Fact_Contabilidad[[#This Row],[Concepto Anterior]],Conceptos_Contabilidad[#All],5,0),"")</f>
        <v>Cantidad de legalizaciones de rendiciones registradas</v>
      </c>
      <c r="F75" t="str">
        <f ca="1">+IFERROR(VLOOKUP(Fact_Contabilidad[[#This Row],[Concepto Anterior]],Conceptos_Contabilidad[#All],7,0),"")</f>
        <v/>
      </c>
      <c r="G75" s="138" t="s">
        <v>230</v>
      </c>
      <c r="H75" s="138" t="s">
        <v>230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165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48</v>
      </c>
      <c r="E76" t="str">
        <f>+IFERROR(VLOOKUP(Fact_Contabilidad[[#This Row],[Concepto Anterior]],Conceptos_Contabilidad[#All],5,0),"")</f>
        <v>Cantidad de legalizaciones de TC registradas</v>
      </c>
      <c r="F76" t="str">
        <f ca="1">+IFERROR(VLOOKUP(Fact_Contabilidad[[#This Row],[Concepto Anterior]],Conceptos_Contabilidad[#All],7,0),"")</f>
        <v/>
      </c>
      <c r="G76" s="138" t="s">
        <v>230</v>
      </c>
      <c r="H76" s="138" t="s">
        <v>230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165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153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 ca="1">+IFERROR(VLOOKUP(Fact_Contabilidad[[#This Row],[Concepto Anterior]],Conceptos_Contabilidad[#All],7,0),"")</f>
        <v/>
      </c>
      <c r="G77" s="138" t="s">
        <v>230</v>
      </c>
      <c r="H77" s="138" t="s">
        <v>230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165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49</v>
      </c>
      <c r="E78" t="str">
        <f>+IFERROR(VLOOKUP(Fact_Contabilidad[[#This Row],[Concepto Anterior]],Conceptos_Contabilidad[#All],5,0),"")</f>
        <v>Descuentos por nomina de anticipo</v>
      </c>
      <c r="F78" t="str">
        <f ca="1">+IFERROR(VLOOKUP(Fact_Contabilidad[[#This Row],[Concepto Anterior]],Conceptos_Contabilidad[#All],7,0),"")</f>
        <v/>
      </c>
      <c r="G78" s="138" t="s">
        <v>230</v>
      </c>
      <c r="H78" s="138" t="s">
        <v>230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165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50</v>
      </c>
      <c r="E79" t="str">
        <f>+IFERROR(VLOOKUP(Fact_Contabilidad[[#This Row],[Concepto Anterior]],Conceptos_Contabilidad[#All],5,0),"")</f>
        <v>Fusiones</v>
      </c>
      <c r="F79" t="str">
        <f ca="1">+IFERROR(VLOOKUP(Fact_Contabilidad[[#This Row],[Concepto Anterior]],Conceptos_Contabilidad[#All],7,0),"")</f>
        <v/>
      </c>
      <c r="G79" s="138" t="s">
        <v>230</v>
      </c>
      <c r="H79" s="138" t="s">
        <v>230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165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170</v>
      </c>
      <c r="E80" t="str">
        <f>+IFERROR(VLOOKUP(Fact_Contabilidad[[#This Row],[Concepto Anterior]],Conceptos_Contabilidad[#All],5,0),"")</f>
        <v>Informes Contables</v>
      </c>
      <c r="F80" t="str">
        <f ca="1">+IFERROR(VLOOKUP(Fact_Contabilidad[[#This Row],[Concepto Anterior]],Conceptos_Contabilidad[#All],7,0),"")</f>
        <v/>
      </c>
      <c r="G80" s="138" t="s">
        <v>230</v>
      </c>
      <c r="H80" s="138" t="s">
        <v>230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165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51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 ca="1">+IFERROR(VLOOKUP(Fact_Contabilidad[[#This Row],[Concepto Anterior]],Conceptos_Contabilidad[#All],7,0),"")</f>
        <v/>
      </c>
      <c r="G81" s="138" t="s">
        <v>230</v>
      </c>
      <c r="H81" s="138" t="s">
        <v>230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52</v>
      </c>
      <c r="E82" t="str">
        <f>+IFERROR(VLOOKUP(Fact_Contabilidad[[#This Row],[Concepto Anterior]],Conceptos_Contabilidad[#All],5,0),"")</f>
        <v>Cuentas Contables Conciliadas</v>
      </c>
      <c r="F82" t="str">
        <f ca="1">+IFERROR(VLOOKUP(Fact_Contabilidad[[#This Row],[Concepto Anterior]],Conceptos_Contabilidad[#All],7,0),"")</f>
        <v/>
      </c>
      <c r="G82" s="138" t="s">
        <v>230</v>
      </c>
      <c r="H82" s="138" t="s">
        <v>230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45</v>
      </c>
      <c r="E83" t="str">
        <f>+IFERROR(VLOOKUP(Fact_Contabilidad[[#This Row],[Concepto Anterior]],Conceptos_Contabilidad[#All],5,0),"")</f>
        <v>Facturas Contabilizada</v>
      </c>
      <c r="F83" t="str">
        <f ca="1">+IFERROR(VLOOKUP(Fact_Contabilidad[[#This Row],[Concepto Anterior]],Conceptos_Contabilidad[#All],7,0),"")</f>
        <v/>
      </c>
      <c r="G83" s="138" t="s">
        <v>230</v>
      </c>
      <c r="H83" s="138" t="s">
        <v>230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46</v>
      </c>
      <c r="E84" t="str">
        <f>+IFERROR(VLOOKUP(Fact_Contabilidad[[#This Row],[Concepto Anterior]],Conceptos_Contabilidad[#All],5,0),"")</f>
        <v>Facturas Contabilizada</v>
      </c>
      <c r="F84" t="str">
        <f ca="1">+IFERROR(VLOOKUP(Fact_Contabilidad[[#This Row],[Concepto Anterior]],Conceptos_Contabilidad[#All],7,0),"")</f>
        <v/>
      </c>
      <c r="G84" s="138" t="s">
        <v>230</v>
      </c>
      <c r="H84" s="138" t="s">
        <v>230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47</v>
      </c>
      <c r="E85" t="str">
        <f>+IFERROR(VLOOKUP(Fact_Contabilidad[[#This Row],[Concepto Anterior]],Conceptos_Contabilidad[#All],5,0),"")</f>
        <v>Cantidad de legalizaciones de rendiciones registradas</v>
      </c>
      <c r="F85" t="str">
        <f ca="1">+IFERROR(VLOOKUP(Fact_Contabilidad[[#This Row],[Concepto Anterior]],Conceptos_Contabilidad[#All],7,0),"")</f>
        <v/>
      </c>
      <c r="G85" s="138" t="s">
        <v>230</v>
      </c>
      <c r="H85" s="138" t="s">
        <v>230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48</v>
      </c>
      <c r="E86" t="str">
        <f>+IFERROR(VLOOKUP(Fact_Contabilidad[[#This Row],[Concepto Anterior]],Conceptos_Contabilidad[#All],5,0),"")</f>
        <v>Cantidad de legalizaciones de TC registradas</v>
      </c>
      <c r="F86" t="str">
        <f ca="1">+IFERROR(VLOOKUP(Fact_Contabilidad[[#This Row],[Concepto Anterior]],Conceptos_Contabilidad[#All],7,0),"")</f>
        <v/>
      </c>
      <c r="G86" s="138" t="s">
        <v>230</v>
      </c>
      <c r="H86" s="138" t="s">
        <v>230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153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 ca="1">+IFERROR(VLOOKUP(Fact_Contabilidad[[#This Row],[Concepto Anterior]],Conceptos_Contabilidad[#All],7,0),"")</f>
        <v/>
      </c>
      <c r="G87" s="138" t="s">
        <v>230</v>
      </c>
      <c r="H87" s="138" t="s">
        <v>230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49</v>
      </c>
      <c r="E88" t="str">
        <f>+IFERROR(VLOOKUP(Fact_Contabilidad[[#This Row],[Concepto Anterior]],Conceptos_Contabilidad[#All],5,0),"")</f>
        <v>Descuentos por nomina de anticipo</v>
      </c>
      <c r="F88" t="str">
        <f ca="1">+IFERROR(VLOOKUP(Fact_Contabilidad[[#This Row],[Concepto Anterior]],Conceptos_Contabilidad[#All],7,0),"")</f>
        <v/>
      </c>
      <c r="G88" s="138" t="s">
        <v>230</v>
      </c>
      <c r="H88" s="138" t="s">
        <v>230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50</v>
      </c>
      <c r="E89" t="str">
        <f>+IFERROR(VLOOKUP(Fact_Contabilidad[[#This Row],[Concepto Anterior]],Conceptos_Contabilidad[#All],5,0),"")</f>
        <v>Fusiones</v>
      </c>
      <c r="F89" t="str">
        <f ca="1">+IFERROR(VLOOKUP(Fact_Contabilidad[[#This Row],[Concepto Anterior]],Conceptos_Contabilidad[#All],7,0),"")</f>
        <v/>
      </c>
      <c r="G89" s="138" t="s">
        <v>230</v>
      </c>
      <c r="H89" s="138" t="s">
        <v>230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170</v>
      </c>
      <c r="E90" t="str">
        <f>+IFERROR(VLOOKUP(Fact_Contabilidad[[#This Row],[Concepto Anterior]],Conceptos_Contabilidad[#All],5,0),"")</f>
        <v>Informes Contables</v>
      </c>
      <c r="F90" t="str">
        <f ca="1">+IFERROR(VLOOKUP(Fact_Contabilidad[[#This Row],[Concepto Anterior]],Conceptos_Contabilidad[#All],7,0),"")</f>
        <v/>
      </c>
      <c r="G90" s="138" t="s">
        <v>230</v>
      </c>
      <c r="H90" s="138" t="s">
        <v>230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51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 ca="1">+IFERROR(VLOOKUP(Fact_Contabilidad[[#This Row],[Concepto Anterior]],Conceptos_Contabilidad[#All],7,0),"")</f>
        <v/>
      </c>
      <c r="G91" s="138" t="s">
        <v>230</v>
      </c>
      <c r="H91" s="138" t="s">
        <v>230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179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52</v>
      </c>
      <c r="E92" t="str">
        <f>+IFERROR(VLOOKUP(Fact_Contabilidad[[#This Row],[Concepto Anterior]],Conceptos_Contabilidad[#All],5,0),"")</f>
        <v>Cuentas Contables Conciliadas</v>
      </c>
      <c r="F92" t="str">
        <f ca="1">+IFERROR(VLOOKUP(Fact_Contabilidad[[#This Row],[Concepto Anterior]],Conceptos_Contabilidad[#All],7,0),"")</f>
        <v/>
      </c>
      <c r="G92" s="138" t="s">
        <v>230</v>
      </c>
      <c r="H92" s="138" t="s">
        <v>230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179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45</v>
      </c>
      <c r="E93" t="str">
        <f>+IFERROR(VLOOKUP(Fact_Contabilidad[[#This Row],[Concepto Anterior]],Conceptos_Contabilidad[#All],5,0),"")</f>
        <v>Facturas Contabilizada</v>
      </c>
      <c r="F93" t="str">
        <f ca="1">+IFERROR(VLOOKUP(Fact_Contabilidad[[#This Row],[Concepto Anterior]],Conceptos_Contabilidad[#All],7,0),"")</f>
        <v/>
      </c>
      <c r="G93" s="138" t="s">
        <v>230</v>
      </c>
      <c r="H93" s="138" t="s">
        <v>230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179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46</v>
      </c>
      <c r="E94" t="str">
        <f>+IFERROR(VLOOKUP(Fact_Contabilidad[[#This Row],[Concepto Anterior]],Conceptos_Contabilidad[#All],5,0),"")</f>
        <v>Facturas Contabilizada</v>
      </c>
      <c r="F94" t="str">
        <f ca="1">+IFERROR(VLOOKUP(Fact_Contabilidad[[#This Row],[Concepto Anterior]],Conceptos_Contabilidad[#All],7,0),"")</f>
        <v/>
      </c>
      <c r="G94" s="138" t="s">
        <v>230</v>
      </c>
      <c r="H94" s="138" t="s">
        <v>230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179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47</v>
      </c>
      <c r="E95" t="str">
        <f>+IFERROR(VLOOKUP(Fact_Contabilidad[[#This Row],[Concepto Anterior]],Conceptos_Contabilidad[#All],5,0),"")</f>
        <v>Cantidad de legalizaciones de rendiciones registradas</v>
      </c>
      <c r="F95" t="str">
        <f ca="1">+IFERROR(VLOOKUP(Fact_Contabilidad[[#This Row],[Concepto Anterior]],Conceptos_Contabilidad[#All],7,0),"")</f>
        <v/>
      </c>
      <c r="G95" s="138" t="s">
        <v>230</v>
      </c>
      <c r="H95" s="138" t="s">
        <v>230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179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48</v>
      </c>
      <c r="E96" t="str">
        <f>+IFERROR(VLOOKUP(Fact_Contabilidad[[#This Row],[Concepto Anterior]],Conceptos_Contabilidad[#All],5,0),"")</f>
        <v>Cantidad de legalizaciones de TC registradas</v>
      </c>
      <c r="F96" t="str">
        <f ca="1">+IFERROR(VLOOKUP(Fact_Contabilidad[[#This Row],[Concepto Anterior]],Conceptos_Contabilidad[#All],7,0),"")</f>
        <v/>
      </c>
      <c r="G96" s="138" t="s">
        <v>230</v>
      </c>
      <c r="H96" s="138" t="s">
        <v>230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179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153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 ca="1">+IFERROR(VLOOKUP(Fact_Contabilidad[[#This Row],[Concepto Anterior]],Conceptos_Contabilidad[#All],7,0),"")</f>
        <v/>
      </c>
      <c r="G97" s="138" t="s">
        <v>230</v>
      </c>
      <c r="H97" s="138" t="s">
        <v>230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179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49</v>
      </c>
      <c r="E98" t="str">
        <f>+IFERROR(VLOOKUP(Fact_Contabilidad[[#This Row],[Concepto Anterior]],Conceptos_Contabilidad[#All],5,0),"")</f>
        <v>Descuentos por nomina de anticipo</v>
      </c>
      <c r="F98" t="str">
        <f ca="1">+IFERROR(VLOOKUP(Fact_Contabilidad[[#This Row],[Concepto Anterior]],Conceptos_Contabilidad[#All],7,0),"")</f>
        <v/>
      </c>
      <c r="G98" s="138" t="s">
        <v>230</v>
      </c>
      <c r="H98" s="138" t="s">
        <v>230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179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50</v>
      </c>
      <c r="E99" t="str">
        <f>+IFERROR(VLOOKUP(Fact_Contabilidad[[#This Row],[Concepto Anterior]],Conceptos_Contabilidad[#All],5,0),"")</f>
        <v>Fusiones</v>
      </c>
      <c r="F99" t="str">
        <f ca="1">+IFERROR(VLOOKUP(Fact_Contabilidad[[#This Row],[Concepto Anterior]],Conceptos_Contabilidad[#All],7,0),"")</f>
        <v/>
      </c>
      <c r="G99" s="138" t="s">
        <v>230</v>
      </c>
      <c r="H99" s="138" t="s">
        <v>230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179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170</v>
      </c>
      <c r="E100" t="str">
        <f>+IFERROR(VLOOKUP(Fact_Contabilidad[[#This Row],[Concepto Anterior]],Conceptos_Contabilidad[#All],5,0),"")</f>
        <v>Informes Contables</v>
      </c>
      <c r="F100" t="str">
        <f ca="1">+IFERROR(VLOOKUP(Fact_Contabilidad[[#This Row],[Concepto Anterior]],Conceptos_Contabilidad[#All],7,0),"")</f>
        <v/>
      </c>
      <c r="G100" s="138" t="s">
        <v>230</v>
      </c>
      <c r="H100" s="138" t="s">
        <v>230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179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51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 ca="1">+IFERROR(VLOOKUP(Fact_Contabilidad[[#This Row],[Concepto Anterior]],Conceptos_Contabilidad[#All],7,0),"")</f>
        <v/>
      </c>
      <c r="G101" s="138" t="s">
        <v>230</v>
      </c>
      <c r="H101" s="138" t="s">
        <v>230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188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52</v>
      </c>
      <c r="E102" t="str">
        <f>+IFERROR(VLOOKUP(Fact_Contabilidad[[#This Row],[Concepto Anterior]],Conceptos_Contabilidad[#All],5,0),"")</f>
        <v>Cuentas Contables Conciliadas</v>
      </c>
      <c r="F102" t="str">
        <f ca="1">+IFERROR(VLOOKUP(Fact_Contabilidad[[#This Row],[Concepto Anterior]],Conceptos_Contabilidad[#All],7,0),"")</f>
        <v/>
      </c>
      <c r="G102" s="138" t="s">
        <v>230</v>
      </c>
      <c r="H102" s="138" t="s">
        <v>230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188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45</v>
      </c>
      <c r="E103" t="str">
        <f>+IFERROR(VLOOKUP(Fact_Contabilidad[[#This Row],[Concepto Anterior]],Conceptos_Contabilidad[#All],5,0),"")</f>
        <v>Facturas Contabilizada</v>
      </c>
      <c r="F103" t="str">
        <f ca="1">+IFERROR(VLOOKUP(Fact_Contabilidad[[#This Row],[Concepto Anterior]],Conceptos_Contabilidad[#All],7,0),"")</f>
        <v/>
      </c>
      <c r="G103" s="138" t="s">
        <v>230</v>
      </c>
      <c r="H103" s="138" t="s">
        <v>230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188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46</v>
      </c>
      <c r="E104" t="str">
        <f>+IFERROR(VLOOKUP(Fact_Contabilidad[[#This Row],[Concepto Anterior]],Conceptos_Contabilidad[#All],5,0),"")</f>
        <v>Facturas Contabilizada</v>
      </c>
      <c r="F104" t="str">
        <f ca="1">+IFERROR(VLOOKUP(Fact_Contabilidad[[#This Row],[Concepto Anterior]],Conceptos_Contabilidad[#All],7,0),"")</f>
        <v/>
      </c>
      <c r="G104" s="138" t="s">
        <v>230</v>
      </c>
      <c r="H104" s="138" t="s">
        <v>230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188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47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 ca="1">+IFERROR(VLOOKUP(Fact_Contabilidad[[#This Row],[Concepto Anterior]],Conceptos_Contabilidad[#All],7,0),"")</f>
        <v/>
      </c>
      <c r="G105" s="138" t="s">
        <v>230</v>
      </c>
      <c r="H105" s="138" t="s">
        <v>230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188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48</v>
      </c>
      <c r="E106" t="str">
        <f>+IFERROR(VLOOKUP(Fact_Contabilidad[[#This Row],[Concepto Anterior]],Conceptos_Contabilidad[#All],5,0),"")</f>
        <v>Cantidad de legalizaciones de TC registradas</v>
      </c>
      <c r="F106" t="str">
        <f ca="1">+IFERROR(VLOOKUP(Fact_Contabilidad[[#This Row],[Concepto Anterior]],Conceptos_Contabilidad[#All],7,0),"")</f>
        <v/>
      </c>
      <c r="G106" s="138" t="s">
        <v>230</v>
      </c>
      <c r="H106" s="138" t="s">
        <v>230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188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153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 ca="1">+IFERROR(VLOOKUP(Fact_Contabilidad[[#This Row],[Concepto Anterior]],Conceptos_Contabilidad[#All],7,0),"")</f>
        <v/>
      </c>
      <c r="G107" s="138" t="s">
        <v>230</v>
      </c>
      <c r="H107" s="138" t="s">
        <v>230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188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49</v>
      </c>
      <c r="E108" t="str">
        <f>+IFERROR(VLOOKUP(Fact_Contabilidad[[#This Row],[Concepto Anterior]],Conceptos_Contabilidad[#All],5,0),"")</f>
        <v>Descuentos por nomina de anticipo</v>
      </c>
      <c r="F108" t="str">
        <f ca="1">+IFERROR(VLOOKUP(Fact_Contabilidad[[#This Row],[Concepto Anterior]],Conceptos_Contabilidad[#All],7,0),"")</f>
        <v/>
      </c>
      <c r="G108" s="138" t="s">
        <v>230</v>
      </c>
      <c r="H108" s="138" t="s">
        <v>230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188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50</v>
      </c>
      <c r="E109" t="str">
        <f>+IFERROR(VLOOKUP(Fact_Contabilidad[[#This Row],[Concepto Anterior]],Conceptos_Contabilidad[#All],5,0),"")</f>
        <v>Fusiones</v>
      </c>
      <c r="F109" t="str">
        <f ca="1">+IFERROR(VLOOKUP(Fact_Contabilidad[[#This Row],[Concepto Anterior]],Conceptos_Contabilidad[#All],7,0),"")</f>
        <v/>
      </c>
      <c r="G109" s="138" t="s">
        <v>230</v>
      </c>
      <c r="H109" s="138" t="s">
        <v>230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188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170</v>
      </c>
      <c r="E110" t="str">
        <f>+IFERROR(VLOOKUP(Fact_Contabilidad[[#This Row],[Concepto Anterior]],Conceptos_Contabilidad[#All],5,0),"")</f>
        <v>Informes Contables</v>
      </c>
      <c r="F110" t="str">
        <f ca="1">+IFERROR(VLOOKUP(Fact_Contabilidad[[#This Row],[Concepto Anterior]],Conceptos_Contabilidad[#All],7,0),"")</f>
        <v/>
      </c>
      <c r="G110" s="138" t="s">
        <v>230</v>
      </c>
      <c r="H110" s="138" t="s">
        <v>230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188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51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 ca="1">+IFERROR(VLOOKUP(Fact_Contabilidad[[#This Row],[Concepto Anterior]],Conceptos_Contabilidad[#All],7,0),"")</f>
        <v/>
      </c>
      <c r="G111" s="138" t="s">
        <v>230</v>
      </c>
      <c r="H111" s="138" t="s">
        <v>230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196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52</v>
      </c>
      <c r="E112" t="str">
        <f>+IFERROR(VLOOKUP(Fact_Contabilidad[[#This Row],[Concepto Anterior]],Conceptos_Contabilidad[#All],5,0),"")</f>
        <v>Cuentas Contables Conciliadas</v>
      </c>
      <c r="F112" t="str">
        <f ca="1">+IFERROR(VLOOKUP(Fact_Contabilidad[[#This Row],[Concepto Anterior]],Conceptos_Contabilidad[#All],7,0),"")</f>
        <v/>
      </c>
      <c r="G112" s="138" t="s">
        <v>230</v>
      </c>
      <c r="H112" s="138" t="s">
        <v>230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196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45</v>
      </c>
      <c r="E113" t="str">
        <f>+IFERROR(VLOOKUP(Fact_Contabilidad[[#This Row],[Concepto Anterior]],Conceptos_Contabilidad[#All],5,0),"")</f>
        <v>Facturas Contabilizada</v>
      </c>
      <c r="F113" t="str">
        <f ca="1">+IFERROR(VLOOKUP(Fact_Contabilidad[[#This Row],[Concepto Anterior]],Conceptos_Contabilidad[#All],7,0),"")</f>
        <v/>
      </c>
      <c r="G113" s="138" t="s">
        <v>230</v>
      </c>
      <c r="H113" s="138" t="s">
        <v>230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196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46</v>
      </c>
      <c r="E114" t="str">
        <f>+IFERROR(VLOOKUP(Fact_Contabilidad[[#This Row],[Concepto Anterior]],Conceptos_Contabilidad[#All],5,0),"")</f>
        <v>Facturas Contabilizada</v>
      </c>
      <c r="F114" t="str">
        <f ca="1">+IFERROR(VLOOKUP(Fact_Contabilidad[[#This Row],[Concepto Anterior]],Conceptos_Contabilidad[#All],7,0),"")</f>
        <v/>
      </c>
      <c r="G114" s="138" t="s">
        <v>230</v>
      </c>
      <c r="H114" s="138" t="s">
        <v>230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196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47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 ca="1">+IFERROR(VLOOKUP(Fact_Contabilidad[[#This Row],[Concepto Anterior]],Conceptos_Contabilidad[#All],7,0),"")</f>
        <v/>
      </c>
      <c r="G115" s="138" t="s">
        <v>230</v>
      </c>
      <c r="H115" s="138" t="s">
        <v>230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196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48</v>
      </c>
      <c r="E116" t="str">
        <f>+IFERROR(VLOOKUP(Fact_Contabilidad[[#This Row],[Concepto Anterior]],Conceptos_Contabilidad[#All],5,0),"")</f>
        <v>Cantidad de legalizaciones de TC registradas</v>
      </c>
      <c r="F116" t="str">
        <f ca="1">+IFERROR(VLOOKUP(Fact_Contabilidad[[#This Row],[Concepto Anterior]],Conceptos_Contabilidad[#All],7,0),"")</f>
        <v/>
      </c>
      <c r="G116" s="138" t="s">
        <v>230</v>
      </c>
      <c r="H116" s="138" t="s">
        <v>230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196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153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 ca="1">+IFERROR(VLOOKUP(Fact_Contabilidad[[#This Row],[Concepto Anterior]],Conceptos_Contabilidad[#All],7,0),"")</f>
        <v/>
      </c>
      <c r="G117" s="138" t="s">
        <v>230</v>
      </c>
      <c r="H117" s="138" t="s">
        <v>230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196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49</v>
      </c>
      <c r="E118" t="str">
        <f>+IFERROR(VLOOKUP(Fact_Contabilidad[[#This Row],[Concepto Anterior]],Conceptos_Contabilidad[#All],5,0),"")</f>
        <v>Descuentos por nomina de anticipo</v>
      </c>
      <c r="F118" t="str">
        <f ca="1">+IFERROR(VLOOKUP(Fact_Contabilidad[[#This Row],[Concepto Anterior]],Conceptos_Contabilidad[#All],7,0),"")</f>
        <v/>
      </c>
      <c r="G118" s="138" t="s">
        <v>230</v>
      </c>
      <c r="H118" s="138" t="s">
        <v>230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196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50</v>
      </c>
      <c r="E119" t="str">
        <f>+IFERROR(VLOOKUP(Fact_Contabilidad[[#This Row],[Concepto Anterior]],Conceptos_Contabilidad[#All],5,0),"")</f>
        <v>Fusiones</v>
      </c>
      <c r="F119" t="str">
        <f ca="1">+IFERROR(VLOOKUP(Fact_Contabilidad[[#This Row],[Concepto Anterior]],Conceptos_Contabilidad[#All],7,0),"")</f>
        <v/>
      </c>
      <c r="G119" s="138" t="s">
        <v>230</v>
      </c>
      <c r="H119" s="138" t="s">
        <v>230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196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170</v>
      </c>
      <c r="E120" t="str">
        <f>+IFERROR(VLOOKUP(Fact_Contabilidad[[#This Row],[Concepto Anterior]],Conceptos_Contabilidad[#All],5,0),"")</f>
        <v>Informes Contables</v>
      </c>
      <c r="F120" t="str">
        <f ca="1">+IFERROR(VLOOKUP(Fact_Contabilidad[[#This Row],[Concepto Anterior]],Conceptos_Contabilidad[#All],7,0),"")</f>
        <v/>
      </c>
      <c r="G120" s="138" t="s">
        <v>230</v>
      </c>
      <c r="H120" s="138" t="s">
        <v>230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196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51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 ca="1">+IFERROR(VLOOKUP(Fact_Contabilidad[[#This Row],[Concepto Anterior]],Conceptos_Contabilidad[#All],7,0),"")</f>
        <v/>
      </c>
      <c r="G121" s="138" t="s">
        <v>230</v>
      </c>
      <c r="H121" s="138" t="s">
        <v>230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105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52</v>
      </c>
      <c r="E122" t="str">
        <f>+IFERROR(VLOOKUP(Fact_Contabilidad[[#This Row],[Concepto Anterior]],Conceptos_Contabilidad[#All],5,0),"")</f>
        <v>Cuentas Contables Conciliadas</v>
      </c>
      <c r="F122" t="str">
        <f ca="1">+IFERROR(VLOOKUP(Fact_Contabilidad[[#This Row],[Concepto Anterior]],Conceptos_Contabilidad[#All],7,0),"")</f>
        <v/>
      </c>
      <c r="G122" s="138" t="s">
        <v>230</v>
      </c>
      <c r="H122" s="138" t="s">
        <v>230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105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45</v>
      </c>
      <c r="E123" t="str">
        <f>+IFERROR(VLOOKUP(Fact_Contabilidad[[#This Row],[Concepto Anterior]],Conceptos_Contabilidad[#All],5,0),"")</f>
        <v>Facturas Contabilizada</v>
      </c>
      <c r="F123" t="str">
        <f ca="1">+IFERROR(VLOOKUP(Fact_Contabilidad[[#This Row],[Concepto Anterior]],Conceptos_Contabilidad[#All],7,0),"")</f>
        <v/>
      </c>
      <c r="G123" s="138" t="s">
        <v>230</v>
      </c>
      <c r="H123" s="138" t="s">
        <v>230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105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46</v>
      </c>
      <c r="E124" t="str">
        <f>+IFERROR(VLOOKUP(Fact_Contabilidad[[#This Row],[Concepto Anterior]],Conceptos_Contabilidad[#All],5,0),"")</f>
        <v>Facturas Contabilizada</v>
      </c>
      <c r="F124" t="str">
        <f ca="1">+IFERROR(VLOOKUP(Fact_Contabilidad[[#This Row],[Concepto Anterior]],Conceptos_Contabilidad[#All],7,0),"")</f>
        <v/>
      </c>
      <c r="G124" s="138" t="s">
        <v>230</v>
      </c>
      <c r="H124" s="138" t="s">
        <v>230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105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194</v>
      </c>
      <c r="E125" t="str">
        <f>+IFERROR(VLOOKUP(Fact_Contabilidad[[#This Row],[Concepto Anterior]],Conceptos_Contabilidad[#All],5,0),"")</f>
        <v>Facturas Contabilizada</v>
      </c>
      <c r="F125" t="str">
        <f ca="1">+IFERROR(VLOOKUP(Fact_Contabilidad[[#This Row],[Concepto Anterior]],Conceptos_Contabilidad[#All],7,0),"")</f>
        <v/>
      </c>
      <c r="G125" s="138" t="s">
        <v>230</v>
      </c>
      <c r="H125" s="138" t="s">
        <v>230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105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202</v>
      </c>
      <c r="E126" t="str">
        <f>+IFERROR(VLOOKUP(Fact_Contabilidad[[#This Row],[Concepto Anterior]],Conceptos_Contabilidad[#All],5,0),"")</f>
        <v>Facturas Contabilizada</v>
      </c>
      <c r="F126" t="str">
        <f ca="1">+IFERROR(VLOOKUP(Fact_Contabilidad[[#This Row],[Concepto Anterior]],Conceptos_Contabilidad[#All],7,0),"")</f>
        <v/>
      </c>
      <c r="G126" s="138" t="s">
        <v>230</v>
      </c>
      <c r="H126" s="138" t="s">
        <v>230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105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208</v>
      </c>
      <c r="E127" t="str">
        <f>+IFERROR(VLOOKUP(Fact_Contabilidad[[#This Row],[Concepto Anterior]],Conceptos_Contabilidad[#All],5,0),"")</f>
        <v>Facturas Contabilizada</v>
      </c>
      <c r="F127" t="str">
        <f ca="1">+IFERROR(VLOOKUP(Fact_Contabilidad[[#This Row],[Concepto Anterior]],Conceptos_Contabilidad[#All],7,0),"")</f>
        <v/>
      </c>
      <c r="G127" s="138" t="s">
        <v>230</v>
      </c>
      <c r="H127" s="138" t="s">
        <v>230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105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215</v>
      </c>
      <c r="E128" t="str">
        <f>+IFERROR(VLOOKUP(Fact_Contabilidad[[#This Row],[Concepto Anterior]],Conceptos_Contabilidad[#All],5,0),"")</f>
        <v>Facturas Contabilizada</v>
      </c>
      <c r="F128" t="str">
        <f ca="1">+IFERROR(VLOOKUP(Fact_Contabilidad[[#This Row],[Concepto Anterior]],Conceptos_Contabilidad[#All],7,0),"")</f>
        <v/>
      </c>
      <c r="G128" s="138" t="s">
        <v>230</v>
      </c>
      <c r="H128" s="138" t="s">
        <v>230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105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221</v>
      </c>
      <c r="E129" t="str">
        <f>+IFERROR(VLOOKUP(Fact_Contabilidad[[#This Row],[Concepto Anterior]],Conceptos_Contabilidad[#All],5,0),"")</f>
        <v>Facturas Contabilizada</v>
      </c>
      <c r="F129" t="str">
        <f ca="1">+IFERROR(VLOOKUP(Fact_Contabilidad[[#This Row],[Concepto Anterior]],Conceptos_Contabilidad[#All],7,0),"")</f>
        <v/>
      </c>
      <c r="G129" s="138" t="s">
        <v>230</v>
      </c>
      <c r="H129" s="138" t="s">
        <v>230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105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228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 ca="1">+IFERROR(VLOOKUP(Fact_Contabilidad[[#This Row],[Concepto Anterior]],Conceptos_Contabilidad[#All],7,0),"")</f>
        <v/>
      </c>
      <c r="G130" s="138" t="s">
        <v>230</v>
      </c>
      <c r="H130" s="138" t="s">
        <v>230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105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233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 ca="1">+IFERROR(VLOOKUP(Fact_Contabilidad[[#This Row],[Concepto Anterior]],Conceptos_Contabilidad[#All],7,0),"")</f>
        <v/>
      </c>
      <c r="G131" s="138" t="s">
        <v>230</v>
      </c>
      <c r="H131" s="138" t="s">
        <v>230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105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153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 ca="1">+IFERROR(VLOOKUP(Fact_Contabilidad[[#This Row],[Concepto Anterior]],Conceptos_Contabilidad[#All],7,0),"")</f>
        <v/>
      </c>
      <c r="G132" s="138" t="s">
        <v>230</v>
      </c>
      <c r="H132" s="138" t="s">
        <v>230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105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237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 ca="1">+IFERROR(VLOOKUP(Fact_Contabilidad[[#This Row],[Concepto Anterior]],Conceptos_Contabilidad[#All],7,0),"")</f>
        <v/>
      </c>
      <c r="G133" s="138" t="s">
        <v>230</v>
      </c>
      <c r="H133" s="138" t="s">
        <v>230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105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170</v>
      </c>
      <c r="E134" t="str">
        <f>+IFERROR(VLOOKUP(Fact_Contabilidad[[#This Row],[Concepto Anterior]],Conceptos_Contabilidad[#All],5,0),"")</f>
        <v>Informes Contables</v>
      </c>
      <c r="F134" t="str">
        <f ca="1">+IFERROR(VLOOKUP(Fact_Contabilidad[[#This Row],[Concepto Anterior]],Conceptos_Contabilidad[#All],7,0),"")</f>
        <v/>
      </c>
      <c r="G134" s="138" t="s">
        <v>230</v>
      </c>
      <c r="H134" s="138" t="s">
        <v>230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105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79</v>
      </c>
      <c r="E135" t="str">
        <f>+IFERROR(VLOOKUP(Fact_Contabilidad[[#This Row],[Concepto Anterior]],Conceptos_Contabilidad[#All],5,0),"")</f>
        <v>Numero de razones sociales atendidas directas</v>
      </c>
      <c r="F135" t="str">
        <f ca="1">+IFERROR(VLOOKUP(Fact_Contabilidad[[#This Row],[Concepto Anterior]],Conceptos_Contabilidad[#All],7,0),"")</f>
        <v/>
      </c>
      <c r="G135" s="138" t="s">
        <v>230</v>
      </c>
      <c r="H135" s="138" t="s">
        <v>230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105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243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 ca="1">+IFERROR(VLOOKUP(Fact_Contabilidad[[#This Row],[Concepto Anterior]],Conceptos_Contabilidad[#All],7,0),"")</f>
        <v/>
      </c>
      <c r="G136" s="138" t="s">
        <v>230</v>
      </c>
      <c r="H136" s="138" t="s">
        <v>230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105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51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 ca="1">+IFERROR(VLOOKUP(Fact_Contabilidad[[#This Row],[Concepto Anterior]],Conceptos_Contabilidad[#All],7,0),"")</f>
        <v/>
      </c>
      <c r="G137" s="138" t="s">
        <v>230</v>
      </c>
      <c r="H137" s="138" t="s">
        <v>230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105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246</v>
      </c>
      <c r="E138" t="str">
        <f>+IFERROR(VLOOKUP(Fact_Contabilidad[[#This Row],[Concepto Anterior]],Conceptos_Contabilidad[#All],5,0),"")</f>
        <v>Activos fijos creados Comodín</v>
      </c>
      <c r="F138" t="str">
        <f ca="1">+IFERROR(VLOOKUP(Fact_Contabilidad[[#This Row],[Concepto Anterior]],Conceptos_Contabilidad[#All],7,0),"")</f>
        <v/>
      </c>
      <c r="G138" s="138" t="s">
        <v>230</v>
      </c>
      <c r="H138" s="138" t="s">
        <v>230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105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249</v>
      </c>
      <c r="E139" t="str">
        <f>+IFERROR(VLOOKUP(Fact_Contabilidad[[#This Row],[Concepto Anterior]],Conceptos_Contabilidad[#All],5,0),"")</f>
        <v>Activos fijos creados Dogama</v>
      </c>
      <c r="F139" t="str">
        <f ca="1">+IFERROR(VLOOKUP(Fact_Contabilidad[[#This Row],[Concepto Anterior]],Conceptos_Contabilidad[#All],7,0),"")</f>
        <v/>
      </c>
      <c r="G139" s="138" t="s">
        <v>230</v>
      </c>
      <c r="H139" s="138" t="s">
        <v>230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105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252</v>
      </c>
      <c r="E140" t="str">
        <f>+IFERROR(VLOOKUP(Fact_Contabilidad[[#This Row],[Concepto Anterior]],Conceptos_Contabilidad[#All],5,0),"")</f>
        <v>Instructivos en proceso</v>
      </c>
      <c r="F140" t="str">
        <f ca="1">+IFERROR(VLOOKUP(Fact_Contabilidad[[#This Row],[Concepto Anterior]],Conceptos_Contabilidad[#All],7,0),"")</f>
        <v/>
      </c>
      <c r="G140" s="138" t="s">
        <v>230</v>
      </c>
      <c r="H140" s="138" t="s">
        <v>230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105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255</v>
      </c>
      <c r="E141" t="str">
        <f>+IFERROR(VLOOKUP(Fact_Contabilidad[[#This Row],[Concepto Anterior]],Conceptos_Contabilidad[#All],5,0),"")</f>
        <v>Instructivos en validación PMO</v>
      </c>
      <c r="F141" t="str">
        <f ca="1">+IFERROR(VLOOKUP(Fact_Contabilidad[[#This Row],[Concepto Anterior]],Conceptos_Contabilidad[#All],7,0),"")</f>
        <v/>
      </c>
      <c r="G141" s="138" t="s">
        <v>230</v>
      </c>
      <c r="H141" s="138" t="s">
        <v>230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105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258</v>
      </c>
      <c r="E142" t="str">
        <f>+IFERROR(VLOOKUP(Fact_Contabilidad[[#This Row],[Concepto Anterior]],Conceptos_Contabilidad[#All],5,0),"")</f>
        <v>Instructivos aprobados</v>
      </c>
      <c r="F142" t="str">
        <f ca="1">+IFERROR(VLOOKUP(Fact_Contabilidad[[#This Row],[Concepto Anterior]],Conceptos_Contabilidad[#All],7,0),"")</f>
        <v/>
      </c>
      <c r="G142" s="138" t="s">
        <v>230</v>
      </c>
      <c r="H142" s="138" t="s">
        <v>230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105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261</v>
      </c>
      <c r="E143" t="str">
        <f>+IFERROR(VLOOKUP(Fact_Contabilidad[[#This Row],[Concepto Anterior]],Conceptos_Contabilidad[#All],5,0),"")</f>
        <v>Políticas en proceso</v>
      </c>
      <c r="F143" t="str">
        <f ca="1">+IFERROR(VLOOKUP(Fact_Contabilidad[[#This Row],[Concepto Anterior]],Conceptos_Contabilidad[#All],7,0),"")</f>
        <v/>
      </c>
      <c r="G143" s="138" t="s">
        <v>230</v>
      </c>
      <c r="H143" s="138" t="s">
        <v>230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105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263</v>
      </c>
      <c r="E144" t="str">
        <f>+IFERROR(VLOOKUP(Fact_Contabilidad[[#This Row],[Concepto Anterior]],Conceptos_Contabilidad[#All],5,0),"")</f>
        <v>Políticas aprobadas</v>
      </c>
      <c r="F144" t="str">
        <f ca="1">+IFERROR(VLOOKUP(Fact_Contabilidad[[#This Row],[Concepto Anterior]],Conceptos_Contabilidad[#All],7,0),"")</f>
        <v/>
      </c>
      <c r="G144" s="138" t="s">
        <v>230</v>
      </c>
      <c r="H144" s="138" t="s">
        <v>230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105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265</v>
      </c>
      <c r="E145" t="str">
        <f>+IFERROR(VLOOKUP(Fact_Contabilidad[[#This Row],[Concepto Anterior]],Conceptos_Contabilidad[#All],5,0),"")</f>
        <v>Facturas contabilizadas Triplematch</v>
      </c>
      <c r="F145" t="str">
        <f ca="1">+IFERROR(VLOOKUP(Fact_Contabilidad[[#This Row],[Concepto Anterior]],Conceptos_Contabilidad[#All],7,0),"")</f>
        <v/>
      </c>
      <c r="G145" s="138" t="s">
        <v>230</v>
      </c>
      <c r="H145" s="138" t="s">
        <v>230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105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267</v>
      </c>
      <c r="E146" t="str">
        <f>+IFERROR(VLOOKUP(Fact_Contabilidad[[#This Row],[Concepto Anterior]],Conceptos_Contabilidad[#All],5,0),"")</f>
        <v>Facturas contabilizadas Script</v>
      </c>
      <c r="F146" t="str">
        <f ca="1">+IFERROR(VLOOKUP(Fact_Contabilidad[[#This Row],[Concepto Anterior]],Conceptos_Contabilidad[#All],7,0),"")</f>
        <v/>
      </c>
      <c r="G146" s="138" t="s">
        <v>230</v>
      </c>
      <c r="H146" s="138" t="s">
        <v>230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117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52</v>
      </c>
      <c r="E147" t="str">
        <f>+IFERROR(VLOOKUP(Fact_Contabilidad[[#This Row],[Concepto Anterior]],Conceptos_Contabilidad[#All],5,0),"")</f>
        <v>Cuentas Contables Conciliadas</v>
      </c>
      <c r="F147" t="str">
        <f ca="1">+IFERROR(VLOOKUP(Fact_Contabilidad[[#This Row],[Concepto Anterior]],Conceptos_Contabilidad[#All],7,0),"")</f>
        <v/>
      </c>
      <c r="G147" s="138" t="s">
        <v>230</v>
      </c>
      <c r="H147" s="138" t="s">
        <v>230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117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45</v>
      </c>
      <c r="E148" t="str">
        <f>+IFERROR(VLOOKUP(Fact_Contabilidad[[#This Row],[Concepto Anterior]],Conceptos_Contabilidad[#All],5,0),"")</f>
        <v>Facturas Contabilizada</v>
      </c>
      <c r="F148" t="str">
        <f ca="1">+IFERROR(VLOOKUP(Fact_Contabilidad[[#This Row],[Concepto Anterior]],Conceptos_Contabilidad[#All],7,0),"")</f>
        <v/>
      </c>
      <c r="G148" s="138" t="s">
        <v>230</v>
      </c>
      <c r="H148" s="138" t="s">
        <v>230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117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46</v>
      </c>
      <c r="E149" t="str">
        <f>+IFERROR(VLOOKUP(Fact_Contabilidad[[#This Row],[Concepto Anterior]],Conceptos_Contabilidad[#All],5,0),"")</f>
        <v>Facturas Contabilizada</v>
      </c>
      <c r="F149" t="str">
        <f ca="1">+IFERROR(VLOOKUP(Fact_Contabilidad[[#This Row],[Concepto Anterior]],Conceptos_Contabilidad[#All],7,0),"")</f>
        <v/>
      </c>
      <c r="G149" s="138" t="s">
        <v>230</v>
      </c>
      <c r="H149" s="138" t="s">
        <v>230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117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194</v>
      </c>
      <c r="E150" t="str">
        <f>+IFERROR(VLOOKUP(Fact_Contabilidad[[#This Row],[Concepto Anterior]],Conceptos_Contabilidad[#All],5,0),"")</f>
        <v>Facturas Contabilizada</v>
      </c>
      <c r="F150" t="str">
        <f ca="1">+IFERROR(VLOOKUP(Fact_Contabilidad[[#This Row],[Concepto Anterior]],Conceptos_Contabilidad[#All],7,0),"")</f>
        <v/>
      </c>
      <c r="G150" s="138" t="s">
        <v>230</v>
      </c>
      <c r="H150" s="138" t="s">
        <v>230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117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202</v>
      </c>
      <c r="E151" t="str">
        <f>+IFERROR(VLOOKUP(Fact_Contabilidad[[#This Row],[Concepto Anterior]],Conceptos_Contabilidad[#All],5,0),"")</f>
        <v>Facturas Contabilizada</v>
      </c>
      <c r="F151" t="str">
        <f ca="1">+IFERROR(VLOOKUP(Fact_Contabilidad[[#This Row],[Concepto Anterior]],Conceptos_Contabilidad[#All],7,0),"")</f>
        <v/>
      </c>
      <c r="G151" s="138" t="s">
        <v>230</v>
      </c>
      <c r="H151" s="138" t="s">
        <v>230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117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208</v>
      </c>
      <c r="E152" t="str">
        <f>+IFERROR(VLOOKUP(Fact_Contabilidad[[#This Row],[Concepto Anterior]],Conceptos_Contabilidad[#All],5,0),"")</f>
        <v>Facturas Contabilizada</v>
      </c>
      <c r="F152" t="str">
        <f ca="1">+IFERROR(VLOOKUP(Fact_Contabilidad[[#This Row],[Concepto Anterior]],Conceptos_Contabilidad[#All],7,0),"")</f>
        <v/>
      </c>
      <c r="G152" s="138" t="s">
        <v>230</v>
      </c>
      <c r="H152" s="138" t="s">
        <v>230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117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215</v>
      </c>
      <c r="E153" t="str">
        <f>+IFERROR(VLOOKUP(Fact_Contabilidad[[#This Row],[Concepto Anterior]],Conceptos_Contabilidad[#All],5,0),"")</f>
        <v>Facturas Contabilizada</v>
      </c>
      <c r="F153" t="str">
        <f ca="1">+IFERROR(VLOOKUP(Fact_Contabilidad[[#This Row],[Concepto Anterior]],Conceptos_Contabilidad[#All],7,0),"")</f>
        <v/>
      </c>
      <c r="G153" s="138" t="s">
        <v>230</v>
      </c>
      <c r="H153" s="138" t="s">
        <v>230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117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221</v>
      </c>
      <c r="E154" t="str">
        <f>+IFERROR(VLOOKUP(Fact_Contabilidad[[#This Row],[Concepto Anterior]],Conceptos_Contabilidad[#All],5,0),"")</f>
        <v>Facturas Contabilizada</v>
      </c>
      <c r="F154" t="str">
        <f ca="1">+IFERROR(VLOOKUP(Fact_Contabilidad[[#This Row],[Concepto Anterior]],Conceptos_Contabilidad[#All],7,0),"")</f>
        <v/>
      </c>
      <c r="G154" s="138" t="s">
        <v>230</v>
      </c>
      <c r="H154" s="138" t="s">
        <v>230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117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228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 ca="1">+IFERROR(VLOOKUP(Fact_Contabilidad[[#This Row],[Concepto Anterior]],Conceptos_Contabilidad[#All],7,0),"")</f>
        <v/>
      </c>
      <c r="G155" s="138" t="s">
        <v>230</v>
      </c>
      <c r="H155" s="138" t="s">
        <v>230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117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233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 ca="1">+IFERROR(VLOOKUP(Fact_Contabilidad[[#This Row],[Concepto Anterior]],Conceptos_Contabilidad[#All],7,0),"")</f>
        <v/>
      </c>
      <c r="G156" s="138" t="s">
        <v>230</v>
      </c>
      <c r="H156" s="138" t="s">
        <v>230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117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153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 ca="1">+IFERROR(VLOOKUP(Fact_Contabilidad[[#This Row],[Concepto Anterior]],Conceptos_Contabilidad[#All],7,0),"")</f>
        <v/>
      </c>
      <c r="G157" s="138" t="s">
        <v>230</v>
      </c>
      <c r="H157" s="138" t="s">
        <v>230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117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237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 ca="1">+IFERROR(VLOOKUP(Fact_Contabilidad[[#This Row],[Concepto Anterior]],Conceptos_Contabilidad[#All],7,0),"")</f>
        <v/>
      </c>
      <c r="G158" s="138" t="s">
        <v>230</v>
      </c>
      <c r="H158" s="138" t="s">
        <v>230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117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170</v>
      </c>
      <c r="E159" t="str">
        <f>+IFERROR(VLOOKUP(Fact_Contabilidad[[#This Row],[Concepto Anterior]],Conceptos_Contabilidad[#All],5,0),"")</f>
        <v>Informes Contables</v>
      </c>
      <c r="F159" t="str">
        <f ca="1">+IFERROR(VLOOKUP(Fact_Contabilidad[[#This Row],[Concepto Anterior]],Conceptos_Contabilidad[#All],7,0),"")</f>
        <v/>
      </c>
      <c r="G159" s="138" t="s">
        <v>230</v>
      </c>
      <c r="H159" s="138" t="s">
        <v>230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117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79</v>
      </c>
      <c r="E160" t="str">
        <f>+IFERROR(VLOOKUP(Fact_Contabilidad[[#This Row],[Concepto Anterior]],Conceptos_Contabilidad[#All],5,0),"")</f>
        <v>Numero de razones sociales atendidas directas</v>
      </c>
      <c r="F160" t="str">
        <f ca="1">+IFERROR(VLOOKUP(Fact_Contabilidad[[#This Row],[Concepto Anterior]],Conceptos_Contabilidad[#All],7,0),"")</f>
        <v/>
      </c>
      <c r="G160" s="138" t="s">
        <v>230</v>
      </c>
      <c r="H160" s="138" t="s">
        <v>230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117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243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 ca="1">+IFERROR(VLOOKUP(Fact_Contabilidad[[#This Row],[Concepto Anterior]],Conceptos_Contabilidad[#All],7,0),"")</f>
        <v/>
      </c>
      <c r="G161" s="138" t="s">
        <v>230</v>
      </c>
      <c r="H161" s="138" t="s">
        <v>230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117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51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 ca="1">+IFERROR(VLOOKUP(Fact_Contabilidad[[#This Row],[Concepto Anterior]],Conceptos_Contabilidad[#All],7,0),"")</f>
        <v/>
      </c>
      <c r="G162" s="138" t="s">
        <v>230</v>
      </c>
      <c r="H162" s="138" t="s">
        <v>230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117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246</v>
      </c>
      <c r="E163" t="str">
        <f>+IFERROR(VLOOKUP(Fact_Contabilidad[[#This Row],[Concepto Anterior]],Conceptos_Contabilidad[#All],5,0),"")</f>
        <v>Activos fijos creados Comodín</v>
      </c>
      <c r="F163" t="str">
        <f ca="1">+IFERROR(VLOOKUP(Fact_Contabilidad[[#This Row],[Concepto Anterior]],Conceptos_Contabilidad[#All],7,0),"")</f>
        <v/>
      </c>
      <c r="G163" s="138" t="s">
        <v>230</v>
      </c>
      <c r="H163" s="138" t="s">
        <v>230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117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249</v>
      </c>
      <c r="E164" t="str">
        <f>+IFERROR(VLOOKUP(Fact_Contabilidad[[#This Row],[Concepto Anterior]],Conceptos_Contabilidad[#All],5,0),"")</f>
        <v>Activos fijos creados Dogama</v>
      </c>
      <c r="F164" t="str">
        <f ca="1">+IFERROR(VLOOKUP(Fact_Contabilidad[[#This Row],[Concepto Anterior]],Conceptos_Contabilidad[#All],7,0),"")</f>
        <v/>
      </c>
      <c r="G164" s="138" t="s">
        <v>230</v>
      </c>
      <c r="H164" s="138" t="s">
        <v>230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117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252</v>
      </c>
      <c r="E165" t="str">
        <f>+IFERROR(VLOOKUP(Fact_Contabilidad[[#This Row],[Concepto Anterior]],Conceptos_Contabilidad[#All],5,0),"")</f>
        <v>Instructivos en proceso</v>
      </c>
      <c r="F165" t="str">
        <f ca="1">+IFERROR(VLOOKUP(Fact_Contabilidad[[#This Row],[Concepto Anterior]],Conceptos_Contabilidad[#All],7,0),"")</f>
        <v/>
      </c>
      <c r="G165" s="138" t="s">
        <v>230</v>
      </c>
      <c r="H165" s="138" t="s">
        <v>230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117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255</v>
      </c>
      <c r="E166" t="str">
        <f>+IFERROR(VLOOKUP(Fact_Contabilidad[[#This Row],[Concepto Anterior]],Conceptos_Contabilidad[#All],5,0),"")</f>
        <v>Instructivos en validación PMO</v>
      </c>
      <c r="F166" t="str">
        <f ca="1">+IFERROR(VLOOKUP(Fact_Contabilidad[[#This Row],[Concepto Anterior]],Conceptos_Contabilidad[#All],7,0),"")</f>
        <v/>
      </c>
      <c r="G166" s="138" t="s">
        <v>230</v>
      </c>
      <c r="H166" s="138" t="s">
        <v>230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117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258</v>
      </c>
      <c r="E167" t="str">
        <f>+IFERROR(VLOOKUP(Fact_Contabilidad[[#This Row],[Concepto Anterior]],Conceptos_Contabilidad[#All],5,0),"")</f>
        <v>Instructivos aprobados</v>
      </c>
      <c r="F167" t="str">
        <f ca="1">+IFERROR(VLOOKUP(Fact_Contabilidad[[#This Row],[Concepto Anterior]],Conceptos_Contabilidad[#All],7,0),"")</f>
        <v/>
      </c>
      <c r="G167" s="138" t="s">
        <v>230</v>
      </c>
      <c r="H167" s="138" t="s">
        <v>230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117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261</v>
      </c>
      <c r="E168" t="str">
        <f>+IFERROR(VLOOKUP(Fact_Contabilidad[[#This Row],[Concepto Anterior]],Conceptos_Contabilidad[#All],5,0),"")</f>
        <v>Políticas en proceso</v>
      </c>
      <c r="F168" t="str">
        <f ca="1">+IFERROR(VLOOKUP(Fact_Contabilidad[[#This Row],[Concepto Anterior]],Conceptos_Contabilidad[#All],7,0),"")</f>
        <v/>
      </c>
      <c r="G168" s="138" t="s">
        <v>230</v>
      </c>
      <c r="H168" s="138" t="s">
        <v>230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117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263</v>
      </c>
      <c r="E169" t="str">
        <f>+IFERROR(VLOOKUP(Fact_Contabilidad[[#This Row],[Concepto Anterior]],Conceptos_Contabilidad[#All],5,0),"")</f>
        <v>Políticas aprobadas</v>
      </c>
      <c r="F169" t="str">
        <f ca="1">+IFERROR(VLOOKUP(Fact_Contabilidad[[#This Row],[Concepto Anterior]],Conceptos_Contabilidad[#All],7,0),"")</f>
        <v/>
      </c>
      <c r="G169" s="138" t="s">
        <v>230</v>
      </c>
      <c r="H169" s="138" t="s">
        <v>230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117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265</v>
      </c>
      <c r="E170" t="str">
        <f>+IFERROR(VLOOKUP(Fact_Contabilidad[[#This Row],[Concepto Anterior]],Conceptos_Contabilidad[#All],5,0),"")</f>
        <v>Facturas contabilizadas Triplematch</v>
      </c>
      <c r="F170" t="str">
        <f ca="1">+IFERROR(VLOOKUP(Fact_Contabilidad[[#This Row],[Concepto Anterior]],Conceptos_Contabilidad[#All],7,0),"")</f>
        <v/>
      </c>
      <c r="G170" s="138" t="s">
        <v>230</v>
      </c>
      <c r="H170" s="138" t="s">
        <v>230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117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267</v>
      </c>
      <c r="E171" t="str">
        <f>+IFERROR(VLOOKUP(Fact_Contabilidad[[#This Row],[Concepto Anterior]],Conceptos_Contabilidad[#All],5,0),"")</f>
        <v>Facturas contabilizadas Script</v>
      </c>
      <c r="F171" t="str">
        <f ca="1">+IFERROR(VLOOKUP(Fact_Contabilidad[[#This Row],[Concepto Anterior]],Conceptos_Contabilidad[#All],7,0),"")</f>
        <v/>
      </c>
      <c r="G171" s="138" t="s">
        <v>230</v>
      </c>
      <c r="H171" s="138" t="s">
        <v>230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123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52</v>
      </c>
      <c r="E172" t="str">
        <f>+IFERROR(VLOOKUP(Fact_Contabilidad[[#This Row],[Concepto Anterior]],Conceptos_Contabilidad[#All],5,0),"")</f>
        <v>Cuentas Contables Conciliadas</v>
      </c>
      <c r="F172" t="str">
        <f ca="1">+IFERROR(VLOOKUP(Fact_Contabilidad[[#This Row],[Concepto Anterior]],Conceptos_Contabilidad[#All],7,0),"")</f>
        <v/>
      </c>
      <c r="G172" s="138" t="s">
        <v>230</v>
      </c>
      <c r="H172" s="138" t="s">
        <v>230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123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45</v>
      </c>
      <c r="E173" t="str">
        <f>+IFERROR(VLOOKUP(Fact_Contabilidad[[#This Row],[Concepto Anterior]],Conceptos_Contabilidad[#All],5,0),"")</f>
        <v>Facturas Contabilizada</v>
      </c>
      <c r="F173" t="str">
        <f ca="1">+IFERROR(VLOOKUP(Fact_Contabilidad[[#This Row],[Concepto Anterior]],Conceptos_Contabilidad[#All],7,0),"")</f>
        <v/>
      </c>
      <c r="G173" s="138" t="s">
        <v>230</v>
      </c>
      <c r="H173" s="138" t="s">
        <v>230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123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46</v>
      </c>
      <c r="E174" t="str">
        <f>+IFERROR(VLOOKUP(Fact_Contabilidad[[#This Row],[Concepto Anterior]],Conceptos_Contabilidad[#All],5,0),"")</f>
        <v>Facturas Contabilizada</v>
      </c>
      <c r="F174" t="str">
        <f ca="1">+IFERROR(VLOOKUP(Fact_Contabilidad[[#This Row],[Concepto Anterior]],Conceptos_Contabilidad[#All],7,0),"")</f>
        <v/>
      </c>
      <c r="G174" s="138" t="s">
        <v>230</v>
      </c>
      <c r="H174" s="138" t="s">
        <v>230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123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194</v>
      </c>
      <c r="E175" t="str">
        <f>+IFERROR(VLOOKUP(Fact_Contabilidad[[#This Row],[Concepto Anterior]],Conceptos_Contabilidad[#All],5,0),"")</f>
        <v>Facturas Contabilizada</v>
      </c>
      <c r="F175" t="str">
        <f ca="1">+IFERROR(VLOOKUP(Fact_Contabilidad[[#This Row],[Concepto Anterior]],Conceptos_Contabilidad[#All],7,0),"")</f>
        <v/>
      </c>
      <c r="G175" s="138" t="s">
        <v>230</v>
      </c>
      <c r="H175" s="138" t="s">
        <v>230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123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202</v>
      </c>
      <c r="E176" t="str">
        <f>+IFERROR(VLOOKUP(Fact_Contabilidad[[#This Row],[Concepto Anterior]],Conceptos_Contabilidad[#All],5,0),"")</f>
        <v>Facturas Contabilizada</v>
      </c>
      <c r="F176" t="str">
        <f ca="1">+IFERROR(VLOOKUP(Fact_Contabilidad[[#This Row],[Concepto Anterior]],Conceptos_Contabilidad[#All],7,0),"")</f>
        <v/>
      </c>
      <c r="G176" s="138" t="s">
        <v>230</v>
      </c>
      <c r="H176" s="138" t="s">
        <v>230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123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208</v>
      </c>
      <c r="E177" t="str">
        <f>+IFERROR(VLOOKUP(Fact_Contabilidad[[#This Row],[Concepto Anterior]],Conceptos_Contabilidad[#All],5,0),"")</f>
        <v>Facturas Contabilizada</v>
      </c>
      <c r="F177" t="str">
        <f ca="1">+IFERROR(VLOOKUP(Fact_Contabilidad[[#This Row],[Concepto Anterior]],Conceptos_Contabilidad[#All],7,0),"")</f>
        <v/>
      </c>
      <c r="G177" s="138" t="s">
        <v>230</v>
      </c>
      <c r="H177" s="138" t="s">
        <v>230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123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215</v>
      </c>
      <c r="E178" t="str">
        <f>+IFERROR(VLOOKUP(Fact_Contabilidad[[#This Row],[Concepto Anterior]],Conceptos_Contabilidad[#All],5,0),"")</f>
        <v>Facturas Contabilizada</v>
      </c>
      <c r="F178" t="str">
        <f ca="1">+IFERROR(VLOOKUP(Fact_Contabilidad[[#This Row],[Concepto Anterior]],Conceptos_Contabilidad[#All],7,0),"")</f>
        <v/>
      </c>
      <c r="G178" s="138" t="s">
        <v>230</v>
      </c>
      <c r="H178" s="138" t="s">
        <v>230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123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221</v>
      </c>
      <c r="E179" t="str">
        <f>+IFERROR(VLOOKUP(Fact_Contabilidad[[#This Row],[Concepto Anterior]],Conceptos_Contabilidad[#All],5,0),"")</f>
        <v>Facturas Contabilizada</v>
      </c>
      <c r="F179" t="str">
        <f ca="1">+IFERROR(VLOOKUP(Fact_Contabilidad[[#This Row],[Concepto Anterior]],Conceptos_Contabilidad[#All],7,0),"")</f>
        <v/>
      </c>
      <c r="G179" s="138" t="s">
        <v>230</v>
      </c>
      <c r="H179" s="138" t="s">
        <v>230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123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228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 ca="1">+IFERROR(VLOOKUP(Fact_Contabilidad[[#This Row],[Concepto Anterior]],Conceptos_Contabilidad[#All],7,0),"")</f>
        <v/>
      </c>
      <c r="G180" s="138" t="s">
        <v>230</v>
      </c>
      <c r="H180" s="138" t="s">
        <v>230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123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233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 ca="1">+IFERROR(VLOOKUP(Fact_Contabilidad[[#This Row],[Concepto Anterior]],Conceptos_Contabilidad[#All],7,0),"")</f>
        <v/>
      </c>
      <c r="G181" s="138" t="s">
        <v>230</v>
      </c>
      <c r="H181" s="138" t="s">
        <v>230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123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153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 ca="1">+IFERROR(VLOOKUP(Fact_Contabilidad[[#This Row],[Concepto Anterior]],Conceptos_Contabilidad[#All],7,0),"")</f>
        <v/>
      </c>
      <c r="G182" s="138" t="s">
        <v>230</v>
      </c>
      <c r="H182" s="138" t="s">
        <v>230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123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237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 ca="1">+IFERROR(VLOOKUP(Fact_Contabilidad[[#This Row],[Concepto Anterior]],Conceptos_Contabilidad[#All],7,0),"")</f>
        <v/>
      </c>
      <c r="G183" s="138" t="s">
        <v>230</v>
      </c>
      <c r="H183" s="138" t="s">
        <v>230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123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170</v>
      </c>
      <c r="E184" t="str">
        <f>+IFERROR(VLOOKUP(Fact_Contabilidad[[#This Row],[Concepto Anterior]],Conceptos_Contabilidad[#All],5,0),"")</f>
        <v>Informes Contables</v>
      </c>
      <c r="F184" t="str">
        <f ca="1">+IFERROR(VLOOKUP(Fact_Contabilidad[[#This Row],[Concepto Anterior]],Conceptos_Contabilidad[#All],7,0),"")</f>
        <v/>
      </c>
      <c r="G184" s="138" t="s">
        <v>230</v>
      </c>
      <c r="H184" s="138" t="s">
        <v>230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123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79</v>
      </c>
      <c r="E185" t="str">
        <f>+IFERROR(VLOOKUP(Fact_Contabilidad[[#This Row],[Concepto Anterior]],Conceptos_Contabilidad[#All],5,0),"")</f>
        <v>Numero de razones sociales atendidas directas</v>
      </c>
      <c r="F185" t="str">
        <f ca="1">+IFERROR(VLOOKUP(Fact_Contabilidad[[#This Row],[Concepto Anterior]],Conceptos_Contabilidad[#All],7,0),"")</f>
        <v/>
      </c>
      <c r="G185" s="138" t="s">
        <v>230</v>
      </c>
      <c r="H185" s="138" t="s">
        <v>230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123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243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 ca="1">+IFERROR(VLOOKUP(Fact_Contabilidad[[#This Row],[Concepto Anterior]],Conceptos_Contabilidad[#All],7,0),"")</f>
        <v/>
      </c>
      <c r="G186" s="138" t="s">
        <v>230</v>
      </c>
      <c r="H186" s="138" t="s">
        <v>230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123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51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 ca="1">+IFERROR(VLOOKUP(Fact_Contabilidad[[#This Row],[Concepto Anterior]],Conceptos_Contabilidad[#All],7,0),"")</f>
        <v/>
      </c>
      <c r="G187" s="138" t="s">
        <v>230</v>
      </c>
      <c r="H187" s="138" t="s">
        <v>230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377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246</v>
      </c>
      <c r="E188" t="str">
        <f>+IFERROR(VLOOKUP(Fact_Contabilidad[[#This Row],[Concepto Anterior]],Conceptos_Contabilidad[#All],5,0),"")</f>
        <v>Activos fijos creados Comodín</v>
      </c>
      <c r="F188" t="str">
        <f ca="1">+IFERROR(VLOOKUP(Fact_Contabilidad[[#This Row],[Concepto Anterior]],Conceptos_Contabilidad[#All],7,0),"")</f>
        <v/>
      </c>
      <c r="G188" s="138" t="s">
        <v>230</v>
      </c>
      <c r="H188" s="138" t="s">
        <v>230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377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249</v>
      </c>
      <c r="E189" t="str">
        <f>+IFERROR(VLOOKUP(Fact_Contabilidad[[#This Row],[Concepto Anterior]],Conceptos_Contabilidad[#All],5,0),"")</f>
        <v>Activos fijos creados Dogama</v>
      </c>
      <c r="F189" t="str">
        <f ca="1">+IFERROR(VLOOKUP(Fact_Contabilidad[[#This Row],[Concepto Anterior]],Conceptos_Contabilidad[#All],7,0),"")</f>
        <v/>
      </c>
      <c r="G189" s="138" t="s">
        <v>230</v>
      </c>
      <c r="H189" s="138" t="s">
        <v>230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377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252</v>
      </c>
      <c r="E190" t="str">
        <f>+IFERROR(VLOOKUP(Fact_Contabilidad[[#This Row],[Concepto Anterior]],Conceptos_Contabilidad[#All],5,0),"")</f>
        <v>Instructivos en proceso</v>
      </c>
      <c r="F190" t="str">
        <f ca="1">+IFERROR(VLOOKUP(Fact_Contabilidad[[#This Row],[Concepto Anterior]],Conceptos_Contabilidad[#All],7,0),"")</f>
        <v/>
      </c>
      <c r="G190" s="138" t="s">
        <v>230</v>
      </c>
      <c r="H190" s="138" t="s">
        <v>230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377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255</v>
      </c>
      <c r="E191" t="str">
        <f>+IFERROR(VLOOKUP(Fact_Contabilidad[[#This Row],[Concepto Anterior]],Conceptos_Contabilidad[#All],5,0),"")</f>
        <v>Instructivos en validación PMO</v>
      </c>
      <c r="F191" t="str">
        <f ca="1">+IFERROR(VLOOKUP(Fact_Contabilidad[[#This Row],[Concepto Anterior]],Conceptos_Contabilidad[#All],7,0),"")</f>
        <v/>
      </c>
      <c r="G191" s="138" t="s">
        <v>230</v>
      </c>
      <c r="H191" s="138" t="s">
        <v>230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377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258</v>
      </c>
      <c r="E192" t="str">
        <f>+IFERROR(VLOOKUP(Fact_Contabilidad[[#This Row],[Concepto Anterior]],Conceptos_Contabilidad[#All],5,0),"")</f>
        <v>Instructivos aprobados</v>
      </c>
      <c r="F192" t="str">
        <f ca="1">+IFERROR(VLOOKUP(Fact_Contabilidad[[#This Row],[Concepto Anterior]],Conceptos_Contabilidad[#All],7,0),"")</f>
        <v/>
      </c>
      <c r="G192" s="138" t="s">
        <v>230</v>
      </c>
      <c r="H192" s="138" t="s">
        <v>230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377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261</v>
      </c>
      <c r="E193" t="str">
        <f>+IFERROR(VLOOKUP(Fact_Contabilidad[[#This Row],[Concepto Anterior]],Conceptos_Contabilidad[#All],5,0),"")</f>
        <v>Políticas en proceso</v>
      </c>
      <c r="F193" t="str">
        <f ca="1">+IFERROR(VLOOKUP(Fact_Contabilidad[[#This Row],[Concepto Anterior]],Conceptos_Contabilidad[#All],7,0),"")</f>
        <v/>
      </c>
      <c r="G193" s="138" t="s">
        <v>230</v>
      </c>
      <c r="H193" s="138" t="s">
        <v>230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377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263</v>
      </c>
      <c r="E194" t="str">
        <f>+IFERROR(VLOOKUP(Fact_Contabilidad[[#This Row],[Concepto Anterior]],Conceptos_Contabilidad[#All],5,0),"")</f>
        <v>Políticas aprobadas</v>
      </c>
      <c r="F194" t="str">
        <f ca="1">+IFERROR(VLOOKUP(Fact_Contabilidad[[#This Row],[Concepto Anterior]],Conceptos_Contabilidad[#All],7,0),"")</f>
        <v/>
      </c>
      <c r="G194" s="138" t="s">
        <v>230</v>
      </c>
      <c r="H194" s="138" t="s">
        <v>230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123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265</v>
      </c>
      <c r="E195" t="str">
        <f>+IFERROR(VLOOKUP(Fact_Contabilidad[[#This Row],[Concepto Anterior]],Conceptos_Contabilidad[#All],5,0),"")</f>
        <v>Facturas contabilizadas Triplematch</v>
      </c>
      <c r="F195" t="str">
        <f ca="1">+IFERROR(VLOOKUP(Fact_Contabilidad[[#This Row],[Concepto Anterior]],Conceptos_Contabilidad[#All],7,0),"")</f>
        <v/>
      </c>
      <c r="G195" s="138" t="s">
        <v>230</v>
      </c>
      <c r="H195" s="138" t="s">
        <v>230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123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267</v>
      </c>
      <c r="E196" t="str">
        <f>+IFERROR(VLOOKUP(Fact_Contabilidad[[#This Row],[Concepto Anterior]],Conceptos_Contabilidad[#All],5,0),"")</f>
        <v>Facturas contabilizadas Script</v>
      </c>
      <c r="F196" t="str">
        <f ca="1">+IFERROR(VLOOKUP(Fact_Contabilidad[[#This Row],[Concepto Anterior]],Conceptos_Contabilidad[#All],7,0),"")</f>
        <v/>
      </c>
      <c r="G196" s="138" t="s">
        <v>230</v>
      </c>
      <c r="H196" s="138" t="s">
        <v>230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130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52</v>
      </c>
      <c r="E197" t="str">
        <f>+IFERROR(VLOOKUP(Fact_Contabilidad[[#This Row],[Concepto Anterior]],Conceptos_Contabilidad[#All],5,0),"")</f>
        <v>Cuentas Contables Conciliadas</v>
      </c>
      <c r="F197" t="str">
        <f ca="1">+IFERROR(VLOOKUP(Fact_Contabilidad[[#This Row],[Concepto Anterior]],Conceptos_Contabilidad[#All],7,0),"")</f>
        <v/>
      </c>
      <c r="G197" s="138" t="s">
        <v>230</v>
      </c>
      <c r="H197" s="138" t="s">
        <v>230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130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45</v>
      </c>
      <c r="E198" t="str">
        <f>+IFERROR(VLOOKUP(Fact_Contabilidad[[#This Row],[Concepto Anterior]],Conceptos_Contabilidad[#All],5,0),"")</f>
        <v>Facturas Contabilizada</v>
      </c>
      <c r="F198" t="str">
        <f ca="1">+IFERROR(VLOOKUP(Fact_Contabilidad[[#This Row],[Concepto Anterior]],Conceptos_Contabilidad[#All],7,0),"")</f>
        <v/>
      </c>
      <c r="G198" s="138" t="s">
        <v>230</v>
      </c>
      <c r="H198" s="138" t="s">
        <v>230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130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46</v>
      </c>
      <c r="E199" t="str">
        <f>+IFERROR(VLOOKUP(Fact_Contabilidad[[#This Row],[Concepto Anterior]],Conceptos_Contabilidad[#All],5,0),"")</f>
        <v>Facturas Contabilizada</v>
      </c>
      <c r="F199" t="str">
        <f ca="1">+IFERROR(VLOOKUP(Fact_Contabilidad[[#This Row],[Concepto Anterior]],Conceptos_Contabilidad[#All],7,0),"")</f>
        <v/>
      </c>
      <c r="G199" s="138" t="s">
        <v>230</v>
      </c>
      <c r="H199" s="138" t="s">
        <v>230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130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194</v>
      </c>
      <c r="E200" t="str">
        <f>+IFERROR(VLOOKUP(Fact_Contabilidad[[#This Row],[Concepto Anterior]],Conceptos_Contabilidad[#All],5,0),"")</f>
        <v>Facturas Contabilizada</v>
      </c>
      <c r="F200" t="str">
        <f ca="1">+IFERROR(VLOOKUP(Fact_Contabilidad[[#This Row],[Concepto Anterior]],Conceptos_Contabilidad[#All],7,0),"")</f>
        <v/>
      </c>
      <c r="G200" s="138" t="s">
        <v>230</v>
      </c>
      <c r="H200" s="138" t="s">
        <v>230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130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202</v>
      </c>
      <c r="E201" t="str">
        <f>+IFERROR(VLOOKUP(Fact_Contabilidad[[#This Row],[Concepto Anterior]],Conceptos_Contabilidad[#All],5,0),"")</f>
        <v>Facturas Contabilizada</v>
      </c>
      <c r="F201" t="str">
        <f ca="1">+IFERROR(VLOOKUP(Fact_Contabilidad[[#This Row],[Concepto Anterior]],Conceptos_Contabilidad[#All],7,0),"")</f>
        <v/>
      </c>
      <c r="G201" s="138" t="s">
        <v>230</v>
      </c>
      <c r="H201" s="138" t="s">
        <v>230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130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208</v>
      </c>
      <c r="E202" t="str">
        <f>+IFERROR(VLOOKUP(Fact_Contabilidad[[#This Row],[Concepto Anterior]],Conceptos_Contabilidad[#All],5,0),"")</f>
        <v>Facturas Contabilizada</v>
      </c>
      <c r="F202" t="str">
        <f ca="1">+IFERROR(VLOOKUP(Fact_Contabilidad[[#This Row],[Concepto Anterior]],Conceptos_Contabilidad[#All],7,0),"")</f>
        <v/>
      </c>
      <c r="G202" s="138" t="s">
        <v>230</v>
      </c>
      <c r="H202" s="138" t="s">
        <v>230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130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215</v>
      </c>
      <c r="E203" t="str">
        <f>+IFERROR(VLOOKUP(Fact_Contabilidad[[#This Row],[Concepto Anterior]],Conceptos_Contabilidad[#All],5,0),"")</f>
        <v>Facturas Contabilizada</v>
      </c>
      <c r="F203" t="str">
        <f ca="1">+IFERROR(VLOOKUP(Fact_Contabilidad[[#This Row],[Concepto Anterior]],Conceptos_Contabilidad[#All],7,0),"")</f>
        <v/>
      </c>
      <c r="G203" s="138" t="s">
        <v>230</v>
      </c>
      <c r="H203" s="138" t="s">
        <v>230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130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221</v>
      </c>
      <c r="E204" t="str">
        <f>+IFERROR(VLOOKUP(Fact_Contabilidad[[#This Row],[Concepto Anterior]],Conceptos_Contabilidad[#All],5,0),"")</f>
        <v>Facturas Contabilizada</v>
      </c>
      <c r="F204" t="str">
        <f ca="1">+IFERROR(VLOOKUP(Fact_Contabilidad[[#This Row],[Concepto Anterior]],Conceptos_Contabilidad[#All],7,0),"")</f>
        <v/>
      </c>
      <c r="G204" s="138" t="s">
        <v>230</v>
      </c>
      <c r="H204" s="138" t="s">
        <v>230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130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228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 ca="1">+IFERROR(VLOOKUP(Fact_Contabilidad[[#This Row],[Concepto Anterior]],Conceptos_Contabilidad[#All],7,0),"")</f>
        <v/>
      </c>
      <c r="G205" s="138" t="s">
        <v>230</v>
      </c>
      <c r="H205" s="138" t="s">
        <v>230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130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233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 ca="1">+IFERROR(VLOOKUP(Fact_Contabilidad[[#This Row],[Concepto Anterior]],Conceptos_Contabilidad[#All],7,0),"")</f>
        <v/>
      </c>
      <c r="G206" s="138" t="s">
        <v>230</v>
      </c>
      <c r="H206" s="138" t="s">
        <v>230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130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153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 ca="1">+IFERROR(VLOOKUP(Fact_Contabilidad[[#This Row],[Concepto Anterior]],Conceptos_Contabilidad[#All],7,0),"")</f>
        <v/>
      </c>
      <c r="G207" s="138" t="s">
        <v>230</v>
      </c>
      <c r="H207" s="138" t="s">
        <v>230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130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237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 ca="1">+IFERROR(VLOOKUP(Fact_Contabilidad[[#This Row],[Concepto Anterior]],Conceptos_Contabilidad[#All],7,0),"")</f>
        <v/>
      </c>
      <c r="G208" s="138" t="s">
        <v>230</v>
      </c>
      <c r="H208" s="138" t="s">
        <v>230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130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170</v>
      </c>
      <c r="E209" t="str">
        <f>+IFERROR(VLOOKUP(Fact_Contabilidad[[#This Row],[Concepto Anterior]],Conceptos_Contabilidad[#All],5,0),"")</f>
        <v>Informes Contables</v>
      </c>
      <c r="F209" t="str">
        <f ca="1">+IFERROR(VLOOKUP(Fact_Contabilidad[[#This Row],[Concepto Anterior]],Conceptos_Contabilidad[#All],7,0),"")</f>
        <v/>
      </c>
      <c r="G209" s="138" t="s">
        <v>230</v>
      </c>
      <c r="H209" s="138" t="s">
        <v>230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130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79</v>
      </c>
      <c r="E210" t="str">
        <f>+IFERROR(VLOOKUP(Fact_Contabilidad[[#This Row],[Concepto Anterior]],Conceptos_Contabilidad[#All],5,0),"")</f>
        <v>Numero de razones sociales atendidas directas</v>
      </c>
      <c r="F210" t="str">
        <f ca="1">+IFERROR(VLOOKUP(Fact_Contabilidad[[#This Row],[Concepto Anterior]],Conceptos_Contabilidad[#All],7,0),"")</f>
        <v/>
      </c>
      <c r="G210" s="138" t="s">
        <v>230</v>
      </c>
      <c r="H210" s="138" t="s">
        <v>230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130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243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 ca="1">+IFERROR(VLOOKUP(Fact_Contabilidad[[#This Row],[Concepto Anterior]],Conceptos_Contabilidad[#All],7,0),"")</f>
        <v/>
      </c>
      <c r="G211" s="138" t="s">
        <v>230</v>
      </c>
      <c r="H211" s="138" t="s">
        <v>230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130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51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 ca="1">+IFERROR(VLOOKUP(Fact_Contabilidad[[#This Row],[Concepto Anterior]],Conceptos_Contabilidad[#All],7,0),"")</f>
        <v/>
      </c>
      <c r="G212" s="138" t="s">
        <v>230</v>
      </c>
      <c r="H212" s="138" t="s">
        <v>230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376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246</v>
      </c>
      <c r="E213" t="str">
        <f>+IFERROR(VLOOKUP(Fact_Contabilidad[[#This Row],[Concepto Anterior]],Conceptos_Contabilidad[#All],5,0),"")</f>
        <v>Activos fijos creados Comodín</v>
      </c>
      <c r="F213" t="str">
        <f ca="1">+IFERROR(VLOOKUP(Fact_Contabilidad[[#This Row],[Concepto Anterior]],Conceptos_Contabilidad[#All],7,0),"")</f>
        <v/>
      </c>
      <c r="G213" s="138" t="s">
        <v>230</v>
      </c>
      <c r="H213" s="138" t="s">
        <v>230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376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249</v>
      </c>
      <c r="E214" t="str">
        <f>+IFERROR(VLOOKUP(Fact_Contabilidad[[#This Row],[Concepto Anterior]],Conceptos_Contabilidad[#All],5,0),"")</f>
        <v>Activos fijos creados Dogama</v>
      </c>
      <c r="F214" t="str">
        <f ca="1">+IFERROR(VLOOKUP(Fact_Contabilidad[[#This Row],[Concepto Anterior]],Conceptos_Contabilidad[#All],7,0),"")</f>
        <v/>
      </c>
      <c r="G214" s="138" t="s">
        <v>230</v>
      </c>
      <c r="H214" s="138" t="s">
        <v>230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376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252</v>
      </c>
      <c r="E215" t="str">
        <f>+IFERROR(VLOOKUP(Fact_Contabilidad[[#This Row],[Concepto Anterior]],Conceptos_Contabilidad[#All],5,0),"")</f>
        <v>Instructivos en proceso</v>
      </c>
      <c r="F215" t="str">
        <f ca="1">+IFERROR(VLOOKUP(Fact_Contabilidad[[#This Row],[Concepto Anterior]],Conceptos_Contabilidad[#All],7,0),"")</f>
        <v/>
      </c>
      <c r="G215" s="138" t="s">
        <v>230</v>
      </c>
      <c r="H215" s="138" t="s">
        <v>230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376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255</v>
      </c>
      <c r="E216" t="str">
        <f>+IFERROR(VLOOKUP(Fact_Contabilidad[[#This Row],[Concepto Anterior]],Conceptos_Contabilidad[#All],5,0),"")</f>
        <v>Instructivos en validación PMO</v>
      </c>
      <c r="F216" t="str">
        <f ca="1">+IFERROR(VLOOKUP(Fact_Contabilidad[[#This Row],[Concepto Anterior]],Conceptos_Contabilidad[#All],7,0),"")</f>
        <v/>
      </c>
      <c r="G216" s="138" t="s">
        <v>230</v>
      </c>
      <c r="H216" s="138" t="s">
        <v>230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376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258</v>
      </c>
      <c r="E217" t="str">
        <f>+IFERROR(VLOOKUP(Fact_Contabilidad[[#This Row],[Concepto Anterior]],Conceptos_Contabilidad[#All],5,0),"")</f>
        <v>Instructivos aprobados</v>
      </c>
      <c r="F217" t="str">
        <f ca="1">+IFERROR(VLOOKUP(Fact_Contabilidad[[#This Row],[Concepto Anterior]],Conceptos_Contabilidad[#All],7,0),"")</f>
        <v/>
      </c>
      <c r="G217" s="138" t="s">
        <v>230</v>
      </c>
      <c r="H217" s="138" t="s">
        <v>230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376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261</v>
      </c>
      <c r="E218" t="str">
        <f>+IFERROR(VLOOKUP(Fact_Contabilidad[[#This Row],[Concepto Anterior]],Conceptos_Contabilidad[#All],5,0),"")</f>
        <v>Políticas en proceso</v>
      </c>
      <c r="F218" t="str">
        <f ca="1">+IFERROR(VLOOKUP(Fact_Contabilidad[[#This Row],[Concepto Anterior]],Conceptos_Contabilidad[#All],7,0),"")</f>
        <v/>
      </c>
      <c r="G218" s="138" t="s">
        <v>230</v>
      </c>
      <c r="H218" s="138" t="s">
        <v>230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376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263</v>
      </c>
      <c r="E219" t="str">
        <f>+IFERROR(VLOOKUP(Fact_Contabilidad[[#This Row],[Concepto Anterior]],Conceptos_Contabilidad[#All],5,0),"")</f>
        <v>Políticas aprobadas</v>
      </c>
      <c r="F219" t="str">
        <f ca="1">+IFERROR(VLOOKUP(Fact_Contabilidad[[#This Row],[Concepto Anterior]],Conceptos_Contabilidad[#All],7,0),"")</f>
        <v/>
      </c>
      <c r="G219" s="138" t="s">
        <v>230</v>
      </c>
      <c r="H219" s="138" t="s">
        <v>230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130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265</v>
      </c>
      <c r="E220" t="str">
        <f>+IFERROR(VLOOKUP(Fact_Contabilidad[[#This Row],[Concepto Anterior]],Conceptos_Contabilidad[#All],5,0),"")</f>
        <v>Facturas contabilizadas Triplematch</v>
      </c>
      <c r="F220" t="str">
        <f ca="1">+IFERROR(VLOOKUP(Fact_Contabilidad[[#This Row],[Concepto Anterior]],Conceptos_Contabilidad[#All],7,0),"")</f>
        <v/>
      </c>
      <c r="G220" s="138" t="s">
        <v>230</v>
      </c>
      <c r="H220" s="138" t="s">
        <v>230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130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267</v>
      </c>
      <c r="E221" t="str">
        <f>+IFERROR(VLOOKUP(Fact_Contabilidad[[#This Row],[Concepto Anterior]],Conceptos_Contabilidad[#All],5,0),"")</f>
        <v>Facturas contabilizadas Script</v>
      </c>
      <c r="F221" t="str">
        <f ca="1">+IFERROR(VLOOKUP(Fact_Contabilidad[[#This Row],[Concepto Anterior]],Conceptos_Contabilidad[#All],7,0),"")</f>
        <v/>
      </c>
      <c r="G221" s="138" t="s">
        <v>230</v>
      </c>
      <c r="H221" s="138" t="s">
        <v>230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137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52</v>
      </c>
      <c r="E222" t="str">
        <f>+IFERROR(VLOOKUP(Fact_Contabilidad[[#This Row],[Concepto Anterior]],Conceptos_Contabilidad[#All],5,0),"")</f>
        <v>Cuentas Contables Conciliadas</v>
      </c>
      <c r="F222" t="str">
        <f ca="1">+IFERROR(VLOOKUP(Fact_Contabilidad[[#This Row],[Concepto Anterior]],Conceptos_Contabilidad[#All],7,0),"")</f>
        <v/>
      </c>
      <c r="G222" s="138" t="s">
        <v>230</v>
      </c>
      <c r="H222" s="138" t="s">
        <v>230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137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45</v>
      </c>
      <c r="E223" t="str">
        <f>+IFERROR(VLOOKUP(Fact_Contabilidad[[#This Row],[Concepto Anterior]],Conceptos_Contabilidad[#All],5,0),"")</f>
        <v>Facturas Contabilizada</v>
      </c>
      <c r="F223" t="str">
        <f ca="1">+IFERROR(VLOOKUP(Fact_Contabilidad[[#This Row],[Concepto Anterior]],Conceptos_Contabilidad[#All],7,0),"")</f>
        <v/>
      </c>
      <c r="G223" s="138" t="s">
        <v>230</v>
      </c>
      <c r="H223" s="138" t="s">
        <v>230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137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46</v>
      </c>
      <c r="E224" t="str">
        <f>+IFERROR(VLOOKUP(Fact_Contabilidad[[#This Row],[Concepto Anterior]],Conceptos_Contabilidad[#All],5,0),"")</f>
        <v>Facturas Contabilizada</v>
      </c>
      <c r="F224" t="str">
        <f ca="1">+IFERROR(VLOOKUP(Fact_Contabilidad[[#This Row],[Concepto Anterior]],Conceptos_Contabilidad[#All],7,0),"")</f>
        <v/>
      </c>
      <c r="G224" s="138" t="s">
        <v>230</v>
      </c>
      <c r="H224" s="138" t="s">
        <v>230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137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194</v>
      </c>
      <c r="E225" t="str">
        <f>+IFERROR(VLOOKUP(Fact_Contabilidad[[#This Row],[Concepto Anterior]],Conceptos_Contabilidad[#All],5,0),"")</f>
        <v>Facturas Contabilizada</v>
      </c>
      <c r="F225" t="str">
        <f ca="1">+IFERROR(VLOOKUP(Fact_Contabilidad[[#This Row],[Concepto Anterior]],Conceptos_Contabilidad[#All],7,0),"")</f>
        <v/>
      </c>
      <c r="G225" s="138" t="s">
        <v>230</v>
      </c>
      <c r="H225" s="138" t="s">
        <v>230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137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202</v>
      </c>
      <c r="E226" t="str">
        <f>+IFERROR(VLOOKUP(Fact_Contabilidad[[#This Row],[Concepto Anterior]],Conceptos_Contabilidad[#All],5,0),"")</f>
        <v>Facturas Contabilizada</v>
      </c>
      <c r="F226" t="str">
        <f ca="1">+IFERROR(VLOOKUP(Fact_Contabilidad[[#This Row],[Concepto Anterior]],Conceptos_Contabilidad[#All],7,0),"")</f>
        <v/>
      </c>
      <c r="G226" s="138" t="s">
        <v>230</v>
      </c>
      <c r="H226" s="138" t="s">
        <v>230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137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208</v>
      </c>
      <c r="E227" t="str">
        <f>+IFERROR(VLOOKUP(Fact_Contabilidad[[#This Row],[Concepto Anterior]],Conceptos_Contabilidad[#All],5,0),"")</f>
        <v>Facturas Contabilizada</v>
      </c>
      <c r="F227" t="str">
        <f ca="1">+IFERROR(VLOOKUP(Fact_Contabilidad[[#This Row],[Concepto Anterior]],Conceptos_Contabilidad[#All],7,0),"")</f>
        <v/>
      </c>
      <c r="G227" s="138" t="s">
        <v>230</v>
      </c>
      <c r="H227" s="138" t="s">
        <v>230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137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215</v>
      </c>
      <c r="E228" t="str">
        <f>+IFERROR(VLOOKUP(Fact_Contabilidad[[#This Row],[Concepto Anterior]],Conceptos_Contabilidad[#All],5,0),"")</f>
        <v>Facturas Contabilizada</v>
      </c>
      <c r="F228" t="str">
        <f ca="1">+IFERROR(VLOOKUP(Fact_Contabilidad[[#This Row],[Concepto Anterior]],Conceptos_Contabilidad[#All],7,0),"")</f>
        <v/>
      </c>
      <c r="G228" s="138" t="s">
        <v>230</v>
      </c>
      <c r="H228" s="138" t="s">
        <v>230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137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221</v>
      </c>
      <c r="E229" t="str">
        <f>+IFERROR(VLOOKUP(Fact_Contabilidad[[#This Row],[Concepto Anterior]],Conceptos_Contabilidad[#All],5,0),"")</f>
        <v>Facturas Contabilizada</v>
      </c>
      <c r="F229" t="str">
        <f ca="1">+IFERROR(VLOOKUP(Fact_Contabilidad[[#This Row],[Concepto Anterior]],Conceptos_Contabilidad[#All],7,0),"")</f>
        <v/>
      </c>
      <c r="G229" s="138" t="s">
        <v>230</v>
      </c>
      <c r="H229" s="138" t="s">
        <v>230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137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228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 ca="1">+IFERROR(VLOOKUP(Fact_Contabilidad[[#This Row],[Concepto Anterior]],Conceptos_Contabilidad[#All],7,0),"")</f>
        <v/>
      </c>
      <c r="G230" s="138" t="s">
        <v>230</v>
      </c>
      <c r="H230" s="138" t="s">
        <v>230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137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233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 ca="1">+IFERROR(VLOOKUP(Fact_Contabilidad[[#This Row],[Concepto Anterior]],Conceptos_Contabilidad[#All],7,0),"")</f>
        <v/>
      </c>
      <c r="G231" s="138" t="s">
        <v>230</v>
      </c>
      <c r="H231" s="138" t="s">
        <v>230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137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153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 ca="1">+IFERROR(VLOOKUP(Fact_Contabilidad[[#This Row],[Concepto Anterior]],Conceptos_Contabilidad[#All],7,0),"")</f>
        <v/>
      </c>
      <c r="G232" s="138" t="s">
        <v>230</v>
      </c>
      <c r="H232" s="138" t="s">
        <v>230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137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237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 ca="1">+IFERROR(VLOOKUP(Fact_Contabilidad[[#This Row],[Concepto Anterior]],Conceptos_Contabilidad[#All],7,0),"")</f>
        <v/>
      </c>
      <c r="G233" s="138" t="s">
        <v>230</v>
      </c>
      <c r="H233" s="138" t="s">
        <v>230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137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170</v>
      </c>
      <c r="E234" t="str">
        <f>+IFERROR(VLOOKUP(Fact_Contabilidad[[#This Row],[Concepto Anterior]],Conceptos_Contabilidad[#All],5,0),"")</f>
        <v>Informes Contables</v>
      </c>
      <c r="F234" t="str">
        <f ca="1">+IFERROR(VLOOKUP(Fact_Contabilidad[[#This Row],[Concepto Anterior]],Conceptos_Contabilidad[#All],7,0),"")</f>
        <v/>
      </c>
      <c r="G234" s="138" t="s">
        <v>230</v>
      </c>
      <c r="H234" s="138" t="s">
        <v>230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137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79</v>
      </c>
      <c r="E235" t="str">
        <f>+IFERROR(VLOOKUP(Fact_Contabilidad[[#This Row],[Concepto Anterior]],Conceptos_Contabilidad[#All],5,0),"")</f>
        <v>Numero de razones sociales atendidas directas</v>
      </c>
      <c r="F235" t="str">
        <f ca="1">+IFERROR(VLOOKUP(Fact_Contabilidad[[#This Row],[Concepto Anterior]],Conceptos_Contabilidad[#All],7,0),"")</f>
        <v/>
      </c>
      <c r="G235" s="138" t="s">
        <v>230</v>
      </c>
      <c r="H235" s="138" t="s">
        <v>230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137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243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 ca="1">+IFERROR(VLOOKUP(Fact_Contabilidad[[#This Row],[Concepto Anterior]],Conceptos_Contabilidad[#All],7,0),"")</f>
        <v/>
      </c>
      <c r="G236" s="138" t="s">
        <v>230</v>
      </c>
      <c r="H236" s="138" t="s">
        <v>230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137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51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 ca="1">+IFERROR(VLOOKUP(Fact_Contabilidad[[#This Row],[Concepto Anterior]],Conceptos_Contabilidad[#All],7,0),"")</f>
        <v/>
      </c>
      <c r="G237" s="138" t="s">
        <v>230</v>
      </c>
      <c r="H237" s="138" t="s">
        <v>230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368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246</v>
      </c>
      <c r="E238" t="str">
        <f>+IFERROR(VLOOKUP(Fact_Contabilidad[[#This Row],[Concepto Anterior]],Conceptos_Contabilidad[#All],5,0),"")</f>
        <v>Activos fijos creados Comodín</v>
      </c>
      <c r="F238" t="str">
        <f ca="1">+IFERROR(VLOOKUP(Fact_Contabilidad[[#This Row],[Concepto Anterior]],Conceptos_Contabilidad[#All],7,0),"")</f>
        <v/>
      </c>
      <c r="G238" s="138" t="s">
        <v>230</v>
      </c>
      <c r="H238" s="138" t="s">
        <v>230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368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249</v>
      </c>
      <c r="E239" t="str">
        <f>+IFERROR(VLOOKUP(Fact_Contabilidad[[#This Row],[Concepto Anterior]],Conceptos_Contabilidad[#All],5,0),"")</f>
        <v>Activos fijos creados Dogama</v>
      </c>
      <c r="F239" t="str">
        <f ca="1">+IFERROR(VLOOKUP(Fact_Contabilidad[[#This Row],[Concepto Anterior]],Conceptos_Contabilidad[#All],7,0),"")</f>
        <v/>
      </c>
      <c r="G239" s="138" t="s">
        <v>230</v>
      </c>
      <c r="H239" s="138" t="s">
        <v>230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368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252</v>
      </c>
      <c r="E240" t="str">
        <f>+IFERROR(VLOOKUP(Fact_Contabilidad[[#This Row],[Concepto Anterior]],Conceptos_Contabilidad[#All],5,0),"")</f>
        <v>Instructivos en proceso</v>
      </c>
      <c r="F240" t="str">
        <f ca="1">+IFERROR(VLOOKUP(Fact_Contabilidad[[#This Row],[Concepto Anterior]],Conceptos_Contabilidad[#All],7,0),"")</f>
        <v/>
      </c>
      <c r="G240" s="138" t="s">
        <v>230</v>
      </c>
      <c r="H240" s="138" t="s">
        <v>230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368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255</v>
      </c>
      <c r="E241" t="str">
        <f>+IFERROR(VLOOKUP(Fact_Contabilidad[[#This Row],[Concepto Anterior]],Conceptos_Contabilidad[#All],5,0),"")</f>
        <v>Instructivos en validación PMO</v>
      </c>
      <c r="F241" t="str">
        <f ca="1">+IFERROR(VLOOKUP(Fact_Contabilidad[[#This Row],[Concepto Anterior]],Conceptos_Contabilidad[#All],7,0),"")</f>
        <v/>
      </c>
      <c r="G241" s="138" t="s">
        <v>230</v>
      </c>
      <c r="H241" s="138" t="s">
        <v>230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368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258</v>
      </c>
      <c r="E242" t="str">
        <f>+IFERROR(VLOOKUP(Fact_Contabilidad[[#This Row],[Concepto Anterior]],Conceptos_Contabilidad[#All],5,0),"")</f>
        <v>Instructivos aprobados</v>
      </c>
      <c r="F242" t="str">
        <f ca="1">+IFERROR(VLOOKUP(Fact_Contabilidad[[#This Row],[Concepto Anterior]],Conceptos_Contabilidad[#All],7,0),"")</f>
        <v/>
      </c>
      <c r="G242" s="138" t="s">
        <v>230</v>
      </c>
      <c r="H242" s="138" t="s">
        <v>230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368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261</v>
      </c>
      <c r="E243" t="str">
        <f>+IFERROR(VLOOKUP(Fact_Contabilidad[[#This Row],[Concepto Anterior]],Conceptos_Contabilidad[#All],5,0),"")</f>
        <v>Políticas en proceso</v>
      </c>
      <c r="F243" t="str">
        <f ca="1">+IFERROR(VLOOKUP(Fact_Contabilidad[[#This Row],[Concepto Anterior]],Conceptos_Contabilidad[#All],7,0),"")</f>
        <v/>
      </c>
      <c r="G243" s="138" t="s">
        <v>230</v>
      </c>
      <c r="H243" s="138" t="s">
        <v>230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368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263</v>
      </c>
      <c r="E244" t="str">
        <f>+IFERROR(VLOOKUP(Fact_Contabilidad[[#This Row],[Concepto Anterior]],Conceptos_Contabilidad[#All],5,0),"")</f>
        <v>Políticas aprobadas</v>
      </c>
      <c r="F244" t="str">
        <f ca="1">+IFERROR(VLOOKUP(Fact_Contabilidad[[#This Row],[Concepto Anterior]],Conceptos_Contabilidad[#All],7,0),"")</f>
        <v/>
      </c>
      <c r="G244" s="138" t="s">
        <v>230</v>
      </c>
      <c r="H244" s="138" t="s">
        <v>230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137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265</v>
      </c>
      <c r="E245" t="str">
        <f>+IFERROR(VLOOKUP(Fact_Contabilidad[[#This Row],[Concepto Anterior]],Conceptos_Contabilidad[#All],5,0),"")</f>
        <v>Facturas contabilizadas Triplematch</v>
      </c>
      <c r="F245" t="str">
        <f ca="1">+IFERROR(VLOOKUP(Fact_Contabilidad[[#This Row],[Concepto Anterior]],Conceptos_Contabilidad[#All],7,0),"")</f>
        <v/>
      </c>
      <c r="G245" s="138" t="s">
        <v>230</v>
      </c>
      <c r="H245" s="138" t="s">
        <v>230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137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267</v>
      </c>
      <c r="E246" t="str">
        <f>+IFERROR(VLOOKUP(Fact_Contabilidad[[#This Row],[Concepto Anterior]],Conceptos_Contabilidad[#All],5,0),"")</f>
        <v>Facturas contabilizadas Script</v>
      </c>
      <c r="F246" t="str">
        <f ca="1">+IFERROR(VLOOKUP(Fact_Contabilidad[[#This Row],[Concepto Anterior]],Conceptos_Contabilidad[#All],7,0),"")</f>
        <v/>
      </c>
      <c r="G246" s="138" t="s">
        <v>230</v>
      </c>
      <c r="H246" s="138" t="s">
        <v>230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147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52</v>
      </c>
      <c r="E247" t="str">
        <f>+IFERROR(VLOOKUP(Fact_Contabilidad[[#This Row],[Concepto Anterior]],Conceptos_Contabilidad[#All],5,0),"")</f>
        <v>Cuentas Contables Conciliadas</v>
      </c>
      <c r="F247" t="str">
        <f ca="1">+IFERROR(VLOOKUP(Fact_Contabilidad[[#This Row],[Concepto Anterior]],Conceptos_Contabilidad[#All],7,0),"")</f>
        <v/>
      </c>
      <c r="G247" s="138" t="s">
        <v>230</v>
      </c>
      <c r="H247" s="138" t="s">
        <v>230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147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45</v>
      </c>
      <c r="E248" t="str">
        <f>+IFERROR(VLOOKUP(Fact_Contabilidad[[#This Row],[Concepto Anterior]],Conceptos_Contabilidad[#All],5,0),"")</f>
        <v>Facturas Contabilizada</v>
      </c>
      <c r="F248" t="str">
        <f ca="1">+IFERROR(VLOOKUP(Fact_Contabilidad[[#This Row],[Concepto Anterior]],Conceptos_Contabilidad[#All],7,0),"")</f>
        <v/>
      </c>
      <c r="G248" s="138" t="s">
        <v>230</v>
      </c>
      <c r="H248" s="138" t="s">
        <v>230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147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46</v>
      </c>
      <c r="E249" t="str">
        <f>+IFERROR(VLOOKUP(Fact_Contabilidad[[#This Row],[Concepto Anterior]],Conceptos_Contabilidad[#All],5,0),"")</f>
        <v>Facturas Contabilizada</v>
      </c>
      <c r="F249" t="str">
        <f ca="1">+IFERROR(VLOOKUP(Fact_Contabilidad[[#This Row],[Concepto Anterior]],Conceptos_Contabilidad[#All],7,0),"")</f>
        <v/>
      </c>
      <c r="G249" s="138" t="s">
        <v>230</v>
      </c>
      <c r="H249" s="138" t="s">
        <v>230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147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194</v>
      </c>
      <c r="E250" t="str">
        <f>+IFERROR(VLOOKUP(Fact_Contabilidad[[#This Row],[Concepto Anterior]],Conceptos_Contabilidad[#All],5,0),"")</f>
        <v>Facturas Contabilizada</v>
      </c>
      <c r="F250" t="str">
        <f ca="1">+IFERROR(VLOOKUP(Fact_Contabilidad[[#This Row],[Concepto Anterior]],Conceptos_Contabilidad[#All],7,0),"")</f>
        <v/>
      </c>
      <c r="G250" s="138" t="s">
        <v>230</v>
      </c>
      <c r="H250" s="138" t="s">
        <v>230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147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202</v>
      </c>
      <c r="E251" t="str">
        <f>+IFERROR(VLOOKUP(Fact_Contabilidad[[#This Row],[Concepto Anterior]],Conceptos_Contabilidad[#All],5,0),"")</f>
        <v>Facturas Contabilizada</v>
      </c>
      <c r="F251" t="str">
        <f ca="1">+IFERROR(VLOOKUP(Fact_Contabilidad[[#This Row],[Concepto Anterior]],Conceptos_Contabilidad[#All],7,0),"")</f>
        <v/>
      </c>
      <c r="G251" s="138" t="s">
        <v>230</v>
      </c>
      <c r="H251" s="138" t="s">
        <v>230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147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208</v>
      </c>
      <c r="E252" t="str">
        <f>+IFERROR(VLOOKUP(Fact_Contabilidad[[#This Row],[Concepto Anterior]],Conceptos_Contabilidad[#All],5,0),"")</f>
        <v>Facturas Contabilizada</v>
      </c>
      <c r="F252" t="str">
        <f ca="1">+IFERROR(VLOOKUP(Fact_Contabilidad[[#This Row],[Concepto Anterior]],Conceptos_Contabilidad[#All],7,0),"")</f>
        <v/>
      </c>
      <c r="G252" s="138" t="s">
        <v>230</v>
      </c>
      <c r="H252" s="138" t="s">
        <v>230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147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215</v>
      </c>
      <c r="E253" t="str">
        <f>+IFERROR(VLOOKUP(Fact_Contabilidad[[#This Row],[Concepto Anterior]],Conceptos_Contabilidad[#All],5,0),"")</f>
        <v>Facturas Contabilizada</v>
      </c>
      <c r="F253" t="str">
        <f ca="1">+IFERROR(VLOOKUP(Fact_Contabilidad[[#This Row],[Concepto Anterior]],Conceptos_Contabilidad[#All],7,0),"")</f>
        <v/>
      </c>
      <c r="G253" s="138" t="s">
        <v>230</v>
      </c>
      <c r="H253" s="138" t="s">
        <v>230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147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221</v>
      </c>
      <c r="E254" t="str">
        <f>+IFERROR(VLOOKUP(Fact_Contabilidad[[#This Row],[Concepto Anterior]],Conceptos_Contabilidad[#All],5,0),"")</f>
        <v>Facturas Contabilizada</v>
      </c>
      <c r="F254" t="str">
        <f ca="1">+IFERROR(VLOOKUP(Fact_Contabilidad[[#This Row],[Concepto Anterior]],Conceptos_Contabilidad[#All],7,0),"")</f>
        <v/>
      </c>
      <c r="G254" s="138" t="s">
        <v>230</v>
      </c>
      <c r="H254" s="138" t="s">
        <v>230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147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228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 ca="1">+IFERROR(VLOOKUP(Fact_Contabilidad[[#This Row],[Concepto Anterior]],Conceptos_Contabilidad[#All],7,0),"")</f>
        <v/>
      </c>
      <c r="G255" s="138" t="s">
        <v>230</v>
      </c>
      <c r="H255" s="138" t="s">
        <v>230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147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233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 ca="1">+IFERROR(VLOOKUP(Fact_Contabilidad[[#This Row],[Concepto Anterior]],Conceptos_Contabilidad[#All],7,0),"")</f>
        <v/>
      </c>
      <c r="G256" s="138" t="s">
        <v>230</v>
      </c>
      <c r="H256" s="138" t="s">
        <v>230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147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153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 ca="1">+IFERROR(VLOOKUP(Fact_Contabilidad[[#This Row],[Concepto Anterior]],Conceptos_Contabilidad[#All],7,0),"")</f>
        <v/>
      </c>
      <c r="G257" s="138" t="s">
        <v>230</v>
      </c>
      <c r="H257" s="138" t="s">
        <v>230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147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237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 ca="1">+IFERROR(VLOOKUP(Fact_Contabilidad[[#This Row],[Concepto Anterior]],Conceptos_Contabilidad[#All],7,0),"")</f>
        <v/>
      </c>
      <c r="G258" s="138" t="s">
        <v>230</v>
      </c>
      <c r="H258" s="138" t="s">
        <v>230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147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170</v>
      </c>
      <c r="E259" t="str">
        <f>+IFERROR(VLOOKUP(Fact_Contabilidad[[#This Row],[Concepto Anterior]],Conceptos_Contabilidad[#All],5,0),"")</f>
        <v>Informes Contables</v>
      </c>
      <c r="F259" t="str">
        <f ca="1">+IFERROR(VLOOKUP(Fact_Contabilidad[[#This Row],[Concepto Anterior]],Conceptos_Contabilidad[#All],7,0),"")</f>
        <v/>
      </c>
      <c r="G259" s="138" t="s">
        <v>230</v>
      </c>
      <c r="H259" s="138" t="s">
        <v>230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147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79</v>
      </c>
      <c r="E260" t="str">
        <f>+IFERROR(VLOOKUP(Fact_Contabilidad[[#This Row],[Concepto Anterior]],Conceptos_Contabilidad[#All],5,0),"")</f>
        <v>Numero de razones sociales atendidas directas</v>
      </c>
      <c r="F260" t="str">
        <f ca="1">+IFERROR(VLOOKUP(Fact_Contabilidad[[#This Row],[Concepto Anterior]],Conceptos_Contabilidad[#All],7,0),"")</f>
        <v/>
      </c>
      <c r="G260" s="138" t="s">
        <v>230</v>
      </c>
      <c r="H260" s="138" t="s">
        <v>230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147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243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 ca="1">+IFERROR(VLOOKUP(Fact_Contabilidad[[#This Row],[Concepto Anterior]],Conceptos_Contabilidad[#All],7,0),"")</f>
        <v/>
      </c>
      <c r="G261" s="138" t="s">
        <v>230</v>
      </c>
      <c r="H261" s="138" t="s">
        <v>230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147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51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 ca="1">+IFERROR(VLOOKUP(Fact_Contabilidad[[#This Row],[Concepto Anterior]],Conceptos_Contabilidad[#All],7,0),"")</f>
        <v/>
      </c>
      <c r="G262" s="138" t="s">
        <v>230</v>
      </c>
      <c r="H262" s="138" t="s">
        <v>230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369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246</v>
      </c>
      <c r="E263" t="str">
        <f>+IFERROR(VLOOKUP(Fact_Contabilidad[[#This Row],[Concepto Anterior]],Conceptos_Contabilidad[#All],5,0),"")</f>
        <v>Activos fijos creados Comodín</v>
      </c>
      <c r="F263" t="str">
        <f ca="1">+IFERROR(VLOOKUP(Fact_Contabilidad[[#This Row],[Concepto Anterior]],Conceptos_Contabilidad[#All],7,0),"")</f>
        <v/>
      </c>
      <c r="G263" s="138" t="s">
        <v>230</v>
      </c>
      <c r="H263" s="138" t="s">
        <v>230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369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249</v>
      </c>
      <c r="E264" t="str">
        <f>+IFERROR(VLOOKUP(Fact_Contabilidad[[#This Row],[Concepto Anterior]],Conceptos_Contabilidad[#All],5,0),"")</f>
        <v>Activos fijos creados Dogama</v>
      </c>
      <c r="F264" t="str">
        <f ca="1">+IFERROR(VLOOKUP(Fact_Contabilidad[[#This Row],[Concepto Anterior]],Conceptos_Contabilidad[#All],7,0),"")</f>
        <v/>
      </c>
      <c r="G264" s="138" t="s">
        <v>230</v>
      </c>
      <c r="H264" s="138" t="s">
        <v>230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369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252</v>
      </c>
      <c r="E265" t="str">
        <f>+IFERROR(VLOOKUP(Fact_Contabilidad[[#This Row],[Concepto Anterior]],Conceptos_Contabilidad[#All],5,0),"")</f>
        <v>Instructivos en proceso</v>
      </c>
      <c r="F265" t="str">
        <f ca="1">+IFERROR(VLOOKUP(Fact_Contabilidad[[#This Row],[Concepto Anterior]],Conceptos_Contabilidad[#All],7,0),"")</f>
        <v/>
      </c>
      <c r="G265" s="138" t="s">
        <v>230</v>
      </c>
      <c r="H265" s="138" t="s">
        <v>230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369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255</v>
      </c>
      <c r="E266" t="str">
        <f>+IFERROR(VLOOKUP(Fact_Contabilidad[[#This Row],[Concepto Anterior]],Conceptos_Contabilidad[#All],5,0),"")</f>
        <v>Instructivos en validación PMO</v>
      </c>
      <c r="F266" t="str">
        <f ca="1">+IFERROR(VLOOKUP(Fact_Contabilidad[[#This Row],[Concepto Anterior]],Conceptos_Contabilidad[#All],7,0),"")</f>
        <v/>
      </c>
      <c r="G266" s="138" t="s">
        <v>230</v>
      </c>
      <c r="H266" s="138" t="s">
        <v>230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369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258</v>
      </c>
      <c r="E267" t="str">
        <f>+IFERROR(VLOOKUP(Fact_Contabilidad[[#This Row],[Concepto Anterior]],Conceptos_Contabilidad[#All],5,0),"")</f>
        <v>Instructivos aprobados</v>
      </c>
      <c r="F267" t="str">
        <f ca="1">+IFERROR(VLOOKUP(Fact_Contabilidad[[#This Row],[Concepto Anterior]],Conceptos_Contabilidad[#All],7,0),"")</f>
        <v/>
      </c>
      <c r="G267" s="138" t="s">
        <v>230</v>
      </c>
      <c r="H267" s="138" t="s">
        <v>230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369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261</v>
      </c>
      <c r="E268" t="str">
        <f>+IFERROR(VLOOKUP(Fact_Contabilidad[[#This Row],[Concepto Anterior]],Conceptos_Contabilidad[#All],5,0),"")</f>
        <v>Políticas en proceso</v>
      </c>
      <c r="F268" t="str">
        <f ca="1">+IFERROR(VLOOKUP(Fact_Contabilidad[[#This Row],[Concepto Anterior]],Conceptos_Contabilidad[#All],7,0),"")</f>
        <v/>
      </c>
      <c r="G268" s="138" t="s">
        <v>230</v>
      </c>
      <c r="H268" s="138" t="s">
        <v>230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369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263</v>
      </c>
      <c r="E269" t="str">
        <f>+IFERROR(VLOOKUP(Fact_Contabilidad[[#This Row],[Concepto Anterior]],Conceptos_Contabilidad[#All],5,0),"")</f>
        <v>Políticas aprobadas</v>
      </c>
      <c r="F269" t="str">
        <f ca="1">+IFERROR(VLOOKUP(Fact_Contabilidad[[#This Row],[Concepto Anterior]],Conceptos_Contabilidad[#All],7,0),"")</f>
        <v/>
      </c>
      <c r="G269" s="138" t="s">
        <v>230</v>
      </c>
      <c r="H269" s="138" t="s">
        <v>230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147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265</v>
      </c>
      <c r="E270" t="str">
        <f>+IFERROR(VLOOKUP(Fact_Contabilidad[[#This Row],[Concepto Anterior]],Conceptos_Contabilidad[#All],5,0),"")</f>
        <v>Facturas contabilizadas Triplematch</v>
      </c>
      <c r="F270" t="str">
        <f ca="1">+IFERROR(VLOOKUP(Fact_Contabilidad[[#This Row],[Concepto Anterior]],Conceptos_Contabilidad[#All],7,0),"")</f>
        <v/>
      </c>
      <c r="G270" s="138" t="s">
        <v>230</v>
      </c>
      <c r="H270" s="138" t="s">
        <v>230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147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267</v>
      </c>
      <c r="E271" t="str">
        <f>+IFERROR(VLOOKUP(Fact_Contabilidad[[#This Row],[Concepto Anterior]],Conceptos_Contabilidad[#All],5,0),"")</f>
        <v>Facturas contabilizadas Script</v>
      </c>
      <c r="F271" t="str">
        <f ca="1">+IFERROR(VLOOKUP(Fact_Contabilidad[[#This Row],[Concepto Anterior]],Conceptos_Contabilidad[#All],7,0),"")</f>
        <v/>
      </c>
      <c r="G271" s="138" t="s">
        <v>230</v>
      </c>
      <c r="H271" s="138" t="s">
        <v>230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157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52</v>
      </c>
      <c r="E272" t="str">
        <f>+IFERROR(VLOOKUP(Fact_Contabilidad[[#This Row],[Concepto Anterior]],Conceptos_Contabilidad[#All],5,0),"")</f>
        <v>Cuentas Contables Conciliadas</v>
      </c>
      <c r="F272" t="str">
        <f ca="1">+IFERROR(VLOOKUP(Fact_Contabilidad[[#This Row],[Concepto Anterior]],Conceptos_Contabilidad[#All],7,0),"")</f>
        <v/>
      </c>
      <c r="G272" s="138" t="s">
        <v>230</v>
      </c>
      <c r="H272" s="138" t="s">
        <v>230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157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45</v>
      </c>
      <c r="E273" t="str">
        <f>+IFERROR(VLOOKUP(Fact_Contabilidad[[#This Row],[Concepto Anterior]],Conceptos_Contabilidad[#All],5,0),"")</f>
        <v>Facturas Contabilizada</v>
      </c>
      <c r="F273" t="str">
        <f ca="1">+IFERROR(VLOOKUP(Fact_Contabilidad[[#This Row],[Concepto Anterior]],Conceptos_Contabilidad[#All],7,0),"")</f>
        <v/>
      </c>
      <c r="G273" s="138" t="s">
        <v>230</v>
      </c>
      <c r="H273" s="138" t="s">
        <v>230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157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46</v>
      </c>
      <c r="E274" t="str">
        <f>+IFERROR(VLOOKUP(Fact_Contabilidad[[#This Row],[Concepto Anterior]],Conceptos_Contabilidad[#All],5,0),"")</f>
        <v>Facturas Contabilizada</v>
      </c>
      <c r="F274" t="str">
        <f ca="1">+IFERROR(VLOOKUP(Fact_Contabilidad[[#This Row],[Concepto Anterior]],Conceptos_Contabilidad[#All],7,0),"")</f>
        <v/>
      </c>
      <c r="G274" s="138" t="s">
        <v>230</v>
      </c>
      <c r="H274" s="138" t="s">
        <v>230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157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194</v>
      </c>
      <c r="E275" t="str">
        <f>+IFERROR(VLOOKUP(Fact_Contabilidad[[#This Row],[Concepto Anterior]],Conceptos_Contabilidad[#All],5,0),"")</f>
        <v>Facturas Contabilizada</v>
      </c>
      <c r="F275" t="str">
        <f ca="1">+IFERROR(VLOOKUP(Fact_Contabilidad[[#This Row],[Concepto Anterior]],Conceptos_Contabilidad[#All],7,0),"")</f>
        <v/>
      </c>
      <c r="G275" s="138" t="s">
        <v>230</v>
      </c>
      <c r="H275" s="138" t="s">
        <v>230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157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202</v>
      </c>
      <c r="E276" t="str">
        <f>+IFERROR(VLOOKUP(Fact_Contabilidad[[#This Row],[Concepto Anterior]],Conceptos_Contabilidad[#All],5,0),"")</f>
        <v>Facturas Contabilizada</v>
      </c>
      <c r="F276" t="str">
        <f ca="1">+IFERROR(VLOOKUP(Fact_Contabilidad[[#This Row],[Concepto Anterior]],Conceptos_Contabilidad[#All],7,0),"")</f>
        <v/>
      </c>
      <c r="G276" s="138" t="s">
        <v>230</v>
      </c>
      <c r="H276" s="138" t="s">
        <v>230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157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208</v>
      </c>
      <c r="E277" t="str">
        <f>+IFERROR(VLOOKUP(Fact_Contabilidad[[#This Row],[Concepto Anterior]],Conceptos_Contabilidad[#All],5,0),"")</f>
        <v>Facturas Contabilizada</v>
      </c>
      <c r="F277" t="str">
        <f ca="1">+IFERROR(VLOOKUP(Fact_Contabilidad[[#This Row],[Concepto Anterior]],Conceptos_Contabilidad[#All],7,0),"")</f>
        <v/>
      </c>
      <c r="G277" s="138" t="s">
        <v>230</v>
      </c>
      <c r="H277" s="138" t="s">
        <v>230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157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215</v>
      </c>
      <c r="E278" t="str">
        <f>+IFERROR(VLOOKUP(Fact_Contabilidad[[#This Row],[Concepto Anterior]],Conceptos_Contabilidad[#All],5,0),"")</f>
        <v>Facturas Contabilizada</v>
      </c>
      <c r="F278" t="str">
        <f ca="1">+IFERROR(VLOOKUP(Fact_Contabilidad[[#This Row],[Concepto Anterior]],Conceptos_Contabilidad[#All],7,0),"")</f>
        <v/>
      </c>
      <c r="G278" s="138" t="s">
        <v>230</v>
      </c>
      <c r="H278" s="138" t="s">
        <v>230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157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221</v>
      </c>
      <c r="E279" t="str">
        <f>+IFERROR(VLOOKUP(Fact_Contabilidad[[#This Row],[Concepto Anterior]],Conceptos_Contabilidad[#All],5,0),"")</f>
        <v>Facturas Contabilizada</v>
      </c>
      <c r="F279" t="str">
        <f ca="1">+IFERROR(VLOOKUP(Fact_Contabilidad[[#This Row],[Concepto Anterior]],Conceptos_Contabilidad[#All],7,0),"")</f>
        <v/>
      </c>
      <c r="G279" s="138" t="s">
        <v>230</v>
      </c>
      <c r="H279" s="138" t="s">
        <v>230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157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228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 ca="1">+IFERROR(VLOOKUP(Fact_Contabilidad[[#This Row],[Concepto Anterior]],Conceptos_Contabilidad[#All],7,0),"")</f>
        <v/>
      </c>
      <c r="G280" s="138" t="s">
        <v>230</v>
      </c>
      <c r="H280" s="138" t="s">
        <v>230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157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233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 ca="1">+IFERROR(VLOOKUP(Fact_Contabilidad[[#This Row],[Concepto Anterior]],Conceptos_Contabilidad[#All],7,0),"")</f>
        <v/>
      </c>
      <c r="G281" s="138" t="s">
        <v>230</v>
      </c>
      <c r="H281" s="138" t="s">
        <v>230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157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153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 ca="1">+IFERROR(VLOOKUP(Fact_Contabilidad[[#This Row],[Concepto Anterior]],Conceptos_Contabilidad[#All],7,0),"")</f>
        <v/>
      </c>
      <c r="G282" s="138" t="s">
        <v>230</v>
      </c>
      <c r="H282" s="138" t="s">
        <v>230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157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237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 ca="1">+IFERROR(VLOOKUP(Fact_Contabilidad[[#This Row],[Concepto Anterior]],Conceptos_Contabilidad[#All],7,0),"")</f>
        <v/>
      </c>
      <c r="G283" s="138" t="s">
        <v>230</v>
      </c>
      <c r="H283" s="138" t="s">
        <v>230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157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170</v>
      </c>
      <c r="E284" t="str">
        <f>+IFERROR(VLOOKUP(Fact_Contabilidad[[#This Row],[Concepto Anterior]],Conceptos_Contabilidad[#All],5,0),"")</f>
        <v>Informes Contables</v>
      </c>
      <c r="F284" t="str">
        <f ca="1">+IFERROR(VLOOKUP(Fact_Contabilidad[[#This Row],[Concepto Anterior]],Conceptos_Contabilidad[#All],7,0),"")</f>
        <v/>
      </c>
      <c r="G284" s="138" t="s">
        <v>230</v>
      </c>
      <c r="H284" s="138" t="s">
        <v>230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157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79</v>
      </c>
      <c r="E285" t="str">
        <f>+IFERROR(VLOOKUP(Fact_Contabilidad[[#This Row],[Concepto Anterior]],Conceptos_Contabilidad[#All],5,0),"")</f>
        <v>Numero de razones sociales atendidas directas</v>
      </c>
      <c r="F285" t="str">
        <f ca="1">+IFERROR(VLOOKUP(Fact_Contabilidad[[#This Row],[Concepto Anterior]],Conceptos_Contabilidad[#All],7,0),"")</f>
        <v/>
      </c>
      <c r="G285" s="138" t="s">
        <v>230</v>
      </c>
      <c r="H285" s="138" t="s">
        <v>230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157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243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 ca="1">+IFERROR(VLOOKUP(Fact_Contabilidad[[#This Row],[Concepto Anterior]],Conceptos_Contabilidad[#All],7,0),"")</f>
        <v/>
      </c>
      <c r="G286" s="138" t="s">
        <v>230</v>
      </c>
      <c r="H286" s="138" t="s">
        <v>230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157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51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 ca="1">+IFERROR(VLOOKUP(Fact_Contabilidad[[#This Row],[Concepto Anterior]],Conceptos_Contabilidad[#All],7,0),"")</f>
        <v/>
      </c>
      <c r="G287" s="138" t="s">
        <v>230</v>
      </c>
      <c r="H287" s="138" t="s">
        <v>230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157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246</v>
      </c>
      <c r="E288" t="str">
        <f>+IFERROR(VLOOKUP(Fact_Contabilidad[[#This Row],[Concepto Anterior]],Conceptos_Contabilidad[#All],5,0),"")</f>
        <v>Activos fijos creados Comodín</v>
      </c>
      <c r="F288" t="str">
        <f ca="1">+IFERROR(VLOOKUP(Fact_Contabilidad[[#This Row],[Concepto Anterior]],Conceptos_Contabilidad[#All],7,0),"")</f>
        <v/>
      </c>
      <c r="G288" s="138" t="s">
        <v>230</v>
      </c>
      <c r="H288" s="138" t="s">
        <v>230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157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249</v>
      </c>
      <c r="E289" t="str">
        <f>+IFERROR(VLOOKUP(Fact_Contabilidad[[#This Row],[Concepto Anterior]],Conceptos_Contabilidad[#All],5,0),"")</f>
        <v>Activos fijos creados Dogama</v>
      </c>
      <c r="F289" t="str">
        <f ca="1">+IFERROR(VLOOKUP(Fact_Contabilidad[[#This Row],[Concepto Anterior]],Conceptos_Contabilidad[#All],7,0),"")</f>
        <v/>
      </c>
      <c r="G289" s="138" t="s">
        <v>230</v>
      </c>
      <c r="H289" s="138" t="s">
        <v>230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157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252</v>
      </c>
      <c r="E290" t="str">
        <f>+IFERROR(VLOOKUP(Fact_Contabilidad[[#This Row],[Concepto Anterior]],Conceptos_Contabilidad[#All],5,0),"")</f>
        <v>Instructivos en proceso</v>
      </c>
      <c r="F290" t="str">
        <f ca="1">+IFERROR(VLOOKUP(Fact_Contabilidad[[#This Row],[Concepto Anterior]],Conceptos_Contabilidad[#All],7,0),"")</f>
        <v/>
      </c>
      <c r="G290" s="138" t="s">
        <v>230</v>
      </c>
      <c r="H290" s="138" t="s">
        <v>230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157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255</v>
      </c>
      <c r="E291" t="str">
        <f>+IFERROR(VLOOKUP(Fact_Contabilidad[[#This Row],[Concepto Anterior]],Conceptos_Contabilidad[#All],5,0),"")</f>
        <v>Instructivos en validación PMO</v>
      </c>
      <c r="F291" t="str">
        <f ca="1">+IFERROR(VLOOKUP(Fact_Contabilidad[[#This Row],[Concepto Anterior]],Conceptos_Contabilidad[#All],7,0),"")</f>
        <v/>
      </c>
      <c r="G291" s="138" t="s">
        <v>230</v>
      </c>
      <c r="H291" s="138" t="s">
        <v>230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157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258</v>
      </c>
      <c r="E292" t="str">
        <f>+IFERROR(VLOOKUP(Fact_Contabilidad[[#This Row],[Concepto Anterior]],Conceptos_Contabilidad[#All],5,0),"")</f>
        <v>Instructivos aprobados</v>
      </c>
      <c r="F292" t="str">
        <f ca="1">+IFERROR(VLOOKUP(Fact_Contabilidad[[#This Row],[Concepto Anterior]],Conceptos_Contabilidad[#All],7,0),"")</f>
        <v/>
      </c>
      <c r="G292" s="138" t="s">
        <v>230</v>
      </c>
      <c r="H292" s="138" t="s">
        <v>230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157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261</v>
      </c>
      <c r="E293" t="str">
        <f>+IFERROR(VLOOKUP(Fact_Contabilidad[[#This Row],[Concepto Anterior]],Conceptos_Contabilidad[#All],5,0),"")</f>
        <v>Políticas en proceso</v>
      </c>
      <c r="F293" t="str">
        <f ca="1">+IFERROR(VLOOKUP(Fact_Contabilidad[[#This Row],[Concepto Anterior]],Conceptos_Contabilidad[#All],7,0),"")</f>
        <v/>
      </c>
      <c r="G293" s="138" t="s">
        <v>230</v>
      </c>
      <c r="H293" s="138" t="s">
        <v>230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157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263</v>
      </c>
      <c r="E294" t="str">
        <f>+IFERROR(VLOOKUP(Fact_Contabilidad[[#This Row],[Concepto Anterior]],Conceptos_Contabilidad[#All],5,0),"")</f>
        <v>Políticas aprobadas</v>
      </c>
      <c r="F294" t="str">
        <f ca="1">+IFERROR(VLOOKUP(Fact_Contabilidad[[#This Row],[Concepto Anterior]],Conceptos_Contabilidad[#All],7,0),"")</f>
        <v/>
      </c>
      <c r="G294" s="138" t="s">
        <v>230</v>
      </c>
      <c r="H294" s="138" t="s">
        <v>230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157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265</v>
      </c>
      <c r="E295" t="str">
        <f>+IFERROR(VLOOKUP(Fact_Contabilidad[[#This Row],[Concepto Anterior]],Conceptos_Contabilidad[#All],5,0),"")</f>
        <v>Facturas contabilizadas Triplematch</v>
      </c>
      <c r="F295" t="str">
        <f ca="1">+IFERROR(VLOOKUP(Fact_Contabilidad[[#This Row],[Concepto Anterior]],Conceptos_Contabilidad[#All],7,0),"")</f>
        <v/>
      </c>
      <c r="G295" s="138" t="s">
        <v>230</v>
      </c>
      <c r="H295" s="138" t="s">
        <v>230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157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267</v>
      </c>
      <c r="E296" t="str">
        <f>+IFERROR(VLOOKUP(Fact_Contabilidad[[#This Row],[Concepto Anterior]],Conceptos_Contabilidad[#All],5,0),"")</f>
        <v>Facturas contabilizadas Script</v>
      </c>
      <c r="F296" t="str">
        <f ca="1">+IFERROR(VLOOKUP(Fact_Contabilidad[[#This Row],[Concepto Anterior]],Conceptos_Contabilidad[#All],7,0),"")</f>
        <v/>
      </c>
      <c r="G296" s="138" t="s">
        <v>230</v>
      </c>
      <c r="H296" s="138" t="s">
        <v>230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165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52</v>
      </c>
      <c r="E297" t="str">
        <f>+IFERROR(VLOOKUP(Fact_Contabilidad[[#This Row],[Concepto Anterior]],Conceptos_Contabilidad[#All],5,0),"")</f>
        <v>Cuentas Contables Conciliadas</v>
      </c>
      <c r="F297" t="str">
        <f ca="1">+IFERROR(VLOOKUP(Fact_Contabilidad[[#This Row],[Concepto Anterior]],Conceptos_Contabilidad[#All],7,0),"")</f>
        <v/>
      </c>
      <c r="G297" s="138" t="s">
        <v>230</v>
      </c>
      <c r="H297" s="138" t="s">
        <v>230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165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45</v>
      </c>
      <c r="E298" t="str">
        <f>+IFERROR(VLOOKUP(Fact_Contabilidad[[#This Row],[Concepto Anterior]],Conceptos_Contabilidad[#All],5,0),"")</f>
        <v>Facturas Contabilizada</v>
      </c>
      <c r="F298" t="str">
        <f ca="1">+IFERROR(VLOOKUP(Fact_Contabilidad[[#This Row],[Concepto Anterior]],Conceptos_Contabilidad[#All],7,0),"")</f>
        <v/>
      </c>
      <c r="G298" s="138" t="s">
        <v>230</v>
      </c>
      <c r="H298" s="138" t="s">
        <v>230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165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46</v>
      </c>
      <c r="E299" t="str">
        <f>+IFERROR(VLOOKUP(Fact_Contabilidad[[#This Row],[Concepto Anterior]],Conceptos_Contabilidad[#All],5,0),"")</f>
        <v>Facturas Contabilizada</v>
      </c>
      <c r="F299" t="str">
        <f ca="1">+IFERROR(VLOOKUP(Fact_Contabilidad[[#This Row],[Concepto Anterior]],Conceptos_Contabilidad[#All],7,0),"")</f>
        <v/>
      </c>
      <c r="G299" s="138" t="s">
        <v>230</v>
      </c>
      <c r="H299" s="138" t="s">
        <v>230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165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194</v>
      </c>
      <c r="E300" t="str">
        <f>+IFERROR(VLOOKUP(Fact_Contabilidad[[#This Row],[Concepto Anterior]],Conceptos_Contabilidad[#All],5,0),"")</f>
        <v>Facturas Contabilizada</v>
      </c>
      <c r="F300" t="str">
        <f ca="1">+IFERROR(VLOOKUP(Fact_Contabilidad[[#This Row],[Concepto Anterior]],Conceptos_Contabilidad[#All],7,0),"")</f>
        <v/>
      </c>
      <c r="G300" s="138" t="s">
        <v>230</v>
      </c>
      <c r="H300" s="138" t="s">
        <v>230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165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202</v>
      </c>
      <c r="E301" t="str">
        <f>+IFERROR(VLOOKUP(Fact_Contabilidad[[#This Row],[Concepto Anterior]],Conceptos_Contabilidad[#All],5,0),"")</f>
        <v>Facturas Contabilizada</v>
      </c>
      <c r="F301" t="str">
        <f ca="1">+IFERROR(VLOOKUP(Fact_Contabilidad[[#This Row],[Concepto Anterior]],Conceptos_Contabilidad[#All],7,0),"")</f>
        <v/>
      </c>
      <c r="G301" s="138" t="s">
        <v>230</v>
      </c>
      <c r="H301" s="138" t="s">
        <v>230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165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208</v>
      </c>
      <c r="E302" t="str">
        <f>+IFERROR(VLOOKUP(Fact_Contabilidad[[#This Row],[Concepto Anterior]],Conceptos_Contabilidad[#All],5,0),"")</f>
        <v>Facturas Contabilizada</v>
      </c>
      <c r="F302" t="str">
        <f ca="1">+IFERROR(VLOOKUP(Fact_Contabilidad[[#This Row],[Concepto Anterior]],Conceptos_Contabilidad[#All],7,0),"")</f>
        <v/>
      </c>
      <c r="G302" s="138" t="s">
        <v>230</v>
      </c>
      <c r="H302" s="138" t="s">
        <v>230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165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215</v>
      </c>
      <c r="E303" t="str">
        <f>+IFERROR(VLOOKUP(Fact_Contabilidad[[#This Row],[Concepto Anterior]],Conceptos_Contabilidad[#All],5,0),"")</f>
        <v>Facturas Contabilizada</v>
      </c>
      <c r="F303" t="str">
        <f ca="1">+IFERROR(VLOOKUP(Fact_Contabilidad[[#This Row],[Concepto Anterior]],Conceptos_Contabilidad[#All],7,0),"")</f>
        <v/>
      </c>
      <c r="G303" s="138" t="s">
        <v>230</v>
      </c>
      <c r="H303" s="138" t="s">
        <v>230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165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221</v>
      </c>
      <c r="E304" t="str">
        <f>+IFERROR(VLOOKUP(Fact_Contabilidad[[#This Row],[Concepto Anterior]],Conceptos_Contabilidad[#All],5,0),"")</f>
        <v>Facturas Contabilizada</v>
      </c>
      <c r="F304" t="str">
        <f ca="1">+IFERROR(VLOOKUP(Fact_Contabilidad[[#This Row],[Concepto Anterior]],Conceptos_Contabilidad[#All],7,0),"")</f>
        <v/>
      </c>
      <c r="G304" s="138" t="s">
        <v>230</v>
      </c>
      <c r="H304" s="138" t="s">
        <v>230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165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228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 ca="1">+IFERROR(VLOOKUP(Fact_Contabilidad[[#This Row],[Concepto Anterior]],Conceptos_Contabilidad[#All],7,0),"")</f>
        <v/>
      </c>
      <c r="G305" s="138" t="s">
        <v>230</v>
      </c>
      <c r="H305" s="138" t="s">
        <v>230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165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233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 ca="1">+IFERROR(VLOOKUP(Fact_Contabilidad[[#This Row],[Concepto Anterior]],Conceptos_Contabilidad[#All],7,0),"")</f>
        <v/>
      </c>
      <c r="G306" s="138" t="s">
        <v>230</v>
      </c>
      <c r="H306" s="138" t="s">
        <v>230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165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153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 ca="1">+IFERROR(VLOOKUP(Fact_Contabilidad[[#This Row],[Concepto Anterior]],Conceptos_Contabilidad[#All],7,0),"")</f>
        <v/>
      </c>
      <c r="G307" s="138" t="s">
        <v>230</v>
      </c>
      <c r="H307" s="138" t="s">
        <v>230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165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237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 ca="1">+IFERROR(VLOOKUP(Fact_Contabilidad[[#This Row],[Concepto Anterior]],Conceptos_Contabilidad[#All],7,0),"")</f>
        <v/>
      </c>
      <c r="G308" s="138" t="s">
        <v>230</v>
      </c>
      <c r="H308" s="138" t="s">
        <v>230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165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170</v>
      </c>
      <c r="E309" t="str">
        <f>+IFERROR(VLOOKUP(Fact_Contabilidad[[#This Row],[Concepto Anterior]],Conceptos_Contabilidad[#All],5,0),"")</f>
        <v>Informes Contables</v>
      </c>
      <c r="F309" t="str">
        <f ca="1">+IFERROR(VLOOKUP(Fact_Contabilidad[[#This Row],[Concepto Anterior]],Conceptos_Contabilidad[#All],7,0),"")</f>
        <v/>
      </c>
      <c r="G309" s="138" t="s">
        <v>230</v>
      </c>
      <c r="H309" s="138" t="s">
        <v>230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165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79</v>
      </c>
      <c r="E310" t="str">
        <f>+IFERROR(VLOOKUP(Fact_Contabilidad[[#This Row],[Concepto Anterior]],Conceptos_Contabilidad[#All],5,0),"")</f>
        <v>Numero de razones sociales atendidas directas</v>
      </c>
      <c r="F310" t="str">
        <f ca="1">+IFERROR(VLOOKUP(Fact_Contabilidad[[#This Row],[Concepto Anterior]],Conceptos_Contabilidad[#All],7,0),"")</f>
        <v/>
      </c>
      <c r="G310" s="138" t="s">
        <v>230</v>
      </c>
      <c r="H310" s="138" t="s">
        <v>230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165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243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 ca="1">+IFERROR(VLOOKUP(Fact_Contabilidad[[#This Row],[Concepto Anterior]],Conceptos_Contabilidad[#All],7,0),"")</f>
        <v/>
      </c>
      <c r="G311" s="138" t="s">
        <v>230</v>
      </c>
      <c r="H311" s="138" t="s">
        <v>230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165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51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 ca="1">+IFERROR(VLOOKUP(Fact_Contabilidad[[#This Row],[Concepto Anterior]],Conceptos_Contabilidad[#All],7,0),"")</f>
        <v/>
      </c>
      <c r="G312" s="138" t="s">
        <v>230</v>
      </c>
      <c r="H312" s="138" t="s">
        <v>230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165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246</v>
      </c>
      <c r="E313" t="str">
        <f>+IFERROR(VLOOKUP(Fact_Contabilidad[[#This Row],[Concepto Anterior]],Conceptos_Contabilidad[#All],5,0),"")</f>
        <v>Activos fijos creados Comodín</v>
      </c>
      <c r="F313" t="str">
        <f ca="1">+IFERROR(VLOOKUP(Fact_Contabilidad[[#This Row],[Concepto Anterior]],Conceptos_Contabilidad[#All],7,0),"")</f>
        <v/>
      </c>
      <c r="G313" s="138" t="s">
        <v>230</v>
      </c>
      <c r="H313" s="138" t="s">
        <v>230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165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249</v>
      </c>
      <c r="E314" t="str">
        <f>+IFERROR(VLOOKUP(Fact_Contabilidad[[#This Row],[Concepto Anterior]],Conceptos_Contabilidad[#All],5,0),"")</f>
        <v>Activos fijos creados Dogama</v>
      </c>
      <c r="F314" t="str">
        <f ca="1">+IFERROR(VLOOKUP(Fact_Contabilidad[[#This Row],[Concepto Anterior]],Conceptos_Contabilidad[#All],7,0),"")</f>
        <v/>
      </c>
      <c r="G314" s="138" t="s">
        <v>230</v>
      </c>
      <c r="H314" s="138" t="s">
        <v>230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165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252</v>
      </c>
      <c r="E315" t="str">
        <f>+IFERROR(VLOOKUP(Fact_Contabilidad[[#This Row],[Concepto Anterior]],Conceptos_Contabilidad[#All],5,0),"")</f>
        <v>Instructivos en proceso</v>
      </c>
      <c r="F315" t="str">
        <f ca="1">+IFERROR(VLOOKUP(Fact_Contabilidad[[#This Row],[Concepto Anterior]],Conceptos_Contabilidad[#All],7,0),"")</f>
        <v/>
      </c>
      <c r="G315" s="138" t="s">
        <v>230</v>
      </c>
      <c r="H315" s="138" t="s">
        <v>230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165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255</v>
      </c>
      <c r="E316" t="str">
        <f>+IFERROR(VLOOKUP(Fact_Contabilidad[[#This Row],[Concepto Anterior]],Conceptos_Contabilidad[#All],5,0),"")</f>
        <v>Instructivos en validación PMO</v>
      </c>
      <c r="F316" t="str">
        <f ca="1">+IFERROR(VLOOKUP(Fact_Contabilidad[[#This Row],[Concepto Anterior]],Conceptos_Contabilidad[#All],7,0),"")</f>
        <v/>
      </c>
      <c r="G316" s="138" t="s">
        <v>230</v>
      </c>
      <c r="H316" s="138" t="s">
        <v>230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165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258</v>
      </c>
      <c r="E317" t="str">
        <f>+IFERROR(VLOOKUP(Fact_Contabilidad[[#This Row],[Concepto Anterior]],Conceptos_Contabilidad[#All],5,0),"")</f>
        <v>Instructivos aprobados</v>
      </c>
      <c r="F317" t="str">
        <f ca="1">+IFERROR(VLOOKUP(Fact_Contabilidad[[#This Row],[Concepto Anterior]],Conceptos_Contabilidad[#All],7,0),"")</f>
        <v/>
      </c>
      <c r="G317" s="138" t="s">
        <v>230</v>
      </c>
      <c r="H317" s="138" t="s">
        <v>230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165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261</v>
      </c>
      <c r="E318" t="str">
        <f>+IFERROR(VLOOKUP(Fact_Contabilidad[[#This Row],[Concepto Anterior]],Conceptos_Contabilidad[#All],5,0),"")</f>
        <v>Políticas en proceso</v>
      </c>
      <c r="F318" t="str">
        <f ca="1">+IFERROR(VLOOKUP(Fact_Contabilidad[[#This Row],[Concepto Anterior]],Conceptos_Contabilidad[#All],7,0),"")</f>
        <v/>
      </c>
      <c r="G318" s="138" t="s">
        <v>230</v>
      </c>
      <c r="H318" s="138" t="s">
        <v>230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165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263</v>
      </c>
      <c r="E319" t="str">
        <f>+IFERROR(VLOOKUP(Fact_Contabilidad[[#This Row],[Concepto Anterior]],Conceptos_Contabilidad[#All],5,0),"")</f>
        <v>Políticas aprobadas</v>
      </c>
      <c r="F319" t="str">
        <f ca="1">+IFERROR(VLOOKUP(Fact_Contabilidad[[#This Row],[Concepto Anterior]],Conceptos_Contabilidad[#All],7,0),"")</f>
        <v/>
      </c>
      <c r="G319" s="138" t="s">
        <v>230</v>
      </c>
      <c r="H319" s="138" t="s">
        <v>230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165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265</v>
      </c>
      <c r="E320" t="str">
        <f>+IFERROR(VLOOKUP(Fact_Contabilidad[[#This Row],[Concepto Anterior]],Conceptos_Contabilidad[#All],5,0),"")</f>
        <v>Facturas contabilizadas Triplematch</v>
      </c>
      <c r="F320" t="str">
        <f ca="1">+IFERROR(VLOOKUP(Fact_Contabilidad[[#This Row],[Concepto Anterior]],Conceptos_Contabilidad[#All],7,0),"")</f>
        <v/>
      </c>
      <c r="G320" s="138" t="s">
        <v>230</v>
      </c>
      <c r="H320" s="138" t="s">
        <v>230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165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267</v>
      </c>
      <c r="E321" t="str">
        <f>+IFERROR(VLOOKUP(Fact_Contabilidad[[#This Row],[Concepto Anterior]],Conceptos_Contabilidad[#All],5,0),"")</f>
        <v>Facturas contabilizadas Script</v>
      </c>
      <c r="F321" t="str">
        <f ca="1">+IFERROR(VLOOKUP(Fact_Contabilidad[[#This Row],[Concepto Anterior]],Conceptos_Contabilidad[#All],7,0),"")</f>
        <v/>
      </c>
      <c r="G321" s="138" t="s">
        <v>230</v>
      </c>
      <c r="H321" s="138" t="s">
        <v>230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52</v>
      </c>
      <c r="E322" t="str">
        <f>+IFERROR(VLOOKUP(Fact_Contabilidad[[#This Row],[Concepto Anterior]],Conceptos_Contabilidad[#All],5,0),"")</f>
        <v>Cuentas Contables Conciliadas</v>
      </c>
      <c r="F322" t="str">
        <f ca="1">+IFERROR(VLOOKUP(Fact_Contabilidad[[#This Row],[Concepto Anterior]],Conceptos_Contabilidad[#All],7,0),"")</f>
        <v/>
      </c>
      <c r="G322" s="138" t="s">
        <v>230</v>
      </c>
      <c r="H322" s="138" t="s">
        <v>230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45</v>
      </c>
      <c r="E323" t="str">
        <f>+IFERROR(VLOOKUP(Fact_Contabilidad[[#This Row],[Concepto Anterior]],Conceptos_Contabilidad[#All],5,0),"")</f>
        <v>Facturas Contabilizada</v>
      </c>
      <c r="F323" t="str">
        <f ca="1">+IFERROR(VLOOKUP(Fact_Contabilidad[[#This Row],[Concepto Anterior]],Conceptos_Contabilidad[#All],7,0),"")</f>
        <v/>
      </c>
      <c r="G323" s="138" t="s">
        <v>230</v>
      </c>
      <c r="H323" s="138" t="s">
        <v>230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46</v>
      </c>
      <c r="E324" t="str">
        <f>+IFERROR(VLOOKUP(Fact_Contabilidad[[#This Row],[Concepto Anterior]],Conceptos_Contabilidad[#All],5,0),"")</f>
        <v>Facturas Contabilizada</v>
      </c>
      <c r="F324" t="str">
        <f ca="1">+IFERROR(VLOOKUP(Fact_Contabilidad[[#This Row],[Concepto Anterior]],Conceptos_Contabilidad[#All],7,0),"")</f>
        <v/>
      </c>
      <c r="G324" s="138" t="s">
        <v>230</v>
      </c>
      <c r="H324" s="138" t="s">
        <v>230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194</v>
      </c>
      <c r="E325" t="str">
        <f>+IFERROR(VLOOKUP(Fact_Contabilidad[[#This Row],[Concepto Anterior]],Conceptos_Contabilidad[#All],5,0),"")</f>
        <v>Facturas Contabilizada</v>
      </c>
      <c r="F325" t="str">
        <f ca="1">+IFERROR(VLOOKUP(Fact_Contabilidad[[#This Row],[Concepto Anterior]],Conceptos_Contabilidad[#All],7,0),"")</f>
        <v/>
      </c>
      <c r="G325" s="138" t="s">
        <v>230</v>
      </c>
      <c r="H325" s="138" t="s">
        <v>230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202</v>
      </c>
      <c r="E326" t="str">
        <f>+IFERROR(VLOOKUP(Fact_Contabilidad[[#This Row],[Concepto Anterior]],Conceptos_Contabilidad[#All],5,0),"")</f>
        <v>Facturas Contabilizada</v>
      </c>
      <c r="F326" t="str">
        <f ca="1">+IFERROR(VLOOKUP(Fact_Contabilidad[[#This Row],[Concepto Anterior]],Conceptos_Contabilidad[#All],7,0),"")</f>
        <v/>
      </c>
      <c r="G326" s="138" t="s">
        <v>230</v>
      </c>
      <c r="H326" s="138" t="s">
        <v>230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208</v>
      </c>
      <c r="E327" t="str">
        <f>+IFERROR(VLOOKUP(Fact_Contabilidad[[#This Row],[Concepto Anterior]],Conceptos_Contabilidad[#All],5,0),"")</f>
        <v>Facturas Contabilizada</v>
      </c>
      <c r="F327" t="str">
        <f ca="1">+IFERROR(VLOOKUP(Fact_Contabilidad[[#This Row],[Concepto Anterior]],Conceptos_Contabilidad[#All],7,0),"")</f>
        <v/>
      </c>
      <c r="G327" s="138" t="s">
        <v>230</v>
      </c>
      <c r="H327" s="138" t="s">
        <v>230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215</v>
      </c>
      <c r="E328" t="str">
        <f>+IFERROR(VLOOKUP(Fact_Contabilidad[[#This Row],[Concepto Anterior]],Conceptos_Contabilidad[#All],5,0),"")</f>
        <v>Facturas Contabilizada</v>
      </c>
      <c r="F328" t="str">
        <f ca="1">+IFERROR(VLOOKUP(Fact_Contabilidad[[#This Row],[Concepto Anterior]],Conceptos_Contabilidad[#All],7,0),"")</f>
        <v/>
      </c>
      <c r="G328" s="138" t="s">
        <v>230</v>
      </c>
      <c r="H328" s="138" t="s">
        <v>230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221</v>
      </c>
      <c r="E329" t="str">
        <f>+IFERROR(VLOOKUP(Fact_Contabilidad[[#This Row],[Concepto Anterior]],Conceptos_Contabilidad[#All],5,0),"")</f>
        <v>Facturas Contabilizada</v>
      </c>
      <c r="F329" t="str">
        <f ca="1">+IFERROR(VLOOKUP(Fact_Contabilidad[[#This Row],[Concepto Anterior]],Conceptos_Contabilidad[#All],7,0),"")</f>
        <v/>
      </c>
      <c r="G329" s="138" t="s">
        <v>230</v>
      </c>
      <c r="H329" s="138" t="s">
        <v>230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228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 ca="1">+IFERROR(VLOOKUP(Fact_Contabilidad[[#This Row],[Concepto Anterior]],Conceptos_Contabilidad[#All],7,0),"")</f>
        <v/>
      </c>
      <c r="G330" s="138" t="s">
        <v>230</v>
      </c>
      <c r="H330" s="138" t="s">
        <v>230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233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 ca="1">+IFERROR(VLOOKUP(Fact_Contabilidad[[#This Row],[Concepto Anterior]],Conceptos_Contabilidad[#All],7,0),"")</f>
        <v/>
      </c>
      <c r="G331" s="138" t="s">
        <v>230</v>
      </c>
      <c r="H331" s="138" t="s">
        <v>230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153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 ca="1">+IFERROR(VLOOKUP(Fact_Contabilidad[[#This Row],[Concepto Anterior]],Conceptos_Contabilidad[#All],7,0),"")</f>
        <v/>
      </c>
      <c r="G332" s="138" t="s">
        <v>230</v>
      </c>
      <c r="H332" s="138" t="s">
        <v>230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237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 ca="1">+IFERROR(VLOOKUP(Fact_Contabilidad[[#This Row],[Concepto Anterior]],Conceptos_Contabilidad[#All],7,0),"")</f>
        <v/>
      </c>
      <c r="G333" s="138" t="s">
        <v>230</v>
      </c>
      <c r="H333" s="138" t="s">
        <v>230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170</v>
      </c>
      <c r="E334" t="str">
        <f>+IFERROR(VLOOKUP(Fact_Contabilidad[[#This Row],[Concepto Anterior]],Conceptos_Contabilidad[#All],5,0),"")</f>
        <v>Informes Contables</v>
      </c>
      <c r="F334" t="str">
        <f ca="1">+IFERROR(VLOOKUP(Fact_Contabilidad[[#This Row],[Concepto Anterior]],Conceptos_Contabilidad[#All],7,0),"")</f>
        <v/>
      </c>
      <c r="G334" s="138" t="s">
        <v>230</v>
      </c>
      <c r="H334" s="138" t="s">
        <v>230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79</v>
      </c>
      <c r="E335" t="str">
        <f>+IFERROR(VLOOKUP(Fact_Contabilidad[[#This Row],[Concepto Anterior]],Conceptos_Contabilidad[#All],5,0),"")</f>
        <v>Numero de razones sociales atendidas directas</v>
      </c>
      <c r="F335" t="str">
        <f ca="1">+IFERROR(VLOOKUP(Fact_Contabilidad[[#This Row],[Concepto Anterior]],Conceptos_Contabilidad[#All],7,0),"")</f>
        <v/>
      </c>
      <c r="G335" s="138" t="s">
        <v>230</v>
      </c>
      <c r="H335" s="138" t="s">
        <v>230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243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 ca="1">+IFERROR(VLOOKUP(Fact_Contabilidad[[#This Row],[Concepto Anterior]],Conceptos_Contabilidad[#All],7,0),"")</f>
        <v/>
      </c>
      <c r="G336" s="138" t="s">
        <v>230</v>
      </c>
      <c r="H336" s="138" t="s">
        <v>230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51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 ca="1">+IFERROR(VLOOKUP(Fact_Contabilidad[[#This Row],[Concepto Anterior]],Conceptos_Contabilidad[#All],7,0),"")</f>
        <v/>
      </c>
      <c r="G337" s="138" t="s">
        <v>230</v>
      </c>
      <c r="H337" s="138" t="s">
        <v>230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246</v>
      </c>
      <c r="E338" t="str">
        <f>+IFERROR(VLOOKUP(Fact_Contabilidad[[#This Row],[Concepto Anterior]],Conceptos_Contabilidad[#All],5,0),"")</f>
        <v>Activos fijos creados Comodín</v>
      </c>
      <c r="F338" t="str">
        <f ca="1">+IFERROR(VLOOKUP(Fact_Contabilidad[[#This Row],[Concepto Anterior]],Conceptos_Contabilidad[#All],7,0),"")</f>
        <v/>
      </c>
      <c r="G338" s="138" t="s">
        <v>230</v>
      </c>
      <c r="H338" s="138" t="s">
        <v>230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249</v>
      </c>
      <c r="E339" t="str">
        <f>+IFERROR(VLOOKUP(Fact_Contabilidad[[#This Row],[Concepto Anterior]],Conceptos_Contabilidad[#All],5,0),"")</f>
        <v>Activos fijos creados Dogama</v>
      </c>
      <c r="F339" t="str">
        <f ca="1">+IFERROR(VLOOKUP(Fact_Contabilidad[[#This Row],[Concepto Anterior]],Conceptos_Contabilidad[#All],7,0),"")</f>
        <v/>
      </c>
      <c r="G339" s="138" t="s">
        <v>230</v>
      </c>
      <c r="H339" s="138" t="s">
        <v>230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252</v>
      </c>
      <c r="E340" t="str">
        <f>+IFERROR(VLOOKUP(Fact_Contabilidad[[#This Row],[Concepto Anterior]],Conceptos_Contabilidad[#All],5,0),"")</f>
        <v>Instructivos en proceso</v>
      </c>
      <c r="F340" t="str">
        <f ca="1">+IFERROR(VLOOKUP(Fact_Contabilidad[[#This Row],[Concepto Anterior]],Conceptos_Contabilidad[#All],7,0),"")</f>
        <v/>
      </c>
      <c r="G340" s="138" t="s">
        <v>230</v>
      </c>
      <c r="H340" s="138" t="s">
        <v>230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255</v>
      </c>
      <c r="E341" t="str">
        <f>+IFERROR(VLOOKUP(Fact_Contabilidad[[#This Row],[Concepto Anterior]],Conceptos_Contabilidad[#All],5,0),"")</f>
        <v>Instructivos en validación PMO</v>
      </c>
      <c r="F341" t="str">
        <f ca="1">+IFERROR(VLOOKUP(Fact_Contabilidad[[#This Row],[Concepto Anterior]],Conceptos_Contabilidad[#All],7,0),"")</f>
        <v/>
      </c>
      <c r="G341" s="138" t="s">
        <v>230</v>
      </c>
      <c r="H341" s="138" t="s">
        <v>230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258</v>
      </c>
      <c r="E342" t="str">
        <f>+IFERROR(VLOOKUP(Fact_Contabilidad[[#This Row],[Concepto Anterior]],Conceptos_Contabilidad[#All],5,0),"")</f>
        <v>Instructivos aprobados</v>
      </c>
      <c r="F342" t="str">
        <f ca="1">+IFERROR(VLOOKUP(Fact_Contabilidad[[#This Row],[Concepto Anterior]],Conceptos_Contabilidad[#All],7,0),"")</f>
        <v/>
      </c>
      <c r="G342" s="138" t="s">
        <v>230</v>
      </c>
      <c r="H342" s="138" t="s">
        <v>230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261</v>
      </c>
      <c r="E343" t="str">
        <f>+IFERROR(VLOOKUP(Fact_Contabilidad[[#This Row],[Concepto Anterior]],Conceptos_Contabilidad[#All],5,0),"")</f>
        <v>Políticas en proceso</v>
      </c>
      <c r="F343" t="str">
        <f ca="1">+IFERROR(VLOOKUP(Fact_Contabilidad[[#This Row],[Concepto Anterior]],Conceptos_Contabilidad[#All],7,0),"")</f>
        <v/>
      </c>
      <c r="G343" s="138" t="s">
        <v>230</v>
      </c>
      <c r="H343" s="138" t="s">
        <v>230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263</v>
      </c>
      <c r="E344" t="str">
        <f>+IFERROR(VLOOKUP(Fact_Contabilidad[[#This Row],[Concepto Anterior]],Conceptos_Contabilidad[#All],5,0),"")</f>
        <v>Políticas aprobadas</v>
      </c>
      <c r="F344" t="str">
        <f ca="1">+IFERROR(VLOOKUP(Fact_Contabilidad[[#This Row],[Concepto Anterior]],Conceptos_Contabilidad[#All],7,0),"")</f>
        <v/>
      </c>
      <c r="G344" s="138" t="s">
        <v>230</v>
      </c>
      <c r="H344" s="138" t="s">
        <v>230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265</v>
      </c>
      <c r="E345" t="str">
        <f>+IFERROR(VLOOKUP(Fact_Contabilidad[[#This Row],[Concepto Anterior]],Conceptos_Contabilidad[#All],5,0),"")</f>
        <v>Facturas contabilizadas Triplematch</v>
      </c>
      <c r="F345" t="str">
        <f ca="1">+IFERROR(VLOOKUP(Fact_Contabilidad[[#This Row],[Concepto Anterior]],Conceptos_Contabilidad[#All],7,0),"")</f>
        <v/>
      </c>
      <c r="G345" s="138" t="s">
        <v>230</v>
      </c>
      <c r="H345" s="138" t="s">
        <v>230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267</v>
      </c>
      <c r="E346" t="str">
        <f>+IFERROR(VLOOKUP(Fact_Contabilidad[[#This Row],[Concepto Anterior]],Conceptos_Contabilidad[#All],5,0),"")</f>
        <v>Facturas contabilizadas Script</v>
      </c>
      <c r="F346" t="str">
        <f ca="1">+IFERROR(VLOOKUP(Fact_Contabilidad[[#This Row],[Concepto Anterior]],Conceptos_Contabilidad[#All],7,0),"")</f>
        <v/>
      </c>
      <c r="G346" s="138" t="s">
        <v>230</v>
      </c>
      <c r="H346" s="138" t="s">
        <v>230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113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 ca="1">+IFERROR(VLOOKUP(Fact_Control_Operaciones[[#This Row],[Concepto Anterior]],Conceptos_Control_Operaciones[#All],7,0),"")</f>
        <v/>
      </c>
      <c r="G2" s="138" t="s">
        <v>230</v>
      </c>
      <c r="H2" s="138" t="s">
        <v>230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105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54</v>
      </c>
      <c r="E3" t="str">
        <f>+IFERROR(VLOOKUP(Fact_Control_Operaciones[[#This Row],[Concepto Anterior]],Conceptos_Control_Operaciones[#All],5,0),"")</f>
        <v>Arqueos​</v>
      </c>
      <c r="F3" t="str">
        <f ca="1">+IFERROR(VLOOKUP(Fact_Control_Operaciones[[#This Row],[Concepto Anterior]],Conceptos_Control_Operaciones[#All],7,0),"")</f>
        <v/>
      </c>
      <c r="G3" s="138" t="s">
        <v>230</v>
      </c>
      <c r="H3" s="138" t="s">
        <v>230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105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127</v>
      </c>
      <c r="E4" t="str">
        <f>+IFERROR(VLOOKUP(Fact_Control_Operaciones[[#This Row],[Concepto Anterior]],Conceptos_Control_Operaciones[#All],5,0),"")</f>
        <v>Capacitaciones</v>
      </c>
      <c r="F4" t="str">
        <f ca="1">+IFERROR(VLOOKUP(Fact_Control_Operaciones[[#This Row],[Concepto Anterior]],Conceptos_Control_Operaciones[#All],7,0),"")</f>
        <v/>
      </c>
      <c r="G4" s="138" t="s">
        <v>230</v>
      </c>
      <c r="H4" s="138" t="s">
        <v>230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105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56</v>
      </c>
      <c r="E5" t="str">
        <f>+IFERROR(VLOOKUP(Fact_Control_Operaciones[[#This Row],[Concepto Anterior]],Conceptos_Control_Operaciones[#All],5,0),"")</f>
        <v>Causación y Política Caja Menor​</v>
      </c>
      <c r="F5" t="str">
        <f ca="1">+IFERROR(VLOOKUP(Fact_Control_Operaciones[[#This Row],[Concepto Anterior]],Conceptos_Control_Operaciones[#All],7,0),"")</f>
        <v/>
      </c>
      <c r="G5" s="138" t="s">
        <v>230</v>
      </c>
      <c r="H5" s="138" t="s">
        <v>230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105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86</v>
      </c>
      <c r="E6" t="str">
        <f>+IFERROR(VLOOKUP(Fact_Control_Operaciones[[#This Row],[Concepto Anterior]],Conceptos_Control_Operaciones[#All],5,0),"")</f>
        <v>Gasto caja menor deducible</v>
      </c>
      <c r="F6" t="str">
        <f ca="1">+IFERROR(VLOOKUP(Fact_Control_Operaciones[[#This Row],[Concepto Anterior]],Conceptos_Control_Operaciones[#All],7,0),"")</f>
        <v/>
      </c>
      <c r="G6" s="138" t="s">
        <v>230</v>
      </c>
      <c r="H6" s="138" t="s">
        <v>230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105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85</v>
      </c>
      <c r="E7" t="str">
        <f>+IFERROR(VLOOKUP(Fact_Control_Operaciones[[#This Row],[Concepto Anterior]],Conceptos_Control_Operaciones[#All],5,0),"")</f>
        <v>Gasto caja menor no deducible</v>
      </c>
      <c r="F7" t="str">
        <f ca="1">+IFERROR(VLOOKUP(Fact_Control_Operaciones[[#This Row],[Concepto Anterior]],Conceptos_Control_Operaciones[#All],7,0),"")</f>
        <v/>
      </c>
      <c r="G7" s="138" t="s">
        <v>230</v>
      </c>
      <c r="H7" s="138" t="s">
        <v>230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105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162</v>
      </c>
      <c r="E8" t="str">
        <f>+IFERROR(VLOOKUP(Fact_Control_Operaciones[[#This Row],[Concepto Anterior]],Conceptos_Control_Operaciones[#All],5,0),"")</f>
        <v>Gestiones descuadres en caja</v>
      </c>
      <c r="F8" t="str">
        <f ca="1">+IFERROR(VLOOKUP(Fact_Control_Operaciones[[#This Row],[Concepto Anterior]],Conceptos_Control_Operaciones[#All],7,0),"")</f>
        <v/>
      </c>
      <c r="G8" s="138" t="s">
        <v>230</v>
      </c>
      <c r="H8" s="138" t="s">
        <v>230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105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60</v>
      </c>
      <c r="E9" t="str">
        <f>+IFERROR(VLOOKUP(Fact_Control_Operaciones[[#This Row],[Concepto Anterior]],Conceptos_Control_Operaciones[#All],5,0),"")</f>
        <v>Inventarios fisicos​ GS Falabella</v>
      </c>
      <c r="F9" t="str">
        <f ca="1">+IFERROR(VLOOKUP(Fact_Control_Operaciones[[#This Row],[Concepto Anterior]],Conceptos_Control_Operaciones[#All],7,0),"")</f>
        <v/>
      </c>
      <c r="G9" s="138" t="s">
        <v>230</v>
      </c>
      <c r="H9" s="138" t="s">
        <v>230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59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 ca="1">+IFERROR(VLOOKUP(Fact_Control_Operaciones[[#This Row],[Concepto Anterior]],Conceptos_Control_Operaciones[#All],7,0),"")</f>
        <v/>
      </c>
      <c r="G10" s="138" t="s">
        <v>230</v>
      </c>
      <c r="H10" s="138" t="s">
        <v>230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105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61</v>
      </c>
      <c r="E11" t="str">
        <f>+IFERROR(VLOOKUP(Fact_Control_Operaciones[[#This Row],[Concepto Anterior]],Conceptos_Control_Operaciones[#All],5,0),"")</f>
        <v>Paz y Salvo Retiros​</v>
      </c>
      <c r="F11" t="str">
        <f ca="1">+IFERROR(VLOOKUP(Fact_Control_Operaciones[[#This Row],[Concepto Anterior]],Conceptos_Control_Operaciones[#All],7,0),"")</f>
        <v/>
      </c>
      <c r="G11" s="138" t="s">
        <v>230</v>
      </c>
      <c r="H11" s="138" t="s">
        <v>230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105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63</v>
      </c>
      <c r="E12" t="str">
        <f>+IFERROR(VLOOKUP(Fact_Control_Operaciones[[#This Row],[Concepto Anterior]],Conceptos_Control_Operaciones[#All],5,0),"")</f>
        <v>Recuperaciones descuadres en caja</v>
      </c>
      <c r="F12" t="str">
        <f ca="1">+IFERROR(VLOOKUP(Fact_Control_Operaciones[[#This Row],[Concepto Anterior]],Conceptos_Control_Operaciones[#All],7,0),"")</f>
        <v/>
      </c>
      <c r="G12" s="138" t="s">
        <v>230</v>
      </c>
      <c r="H12" s="138" t="s">
        <v>230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105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203</v>
      </c>
      <c r="E13" t="str">
        <f>+IFERROR(VLOOKUP(Fact_Control_Operaciones[[#This Row],[Concepto Anterior]],Conceptos_Control_Operaciones[#All],5,0),"")</f>
        <v>Tickets mesa de servicio</v>
      </c>
      <c r="F13" t="str">
        <f ca="1">+IFERROR(VLOOKUP(Fact_Control_Operaciones[[#This Row],[Concepto Anterior]],Conceptos_Control_Operaciones[#All],7,0),"")</f>
        <v/>
      </c>
      <c r="G13" s="138" t="s">
        <v>230</v>
      </c>
      <c r="H13" s="138" t="s">
        <v>230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113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 ca="1">+IFERROR(VLOOKUP(Fact_Control_Operaciones[[#This Row],[Concepto Anterior]],Conceptos_Control_Operaciones[#All],7,0),"")</f>
        <v/>
      </c>
      <c r="G14" s="138" t="s">
        <v>230</v>
      </c>
      <c r="H14" s="138" t="s">
        <v>230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117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54</v>
      </c>
      <c r="E15" t="str">
        <f>+IFERROR(VLOOKUP(Fact_Control_Operaciones[[#This Row],[Concepto Anterior]],Conceptos_Control_Operaciones[#All],5,0),"")</f>
        <v>Arqueos​</v>
      </c>
      <c r="F15" t="str">
        <f ca="1">+IFERROR(VLOOKUP(Fact_Control_Operaciones[[#This Row],[Concepto Anterior]],Conceptos_Control_Operaciones[#All],7,0),"")</f>
        <v/>
      </c>
      <c r="G15" s="138" t="s">
        <v>230</v>
      </c>
      <c r="H15" s="138" t="s">
        <v>230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117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127</v>
      </c>
      <c r="E16" t="str">
        <f>+IFERROR(VLOOKUP(Fact_Control_Operaciones[[#This Row],[Concepto Anterior]],Conceptos_Control_Operaciones[#All],5,0),"")</f>
        <v>Capacitaciones</v>
      </c>
      <c r="F16" t="str">
        <f ca="1">+IFERROR(VLOOKUP(Fact_Control_Operaciones[[#This Row],[Concepto Anterior]],Conceptos_Control_Operaciones[#All],7,0),"")</f>
        <v/>
      </c>
      <c r="G16" s="138" t="s">
        <v>230</v>
      </c>
      <c r="H16" s="138" t="s">
        <v>230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117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56</v>
      </c>
      <c r="E17" t="str">
        <f>+IFERROR(VLOOKUP(Fact_Control_Operaciones[[#This Row],[Concepto Anterior]],Conceptos_Control_Operaciones[#All],5,0),"")</f>
        <v>Causación y Política Caja Menor​</v>
      </c>
      <c r="F17" t="str">
        <f ca="1">+IFERROR(VLOOKUP(Fact_Control_Operaciones[[#This Row],[Concepto Anterior]],Conceptos_Control_Operaciones[#All],7,0),"")</f>
        <v/>
      </c>
      <c r="G17" s="138" t="s">
        <v>230</v>
      </c>
      <c r="H17" s="138" t="s">
        <v>230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117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86</v>
      </c>
      <c r="E18" t="str">
        <f>+IFERROR(VLOOKUP(Fact_Control_Operaciones[[#This Row],[Concepto Anterior]],Conceptos_Control_Operaciones[#All],5,0),"")</f>
        <v>Gasto caja menor deducible</v>
      </c>
      <c r="F18" t="str">
        <f ca="1">+IFERROR(VLOOKUP(Fact_Control_Operaciones[[#This Row],[Concepto Anterior]],Conceptos_Control_Operaciones[#All],7,0),"")</f>
        <v/>
      </c>
      <c r="G18" s="138" t="s">
        <v>230</v>
      </c>
      <c r="H18" s="138" t="s">
        <v>230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117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85</v>
      </c>
      <c r="E19" t="str">
        <f>+IFERROR(VLOOKUP(Fact_Control_Operaciones[[#This Row],[Concepto Anterior]],Conceptos_Control_Operaciones[#All],5,0),"")</f>
        <v>Gasto caja menor no deducible</v>
      </c>
      <c r="F19" t="str">
        <f ca="1">+IFERROR(VLOOKUP(Fact_Control_Operaciones[[#This Row],[Concepto Anterior]],Conceptos_Control_Operaciones[#All],7,0),"")</f>
        <v/>
      </c>
      <c r="G19" s="138" t="s">
        <v>230</v>
      </c>
      <c r="H19" s="138" t="s">
        <v>230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117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162</v>
      </c>
      <c r="E20" t="str">
        <f>+IFERROR(VLOOKUP(Fact_Control_Operaciones[[#This Row],[Concepto Anterior]],Conceptos_Control_Operaciones[#All],5,0),"")</f>
        <v>Gestiones descuadres en caja</v>
      </c>
      <c r="F20" t="str">
        <f ca="1">+IFERROR(VLOOKUP(Fact_Control_Operaciones[[#This Row],[Concepto Anterior]],Conceptos_Control_Operaciones[#All],7,0),"")</f>
        <v/>
      </c>
      <c r="G20" s="138" t="s">
        <v>230</v>
      </c>
      <c r="H20" s="138" t="s">
        <v>230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117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60</v>
      </c>
      <c r="E21" t="str">
        <f>+IFERROR(VLOOKUP(Fact_Control_Operaciones[[#This Row],[Concepto Anterior]],Conceptos_Control_Operaciones[#All],5,0),"")</f>
        <v>Inventarios fisicos​ GS Falabella</v>
      </c>
      <c r="F21" t="str">
        <f ca="1">+IFERROR(VLOOKUP(Fact_Control_Operaciones[[#This Row],[Concepto Anterior]],Conceptos_Control_Operaciones[#All],7,0),"")</f>
        <v/>
      </c>
      <c r="G21" s="138" t="s">
        <v>230</v>
      </c>
      <c r="H21" s="138" t="s">
        <v>230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117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59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 ca="1">+IFERROR(VLOOKUP(Fact_Control_Operaciones[[#This Row],[Concepto Anterior]],Conceptos_Control_Operaciones[#All],7,0),"")</f>
        <v/>
      </c>
      <c r="G22" s="138" t="s">
        <v>230</v>
      </c>
      <c r="H22" s="138" t="s">
        <v>230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117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61</v>
      </c>
      <c r="E23" t="str">
        <f>+IFERROR(VLOOKUP(Fact_Control_Operaciones[[#This Row],[Concepto Anterior]],Conceptos_Control_Operaciones[#All],5,0),"")</f>
        <v>Paz y Salvo Retiros​</v>
      </c>
      <c r="F23" t="str">
        <f ca="1">+IFERROR(VLOOKUP(Fact_Control_Operaciones[[#This Row],[Concepto Anterior]],Conceptos_Control_Operaciones[#All],7,0),"")</f>
        <v/>
      </c>
      <c r="G23" s="138" t="s">
        <v>230</v>
      </c>
      <c r="H23" s="138" t="s">
        <v>230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117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63</v>
      </c>
      <c r="E24" t="str">
        <f>+IFERROR(VLOOKUP(Fact_Control_Operaciones[[#This Row],[Concepto Anterior]],Conceptos_Control_Operaciones[#All],5,0),"")</f>
        <v>Recuperaciones descuadres en caja</v>
      </c>
      <c r="F24" t="str">
        <f ca="1">+IFERROR(VLOOKUP(Fact_Control_Operaciones[[#This Row],[Concepto Anterior]],Conceptos_Control_Operaciones[#All],7,0),"")</f>
        <v/>
      </c>
      <c r="G24" s="138" t="s">
        <v>230</v>
      </c>
      <c r="H24" s="138" t="s">
        <v>230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117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203</v>
      </c>
      <c r="E25" t="str">
        <f>+IFERROR(VLOOKUP(Fact_Control_Operaciones[[#This Row],[Concepto Anterior]],Conceptos_Control_Operaciones[#All],5,0),"")</f>
        <v>Tickets mesa de servicio</v>
      </c>
      <c r="F25" t="str">
        <f ca="1">+IFERROR(VLOOKUP(Fact_Control_Operaciones[[#This Row],[Concepto Anterior]],Conceptos_Control_Operaciones[#All],7,0),"")</f>
        <v/>
      </c>
      <c r="G25" s="138" t="s">
        <v>230</v>
      </c>
      <c r="H25" s="138" t="s">
        <v>230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123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113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 ca="1">+IFERROR(VLOOKUP(Fact_Control_Operaciones[[#This Row],[Concepto Anterior]],Conceptos_Control_Operaciones[#All],7,0),"")</f>
        <v/>
      </c>
      <c r="G26" s="138" t="s">
        <v>230</v>
      </c>
      <c r="H26" s="138" t="s">
        <v>230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123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54</v>
      </c>
      <c r="E27" t="str">
        <f>+IFERROR(VLOOKUP(Fact_Control_Operaciones[[#This Row],[Concepto Anterior]],Conceptos_Control_Operaciones[#All],5,0),"")</f>
        <v>Arqueos​</v>
      </c>
      <c r="F27" t="str">
        <f ca="1">+IFERROR(VLOOKUP(Fact_Control_Operaciones[[#This Row],[Concepto Anterior]],Conceptos_Control_Operaciones[#All],7,0),"")</f>
        <v/>
      </c>
      <c r="G27" s="138" t="s">
        <v>230</v>
      </c>
      <c r="H27" s="138" t="s">
        <v>230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123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127</v>
      </c>
      <c r="E28" t="str">
        <f>+IFERROR(VLOOKUP(Fact_Control_Operaciones[[#This Row],[Concepto Anterior]],Conceptos_Control_Operaciones[#All],5,0),"")</f>
        <v>Capacitaciones</v>
      </c>
      <c r="F28" t="str">
        <f ca="1">+IFERROR(VLOOKUP(Fact_Control_Operaciones[[#This Row],[Concepto Anterior]],Conceptos_Control_Operaciones[#All],7,0),"")</f>
        <v/>
      </c>
      <c r="G28" s="138" t="s">
        <v>230</v>
      </c>
      <c r="H28" s="138" t="s">
        <v>230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123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56</v>
      </c>
      <c r="E29" t="str">
        <f>+IFERROR(VLOOKUP(Fact_Control_Operaciones[[#This Row],[Concepto Anterior]],Conceptos_Control_Operaciones[#All],5,0),"")</f>
        <v>Causación y Política Caja Menor​</v>
      </c>
      <c r="F29" t="str">
        <f ca="1">+IFERROR(VLOOKUP(Fact_Control_Operaciones[[#This Row],[Concepto Anterior]],Conceptos_Control_Operaciones[#All],7,0),"")</f>
        <v/>
      </c>
      <c r="G29" s="138" t="s">
        <v>230</v>
      </c>
      <c r="H29" s="138" t="s">
        <v>230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123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86</v>
      </c>
      <c r="E30" t="str">
        <f>+IFERROR(VLOOKUP(Fact_Control_Operaciones[[#This Row],[Concepto Anterior]],Conceptos_Control_Operaciones[#All],5,0),"")</f>
        <v>Gasto caja menor deducible</v>
      </c>
      <c r="F30" t="str">
        <f ca="1">+IFERROR(VLOOKUP(Fact_Control_Operaciones[[#This Row],[Concepto Anterior]],Conceptos_Control_Operaciones[#All],7,0),"")</f>
        <v/>
      </c>
      <c r="G30" s="138" t="s">
        <v>230</v>
      </c>
      <c r="H30" s="138" t="s">
        <v>230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123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85</v>
      </c>
      <c r="E31" t="str">
        <f>+IFERROR(VLOOKUP(Fact_Control_Operaciones[[#This Row],[Concepto Anterior]],Conceptos_Control_Operaciones[#All],5,0),"")</f>
        <v>Gasto caja menor no deducible</v>
      </c>
      <c r="F31" t="str">
        <f ca="1">+IFERROR(VLOOKUP(Fact_Control_Operaciones[[#This Row],[Concepto Anterior]],Conceptos_Control_Operaciones[#All],7,0),"")</f>
        <v/>
      </c>
      <c r="G31" s="138" t="s">
        <v>230</v>
      </c>
      <c r="H31" s="138" t="s">
        <v>230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123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162</v>
      </c>
      <c r="E32" t="str">
        <f>+IFERROR(VLOOKUP(Fact_Control_Operaciones[[#This Row],[Concepto Anterior]],Conceptos_Control_Operaciones[#All],5,0),"")</f>
        <v>Gestiones descuadres en caja</v>
      </c>
      <c r="F32" t="str">
        <f ca="1">+IFERROR(VLOOKUP(Fact_Control_Operaciones[[#This Row],[Concepto Anterior]],Conceptos_Control_Operaciones[#All],7,0),"")</f>
        <v/>
      </c>
      <c r="G32" s="138" t="s">
        <v>230</v>
      </c>
      <c r="H32" s="138" t="s">
        <v>230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123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60</v>
      </c>
      <c r="E33" t="str">
        <f>+IFERROR(VLOOKUP(Fact_Control_Operaciones[[#This Row],[Concepto Anterior]],Conceptos_Control_Operaciones[#All],5,0),"")</f>
        <v>Inventarios fisicos​ GS Falabella</v>
      </c>
      <c r="F33" t="str">
        <f ca="1">+IFERROR(VLOOKUP(Fact_Control_Operaciones[[#This Row],[Concepto Anterior]],Conceptos_Control_Operaciones[#All],7,0),"")</f>
        <v/>
      </c>
      <c r="G33" s="138" t="s">
        <v>230</v>
      </c>
      <c r="H33" s="138" t="s">
        <v>230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123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59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 ca="1">+IFERROR(VLOOKUP(Fact_Control_Operaciones[[#This Row],[Concepto Anterior]],Conceptos_Control_Operaciones[#All],7,0),"")</f>
        <v/>
      </c>
      <c r="G34" s="138" t="s">
        <v>230</v>
      </c>
      <c r="H34" s="138" t="s">
        <v>230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123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61</v>
      </c>
      <c r="E35" t="str">
        <f>+IFERROR(VLOOKUP(Fact_Control_Operaciones[[#This Row],[Concepto Anterior]],Conceptos_Control_Operaciones[#All],5,0),"")</f>
        <v>Paz y Salvo Retiros​</v>
      </c>
      <c r="F35" t="str">
        <f ca="1">+IFERROR(VLOOKUP(Fact_Control_Operaciones[[#This Row],[Concepto Anterior]],Conceptos_Control_Operaciones[#All],7,0),"")</f>
        <v/>
      </c>
      <c r="G35" s="138" t="s">
        <v>230</v>
      </c>
      <c r="H35" s="138" t="s">
        <v>230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123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63</v>
      </c>
      <c r="E36" t="str">
        <f>+IFERROR(VLOOKUP(Fact_Control_Operaciones[[#This Row],[Concepto Anterior]],Conceptos_Control_Operaciones[#All],5,0),"")</f>
        <v>Recuperaciones descuadres en caja</v>
      </c>
      <c r="F36" t="str">
        <f ca="1">+IFERROR(VLOOKUP(Fact_Control_Operaciones[[#This Row],[Concepto Anterior]],Conceptos_Control_Operaciones[#All],7,0),"")</f>
        <v/>
      </c>
      <c r="G36" s="138" t="s">
        <v>230</v>
      </c>
      <c r="H36" s="138" t="s">
        <v>230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123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203</v>
      </c>
      <c r="E37" t="str">
        <f>+IFERROR(VLOOKUP(Fact_Control_Operaciones[[#This Row],[Concepto Anterior]],Conceptos_Control_Operaciones[#All],5,0),"")</f>
        <v>Tickets mesa de servicio</v>
      </c>
      <c r="F37" t="str">
        <f ca="1">+IFERROR(VLOOKUP(Fact_Control_Operaciones[[#This Row],[Concepto Anterior]],Conceptos_Control_Operaciones[#All],7,0),"")</f>
        <v/>
      </c>
      <c r="G37" s="138" t="s">
        <v>230</v>
      </c>
      <c r="H37" s="138" t="s">
        <v>230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130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113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 ca="1">+IFERROR(VLOOKUP(Fact_Control_Operaciones[[#This Row],[Concepto Anterior]],Conceptos_Control_Operaciones[#All],7,0),"")</f>
        <v/>
      </c>
      <c r="G38" s="138" t="s">
        <v>230</v>
      </c>
      <c r="H38" s="138" t="s">
        <v>230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130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54</v>
      </c>
      <c r="E39" t="str">
        <f>+IFERROR(VLOOKUP(Fact_Control_Operaciones[[#This Row],[Concepto Anterior]],Conceptos_Control_Operaciones[#All],5,0),"")</f>
        <v>Arqueos​</v>
      </c>
      <c r="F39" t="str">
        <f ca="1">+IFERROR(VLOOKUP(Fact_Control_Operaciones[[#This Row],[Concepto Anterior]],Conceptos_Control_Operaciones[#All],7,0),"")</f>
        <v/>
      </c>
      <c r="G39" s="138" t="s">
        <v>230</v>
      </c>
      <c r="H39" s="138" t="s">
        <v>230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130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127</v>
      </c>
      <c r="E40" t="str">
        <f>+IFERROR(VLOOKUP(Fact_Control_Operaciones[[#This Row],[Concepto Anterior]],Conceptos_Control_Operaciones[#All],5,0),"")</f>
        <v>Capacitaciones</v>
      </c>
      <c r="F40" t="str">
        <f ca="1">+IFERROR(VLOOKUP(Fact_Control_Operaciones[[#This Row],[Concepto Anterior]],Conceptos_Control_Operaciones[#All],7,0),"")</f>
        <v/>
      </c>
      <c r="G40" s="138" t="s">
        <v>230</v>
      </c>
      <c r="H40" s="138" t="s">
        <v>230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130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56</v>
      </c>
      <c r="E41" t="str">
        <f>+IFERROR(VLOOKUP(Fact_Control_Operaciones[[#This Row],[Concepto Anterior]],Conceptos_Control_Operaciones[#All],5,0),"")</f>
        <v>Causación y Política Caja Menor​</v>
      </c>
      <c r="F41" t="str">
        <f ca="1">+IFERROR(VLOOKUP(Fact_Control_Operaciones[[#This Row],[Concepto Anterior]],Conceptos_Control_Operaciones[#All],7,0),"")</f>
        <v/>
      </c>
      <c r="G41" s="138" t="s">
        <v>230</v>
      </c>
      <c r="H41" s="138" t="s">
        <v>230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130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86</v>
      </c>
      <c r="E42" t="str">
        <f>+IFERROR(VLOOKUP(Fact_Control_Operaciones[[#This Row],[Concepto Anterior]],Conceptos_Control_Operaciones[#All],5,0),"")</f>
        <v>Gasto caja menor deducible</v>
      </c>
      <c r="F42" t="str">
        <f ca="1">+IFERROR(VLOOKUP(Fact_Control_Operaciones[[#This Row],[Concepto Anterior]],Conceptos_Control_Operaciones[#All],7,0),"")</f>
        <v/>
      </c>
      <c r="G42" s="138" t="s">
        <v>230</v>
      </c>
      <c r="H42" s="138" t="s">
        <v>230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130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85</v>
      </c>
      <c r="E43" t="str">
        <f>+IFERROR(VLOOKUP(Fact_Control_Operaciones[[#This Row],[Concepto Anterior]],Conceptos_Control_Operaciones[#All],5,0),"")</f>
        <v>Gasto caja menor no deducible</v>
      </c>
      <c r="F43" t="str">
        <f ca="1">+IFERROR(VLOOKUP(Fact_Control_Operaciones[[#This Row],[Concepto Anterior]],Conceptos_Control_Operaciones[#All],7,0),"")</f>
        <v/>
      </c>
      <c r="G43" s="138" t="s">
        <v>230</v>
      </c>
      <c r="H43" s="138" t="s">
        <v>230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130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162</v>
      </c>
      <c r="E44" t="str">
        <f>+IFERROR(VLOOKUP(Fact_Control_Operaciones[[#This Row],[Concepto Anterior]],Conceptos_Control_Operaciones[#All],5,0),"")</f>
        <v>Gestiones descuadres en caja</v>
      </c>
      <c r="F44" t="str">
        <f ca="1">+IFERROR(VLOOKUP(Fact_Control_Operaciones[[#This Row],[Concepto Anterior]],Conceptos_Control_Operaciones[#All],7,0),"")</f>
        <v/>
      </c>
      <c r="G44" s="138" t="s">
        <v>230</v>
      </c>
      <c r="H44" s="138" t="s">
        <v>230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130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60</v>
      </c>
      <c r="E45" t="str">
        <f>+IFERROR(VLOOKUP(Fact_Control_Operaciones[[#This Row],[Concepto Anterior]],Conceptos_Control_Operaciones[#All],5,0),"")</f>
        <v>Inventarios fisicos​ GS Falabella</v>
      </c>
      <c r="F45" t="str">
        <f ca="1">+IFERROR(VLOOKUP(Fact_Control_Operaciones[[#This Row],[Concepto Anterior]],Conceptos_Control_Operaciones[#All],7,0),"")</f>
        <v/>
      </c>
      <c r="G45" s="138" t="s">
        <v>230</v>
      </c>
      <c r="H45" s="138" t="s">
        <v>230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130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59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 ca="1">+IFERROR(VLOOKUP(Fact_Control_Operaciones[[#This Row],[Concepto Anterior]],Conceptos_Control_Operaciones[#All],7,0),"")</f>
        <v/>
      </c>
      <c r="G46" s="138" t="s">
        <v>230</v>
      </c>
      <c r="H46" s="138" t="s">
        <v>230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130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61</v>
      </c>
      <c r="E47" t="str">
        <f>+IFERROR(VLOOKUP(Fact_Control_Operaciones[[#This Row],[Concepto Anterior]],Conceptos_Control_Operaciones[#All],5,0),"")</f>
        <v>Paz y Salvo Retiros​</v>
      </c>
      <c r="F47" t="str">
        <f ca="1">+IFERROR(VLOOKUP(Fact_Control_Operaciones[[#This Row],[Concepto Anterior]],Conceptos_Control_Operaciones[#All],7,0),"")</f>
        <v/>
      </c>
      <c r="G47" s="138" t="s">
        <v>230</v>
      </c>
      <c r="H47" s="138" t="s">
        <v>230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130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63</v>
      </c>
      <c r="E48" t="str">
        <f>+IFERROR(VLOOKUP(Fact_Control_Operaciones[[#This Row],[Concepto Anterior]],Conceptos_Control_Operaciones[#All],5,0),"")</f>
        <v>Recuperaciones descuadres en caja</v>
      </c>
      <c r="F48" t="str">
        <f ca="1">+IFERROR(VLOOKUP(Fact_Control_Operaciones[[#This Row],[Concepto Anterior]],Conceptos_Control_Operaciones[#All],7,0),"")</f>
        <v/>
      </c>
      <c r="G48" s="138" t="s">
        <v>230</v>
      </c>
      <c r="H48" s="138" t="s">
        <v>230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130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203</v>
      </c>
      <c r="E49" t="str">
        <f>+IFERROR(VLOOKUP(Fact_Control_Operaciones[[#This Row],[Concepto Anterior]],Conceptos_Control_Operaciones[#All],5,0),"")</f>
        <v>Tickets mesa de servicio</v>
      </c>
      <c r="F49" t="str">
        <f ca="1">+IFERROR(VLOOKUP(Fact_Control_Operaciones[[#This Row],[Concepto Anterior]],Conceptos_Control_Operaciones[#All],7,0),"")</f>
        <v/>
      </c>
      <c r="G49" s="138" t="s">
        <v>230</v>
      </c>
      <c r="H49" s="138" t="s">
        <v>230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137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113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 ca="1">+IFERROR(VLOOKUP(Fact_Control_Operaciones[[#This Row],[Concepto Anterior]],Conceptos_Control_Operaciones[#All],7,0),"")</f>
        <v/>
      </c>
      <c r="G50" s="138" t="s">
        <v>230</v>
      </c>
      <c r="H50" s="138" t="s">
        <v>230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137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54</v>
      </c>
      <c r="E51" t="str">
        <f>+IFERROR(VLOOKUP(Fact_Control_Operaciones[[#This Row],[Concepto Anterior]],Conceptos_Control_Operaciones[#All],5,0),"")</f>
        <v>Arqueos​</v>
      </c>
      <c r="F51" t="str">
        <f ca="1">+IFERROR(VLOOKUP(Fact_Control_Operaciones[[#This Row],[Concepto Anterior]],Conceptos_Control_Operaciones[#All],7,0),"")</f>
        <v/>
      </c>
      <c r="G51" s="138" t="s">
        <v>230</v>
      </c>
      <c r="H51" s="138" t="s">
        <v>230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137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127</v>
      </c>
      <c r="E52" t="str">
        <f>+IFERROR(VLOOKUP(Fact_Control_Operaciones[[#This Row],[Concepto Anterior]],Conceptos_Control_Operaciones[#All],5,0),"")</f>
        <v>Capacitaciones</v>
      </c>
      <c r="F52" t="str">
        <f ca="1">+IFERROR(VLOOKUP(Fact_Control_Operaciones[[#This Row],[Concepto Anterior]],Conceptos_Control_Operaciones[#All],7,0),"")</f>
        <v/>
      </c>
      <c r="G52" s="138" t="s">
        <v>230</v>
      </c>
      <c r="H52" s="138" t="s">
        <v>230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137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56</v>
      </c>
      <c r="E53" t="str">
        <f>+IFERROR(VLOOKUP(Fact_Control_Operaciones[[#This Row],[Concepto Anterior]],Conceptos_Control_Operaciones[#All],5,0),"")</f>
        <v>Causación y Política Caja Menor​</v>
      </c>
      <c r="F53" t="str">
        <f ca="1">+IFERROR(VLOOKUP(Fact_Control_Operaciones[[#This Row],[Concepto Anterior]],Conceptos_Control_Operaciones[#All],7,0),"")</f>
        <v/>
      </c>
      <c r="G53" s="138" t="s">
        <v>230</v>
      </c>
      <c r="H53" s="138" t="s">
        <v>230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137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86</v>
      </c>
      <c r="E54" t="str">
        <f>+IFERROR(VLOOKUP(Fact_Control_Operaciones[[#This Row],[Concepto Anterior]],Conceptos_Control_Operaciones[#All],5,0),"")</f>
        <v>Gasto caja menor deducible</v>
      </c>
      <c r="F54" t="str">
        <f ca="1">+IFERROR(VLOOKUP(Fact_Control_Operaciones[[#This Row],[Concepto Anterior]],Conceptos_Control_Operaciones[#All],7,0),"")</f>
        <v/>
      </c>
      <c r="G54" s="138" t="s">
        <v>230</v>
      </c>
      <c r="H54" s="138" t="s">
        <v>230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137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85</v>
      </c>
      <c r="E55" t="str">
        <f>+IFERROR(VLOOKUP(Fact_Control_Operaciones[[#This Row],[Concepto Anterior]],Conceptos_Control_Operaciones[#All],5,0),"")</f>
        <v>Gasto caja menor no deducible</v>
      </c>
      <c r="F55" t="str">
        <f ca="1">+IFERROR(VLOOKUP(Fact_Control_Operaciones[[#This Row],[Concepto Anterior]],Conceptos_Control_Operaciones[#All],7,0),"")</f>
        <v/>
      </c>
      <c r="G55" s="138" t="s">
        <v>230</v>
      </c>
      <c r="H55" s="138" t="s">
        <v>230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137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162</v>
      </c>
      <c r="E56" t="str">
        <f>+IFERROR(VLOOKUP(Fact_Control_Operaciones[[#This Row],[Concepto Anterior]],Conceptos_Control_Operaciones[#All],5,0),"")</f>
        <v>Gestiones descuadres en caja</v>
      </c>
      <c r="F56" t="str">
        <f ca="1">+IFERROR(VLOOKUP(Fact_Control_Operaciones[[#This Row],[Concepto Anterior]],Conceptos_Control_Operaciones[#All],7,0),"")</f>
        <v/>
      </c>
      <c r="G56" s="138" t="s">
        <v>230</v>
      </c>
      <c r="H56" s="138" t="s">
        <v>230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137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60</v>
      </c>
      <c r="E57" t="str">
        <f>+IFERROR(VLOOKUP(Fact_Control_Operaciones[[#This Row],[Concepto Anterior]],Conceptos_Control_Operaciones[#All],5,0),"")</f>
        <v>Inventarios fisicos​ GS Falabella</v>
      </c>
      <c r="F57" t="str">
        <f ca="1">+IFERROR(VLOOKUP(Fact_Control_Operaciones[[#This Row],[Concepto Anterior]],Conceptos_Control_Operaciones[#All],7,0),"")</f>
        <v/>
      </c>
      <c r="G57" s="138" t="s">
        <v>230</v>
      </c>
      <c r="H57" s="138" t="s">
        <v>230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137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59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 ca="1">+IFERROR(VLOOKUP(Fact_Control_Operaciones[[#This Row],[Concepto Anterior]],Conceptos_Control_Operaciones[#All],7,0),"")</f>
        <v/>
      </c>
      <c r="G58" s="138" t="s">
        <v>230</v>
      </c>
      <c r="H58" s="138" t="s">
        <v>230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137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61</v>
      </c>
      <c r="E59" t="str">
        <f>+IFERROR(VLOOKUP(Fact_Control_Operaciones[[#This Row],[Concepto Anterior]],Conceptos_Control_Operaciones[#All],5,0),"")</f>
        <v>Paz y Salvo Retiros​</v>
      </c>
      <c r="F59" t="str">
        <f ca="1">+IFERROR(VLOOKUP(Fact_Control_Operaciones[[#This Row],[Concepto Anterior]],Conceptos_Control_Operaciones[#All],7,0),"")</f>
        <v/>
      </c>
      <c r="G59" s="138" t="s">
        <v>230</v>
      </c>
      <c r="H59" s="138" t="s">
        <v>230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137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63</v>
      </c>
      <c r="E60" t="str">
        <f>+IFERROR(VLOOKUP(Fact_Control_Operaciones[[#This Row],[Concepto Anterior]],Conceptos_Control_Operaciones[#All],5,0),"")</f>
        <v>Recuperaciones descuadres en caja</v>
      </c>
      <c r="F60" t="str">
        <f ca="1">+IFERROR(VLOOKUP(Fact_Control_Operaciones[[#This Row],[Concepto Anterior]],Conceptos_Control_Operaciones[#All],7,0),"")</f>
        <v/>
      </c>
      <c r="G60" s="138" t="s">
        <v>230</v>
      </c>
      <c r="H60" s="138" t="s">
        <v>230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137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203</v>
      </c>
      <c r="E61" t="str">
        <f>+IFERROR(VLOOKUP(Fact_Control_Operaciones[[#This Row],[Concepto Anterior]],Conceptos_Control_Operaciones[#All],5,0),"")</f>
        <v>Tickets mesa de servicio</v>
      </c>
      <c r="F61" t="str">
        <f ca="1">+IFERROR(VLOOKUP(Fact_Control_Operaciones[[#This Row],[Concepto Anterior]],Conceptos_Control_Operaciones[#All],7,0),"")</f>
        <v/>
      </c>
      <c r="G61" s="138" t="s">
        <v>230</v>
      </c>
      <c r="H61" s="138" t="s">
        <v>230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147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113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 ca="1">+IFERROR(VLOOKUP(Fact_Control_Operaciones[[#This Row],[Concepto Anterior]],Conceptos_Control_Operaciones[#All],7,0),"")</f>
        <v/>
      </c>
      <c r="G62" s="138" t="s">
        <v>230</v>
      </c>
      <c r="H62" s="138" t="s">
        <v>230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147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54</v>
      </c>
      <c r="E63" t="str">
        <f>+IFERROR(VLOOKUP(Fact_Control_Operaciones[[#This Row],[Concepto Anterior]],Conceptos_Control_Operaciones[#All],5,0),"")</f>
        <v>Arqueos​</v>
      </c>
      <c r="F63" t="str">
        <f ca="1">+IFERROR(VLOOKUP(Fact_Control_Operaciones[[#This Row],[Concepto Anterior]],Conceptos_Control_Operaciones[#All],7,0),"")</f>
        <v/>
      </c>
      <c r="G63" s="138" t="s">
        <v>230</v>
      </c>
      <c r="H63" s="138" t="s">
        <v>230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147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127</v>
      </c>
      <c r="E64" t="str">
        <f>+IFERROR(VLOOKUP(Fact_Control_Operaciones[[#This Row],[Concepto Anterior]],Conceptos_Control_Operaciones[#All],5,0),"")</f>
        <v>Capacitaciones</v>
      </c>
      <c r="F64" t="str">
        <f ca="1">+IFERROR(VLOOKUP(Fact_Control_Operaciones[[#This Row],[Concepto Anterior]],Conceptos_Control_Operaciones[#All],7,0),"")</f>
        <v/>
      </c>
      <c r="G64" s="138" t="s">
        <v>230</v>
      </c>
      <c r="H64" s="138" t="s">
        <v>230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147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56</v>
      </c>
      <c r="E65" t="str">
        <f>+IFERROR(VLOOKUP(Fact_Control_Operaciones[[#This Row],[Concepto Anterior]],Conceptos_Control_Operaciones[#All],5,0),"")</f>
        <v>Causación y Política Caja Menor​</v>
      </c>
      <c r="F65" t="str">
        <f ca="1">+IFERROR(VLOOKUP(Fact_Control_Operaciones[[#This Row],[Concepto Anterior]],Conceptos_Control_Operaciones[#All],7,0),"")</f>
        <v/>
      </c>
      <c r="G65" s="138" t="s">
        <v>230</v>
      </c>
      <c r="H65" s="138" t="s">
        <v>230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147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86</v>
      </c>
      <c r="E66" t="str">
        <f>+IFERROR(VLOOKUP(Fact_Control_Operaciones[[#This Row],[Concepto Anterior]],Conceptos_Control_Operaciones[#All],5,0),"")</f>
        <v>Gasto caja menor deducible</v>
      </c>
      <c r="F66" t="str">
        <f ca="1">+IFERROR(VLOOKUP(Fact_Control_Operaciones[[#This Row],[Concepto Anterior]],Conceptos_Control_Operaciones[#All],7,0),"")</f>
        <v/>
      </c>
      <c r="G66" s="138" t="s">
        <v>230</v>
      </c>
      <c r="H66" s="138" t="s">
        <v>230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147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85</v>
      </c>
      <c r="E67" t="str">
        <f>+IFERROR(VLOOKUP(Fact_Control_Operaciones[[#This Row],[Concepto Anterior]],Conceptos_Control_Operaciones[#All],5,0),"")</f>
        <v>Gasto caja menor no deducible</v>
      </c>
      <c r="F67" t="str">
        <f ca="1">+IFERROR(VLOOKUP(Fact_Control_Operaciones[[#This Row],[Concepto Anterior]],Conceptos_Control_Operaciones[#All],7,0),"")</f>
        <v/>
      </c>
      <c r="G67" s="138" t="s">
        <v>230</v>
      </c>
      <c r="H67" s="138" t="s">
        <v>230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147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162</v>
      </c>
      <c r="E68" t="str">
        <f>+IFERROR(VLOOKUP(Fact_Control_Operaciones[[#This Row],[Concepto Anterior]],Conceptos_Control_Operaciones[#All],5,0),"")</f>
        <v>Gestiones descuadres en caja</v>
      </c>
      <c r="F68" t="str">
        <f ca="1">+IFERROR(VLOOKUP(Fact_Control_Operaciones[[#This Row],[Concepto Anterior]],Conceptos_Control_Operaciones[#All],7,0),"")</f>
        <v/>
      </c>
      <c r="G68" s="138" t="s">
        <v>230</v>
      </c>
      <c r="H68" s="138" t="s">
        <v>230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147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60</v>
      </c>
      <c r="E69" t="str">
        <f>+IFERROR(VLOOKUP(Fact_Control_Operaciones[[#This Row],[Concepto Anterior]],Conceptos_Control_Operaciones[#All],5,0),"")</f>
        <v>Inventarios fisicos​ GS Falabella</v>
      </c>
      <c r="F69" t="str">
        <f ca="1">+IFERROR(VLOOKUP(Fact_Control_Operaciones[[#This Row],[Concepto Anterior]],Conceptos_Control_Operaciones[#All],7,0),"")</f>
        <v/>
      </c>
      <c r="G69" s="138" t="s">
        <v>230</v>
      </c>
      <c r="H69" s="138" t="s">
        <v>230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147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59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 ca="1">+IFERROR(VLOOKUP(Fact_Control_Operaciones[[#This Row],[Concepto Anterior]],Conceptos_Control_Operaciones[#All],7,0),"")</f>
        <v/>
      </c>
      <c r="G70" s="138" t="s">
        <v>230</v>
      </c>
      <c r="H70" s="138" t="s">
        <v>230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147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61</v>
      </c>
      <c r="E71" t="str">
        <f>+IFERROR(VLOOKUP(Fact_Control_Operaciones[[#This Row],[Concepto Anterior]],Conceptos_Control_Operaciones[#All],5,0),"")</f>
        <v>Paz y Salvo Retiros​</v>
      </c>
      <c r="F71" t="str">
        <f ca="1">+IFERROR(VLOOKUP(Fact_Control_Operaciones[[#This Row],[Concepto Anterior]],Conceptos_Control_Operaciones[#All],7,0),"")</f>
        <v/>
      </c>
      <c r="G71" s="138" t="s">
        <v>230</v>
      </c>
      <c r="H71" s="138" t="s">
        <v>230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147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63</v>
      </c>
      <c r="E72" t="str">
        <f>+IFERROR(VLOOKUP(Fact_Control_Operaciones[[#This Row],[Concepto Anterior]],Conceptos_Control_Operaciones[#All],5,0),"")</f>
        <v>Recuperaciones descuadres en caja</v>
      </c>
      <c r="F72" t="str">
        <f ca="1">+IFERROR(VLOOKUP(Fact_Control_Operaciones[[#This Row],[Concepto Anterior]],Conceptos_Control_Operaciones[#All],7,0),"")</f>
        <v/>
      </c>
      <c r="G72" s="138" t="s">
        <v>230</v>
      </c>
      <c r="H72" s="138" t="s">
        <v>230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147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203</v>
      </c>
      <c r="E73" t="str">
        <f>+IFERROR(VLOOKUP(Fact_Control_Operaciones[[#This Row],[Concepto Anterior]],Conceptos_Control_Operaciones[#All],5,0),"")</f>
        <v>Tickets mesa de servicio</v>
      </c>
      <c r="F73" t="str">
        <f ca="1">+IFERROR(VLOOKUP(Fact_Control_Operaciones[[#This Row],[Concepto Anterior]],Conceptos_Control_Operaciones[#All],7,0),"")</f>
        <v/>
      </c>
      <c r="G73" s="138" t="s">
        <v>230</v>
      </c>
      <c r="H73" s="138" t="s">
        <v>230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157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113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 ca="1">+IFERROR(VLOOKUP(Fact_Control_Operaciones[[#This Row],[Concepto Anterior]],Conceptos_Control_Operaciones[#All],7,0),"")</f>
        <v/>
      </c>
      <c r="G74" s="138" t="s">
        <v>230</v>
      </c>
      <c r="H74" s="138" t="s">
        <v>230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157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54</v>
      </c>
      <c r="E75" t="str">
        <f>+IFERROR(VLOOKUP(Fact_Control_Operaciones[[#This Row],[Concepto Anterior]],Conceptos_Control_Operaciones[#All],5,0),"")</f>
        <v>Arqueos​</v>
      </c>
      <c r="F75" t="str">
        <f ca="1">+IFERROR(VLOOKUP(Fact_Control_Operaciones[[#This Row],[Concepto Anterior]],Conceptos_Control_Operaciones[#All],7,0),"")</f>
        <v/>
      </c>
      <c r="G75" s="138" t="s">
        <v>230</v>
      </c>
      <c r="H75" s="138" t="s">
        <v>230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157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127</v>
      </c>
      <c r="E76" t="str">
        <f>+IFERROR(VLOOKUP(Fact_Control_Operaciones[[#This Row],[Concepto Anterior]],Conceptos_Control_Operaciones[#All],5,0),"")</f>
        <v>Capacitaciones</v>
      </c>
      <c r="F76" t="str">
        <f ca="1">+IFERROR(VLOOKUP(Fact_Control_Operaciones[[#This Row],[Concepto Anterior]],Conceptos_Control_Operaciones[#All],7,0),"")</f>
        <v/>
      </c>
      <c r="G76" s="138" t="s">
        <v>230</v>
      </c>
      <c r="H76" s="138" t="s">
        <v>230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157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56</v>
      </c>
      <c r="E77" t="str">
        <f>+IFERROR(VLOOKUP(Fact_Control_Operaciones[[#This Row],[Concepto Anterior]],Conceptos_Control_Operaciones[#All],5,0),"")</f>
        <v>Causación y Política Caja Menor​</v>
      </c>
      <c r="F77" t="str">
        <f ca="1">+IFERROR(VLOOKUP(Fact_Control_Operaciones[[#This Row],[Concepto Anterior]],Conceptos_Control_Operaciones[#All],7,0),"")</f>
        <v/>
      </c>
      <c r="G77" s="138" t="s">
        <v>230</v>
      </c>
      <c r="H77" s="138" t="s">
        <v>230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157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86</v>
      </c>
      <c r="E78" t="str">
        <f>+IFERROR(VLOOKUP(Fact_Control_Operaciones[[#This Row],[Concepto Anterior]],Conceptos_Control_Operaciones[#All],5,0),"")</f>
        <v>Gasto caja menor deducible</v>
      </c>
      <c r="F78" t="str">
        <f ca="1">+IFERROR(VLOOKUP(Fact_Control_Operaciones[[#This Row],[Concepto Anterior]],Conceptos_Control_Operaciones[#All],7,0),"")</f>
        <v/>
      </c>
      <c r="G78" s="138" t="s">
        <v>230</v>
      </c>
      <c r="H78" s="138" t="s">
        <v>230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157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85</v>
      </c>
      <c r="E79" t="str">
        <f>+IFERROR(VLOOKUP(Fact_Control_Operaciones[[#This Row],[Concepto Anterior]],Conceptos_Control_Operaciones[#All],5,0),"")</f>
        <v>Gasto caja menor no deducible</v>
      </c>
      <c r="F79" t="str">
        <f ca="1">+IFERROR(VLOOKUP(Fact_Control_Operaciones[[#This Row],[Concepto Anterior]],Conceptos_Control_Operaciones[#All],7,0),"")</f>
        <v/>
      </c>
      <c r="G79" s="138" t="s">
        <v>230</v>
      </c>
      <c r="H79" s="138" t="s">
        <v>230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157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162</v>
      </c>
      <c r="E80" t="str">
        <f>+IFERROR(VLOOKUP(Fact_Control_Operaciones[[#This Row],[Concepto Anterior]],Conceptos_Control_Operaciones[#All],5,0),"")</f>
        <v>Gestiones descuadres en caja</v>
      </c>
      <c r="F80" t="str">
        <f ca="1">+IFERROR(VLOOKUP(Fact_Control_Operaciones[[#This Row],[Concepto Anterior]],Conceptos_Control_Operaciones[#All],7,0),"")</f>
        <v/>
      </c>
      <c r="G80" s="138" t="s">
        <v>230</v>
      </c>
      <c r="H80" s="138" t="s">
        <v>230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157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60</v>
      </c>
      <c r="E81" t="str">
        <f>+IFERROR(VLOOKUP(Fact_Control_Operaciones[[#This Row],[Concepto Anterior]],Conceptos_Control_Operaciones[#All],5,0),"")</f>
        <v>Inventarios fisicos​ GS Falabella</v>
      </c>
      <c r="F81" t="str">
        <f ca="1">+IFERROR(VLOOKUP(Fact_Control_Operaciones[[#This Row],[Concepto Anterior]],Conceptos_Control_Operaciones[#All],7,0),"")</f>
        <v/>
      </c>
      <c r="G81" s="138" t="s">
        <v>230</v>
      </c>
      <c r="H81" s="138" t="s">
        <v>230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157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59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 ca="1">+IFERROR(VLOOKUP(Fact_Control_Operaciones[[#This Row],[Concepto Anterior]],Conceptos_Control_Operaciones[#All],7,0),"")</f>
        <v/>
      </c>
      <c r="G82" s="138" t="s">
        <v>230</v>
      </c>
      <c r="H82" s="138" t="s">
        <v>230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157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61</v>
      </c>
      <c r="E83" t="str">
        <f>+IFERROR(VLOOKUP(Fact_Control_Operaciones[[#This Row],[Concepto Anterior]],Conceptos_Control_Operaciones[#All],5,0),"")</f>
        <v>Paz y Salvo Retiros​</v>
      </c>
      <c r="F83" t="str">
        <f ca="1">+IFERROR(VLOOKUP(Fact_Control_Operaciones[[#This Row],[Concepto Anterior]],Conceptos_Control_Operaciones[#All],7,0),"")</f>
        <v/>
      </c>
      <c r="G83" s="138" t="s">
        <v>230</v>
      </c>
      <c r="H83" s="138" t="s">
        <v>230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157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63</v>
      </c>
      <c r="E84" t="str">
        <f>+IFERROR(VLOOKUP(Fact_Control_Operaciones[[#This Row],[Concepto Anterior]],Conceptos_Control_Operaciones[#All],5,0),"")</f>
        <v>Recuperaciones descuadres en caja</v>
      </c>
      <c r="F84" t="str">
        <f ca="1">+IFERROR(VLOOKUP(Fact_Control_Operaciones[[#This Row],[Concepto Anterior]],Conceptos_Control_Operaciones[#All],7,0),"")</f>
        <v/>
      </c>
      <c r="G84" s="138" t="s">
        <v>230</v>
      </c>
      <c r="H84" s="138" t="s">
        <v>230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157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203</v>
      </c>
      <c r="E85" t="str">
        <f>+IFERROR(VLOOKUP(Fact_Control_Operaciones[[#This Row],[Concepto Anterior]],Conceptos_Control_Operaciones[#All],5,0),"")</f>
        <v>Tickets mesa de servicio</v>
      </c>
      <c r="F85" t="str">
        <f ca="1">+IFERROR(VLOOKUP(Fact_Control_Operaciones[[#This Row],[Concepto Anterior]],Conceptos_Control_Operaciones[#All],7,0),"")</f>
        <v/>
      </c>
      <c r="G85" s="138" t="s">
        <v>230</v>
      </c>
      <c r="H85" s="138" t="s">
        <v>230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165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113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 ca="1">+IFERROR(VLOOKUP(Fact_Control_Operaciones[[#This Row],[Concepto Anterior]],Conceptos_Control_Operaciones[#All],7,0),"")</f>
        <v/>
      </c>
      <c r="G86" s="138" t="s">
        <v>230</v>
      </c>
      <c r="H86" s="138" t="s">
        <v>230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165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54</v>
      </c>
      <c r="E87" t="str">
        <f>+IFERROR(VLOOKUP(Fact_Control_Operaciones[[#This Row],[Concepto Anterior]],Conceptos_Control_Operaciones[#All],5,0),"")</f>
        <v>Arqueos​</v>
      </c>
      <c r="F87" t="str">
        <f ca="1">+IFERROR(VLOOKUP(Fact_Control_Operaciones[[#This Row],[Concepto Anterior]],Conceptos_Control_Operaciones[#All],7,0),"")</f>
        <v/>
      </c>
      <c r="G87" s="138" t="s">
        <v>230</v>
      </c>
      <c r="H87" s="138" t="s">
        <v>230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165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127</v>
      </c>
      <c r="E88" t="str">
        <f>+IFERROR(VLOOKUP(Fact_Control_Operaciones[[#This Row],[Concepto Anterior]],Conceptos_Control_Operaciones[#All],5,0),"")</f>
        <v>Capacitaciones</v>
      </c>
      <c r="F88" t="str">
        <f ca="1">+IFERROR(VLOOKUP(Fact_Control_Operaciones[[#This Row],[Concepto Anterior]],Conceptos_Control_Operaciones[#All],7,0),"")</f>
        <v/>
      </c>
      <c r="G88" s="138" t="s">
        <v>230</v>
      </c>
      <c r="H88" s="138" t="s">
        <v>230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165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56</v>
      </c>
      <c r="E89" t="str">
        <f>+IFERROR(VLOOKUP(Fact_Control_Operaciones[[#This Row],[Concepto Anterior]],Conceptos_Control_Operaciones[#All],5,0),"")</f>
        <v>Causación y Política Caja Menor​</v>
      </c>
      <c r="F89" t="str">
        <f ca="1">+IFERROR(VLOOKUP(Fact_Control_Operaciones[[#This Row],[Concepto Anterior]],Conceptos_Control_Operaciones[#All],7,0),"")</f>
        <v/>
      </c>
      <c r="G89" s="138" t="s">
        <v>230</v>
      </c>
      <c r="H89" s="138" t="s">
        <v>230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165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86</v>
      </c>
      <c r="E90" t="str">
        <f>+IFERROR(VLOOKUP(Fact_Control_Operaciones[[#This Row],[Concepto Anterior]],Conceptos_Control_Operaciones[#All],5,0),"")</f>
        <v>Gasto caja menor deducible</v>
      </c>
      <c r="F90" t="str">
        <f ca="1">+IFERROR(VLOOKUP(Fact_Control_Operaciones[[#This Row],[Concepto Anterior]],Conceptos_Control_Operaciones[#All],7,0),"")</f>
        <v/>
      </c>
      <c r="G90" s="138" t="s">
        <v>230</v>
      </c>
      <c r="H90" s="138" t="s">
        <v>230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165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85</v>
      </c>
      <c r="E91" t="str">
        <f>+IFERROR(VLOOKUP(Fact_Control_Operaciones[[#This Row],[Concepto Anterior]],Conceptos_Control_Operaciones[#All],5,0),"")</f>
        <v>Gasto caja menor no deducible</v>
      </c>
      <c r="F91" t="str">
        <f ca="1">+IFERROR(VLOOKUP(Fact_Control_Operaciones[[#This Row],[Concepto Anterior]],Conceptos_Control_Operaciones[#All],7,0),"")</f>
        <v/>
      </c>
      <c r="G91" s="138" t="s">
        <v>230</v>
      </c>
      <c r="H91" s="138" t="s">
        <v>230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165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162</v>
      </c>
      <c r="E92" t="str">
        <f>+IFERROR(VLOOKUP(Fact_Control_Operaciones[[#This Row],[Concepto Anterior]],Conceptos_Control_Operaciones[#All],5,0),"")</f>
        <v>Gestiones descuadres en caja</v>
      </c>
      <c r="F92" t="str">
        <f ca="1">+IFERROR(VLOOKUP(Fact_Control_Operaciones[[#This Row],[Concepto Anterior]],Conceptos_Control_Operaciones[#All],7,0),"")</f>
        <v/>
      </c>
      <c r="G92" s="138" t="s">
        <v>230</v>
      </c>
      <c r="H92" s="138" t="s">
        <v>230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165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60</v>
      </c>
      <c r="E93" t="str">
        <f>+IFERROR(VLOOKUP(Fact_Control_Operaciones[[#This Row],[Concepto Anterior]],Conceptos_Control_Operaciones[#All],5,0),"")</f>
        <v>Inventarios fisicos​ GS Falabella</v>
      </c>
      <c r="F93" t="str">
        <f ca="1">+IFERROR(VLOOKUP(Fact_Control_Operaciones[[#This Row],[Concepto Anterior]],Conceptos_Control_Operaciones[#All],7,0),"")</f>
        <v/>
      </c>
      <c r="G93" s="138" t="s">
        <v>230</v>
      </c>
      <c r="H93" s="138" t="s">
        <v>230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165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59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 ca="1">+IFERROR(VLOOKUP(Fact_Control_Operaciones[[#This Row],[Concepto Anterior]],Conceptos_Control_Operaciones[#All],7,0),"")</f>
        <v/>
      </c>
      <c r="G94" s="138" t="s">
        <v>230</v>
      </c>
      <c r="H94" s="138" t="s">
        <v>230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165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61</v>
      </c>
      <c r="E95" t="str">
        <f>+IFERROR(VLOOKUP(Fact_Control_Operaciones[[#This Row],[Concepto Anterior]],Conceptos_Control_Operaciones[#All],5,0),"")</f>
        <v>Paz y Salvo Retiros​</v>
      </c>
      <c r="F95" t="str">
        <f ca="1">+IFERROR(VLOOKUP(Fact_Control_Operaciones[[#This Row],[Concepto Anterior]],Conceptos_Control_Operaciones[#All],7,0),"")</f>
        <v/>
      </c>
      <c r="G95" s="138" t="s">
        <v>230</v>
      </c>
      <c r="H95" s="138" t="s">
        <v>230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165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63</v>
      </c>
      <c r="E96" t="str">
        <f>+IFERROR(VLOOKUP(Fact_Control_Operaciones[[#This Row],[Concepto Anterior]],Conceptos_Control_Operaciones[#All],5,0),"")</f>
        <v>Recuperaciones descuadres en caja</v>
      </c>
      <c r="F96" t="str">
        <f ca="1">+IFERROR(VLOOKUP(Fact_Control_Operaciones[[#This Row],[Concepto Anterior]],Conceptos_Control_Operaciones[#All],7,0),"")</f>
        <v/>
      </c>
      <c r="G96" s="138" t="s">
        <v>230</v>
      </c>
      <c r="H96" s="138" t="s">
        <v>230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113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 ca="1">+IFERROR(VLOOKUP(Fact_Control_Operaciones[[#This Row],[Concepto Anterior]],Conceptos_Control_Operaciones[#All],7,0),"")</f>
        <v/>
      </c>
      <c r="G97" s="138" t="s">
        <v>230</v>
      </c>
      <c r="H97" s="138" t="s">
        <v>230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54</v>
      </c>
      <c r="E98" t="str">
        <f>+IFERROR(VLOOKUP(Fact_Control_Operaciones[[#This Row],[Concepto Anterior]],Conceptos_Control_Operaciones[#All],5,0),"")</f>
        <v>Arqueos​</v>
      </c>
      <c r="F98" t="str">
        <f ca="1">+IFERROR(VLOOKUP(Fact_Control_Operaciones[[#This Row],[Concepto Anterior]],Conceptos_Control_Operaciones[#All],7,0),"")</f>
        <v/>
      </c>
      <c r="G98" s="138" t="s">
        <v>230</v>
      </c>
      <c r="H98" s="138" t="s">
        <v>230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127</v>
      </c>
      <c r="E99" t="str">
        <f>+IFERROR(VLOOKUP(Fact_Control_Operaciones[[#This Row],[Concepto Anterior]],Conceptos_Control_Operaciones[#All],5,0),"")</f>
        <v>Capacitaciones</v>
      </c>
      <c r="F99" t="str">
        <f ca="1">+IFERROR(VLOOKUP(Fact_Control_Operaciones[[#This Row],[Concepto Anterior]],Conceptos_Control_Operaciones[#All],7,0),"")</f>
        <v/>
      </c>
      <c r="G99" s="138" t="s">
        <v>230</v>
      </c>
      <c r="H99" s="138" t="s">
        <v>230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56</v>
      </c>
      <c r="E100" t="str">
        <f>+IFERROR(VLOOKUP(Fact_Control_Operaciones[[#This Row],[Concepto Anterior]],Conceptos_Control_Operaciones[#All],5,0),"")</f>
        <v>Causación y Política Caja Menor​</v>
      </c>
      <c r="F100" t="str">
        <f ca="1">+IFERROR(VLOOKUP(Fact_Control_Operaciones[[#This Row],[Concepto Anterior]],Conceptos_Control_Operaciones[#All],7,0),"")</f>
        <v/>
      </c>
      <c r="G100" s="138" t="s">
        <v>230</v>
      </c>
      <c r="H100" s="138" t="s">
        <v>230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86</v>
      </c>
      <c r="E101" t="str">
        <f>+IFERROR(VLOOKUP(Fact_Control_Operaciones[[#This Row],[Concepto Anterior]],Conceptos_Control_Operaciones[#All],5,0),"")</f>
        <v>Gasto caja menor deducible</v>
      </c>
      <c r="F101" t="str">
        <f ca="1">+IFERROR(VLOOKUP(Fact_Control_Operaciones[[#This Row],[Concepto Anterior]],Conceptos_Control_Operaciones[#All],7,0),"")</f>
        <v/>
      </c>
      <c r="G101" s="138" t="s">
        <v>230</v>
      </c>
      <c r="H101" s="138" t="s">
        <v>230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85</v>
      </c>
      <c r="E102" t="str">
        <f>+IFERROR(VLOOKUP(Fact_Control_Operaciones[[#This Row],[Concepto Anterior]],Conceptos_Control_Operaciones[#All],5,0),"")</f>
        <v>Gasto caja menor no deducible</v>
      </c>
      <c r="F102" t="str">
        <f ca="1">+IFERROR(VLOOKUP(Fact_Control_Operaciones[[#This Row],[Concepto Anterior]],Conceptos_Control_Operaciones[#All],7,0),"")</f>
        <v/>
      </c>
      <c r="G102" s="138" t="s">
        <v>230</v>
      </c>
      <c r="H102" s="138" t="s">
        <v>230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162</v>
      </c>
      <c r="E103" t="str">
        <f>+IFERROR(VLOOKUP(Fact_Control_Operaciones[[#This Row],[Concepto Anterior]],Conceptos_Control_Operaciones[#All],5,0),"")</f>
        <v>Gestiones descuadres en caja</v>
      </c>
      <c r="F103" t="str">
        <f ca="1">+IFERROR(VLOOKUP(Fact_Control_Operaciones[[#This Row],[Concepto Anterior]],Conceptos_Control_Operaciones[#All],7,0),"")</f>
        <v/>
      </c>
      <c r="G103" s="138" t="s">
        <v>230</v>
      </c>
      <c r="H103" s="138" t="s">
        <v>230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60</v>
      </c>
      <c r="E104" t="str">
        <f>+IFERROR(VLOOKUP(Fact_Control_Operaciones[[#This Row],[Concepto Anterior]],Conceptos_Control_Operaciones[#All],5,0),"")</f>
        <v>Inventarios fisicos​ GS Falabella</v>
      </c>
      <c r="F104" t="str">
        <f ca="1">+IFERROR(VLOOKUP(Fact_Control_Operaciones[[#This Row],[Concepto Anterior]],Conceptos_Control_Operaciones[#All],7,0),"")</f>
        <v/>
      </c>
      <c r="G104" s="138" t="s">
        <v>230</v>
      </c>
      <c r="H104" s="138" t="s">
        <v>230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59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 ca="1">+IFERROR(VLOOKUP(Fact_Control_Operaciones[[#This Row],[Concepto Anterior]],Conceptos_Control_Operaciones[#All],7,0),"")</f>
        <v/>
      </c>
      <c r="G105" s="138" t="s">
        <v>230</v>
      </c>
      <c r="H105" s="138" t="s">
        <v>230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61</v>
      </c>
      <c r="E106" t="str">
        <f>+IFERROR(VLOOKUP(Fact_Control_Operaciones[[#This Row],[Concepto Anterior]],Conceptos_Control_Operaciones[#All],5,0),"")</f>
        <v>Paz y Salvo Retiros​</v>
      </c>
      <c r="F106" t="str">
        <f ca="1">+IFERROR(VLOOKUP(Fact_Control_Operaciones[[#This Row],[Concepto Anterior]],Conceptos_Control_Operaciones[#All],7,0),"")</f>
        <v/>
      </c>
      <c r="G106" s="138" t="s">
        <v>230</v>
      </c>
      <c r="H106" s="138" t="s">
        <v>230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63</v>
      </c>
      <c r="E107" t="str">
        <f>+IFERROR(VLOOKUP(Fact_Control_Operaciones[[#This Row],[Concepto Anterior]],Conceptos_Control_Operaciones[#All],5,0),"")</f>
        <v>Recuperaciones descuadres en caja</v>
      </c>
      <c r="F107" t="str">
        <f ca="1">+IFERROR(VLOOKUP(Fact_Control_Operaciones[[#This Row],[Concepto Anterior]],Conceptos_Control_Operaciones[#All],7,0),"")</f>
        <v/>
      </c>
      <c r="G107" s="138" t="s">
        <v>230</v>
      </c>
      <c r="H107" s="138" t="s">
        <v>230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179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113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 ca="1">+IFERROR(VLOOKUP(Fact_Control_Operaciones[[#This Row],[Concepto Anterior]],Conceptos_Control_Operaciones[#All],7,0),"")</f>
        <v/>
      </c>
      <c r="G108" s="138" t="s">
        <v>230</v>
      </c>
      <c r="H108" s="138" t="s">
        <v>230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179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54</v>
      </c>
      <c r="E109" t="str">
        <f>+IFERROR(VLOOKUP(Fact_Control_Operaciones[[#This Row],[Concepto Anterior]],Conceptos_Control_Operaciones[#All],5,0),"")</f>
        <v>Arqueos​</v>
      </c>
      <c r="F109" t="str">
        <f ca="1">+IFERROR(VLOOKUP(Fact_Control_Operaciones[[#This Row],[Concepto Anterior]],Conceptos_Control_Operaciones[#All],7,0),"")</f>
        <v/>
      </c>
      <c r="G109" s="138" t="s">
        <v>230</v>
      </c>
      <c r="H109" s="138" t="s">
        <v>230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179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127</v>
      </c>
      <c r="E110" t="str">
        <f>+IFERROR(VLOOKUP(Fact_Control_Operaciones[[#This Row],[Concepto Anterior]],Conceptos_Control_Operaciones[#All],5,0),"")</f>
        <v>Capacitaciones</v>
      </c>
      <c r="F110" t="str">
        <f ca="1">+IFERROR(VLOOKUP(Fact_Control_Operaciones[[#This Row],[Concepto Anterior]],Conceptos_Control_Operaciones[#All],7,0),"")</f>
        <v/>
      </c>
      <c r="G110" s="138" t="s">
        <v>230</v>
      </c>
      <c r="H110" s="138" t="s">
        <v>230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179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56</v>
      </c>
      <c r="E111" t="str">
        <f>+IFERROR(VLOOKUP(Fact_Control_Operaciones[[#This Row],[Concepto Anterior]],Conceptos_Control_Operaciones[#All],5,0),"")</f>
        <v>Causación y Política Caja Menor​</v>
      </c>
      <c r="F111" t="str">
        <f ca="1">+IFERROR(VLOOKUP(Fact_Control_Operaciones[[#This Row],[Concepto Anterior]],Conceptos_Control_Operaciones[#All],7,0),"")</f>
        <v/>
      </c>
      <c r="G111" s="138" t="s">
        <v>230</v>
      </c>
      <c r="H111" s="138" t="s">
        <v>230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179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86</v>
      </c>
      <c r="E112" t="str">
        <f>+IFERROR(VLOOKUP(Fact_Control_Operaciones[[#This Row],[Concepto Anterior]],Conceptos_Control_Operaciones[#All],5,0),"")</f>
        <v>Gasto caja menor deducible</v>
      </c>
      <c r="F112" t="str">
        <f ca="1">+IFERROR(VLOOKUP(Fact_Control_Operaciones[[#This Row],[Concepto Anterior]],Conceptos_Control_Operaciones[#All],7,0),"")</f>
        <v/>
      </c>
      <c r="G112" s="138" t="s">
        <v>230</v>
      </c>
      <c r="H112" s="138" t="s">
        <v>230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179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85</v>
      </c>
      <c r="E113" t="str">
        <f>+IFERROR(VLOOKUP(Fact_Control_Operaciones[[#This Row],[Concepto Anterior]],Conceptos_Control_Operaciones[#All],5,0),"")</f>
        <v>Gasto caja menor no deducible</v>
      </c>
      <c r="F113" t="str">
        <f ca="1">+IFERROR(VLOOKUP(Fact_Control_Operaciones[[#This Row],[Concepto Anterior]],Conceptos_Control_Operaciones[#All],7,0),"")</f>
        <v/>
      </c>
      <c r="G113" s="138" t="s">
        <v>230</v>
      </c>
      <c r="H113" s="138" t="s">
        <v>230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179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162</v>
      </c>
      <c r="E114" t="str">
        <f>+IFERROR(VLOOKUP(Fact_Control_Operaciones[[#This Row],[Concepto Anterior]],Conceptos_Control_Operaciones[#All],5,0),"")</f>
        <v>Gestiones descuadres en caja</v>
      </c>
      <c r="F114" t="str">
        <f ca="1">+IFERROR(VLOOKUP(Fact_Control_Operaciones[[#This Row],[Concepto Anterior]],Conceptos_Control_Operaciones[#All],7,0),"")</f>
        <v/>
      </c>
      <c r="G114" s="138" t="s">
        <v>230</v>
      </c>
      <c r="H114" s="138" t="s">
        <v>230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179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60</v>
      </c>
      <c r="E115" t="str">
        <f>+IFERROR(VLOOKUP(Fact_Control_Operaciones[[#This Row],[Concepto Anterior]],Conceptos_Control_Operaciones[#All],5,0),"")</f>
        <v>Inventarios fisicos​ GS Falabella</v>
      </c>
      <c r="F115" t="str">
        <f ca="1">+IFERROR(VLOOKUP(Fact_Control_Operaciones[[#This Row],[Concepto Anterior]],Conceptos_Control_Operaciones[#All],7,0),"")</f>
        <v/>
      </c>
      <c r="G115" s="138" t="s">
        <v>230</v>
      </c>
      <c r="H115" s="138" t="s">
        <v>230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179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59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 ca="1">+IFERROR(VLOOKUP(Fact_Control_Operaciones[[#This Row],[Concepto Anterior]],Conceptos_Control_Operaciones[#All],7,0),"")</f>
        <v/>
      </c>
      <c r="G116" s="138" t="s">
        <v>230</v>
      </c>
      <c r="H116" s="138" t="s">
        <v>230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179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61</v>
      </c>
      <c r="E117" t="str">
        <f>+IFERROR(VLOOKUP(Fact_Control_Operaciones[[#This Row],[Concepto Anterior]],Conceptos_Control_Operaciones[#All],5,0),"")</f>
        <v>Paz y Salvo Retiros​</v>
      </c>
      <c r="F117" t="str">
        <f ca="1">+IFERROR(VLOOKUP(Fact_Control_Operaciones[[#This Row],[Concepto Anterior]],Conceptos_Control_Operaciones[#All],7,0),"")</f>
        <v/>
      </c>
      <c r="G117" s="138" t="s">
        <v>230</v>
      </c>
      <c r="H117" s="138" t="s">
        <v>230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179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63</v>
      </c>
      <c r="E118" t="str">
        <f>+IFERROR(VLOOKUP(Fact_Control_Operaciones[[#This Row],[Concepto Anterior]],Conceptos_Control_Operaciones[#All],5,0),"")</f>
        <v>Recuperaciones descuadres en caja</v>
      </c>
      <c r="F118" t="str">
        <f ca="1">+IFERROR(VLOOKUP(Fact_Control_Operaciones[[#This Row],[Concepto Anterior]],Conceptos_Control_Operaciones[#All],7,0),"")</f>
        <v/>
      </c>
      <c r="G118" s="138" t="s">
        <v>230</v>
      </c>
      <c r="H118" s="138" t="s">
        <v>230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188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113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 ca="1">+IFERROR(VLOOKUP(Fact_Control_Operaciones[[#This Row],[Concepto Anterior]],Conceptos_Control_Operaciones[#All],7,0),"")</f>
        <v/>
      </c>
      <c r="G119" s="138" t="s">
        <v>230</v>
      </c>
      <c r="H119" s="138" t="s">
        <v>230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188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54</v>
      </c>
      <c r="E120" t="str">
        <f>+IFERROR(VLOOKUP(Fact_Control_Operaciones[[#This Row],[Concepto Anterior]],Conceptos_Control_Operaciones[#All],5,0),"")</f>
        <v>Arqueos​</v>
      </c>
      <c r="F120" t="str">
        <f ca="1">+IFERROR(VLOOKUP(Fact_Control_Operaciones[[#This Row],[Concepto Anterior]],Conceptos_Control_Operaciones[#All],7,0),"")</f>
        <v/>
      </c>
      <c r="G120" s="138" t="s">
        <v>230</v>
      </c>
      <c r="H120" s="138" t="s">
        <v>230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188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127</v>
      </c>
      <c r="E121" t="str">
        <f>+IFERROR(VLOOKUP(Fact_Control_Operaciones[[#This Row],[Concepto Anterior]],Conceptos_Control_Operaciones[#All],5,0),"")</f>
        <v>Capacitaciones</v>
      </c>
      <c r="F121" t="str">
        <f ca="1">+IFERROR(VLOOKUP(Fact_Control_Operaciones[[#This Row],[Concepto Anterior]],Conceptos_Control_Operaciones[#All],7,0),"")</f>
        <v/>
      </c>
      <c r="G121" s="138" t="s">
        <v>230</v>
      </c>
      <c r="H121" s="138" t="s">
        <v>230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188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56</v>
      </c>
      <c r="E122" t="str">
        <f>+IFERROR(VLOOKUP(Fact_Control_Operaciones[[#This Row],[Concepto Anterior]],Conceptos_Control_Operaciones[#All],5,0),"")</f>
        <v>Causación y Política Caja Menor​</v>
      </c>
      <c r="F122" t="str">
        <f ca="1">+IFERROR(VLOOKUP(Fact_Control_Operaciones[[#This Row],[Concepto Anterior]],Conceptos_Control_Operaciones[#All],7,0),"")</f>
        <v/>
      </c>
      <c r="G122" s="138" t="s">
        <v>230</v>
      </c>
      <c r="H122" s="138" t="s">
        <v>230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188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86</v>
      </c>
      <c r="E123" t="str">
        <f>+IFERROR(VLOOKUP(Fact_Control_Operaciones[[#This Row],[Concepto Anterior]],Conceptos_Control_Operaciones[#All],5,0),"")</f>
        <v>Gasto caja menor deducible</v>
      </c>
      <c r="F123" t="str">
        <f ca="1">+IFERROR(VLOOKUP(Fact_Control_Operaciones[[#This Row],[Concepto Anterior]],Conceptos_Control_Operaciones[#All],7,0),"")</f>
        <v/>
      </c>
      <c r="G123" s="138" t="s">
        <v>230</v>
      </c>
      <c r="H123" s="138" t="s">
        <v>230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188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85</v>
      </c>
      <c r="E124" t="str">
        <f>+IFERROR(VLOOKUP(Fact_Control_Operaciones[[#This Row],[Concepto Anterior]],Conceptos_Control_Operaciones[#All],5,0),"")</f>
        <v>Gasto caja menor no deducible</v>
      </c>
      <c r="F124" t="str">
        <f ca="1">+IFERROR(VLOOKUP(Fact_Control_Operaciones[[#This Row],[Concepto Anterior]],Conceptos_Control_Operaciones[#All],7,0),"")</f>
        <v/>
      </c>
      <c r="G124" s="138" t="s">
        <v>230</v>
      </c>
      <c r="H124" s="138" t="s">
        <v>230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188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162</v>
      </c>
      <c r="E125" t="str">
        <f>+IFERROR(VLOOKUP(Fact_Control_Operaciones[[#This Row],[Concepto Anterior]],Conceptos_Control_Operaciones[#All],5,0),"")</f>
        <v>Gestiones descuadres en caja</v>
      </c>
      <c r="F125" t="str">
        <f ca="1">+IFERROR(VLOOKUP(Fact_Control_Operaciones[[#This Row],[Concepto Anterior]],Conceptos_Control_Operaciones[#All],7,0),"")</f>
        <v/>
      </c>
      <c r="G125" s="138" t="s">
        <v>230</v>
      </c>
      <c r="H125" s="138" t="s">
        <v>230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188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60</v>
      </c>
      <c r="E126" t="str">
        <f>+IFERROR(VLOOKUP(Fact_Control_Operaciones[[#This Row],[Concepto Anterior]],Conceptos_Control_Operaciones[#All],5,0),"")</f>
        <v>Inventarios fisicos​ GS Falabella</v>
      </c>
      <c r="F126" t="str">
        <f ca="1">+IFERROR(VLOOKUP(Fact_Control_Operaciones[[#This Row],[Concepto Anterior]],Conceptos_Control_Operaciones[#All],7,0),"")</f>
        <v/>
      </c>
      <c r="G126" s="138" t="s">
        <v>230</v>
      </c>
      <c r="H126" s="138" t="s">
        <v>230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188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59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 ca="1">+IFERROR(VLOOKUP(Fact_Control_Operaciones[[#This Row],[Concepto Anterior]],Conceptos_Control_Operaciones[#All],7,0),"")</f>
        <v/>
      </c>
      <c r="G127" s="138" t="s">
        <v>230</v>
      </c>
      <c r="H127" s="138" t="s">
        <v>230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188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61</v>
      </c>
      <c r="E128" t="str">
        <f>+IFERROR(VLOOKUP(Fact_Control_Operaciones[[#This Row],[Concepto Anterior]],Conceptos_Control_Operaciones[#All],5,0),"")</f>
        <v>Paz y Salvo Retiros​</v>
      </c>
      <c r="F128" t="str">
        <f ca="1">+IFERROR(VLOOKUP(Fact_Control_Operaciones[[#This Row],[Concepto Anterior]],Conceptos_Control_Operaciones[#All],7,0),"")</f>
        <v/>
      </c>
      <c r="G128" s="138" t="s">
        <v>230</v>
      </c>
      <c r="H128" s="138" t="s">
        <v>230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188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63</v>
      </c>
      <c r="E129" t="str">
        <f>+IFERROR(VLOOKUP(Fact_Control_Operaciones[[#This Row],[Concepto Anterior]],Conceptos_Control_Operaciones[#All],5,0),"")</f>
        <v>Recuperaciones descuadres en caja</v>
      </c>
      <c r="F129" t="str">
        <f ca="1">+IFERROR(VLOOKUP(Fact_Control_Operaciones[[#This Row],[Concepto Anterior]],Conceptos_Control_Operaciones[#All],7,0),"")</f>
        <v/>
      </c>
      <c r="G129" s="138" t="s">
        <v>230</v>
      </c>
      <c r="H129" s="138" t="s">
        <v>230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105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54</v>
      </c>
      <c r="E130" t="str">
        <f>+IFERROR(VLOOKUP(Fact_Control_Operaciones[[#This Row],[Concepto Anterior]],Conceptos_Control_Operaciones[#All],5,0),"")</f>
        <v>Arqueos​</v>
      </c>
      <c r="F130" t="str">
        <f ca="1">+IFERROR(VLOOKUP(Fact_Control_Operaciones[[#This Row],[Concepto Anterior]],Conceptos_Control_Operaciones[#All],7,0),"")</f>
        <v/>
      </c>
      <c r="G130" s="138" t="s">
        <v>230</v>
      </c>
      <c r="H130" s="138" t="s">
        <v>230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105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209</v>
      </c>
      <c r="E131" t="str">
        <f>+IFERROR(VLOOKUP(Fact_Control_Operaciones[[#This Row],[Concepto Anterior]],Conceptos_Control_Operaciones[#All],5,0),"")</f>
        <v>Cantidad de Inventarios cíclicos</v>
      </c>
      <c r="F131" t="str">
        <f ca="1">+IFERROR(VLOOKUP(Fact_Control_Operaciones[[#This Row],[Concepto Anterior]],Conceptos_Control_Operaciones[#All],7,0),"")</f>
        <v/>
      </c>
      <c r="G131" s="138" t="s">
        <v>230</v>
      </c>
      <c r="H131" s="138" t="s">
        <v>230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105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127</v>
      </c>
      <c r="E132" t="str">
        <f>+IFERROR(VLOOKUP(Fact_Control_Operaciones[[#This Row],[Concepto Anterior]],Conceptos_Control_Operaciones[#All],5,0),"")</f>
        <v>Capacitaciones</v>
      </c>
      <c r="F132" t="str">
        <f ca="1">+IFERROR(VLOOKUP(Fact_Control_Operaciones[[#This Row],[Concepto Anterior]],Conceptos_Control_Operaciones[#All],7,0),"")</f>
        <v/>
      </c>
      <c r="G132" s="138" t="s">
        <v>230</v>
      </c>
      <c r="H132" s="138" t="s">
        <v>230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105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56</v>
      </c>
      <c r="E133" t="str">
        <f>+IFERROR(VLOOKUP(Fact_Control_Operaciones[[#This Row],[Concepto Anterior]],Conceptos_Control_Operaciones[#All],5,0),"")</f>
        <v>Causación y Política Caja Menor​</v>
      </c>
      <c r="F133" t="str">
        <f ca="1">+IFERROR(VLOOKUP(Fact_Control_Operaciones[[#This Row],[Concepto Anterior]],Conceptos_Control_Operaciones[#All],7,0),"")</f>
        <v/>
      </c>
      <c r="G133" s="138" t="s">
        <v>230</v>
      </c>
      <c r="H133" s="138" t="s">
        <v>230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105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216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 ca="1">+IFERROR(VLOOKUP(Fact_Control_Operaciones[[#This Row],[Concepto Anterior]],Conceptos_Control_Operaciones[#All],7,0),"")</f>
        <v/>
      </c>
      <c r="G134" s="138" t="s">
        <v>230</v>
      </c>
      <c r="H134" s="138" t="s">
        <v>230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105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86</v>
      </c>
      <c r="E135" t="str">
        <f>+IFERROR(VLOOKUP(Fact_Control_Operaciones[[#This Row],[Concepto Anterior]],Conceptos_Control_Operaciones[#All],5,0),"")</f>
        <v>Gasto caja menor deducible</v>
      </c>
      <c r="F135" t="str">
        <f ca="1">+IFERROR(VLOOKUP(Fact_Control_Operaciones[[#This Row],[Concepto Anterior]],Conceptos_Control_Operaciones[#All],7,0),"")</f>
        <v/>
      </c>
      <c r="G135" s="138" t="s">
        <v>230</v>
      </c>
      <c r="H135" s="138" t="s">
        <v>230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105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85</v>
      </c>
      <c r="E136" t="str">
        <f>+IFERROR(VLOOKUP(Fact_Control_Operaciones[[#This Row],[Concepto Anterior]],Conceptos_Control_Operaciones[#All],5,0),"")</f>
        <v>Gasto caja menor no deducible</v>
      </c>
      <c r="F136" t="str">
        <f ca="1">+IFERROR(VLOOKUP(Fact_Control_Operaciones[[#This Row],[Concepto Anterior]],Conceptos_Control_Operaciones[#All],7,0),"")</f>
        <v/>
      </c>
      <c r="G136" s="138" t="s">
        <v>230</v>
      </c>
      <c r="H136" s="138" t="s">
        <v>230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105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222</v>
      </c>
      <c r="E137" t="str">
        <f>+IFERROR(VLOOKUP(Fact_Control_Operaciones[[#This Row],[Concepto Anterior]],Conceptos_Control_Operaciones[#All],5,0),"")</f>
        <v>Gestion merma inventario</v>
      </c>
      <c r="F137" t="str">
        <f ca="1">+IFERROR(VLOOKUP(Fact_Control_Operaciones[[#This Row],[Concepto Anterior]],Conceptos_Control_Operaciones[#All],7,0),"")</f>
        <v/>
      </c>
      <c r="G137" s="138" t="s">
        <v>230</v>
      </c>
      <c r="H137" s="138" t="s">
        <v>230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105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162</v>
      </c>
      <c r="E138" t="str">
        <f>+IFERROR(VLOOKUP(Fact_Control_Operaciones[[#This Row],[Concepto Anterior]],Conceptos_Control_Operaciones[#All],5,0),"")</f>
        <v>Gestiones descuadres en caja</v>
      </c>
      <c r="F138" t="str">
        <f ca="1">+IFERROR(VLOOKUP(Fact_Control_Operaciones[[#This Row],[Concepto Anterior]],Conceptos_Control_Operaciones[#All],7,0),"")</f>
        <v/>
      </c>
      <c r="G138" s="138" t="s">
        <v>230</v>
      </c>
      <c r="H138" s="138" t="s">
        <v>230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105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60</v>
      </c>
      <c r="E139" t="str">
        <f>+IFERROR(VLOOKUP(Fact_Control_Operaciones[[#This Row],[Concepto Anterior]],Conceptos_Control_Operaciones[#All],5,0),"")</f>
        <v>Inventarios fisicos​ GS Falabella</v>
      </c>
      <c r="F139" t="str">
        <f ca="1">+IFERROR(VLOOKUP(Fact_Control_Operaciones[[#This Row],[Concepto Anterior]],Conceptos_Control_Operaciones[#All],7,0),"")</f>
        <v/>
      </c>
      <c r="G139" s="138" t="s">
        <v>230</v>
      </c>
      <c r="H139" s="138" t="s">
        <v>230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105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59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 ca="1">+IFERROR(VLOOKUP(Fact_Control_Operaciones[[#This Row],[Concepto Anterior]],Conceptos_Control_Operaciones[#All],7,0),"")</f>
        <v/>
      </c>
      <c r="G140" s="138" t="s">
        <v>230</v>
      </c>
      <c r="H140" s="138" t="s">
        <v>230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105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61</v>
      </c>
      <c r="E141" t="str">
        <f>+IFERROR(VLOOKUP(Fact_Control_Operaciones[[#This Row],[Concepto Anterior]],Conceptos_Control_Operaciones[#All],5,0),"")</f>
        <v>Paz y Salvo Retiros​</v>
      </c>
      <c r="F141" t="str">
        <f ca="1">+IFERROR(VLOOKUP(Fact_Control_Operaciones[[#This Row],[Concepto Anterior]],Conceptos_Control_Operaciones[#All],7,0),"")</f>
        <v/>
      </c>
      <c r="G141" s="138" t="s">
        <v>230</v>
      </c>
      <c r="H141" s="138" t="s">
        <v>230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105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63</v>
      </c>
      <c r="E142" t="str">
        <f>+IFERROR(VLOOKUP(Fact_Control_Operaciones[[#This Row],[Concepto Anterior]],Conceptos_Control_Operaciones[#All],5,0),"")</f>
        <v>Recuperaciones descuadres en caja</v>
      </c>
      <c r="F142" t="str">
        <f ca="1">+IFERROR(VLOOKUP(Fact_Control_Operaciones[[#This Row],[Concepto Anterior]],Conceptos_Control_Operaciones[#All],7,0),"")</f>
        <v/>
      </c>
      <c r="G142" s="138" t="s">
        <v>230</v>
      </c>
      <c r="H142" s="138" t="s">
        <v>230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105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203</v>
      </c>
      <c r="E143" t="str">
        <f>+IFERROR(VLOOKUP(Fact_Control_Operaciones[[#This Row],[Concepto Anterior]],Conceptos_Control_Operaciones[#All],5,0),"")</f>
        <v>Tickets mesa de servicio</v>
      </c>
      <c r="F143" t="str">
        <f ca="1">+IFERROR(VLOOKUP(Fact_Control_Operaciones[[#This Row],[Concepto Anterior]],Conceptos_Control_Operaciones[#All],7,0),"")</f>
        <v/>
      </c>
      <c r="G143" s="138" t="s">
        <v>230</v>
      </c>
      <c r="H143" s="138" t="s">
        <v>230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117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54</v>
      </c>
      <c r="E144" t="str">
        <f>+IFERROR(VLOOKUP(Fact_Control_Operaciones[[#This Row],[Concepto Anterior]],Conceptos_Control_Operaciones[#All],5,0),"")</f>
        <v>Arqueos​</v>
      </c>
      <c r="F144" t="str">
        <f ca="1">+IFERROR(VLOOKUP(Fact_Control_Operaciones[[#This Row],[Concepto Anterior]],Conceptos_Control_Operaciones[#All],7,0),"")</f>
        <v/>
      </c>
      <c r="G144" s="138" t="s">
        <v>230</v>
      </c>
      <c r="H144" s="138" t="s">
        <v>230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117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209</v>
      </c>
      <c r="E145" t="str">
        <f>+IFERROR(VLOOKUP(Fact_Control_Operaciones[[#This Row],[Concepto Anterior]],Conceptos_Control_Operaciones[#All],5,0),"")</f>
        <v>Cantidad de Inventarios cíclicos</v>
      </c>
      <c r="F145" t="str">
        <f ca="1">+IFERROR(VLOOKUP(Fact_Control_Operaciones[[#This Row],[Concepto Anterior]],Conceptos_Control_Operaciones[#All],7,0),"")</f>
        <v/>
      </c>
      <c r="G145" s="138" t="s">
        <v>230</v>
      </c>
      <c r="H145" s="138" t="s">
        <v>230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117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127</v>
      </c>
      <c r="E146" t="str">
        <f>+IFERROR(VLOOKUP(Fact_Control_Operaciones[[#This Row],[Concepto Anterior]],Conceptos_Control_Operaciones[#All],5,0),"")</f>
        <v>Capacitaciones</v>
      </c>
      <c r="F146" t="str">
        <f ca="1">+IFERROR(VLOOKUP(Fact_Control_Operaciones[[#This Row],[Concepto Anterior]],Conceptos_Control_Operaciones[#All],7,0),"")</f>
        <v/>
      </c>
      <c r="G146" s="138" t="s">
        <v>230</v>
      </c>
      <c r="H146" s="138" t="s">
        <v>230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117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56</v>
      </c>
      <c r="E147" t="str">
        <f>+IFERROR(VLOOKUP(Fact_Control_Operaciones[[#This Row],[Concepto Anterior]],Conceptos_Control_Operaciones[#All],5,0),"")</f>
        <v>Causación y Política Caja Menor​</v>
      </c>
      <c r="F147" t="str">
        <f ca="1">+IFERROR(VLOOKUP(Fact_Control_Operaciones[[#This Row],[Concepto Anterior]],Conceptos_Control_Operaciones[#All],7,0),"")</f>
        <v/>
      </c>
      <c r="G147" s="138" t="s">
        <v>230</v>
      </c>
      <c r="H147" s="138" t="s">
        <v>230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117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216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 ca="1">+IFERROR(VLOOKUP(Fact_Control_Operaciones[[#This Row],[Concepto Anterior]],Conceptos_Control_Operaciones[#All],7,0),"")</f>
        <v/>
      </c>
      <c r="G148" s="138" t="s">
        <v>230</v>
      </c>
      <c r="H148" s="138" t="s">
        <v>230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117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86</v>
      </c>
      <c r="E149" t="str">
        <f>+IFERROR(VLOOKUP(Fact_Control_Operaciones[[#This Row],[Concepto Anterior]],Conceptos_Control_Operaciones[#All],5,0),"")</f>
        <v>Gasto caja menor deducible</v>
      </c>
      <c r="F149" t="str">
        <f ca="1">+IFERROR(VLOOKUP(Fact_Control_Operaciones[[#This Row],[Concepto Anterior]],Conceptos_Control_Operaciones[#All],7,0),"")</f>
        <v/>
      </c>
      <c r="G149" s="138" t="s">
        <v>230</v>
      </c>
      <c r="H149" s="138" t="s">
        <v>230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117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85</v>
      </c>
      <c r="E150" t="str">
        <f>+IFERROR(VLOOKUP(Fact_Control_Operaciones[[#This Row],[Concepto Anterior]],Conceptos_Control_Operaciones[#All],5,0),"")</f>
        <v>Gasto caja menor no deducible</v>
      </c>
      <c r="F150" t="str">
        <f ca="1">+IFERROR(VLOOKUP(Fact_Control_Operaciones[[#This Row],[Concepto Anterior]],Conceptos_Control_Operaciones[#All],7,0),"")</f>
        <v/>
      </c>
      <c r="G150" s="138" t="s">
        <v>230</v>
      </c>
      <c r="H150" s="138" t="s">
        <v>230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117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222</v>
      </c>
      <c r="E151" t="str">
        <f>+IFERROR(VLOOKUP(Fact_Control_Operaciones[[#This Row],[Concepto Anterior]],Conceptos_Control_Operaciones[#All],5,0),"")</f>
        <v>Gestion merma inventario</v>
      </c>
      <c r="F151" t="str">
        <f ca="1">+IFERROR(VLOOKUP(Fact_Control_Operaciones[[#This Row],[Concepto Anterior]],Conceptos_Control_Operaciones[#All],7,0),"")</f>
        <v/>
      </c>
      <c r="G151" s="138" t="s">
        <v>230</v>
      </c>
      <c r="H151" s="138" t="s">
        <v>230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117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162</v>
      </c>
      <c r="E152" t="str">
        <f>+IFERROR(VLOOKUP(Fact_Control_Operaciones[[#This Row],[Concepto Anterior]],Conceptos_Control_Operaciones[#All],5,0),"")</f>
        <v>Gestiones descuadres en caja</v>
      </c>
      <c r="F152" t="str">
        <f ca="1">+IFERROR(VLOOKUP(Fact_Control_Operaciones[[#This Row],[Concepto Anterior]],Conceptos_Control_Operaciones[#All],7,0),"")</f>
        <v/>
      </c>
      <c r="G152" s="138" t="s">
        <v>230</v>
      </c>
      <c r="H152" s="138" t="s">
        <v>230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117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60</v>
      </c>
      <c r="E153" t="str">
        <f>+IFERROR(VLOOKUP(Fact_Control_Operaciones[[#This Row],[Concepto Anterior]],Conceptos_Control_Operaciones[#All],5,0),"")</f>
        <v>Inventarios fisicos​ GS Falabella</v>
      </c>
      <c r="F153" t="str">
        <f ca="1">+IFERROR(VLOOKUP(Fact_Control_Operaciones[[#This Row],[Concepto Anterior]],Conceptos_Control_Operaciones[#All],7,0),"")</f>
        <v/>
      </c>
      <c r="G153" s="138" t="s">
        <v>230</v>
      </c>
      <c r="H153" s="138" t="s">
        <v>230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117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59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 ca="1">+IFERROR(VLOOKUP(Fact_Control_Operaciones[[#This Row],[Concepto Anterior]],Conceptos_Control_Operaciones[#All],7,0),"")</f>
        <v/>
      </c>
      <c r="G154" s="138" t="s">
        <v>230</v>
      </c>
      <c r="H154" s="138" t="s">
        <v>230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117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61</v>
      </c>
      <c r="E155" t="str">
        <f>+IFERROR(VLOOKUP(Fact_Control_Operaciones[[#This Row],[Concepto Anterior]],Conceptos_Control_Operaciones[#All],5,0),"")</f>
        <v>Paz y Salvo Retiros​</v>
      </c>
      <c r="F155" t="str">
        <f ca="1">+IFERROR(VLOOKUP(Fact_Control_Operaciones[[#This Row],[Concepto Anterior]],Conceptos_Control_Operaciones[#All],7,0),"")</f>
        <v/>
      </c>
      <c r="G155" s="138" t="s">
        <v>230</v>
      </c>
      <c r="H155" s="138" t="s">
        <v>230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117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63</v>
      </c>
      <c r="E156" t="str">
        <f>+IFERROR(VLOOKUP(Fact_Control_Operaciones[[#This Row],[Concepto Anterior]],Conceptos_Control_Operaciones[#All],5,0),"")</f>
        <v>Recuperaciones descuadres en caja</v>
      </c>
      <c r="F156" t="str">
        <f ca="1">+IFERROR(VLOOKUP(Fact_Control_Operaciones[[#This Row],[Concepto Anterior]],Conceptos_Control_Operaciones[#All],7,0),"")</f>
        <v/>
      </c>
      <c r="G156" s="138" t="s">
        <v>230</v>
      </c>
      <c r="H156" s="138" t="s">
        <v>230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117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203</v>
      </c>
      <c r="E157" t="str">
        <f>+IFERROR(VLOOKUP(Fact_Control_Operaciones[[#This Row],[Concepto Anterior]],Conceptos_Control_Operaciones[#All],5,0),"")</f>
        <v>Tickets mesa de servicio</v>
      </c>
      <c r="F157" t="str">
        <f ca="1">+IFERROR(VLOOKUP(Fact_Control_Operaciones[[#This Row],[Concepto Anterior]],Conceptos_Control_Operaciones[#All],7,0),"")</f>
        <v/>
      </c>
      <c r="G157" s="138" t="s">
        <v>230</v>
      </c>
      <c r="H157" s="138" t="s">
        <v>230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123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54</v>
      </c>
      <c r="E158" t="str">
        <f>+IFERROR(VLOOKUP(Fact_Control_Operaciones[[#This Row],[Concepto Anterior]],Conceptos_Control_Operaciones[#All],5,0),"")</f>
        <v>Arqueos​</v>
      </c>
      <c r="F158" t="str">
        <f ca="1">+IFERROR(VLOOKUP(Fact_Control_Operaciones[[#This Row],[Concepto Anterior]],Conceptos_Control_Operaciones[#All],7,0),"")</f>
        <v/>
      </c>
      <c r="G158" s="138" t="s">
        <v>230</v>
      </c>
      <c r="H158" s="138" t="s">
        <v>230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123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209</v>
      </c>
      <c r="E159" t="str">
        <f>+IFERROR(VLOOKUP(Fact_Control_Operaciones[[#This Row],[Concepto Anterior]],Conceptos_Control_Operaciones[#All],5,0),"")</f>
        <v>Cantidad de Inventarios cíclicos</v>
      </c>
      <c r="F159" t="str">
        <f ca="1">+IFERROR(VLOOKUP(Fact_Control_Operaciones[[#This Row],[Concepto Anterior]],Conceptos_Control_Operaciones[#All],7,0),"")</f>
        <v/>
      </c>
      <c r="G159" s="138" t="s">
        <v>230</v>
      </c>
      <c r="H159" s="138" t="s">
        <v>230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123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127</v>
      </c>
      <c r="E160" t="str">
        <f>+IFERROR(VLOOKUP(Fact_Control_Operaciones[[#This Row],[Concepto Anterior]],Conceptos_Control_Operaciones[#All],5,0),"")</f>
        <v>Capacitaciones</v>
      </c>
      <c r="F160" t="str">
        <f ca="1">+IFERROR(VLOOKUP(Fact_Control_Operaciones[[#This Row],[Concepto Anterior]],Conceptos_Control_Operaciones[#All],7,0),"")</f>
        <v/>
      </c>
      <c r="G160" s="138" t="s">
        <v>230</v>
      </c>
      <c r="H160" s="138" t="s">
        <v>230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123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56</v>
      </c>
      <c r="E161" t="str">
        <f>+IFERROR(VLOOKUP(Fact_Control_Operaciones[[#This Row],[Concepto Anterior]],Conceptos_Control_Operaciones[#All],5,0),"")</f>
        <v>Causación y Política Caja Menor​</v>
      </c>
      <c r="F161" t="str">
        <f ca="1">+IFERROR(VLOOKUP(Fact_Control_Operaciones[[#This Row],[Concepto Anterior]],Conceptos_Control_Operaciones[#All],7,0),"")</f>
        <v/>
      </c>
      <c r="G161" s="138" t="s">
        <v>230</v>
      </c>
      <c r="H161" s="138" t="s">
        <v>230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123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216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 ca="1">+IFERROR(VLOOKUP(Fact_Control_Operaciones[[#This Row],[Concepto Anterior]],Conceptos_Control_Operaciones[#All],7,0),"")</f>
        <v/>
      </c>
      <c r="G162" s="138" t="s">
        <v>230</v>
      </c>
      <c r="H162" s="138" t="s">
        <v>230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123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86</v>
      </c>
      <c r="E163" t="str">
        <f>+IFERROR(VLOOKUP(Fact_Control_Operaciones[[#This Row],[Concepto Anterior]],Conceptos_Control_Operaciones[#All],5,0),"")</f>
        <v>Gasto caja menor deducible</v>
      </c>
      <c r="F163" t="str">
        <f ca="1">+IFERROR(VLOOKUP(Fact_Control_Operaciones[[#This Row],[Concepto Anterior]],Conceptos_Control_Operaciones[#All],7,0),"")</f>
        <v/>
      </c>
      <c r="G163" s="138" t="s">
        <v>230</v>
      </c>
      <c r="H163" s="138" t="s">
        <v>230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123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85</v>
      </c>
      <c r="E164" t="str">
        <f>+IFERROR(VLOOKUP(Fact_Control_Operaciones[[#This Row],[Concepto Anterior]],Conceptos_Control_Operaciones[#All],5,0),"")</f>
        <v>Gasto caja menor no deducible</v>
      </c>
      <c r="F164" t="str">
        <f ca="1">+IFERROR(VLOOKUP(Fact_Control_Operaciones[[#This Row],[Concepto Anterior]],Conceptos_Control_Operaciones[#All],7,0),"")</f>
        <v/>
      </c>
      <c r="G164" s="138" t="s">
        <v>230</v>
      </c>
      <c r="H164" s="138" t="s">
        <v>230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123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222</v>
      </c>
      <c r="E165" t="str">
        <f>+IFERROR(VLOOKUP(Fact_Control_Operaciones[[#This Row],[Concepto Anterior]],Conceptos_Control_Operaciones[#All],5,0),"")</f>
        <v>Gestion merma inventario</v>
      </c>
      <c r="F165" t="str">
        <f ca="1">+IFERROR(VLOOKUP(Fact_Control_Operaciones[[#This Row],[Concepto Anterior]],Conceptos_Control_Operaciones[#All],7,0),"")</f>
        <v/>
      </c>
      <c r="G165" s="138" t="s">
        <v>230</v>
      </c>
      <c r="H165" s="138" t="s">
        <v>230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123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162</v>
      </c>
      <c r="E166" t="str">
        <f>+IFERROR(VLOOKUP(Fact_Control_Operaciones[[#This Row],[Concepto Anterior]],Conceptos_Control_Operaciones[#All],5,0),"")</f>
        <v>Gestiones descuadres en caja</v>
      </c>
      <c r="F166" t="str">
        <f ca="1">+IFERROR(VLOOKUP(Fact_Control_Operaciones[[#This Row],[Concepto Anterior]],Conceptos_Control_Operaciones[#All],7,0),"")</f>
        <v/>
      </c>
      <c r="G166" s="138" t="s">
        <v>230</v>
      </c>
      <c r="H166" s="138" t="s">
        <v>230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123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60</v>
      </c>
      <c r="E167" t="str">
        <f>+IFERROR(VLOOKUP(Fact_Control_Operaciones[[#This Row],[Concepto Anterior]],Conceptos_Control_Operaciones[#All],5,0),"")</f>
        <v>Inventarios fisicos​ GS Falabella</v>
      </c>
      <c r="F167" t="str">
        <f ca="1">+IFERROR(VLOOKUP(Fact_Control_Operaciones[[#This Row],[Concepto Anterior]],Conceptos_Control_Operaciones[#All],7,0),"")</f>
        <v/>
      </c>
      <c r="G167" s="138" t="s">
        <v>230</v>
      </c>
      <c r="H167" s="138" t="s">
        <v>230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123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59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 ca="1">+IFERROR(VLOOKUP(Fact_Control_Operaciones[[#This Row],[Concepto Anterior]],Conceptos_Control_Operaciones[#All],7,0),"")</f>
        <v/>
      </c>
      <c r="G168" s="138" t="s">
        <v>230</v>
      </c>
      <c r="H168" s="138" t="s">
        <v>230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123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61</v>
      </c>
      <c r="E169" t="str">
        <f>+IFERROR(VLOOKUP(Fact_Control_Operaciones[[#This Row],[Concepto Anterior]],Conceptos_Control_Operaciones[#All],5,0),"")</f>
        <v>Paz y Salvo Retiros​</v>
      </c>
      <c r="F169" t="str">
        <f ca="1">+IFERROR(VLOOKUP(Fact_Control_Operaciones[[#This Row],[Concepto Anterior]],Conceptos_Control_Operaciones[#All],7,0),"")</f>
        <v/>
      </c>
      <c r="G169" s="138" t="s">
        <v>230</v>
      </c>
      <c r="H169" s="138" t="s">
        <v>230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123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63</v>
      </c>
      <c r="E170" t="str">
        <f>+IFERROR(VLOOKUP(Fact_Control_Operaciones[[#This Row],[Concepto Anterior]],Conceptos_Control_Operaciones[#All],5,0),"")</f>
        <v>Recuperaciones descuadres en caja</v>
      </c>
      <c r="F170" t="str">
        <f ca="1">+IFERROR(VLOOKUP(Fact_Control_Operaciones[[#This Row],[Concepto Anterior]],Conceptos_Control_Operaciones[#All],7,0),"")</f>
        <v/>
      </c>
      <c r="G170" s="138" t="s">
        <v>230</v>
      </c>
      <c r="H170" s="138" t="s">
        <v>230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123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203</v>
      </c>
      <c r="E171" t="str">
        <f>+IFERROR(VLOOKUP(Fact_Control_Operaciones[[#This Row],[Concepto Anterior]],Conceptos_Control_Operaciones[#All],5,0),"")</f>
        <v>Tickets mesa de servicio</v>
      </c>
      <c r="F171" t="str">
        <f ca="1">+IFERROR(VLOOKUP(Fact_Control_Operaciones[[#This Row],[Concepto Anterior]],Conceptos_Control_Operaciones[#All],7,0),"")</f>
        <v/>
      </c>
      <c r="G171" s="138" t="s">
        <v>230</v>
      </c>
      <c r="H171" s="138" t="s">
        <v>230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130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54</v>
      </c>
      <c r="E172" t="str">
        <f>+IFERROR(VLOOKUP(Fact_Control_Operaciones[[#This Row],[Concepto Anterior]],Conceptos_Control_Operaciones[#All],5,0),"")</f>
        <v>Arqueos​</v>
      </c>
      <c r="F172" t="str">
        <f ca="1">+IFERROR(VLOOKUP(Fact_Control_Operaciones[[#This Row],[Concepto Anterior]],Conceptos_Control_Operaciones[#All],7,0),"")</f>
        <v/>
      </c>
      <c r="G172" s="138" t="s">
        <v>230</v>
      </c>
      <c r="H172" s="138" t="s">
        <v>230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130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209</v>
      </c>
      <c r="E173" t="str">
        <f>+IFERROR(VLOOKUP(Fact_Control_Operaciones[[#This Row],[Concepto Anterior]],Conceptos_Control_Operaciones[#All],5,0),"")</f>
        <v>Cantidad de Inventarios cíclicos</v>
      </c>
      <c r="F173" t="str">
        <f ca="1">+IFERROR(VLOOKUP(Fact_Control_Operaciones[[#This Row],[Concepto Anterior]],Conceptos_Control_Operaciones[#All],7,0),"")</f>
        <v/>
      </c>
      <c r="G173" s="138" t="s">
        <v>230</v>
      </c>
      <c r="H173" s="138" t="s">
        <v>230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130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127</v>
      </c>
      <c r="E174" t="str">
        <f>+IFERROR(VLOOKUP(Fact_Control_Operaciones[[#This Row],[Concepto Anterior]],Conceptos_Control_Operaciones[#All],5,0),"")</f>
        <v>Capacitaciones</v>
      </c>
      <c r="F174" t="str">
        <f ca="1">+IFERROR(VLOOKUP(Fact_Control_Operaciones[[#This Row],[Concepto Anterior]],Conceptos_Control_Operaciones[#All],7,0),"")</f>
        <v/>
      </c>
      <c r="G174" s="138" t="s">
        <v>230</v>
      </c>
      <c r="H174" s="138" t="s">
        <v>230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130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56</v>
      </c>
      <c r="E175" t="str">
        <f>+IFERROR(VLOOKUP(Fact_Control_Operaciones[[#This Row],[Concepto Anterior]],Conceptos_Control_Operaciones[#All],5,0),"")</f>
        <v>Causación y Política Caja Menor​</v>
      </c>
      <c r="F175" t="str">
        <f ca="1">+IFERROR(VLOOKUP(Fact_Control_Operaciones[[#This Row],[Concepto Anterior]],Conceptos_Control_Operaciones[#All],7,0),"")</f>
        <v/>
      </c>
      <c r="G175" s="138" t="s">
        <v>230</v>
      </c>
      <c r="H175" s="138" t="s">
        <v>230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130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216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 ca="1">+IFERROR(VLOOKUP(Fact_Control_Operaciones[[#This Row],[Concepto Anterior]],Conceptos_Control_Operaciones[#All],7,0),"")</f>
        <v/>
      </c>
      <c r="G176" s="138" t="s">
        <v>230</v>
      </c>
      <c r="H176" s="138" t="s">
        <v>230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130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86</v>
      </c>
      <c r="E177" t="str">
        <f>+IFERROR(VLOOKUP(Fact_Control_Operaciones[[#This Row],[Concepto Anterior]],Conceptos_Control_Operaciones[#All],5,0),"")</f>
        <v>Gasto caja menor deducible</v>
      </c>
      <c r="F177" t="str">
        <f ca="1">+IFERROR(VLOOKUP(Fact_Control_Operaciones[[#This Row],[Concepto Anterior]],Conceptos_Control_Operaciones[#All],7,0),"")</f>
        <v/>
      </c>
      <c r="G177" s="138" t="s">
        <v>230</v>
      </c>
      <c r="H177" s="138" t="s">
        <v>230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130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85</v>
      </c>
      <c r="E178" t="str">
        <f>+IFERROR(VLOOKUP(Fact_Control_Operaciones[[#This Row],[Concepto Anterior]],Conceptos_Control_Operaciones[#All],5,0),"")</f>
        <v>Gasto caja menor no deducible</v>
      </c>
      <c r="F178" t="str">
        <f ca="1">+IFERROR(VLOOKUP(Fact_Control_Operaciones[[#This Row],[Concepto Anterior]],Conceptos_Control_Operaciones[#All],7,0),"")</f>
        <v/>
      </c>
      <c r="G178" s="138" t="s">
        <v>230</v>
      </c>
      <c r="H178" s="138" t="s">
        <v>230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130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222</v>
      </c>
      <c r="E179" t="str">
        <f>+IFERROR(VLOOKUP(Fact_Control_Operaciones[[#This Row],[Concepto Anterior]],Conceptos_Control_Operaciones[#All],5,0),"")</f>
        <v>Gestion merma inventario</v>
      </c>
      <c r="F179" t="str">
        <f ca="1">+IFERROR(VLOOKUP(Fact_Control_Operaciones[[#This Row],[Concepto Anterior]],Conceptos_Control_Operaciones[#All],7,0),"")</f>
        <v/>
      </c>
      <c r="G179" s="138" t="s">
        <v>230</v>
      </c>
      <c r="H179" s="138" t="s">
        <v>230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130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162</v>
      </c>
      <c r="E180" t="str">
        <f>+IFERROR(VLOOKUP(Fact_Control_Operaciones[[#This Row],[Concepto Anterior]],Conceptos_Control_Operaciones[#All],5,0),"")</f>
        <v>Gestiones descuadres en caja</v>
      </c>
      <c r="F180" t="str">
        <f ca="1">+IFERROR(VLOOKUP(Fact_Control_Operaciones[[#This Row],[Concepto Anterior]],Conceptos_Control_Operaciones[#All],7,0),"")</f>
        <v/>
      </c>
      <c r="G180" s="138" t="s">
        <v>230</v>
      </c>
      <c r="H180" s="138" t="s">
        <v>230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130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60</v>
      </c>
      <c r="E181" t="str">
        <f>+IFERROR(VLOOKUP(Fact_Control_Operaciones[[#This Row],[Concepto Anterior]],Conceptos_Control_Operaciones[#All],5,0),"")</f>
        <v>Inventarios fisicos​ GS Falabella</v>
      </c>
      <c r="F181" t="str">
        <f ca="1">+IFERROR(VLOOKUP(Fact_Control_Operaciones[[#This Row],[Concepto Anterior]],Conceptos_Control_Operaciones[#All],7,0),"")</f>
        <v/>
      </c>
      <c r="G181" s="138" t="s">
        <v>230</v>
      </c>
      <c r="H181" s="138" t="s">
        <v>230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130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59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 ca="1">+IFERROR(VLOOKUP(Fact_Control_Operaciones[[#This Row],[Concepto Anterior]],Conceptos_Control_Operaciones[#All],7,0),"")</f>
        <v/>
      </c>
      <c r="G182" s="138" t="s">
        <v>230</v>
      </c>
      <c r="H182" s="138" t="s">
        <v>230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130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61</v>
      </c>
      <c r="E183" t="str">
        <f>+IFERROR(VLOOKUP(Fact_Control_Operaciones[[#This Row],[Concepto Anterior]],Conceptos_Control_Operaciones[#All],5,0),"")</f>
        <v>Paz y Salvo Retiros​</v>
      </c>
      <c r="F183" t="str">
        <f ca="1">+IFERROR(VLOOKUP(Fact_Control_Operaciones[[#This Row],[Concepto Anterior]],Conceptos_Control_Operaciones[#All],7,0),"")</f>
        <v/>
      </c>
      <c r="G183" s="138" t="s">
        <v>230</v>
      </c>
      <c r="H183" s="138" t="s">
        <v>230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130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63</v>
      </c>
      <c r="E184" t="str">
        <f>+IFERROR(VLOOKUP(Fact_Control_Operaciones[[#This Row],[Concepto Anterior]],Conceptos_Control_Operaciones[#All],5,0),"")</f>
        <v>Recuperaciones descuadres en caja</v>
      </c>
      <c r="F184" t="str">
        <f ca="1">+IFERROR(VLOOKUP(Fact_Control_Operaciones[[#This Row],[Concepto Anterior]],Conceptos_Control_Operaciones[#All],7,0),"")</f>
        <v/>
      </c>
      <c r="G184" s="138" t="s">
        <v>230</v>
      </c>
      <c r="H184" s="138" t="s">
        <v>230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130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203</v>
      </c>
      <c r="E185" t="str">
        <f>+IFERROR(VLOOKUP(Fact_Control_Operaciones[[#This Row],[Concepto Anterior]],Conceptos_Control_Operaciones[#All],5,0),"")</f>
        <v>Tickets mesa de servicio</v>
      </c>
      <c r="F185" t="str">
        <f ca="1">+IFERROR(VLOOKUP(Fact_Control_Operaciones[[#This Row],[Concepto Anterior]],Conceptos_Control_Operaciones[#All],7,0),"")</f>
        <v/>
      </c>
      <c r="G185" s="138" t="s">
        <v>230</v>
      </c>
      <c r="H185" s="138" t="s">
        <v>230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137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54</v>
      </c>
      <c r="E186" t="str">
        <f>+IFERROR(VLOOKUP(Fact_Control_Operaciones[[#This Row],[Concepto Anterior]],Conceptos_Control_Operaciones[#All],5,0),"")</f>
        <v>Arqueos​</v>
      </c>
      <c r="F186" t="str">
        <f ca="1">+IFERROR(VLOOKUP(Fact_Control_Operaciones[[#This Row],[Concepto Anterior]],Conceptos_Control_Operaciones[#All],7,0),"")</f>
        <v/>
      </c>
      <c r="G186" s="138" t="s">
        <v>230</v>
      </c>
      <c r="H186" s="138" t="s">
        <v>230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137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209</v>
      </c>
      <c r="E187" t="str">
        <f>+IFERROR(VLOOKUP(Fact_Control_Operaciones[[#This Row],[Concepto Anterior]],Conceptos_Control_Operaciones[#All],5,0),"")</f>
        <v>Cantidad de Inventarios cíclicos</v>
      </c>
      <c r="F187" t="str">
        <f ca="1">+IFERROR(VLOOKUP(Fact_Control_Operaciones[[#This Row],[Concepto Anterior]],Conceptos_Control_Operaciones[#All],7,0),"")</f>
        <v/>
      </c>
      <c r="G187" s="138" t="s">
        <v>230</v>
      </c>
      <c r="H187" s="138" t="s">
        <v>230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137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127</v>
      </c>
      <c r="E188" t="str">
        <f>+IFERROR(VLOOKUP(Fact_Control_Operaciones[[#This Row],[Concepto Anterior]],Conceptos_Control_Operaciones[#All],5,0),"")</f>
        <v>Capacitaciones</v>
      </c>
      <c r="F188" t="str">
        <f ca="1">+IFERROR(VLOOKUP(Fact_Control_Operaciones[[#This Row],[Concepto Anterior]],Conceptos_Control_Operaciones[#All],7,0),"")</f>
        <v/>
      </c>
      <c r="G188" s="138" t="s">
        <v>230</v>
      </c>
      <c r="H188" s="138" t="s">
        <v>230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137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56</v>
      </c>
      <c r="E189" t="str">
        <f>+IFERROR(VLOOKUP(Fact_Control_Operaciones[[#This Row],[Concepto Anterior]],Conceptos_Control_Operaciones[#All],5,0),"")</f>
        <v>Causación y Política Caja Menor​</v>
      </c>
      <c r="F189" t="str">
        <f ca="1">+IFERROR(VLOOKUP(Fact_Control_Operaciones[[#This Row],[Concepto Anterior]],Conceptos_Control_Operaciones[#All],7,0),"")</f>
        <v/>
      </c>
      <c r="G189" s="138" t="s">
        <v>230</v>
      </c>
      <c r="H189" s="138" t="s">
        <v>230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137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216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 ca="1">+IFERROR(VLOOKUP(Fact_Control_Operaciones[[#This Row],[Concepto Anterior]],Conceptos_Control_Operaciones[#All],7,0),"")</f>
        <v/>
      </c>
      <c r="G190" s="138" t="s">
        <v>230</v>
      </c>
      <c r="H190" s="138" t="s">
        <v>230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137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86</v>
      </c>
      <c r="E191" t="str">
        <f>+IFERROR(VLOOKUP(Fact_Control_Operaciones[[#This Row],[Concepto Anterior]],Conceptos_Control_Operaciones[#All],5,0),"")</f>
        <v>Gasto caja menor deducible</v>
      </c>
      <c r="F191" t="str">
        <f ca="1">+IFERROR(VLOOKUP(Fact_Control_Operaciones[[#This Row],[Concepto Anterior]],Conceptos_Control_Operaciones[#All],7,0),"")</f>
        <v/>
      </c>
      <c r="G191" s="138" t="s">
        <v>230</v>
      </c>
      <c r="H191" s="138" t="s">
        <v>230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137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85</v>
      </c>
      <c r="E192" t="str">
        <f>+IFERROR(VLOOKUP(Fact_Control_Operaciones[[#This Row],[Concepto Anterior]],Conceptos_Control_Operaciones[#All],5,0),"")</f>
        <v>Gasto caja menor no deducible</v>
      </c>
      <c r="F192" t="str">
        <f ca="1">+IFERROR(VLOOKUP(Fact_Control_Operaciones[[#This Row],[Concepto Anterior]],Conceptos_Control_Operaciones[#All],7,0),"")</f>
        <v/>
      </c>
      <c r="G192" s="138" t="s">
        <v>230</v>
      </c>
      <c r="H192" s="138" t="s">
        <v>230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137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222</v>
      </c>
      <c r="E193" t="str">
        <f>+IFERROR(VLOOKUP(Fact_Control_Operaciones[[#This Row],[Concepto Anterior]],Conceptos_Control_Operaciones[#All],5,0),"")</f>
        <v>Gestion merma inventario</v>
      </c>
      <c r="F193" t="str">
        <f ca="1">+IFERROR(VLOOKUP(Fact_Control_Operaciones[[#This Row],[Concepto Anterior]],Conceptos_Control_Operaciones[#All],7,0),"")</f>
        <v/>
      </c>
      <c r="G193" s="138" t="s">
        <v>230</v>
      </c>
      <c r="H193" s="138" t="s">
        <v>230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137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162</v>
      </c>
      <c r="E194" t="str">
        <f>+IFERROR(VLOOKUP(Fact_Control_Operaciones[[#This Row],[Concepto Anterior]],Conceptos_Control_Operaciones[#All],5,0),"")</f>
        <v>Gestiones descuadres en caja</v>
      </c>
      <c r="F194" t="str">
        <f ca="1">+IFERROR(VLOOKUP(Fact_Control_Operaciones[[#This Row],[Concepto Anterior]],Conceptos_Control_Operaciones[#All],7,0),"")</f>
        <v/>
      </c>
      <c r="G194" s="138" t="s">
        <v>230</v>
      </c>
      <c r="H194" s="138" t="s">
        <v>230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137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60</v>
      </c>
      <c r="E195" t="str">
        <f>+IFERROR(VLOOKUP(Fact_Control_Operaciones[[#This Row],[Concepto Anterior]],Conceptos_Control_Operaciones[#All],5,0),"")</f>
        <v>Inventarios fisicos​ GS Falabella</v>
      </c>
      <c r="F195" t="str">
        <f ca="1">+IFERROR(VLOOKUP(Fact_Control_Operaciones[[#This Row],[Concepto Anterior]],Conceptos_Control_Operaciones[#All],7,0),"")</f>
        <v/>
      </c>
      <c r="G195" s="138" t="s">
        <v>230</v>
      </c>
      <c r="H195" s="138" t="s">
        <v>230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137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59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 ca="1">+IFERROR(VLOOKUP(Fact_Control_Operaciones[[#This Row],[Concepto Anterior]],Conceptos_Control_Operaciones[#All],7,0),"")</f>
        <v/>
      </c>
      <c r="G196" s="138" t="s">
        <v>230</v>
      </c>
      <c r="H196" s="138" t="s">
        <v>230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137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61</v>
      </c>
      <c r="E197" t="str">
        <f>+IFERROR(VLOOKUP(Fact_Control_Operaciones[[#This Row],[Concepto Anterior]],Conceptos_Control_Operaciones[#All],5,0),"")</f>
        <v>Paz y Salvo Retiros​</v>
      </c>
      <c r="F197" t="str">
        <f ca="1">+IFERROR(VLOOKUP(Fact_Control_Operaciones[[#This Row],[Concepto Anterior]],Conceptos_Control_Operaciones[#All],7,0),"")</f>
        <v/>
      </c>
      <c r="G197" s="138" t="s">
        <v>230</v>
      </c>
      <c r="H197" s="138" t="s">
        <v>230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137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63</v>
      </c>
      <c r="E198" t="str">
        <f>+IFERROR(VLOOKUP(Fact_Control_Operaciones[[#This Row],[Concepto Anterior]],Conceptos_Control_Operaciones[#All],5,0),"")</f>
        <v>Recuperaciones descuadres en caja</v>
      </c>
      <c r="F198" t="str">
        <f ca="1">+IFERROR(VLOOKUP(Fact_Control_Operaciones[[#This Row],[Concepto Anterior]],Conceptos_Control_Operaciones[#All],7,0),"")</f>
        <v/>
      </c>
      <c r="G198" s="138" t="s">
        <v>230</v>
      </c>
      <c r="H198" s="138" t="s">
        <v>230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137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203</v>
      </c>
      <c r="E199" t="str">
        <f>+IFERROR(VLOOKUP(Fact_Control_Operaciones[[#This Row],[Concepto Anterior]],Conceptos_Control_Operaciones[#All],5,0),"")</f>
        <v>Tickets mesa de servicio</v>
      </c>
      <c r="F199" t="str">
        <f ca="1">+IFERROR(VLOOKUP(Fact_Control_Operaciones[[#This Row],[Concepto Anterior]],Conceptos_Control_Operaciones[#All],7,0),"")</f>
        <v/>
      </c>
      <c r="G199" s="138" t="s">
        <v>230</v>
      </c>
      <c r="H199" s="138" t="s">
        <v>230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147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54</v>
      </c>
      <c r="E200" t="str">
        <f>+IFERROR(VLOOKUP(Fact_Control_Operaciones[[#This Row],[Concepto Anterior]],Conceptos_Control_Operaciones[#All],5,0),"")</f>
        <v>Arqueos​</v>
      </c>
      <c r="F200" t="str">
        <f ca="1">+IFERROR(VLOOKUP(Fact_Control_Operaciones[[#This Row],[Concepto Anterior]],Conceptos_Control_Operaciones[#All],7,0),"")</f>
        <v/>
      </c>
      <c r="G200" s="138" t="s">
        <v>230</v>
      </c>
      <c r="H200" s="138" t="s">
        <v>230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147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209</v>
      </c>
      <c r="E201" t="str">
        <f>+IFERROR(VLOOKUP(Fact_Control_Operaciones[[#This Row],[Concepto Anterior]],Conceptos_Control_Operaciones[#All],5,0),"")</f>
        <v>Cantidad de Inventarios cíclicos</v>
      </c>
      <c r="F201" t="str">
        <f ca="1">+IFERROR(VLOOKUP(Fact_Control_Operaciones[[#This Row],[Concepto Anterior]],Conceptos_Control_Operaciones[#All],7,0),"")</f>
        <v/>
      </c>
      <c r="G201" s="138" t="s">
        <v>230</v>
      </c>
      <c r="H201" s="138" t="s">
        <v>230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147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127</v>
      </c>
      <c r="E202" t="str">
        <f>+IFERROR(VLOOKUP(Fact_Control_Operaciones[[#This Row],[Concepto Anterior]],Conceptos_Control_Operaciones[#All],5,0),"")</f>
        <v>Capacitaciones</v>
      </c>
      <c r="F202" t="str">
        <f ca="1">+IFERROR(VLOOKUP(Fact_Control_Operaciones[[#This Row],[Concepto Anterior]],Conceptos_Control_Operaciones[#All],7,0),"")</f>
        <v/>
      </c>
      <c r="G202" s="138" t="s">
        <v>230</v>
      </c>
      <c r="H202" s="138" t="s">
        <v>230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147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56</v>
      </c>
      <c r="E203" t="str">
        <f>+IFERROR(VLOOKUP(Fact_Control_Operaciones[[#This Row],[Concepto Anterior]],Conceptos_Control_Operaciones[#All],5,0),"")</f>
        <v>Causación y Política Caja Menor​</v>
      </c>
      <c r="F203" t="str">
        <f ca="1">+IFERROR(VLOOKUP(Fact_Control_Operaciones[[#This Row],[Concepto Anterior]],Conceptos_Control_Operaciones[#All],7,0),"")</f>
        <v/>
      </c>
      <c r="G203" s="138" t="s">
        <v>230</v>
      </c>
      <c r="H203" s="138" t="s">
        <v>230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147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216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 ca="1">+IFERROR(VLOOKUP(Fact_Control_Operaciones[[#This Row],[Concepto Anterior]],Conceptos_Control_Operaciones[#All],7,0),"")</f>
        <v/>
      </c>
      <c r="G204" s="138" t="s">
        <v>230</v>
      </c>
      <c r="H204" s="138" t="s">
        <v>230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147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86</v>
      </c>
      <c r="E205" t="str">
        <f>+IFERROR(VLOOKUP(Fact_Control_Operaciones[[#This Row],[Concepto Anterior]],Conceptos_Control_Operaciones[#All],5,0),"")</f>
        <v>Gasto caja menor deducible</v>
      </c>
      <c r="F205" t="str">
        <f ca="1">+IFERROR(VLOOKUP(Fact_Control_Operaciones[[#This Row],[Concepto Anterior]],Conceptos_Control_Operaciones[#All],7,0),"")</f>
        <v/>
      </c>
      <c r="G205" s="138" t="s">
        <v>230</v>
      </c>
      <c r="H205" s="138" t="s">
        <v>230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147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85</v>
      </c>
      <c r="E206" t="str">
        <f>+IFERROR(VLOOKUP(Fact_Control_Operaciones[[#This Row],[Concepto Anterior]],Conceptos_Control_Operaciones[#All],5,0),"")</f>
        <v>Gasto caja menor no deducible</v>
      </c>
      <c r="F206" t="str">
        <f ca="1">+IFERROR(VLOOKUP(Fact_Control_Operaciones[[#This Row],[Concepto Anterior]],Conceptos_Control_Operaciones[#All],7,0),"")</f>
        <v/>
      </c>
      <c r="G206" s="138" t="s">
        <v>230</v>
      </c>
      <c r="H206" s="138" t="s">
        <v>230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147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222</v>
      </c>
      <c r="E207" t="str">
        <f>+IFERROR(VLOOKUP(Fact_Control_Operaciones[[#This Row],[Concepto Anterior]],Conceptos_Control_Operaciones[#All],5,0),"")</f>
        <v>Gestion merma inventario</v>
      </c>
      <c r="F207" t="str">
        <f ca="1">+IFERROR(VLOOKUP(Fact_Control_Operaciones[[#This Row],[Concepto Anterior]],Conceptos_Control_Operaciones[#All],7,0),"")</f>
        <v/>
      </c>
      <c r="G207" s="138" t="s">
        <v>230</v>
      </c>
      <c r="H207" s="138" t="s">
        <v>230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147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162</v>
      </c>
      <c r="E208" t="str">
        <f>+IFERROR(VLOOKUP(Fact_Control_Operaciones[[#This Row],[Concepto Anterior]],Conceptos_Control_Operaciones[#All],5,0),"")</f>
        <v>Gestiones descuadres en caja</v>
      </c>
      <c r="F208" t="str">
        <f ca="1">+IFERROR(VLOOKUP(Fact_Control_Operaciones[[#This Row],[Concepto Anterior]],Conceptos_Control_Operaciones[#All],7,0),"")</f>
        <v/>
      </c>
      <c r="G208" s="138" t="s">
        <v>230</v>
      </c>
      <c r="H208" s="138" t="s">
        <v>230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147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60</v>
      </c>
      <c r="E209" t="str">
        <f>+IFERROR(VLOOKUP(Fact_Control_Operaciones[[#This Row],[Concepto Anterior]],Conceptos_Control_Operaciones[#All],5,0),"")</f>
        <v>Inventarios fisicos​ GS Falabella</v>
      </c>
      <c r="F209" t="str">
        <f ca="1">+IFERROR(VLOOKUP(Fact_Control_Operaciones[[#This Row],[Concepto Anterior]],Conceptos_Control_Operaciones[#All],7,0),"")</f>
        <v/>
      </c>
      <c r="G209" s="138" t="s">
        <v>230</v>
      </c>
      <c r="H209" s="138" t="s">
        <v>230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147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59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 ca="1">+IFERROR(VLOOKUP(Fact_Control_Operaciones[[#This Row],[Concepto Anterior]],Conceptos_Control_Operaciones[#All],7,0),"")</f>
        <v/>
      </c>
      <c r="G210" s="138" t="s">
        <v>230</v>
      </c>
      <c r="H210" s="138" t="s">
        <v>230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147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61</v>
      </c>
      <c r="E211" t="str">
        <f>+IFERROR(VLOOKUP(Fact_Control_Operaciones[[#This Row],[Concepto Anterior]],Conceptos_Control_Operaciones[#All],5,0),"")</f>
        <v>Paz y Salvo Retiros​</v>
      </c>
      <c r="F211" t="str">
        <f ca="1">+IFERROR(VLOOKUP(Fact_Control_Operaciones[[#This Row],[Concepto Anterior]],Conceptos_Control_Operaciones[#All],7,0),"")</f>
        <v/>
      </c>
      <c r="G211" s="138" t="s">
        <v>230</v>
      </c>
      <c r="H211" s="138" t="s">
        <v>230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147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63</v>
      </c>
      <c r="E212" t="str">
        <f>+IFERROR(VLOOKUP(Fact_Control_Operaciones[[#This Row],[Concepto Anterior]],Conceptos_Control_Operaciones[#All],5,0),"")</f>
        <v>Recuperaciones descuadres en caja</v>
      </c>
      <c r="F212" t="str">
        <f ca="1">+IFERROR(VLOOKUP(Fact_Control_Operaciones[[#This Row],[Concepto Anterior]],Conceptos_Control_Operaciones[#All],7,0),"")</f>
        <v/>
      </c>
      <c r="G212" s="138" t="s">
        <v>230</v>
      </c>
      <c r="H212" s="138" t="s">
        <v>230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147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203</v>
      </c>
      <c r="E213" t="str">
        <f>+IFERROR(VLOOKUP(Fact_Control_Operaciones[[#This Row],[Concepto Anterior]],Conceptos_Control_Operaciones[#All],5,0),"")</f>
        <v>Tickets mesa de servicio</v>
      </c>
      <c r="F213" t="str">
        <f ca="1">+IFERROR(VLOOKUP(Fact_Control_Operaciones[[#This Row],[Concepto Anterior]],Conceptos_Control_Operaciones[#All],7,0),"")</f>
        <v/>
      </c>
      <c r="G213" s="138" t="s">
        <v>230</v>
      </c>
      <c r="H213" s="138" t="s">
        <v>230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157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54</v>
      </c>
      <c r="E214" t="str">
        <f>+IFERROR(VLOOKUP(Fact_Control_Operaciones[[#This Row],[Concepto Anterior]],Conceptos_Control_Operaciones[#All],5,0),"")</f>
        <v>Arqueos​</v>
      </c>
      <c r="F214" t="str">
        <f ca="1">+IFERROR(VLOOKUP(Fact_Control_Operaciones[[#This Row],[Concepto Anterior]],Conceptos_Control_Operaciones[#All],7,0),"")</f>
        <v/>
      </c>
      <c r="G214" s="138" t="s">
        <v>230</v>
      </c>
      <c r="H214" s="138" t="s">
        <v>230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157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209</v>
      </c>
      <c r="E215" t="str">
        <f>+IFERROR(VLOOKUP(Fact_Control_Operaciones[[#This Row],[Concepto Anterior]],Conceptos_Control_Operaciones[#All],5,0),"")</f>
        <v>Cantidad de Inventarios cíclicos</v>
      </c>
      <c r="F215" t="str">
        <f ca="1">+IFERROR(VLOOKUP(Fact_Control_Operaciones[[#This Row],[Concepto Anterior]],Conceptos_Control_Operaciones[#All],7,0),"")</f>
        <v/>
      </c>
      <c r="G215" s="138" t="s">
        <v>230</v>
      </c>
      <c r="H215" s="138" t="s">
        <v>230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157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127</v>
      </c>
      <c r="E216" t="str">
        <f>+IFERROR(VLOOKUP(Fact_Control_Operaciones[[#This Row],[Concepto Anterior]],Conceptos_Control_Operaciones[#All],5,0),"")</f>
        <v>Capacitaciones</v>
      </c>
      <c r="F216" t="str">
        <f ca="1">+IFERROR(VLOOKUP(Fact_Control_Operaciones[[#This Row],[Concepto Anterior]],Conceptos_Control_Operaciones[#All],7,0),"")</f>
        <v/>
      </c>
      <c r="G216" s="138" t="s">
        <v>230</v>
      </c>
      <c r="H216" s="138" t="s">
        <v>230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157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56</v>
      </c>
      <c r="E217" t="str">
        <f>+IFERROR(VLOOKUP(Fact_Control_Operaciones[[#This Row],[Concepto Anterior]],Conceptos_Control_Operaciones[#All],5,0),"")</f>
        <v>Causación y Política Caja Menor​</v>
      </c>
      <c r="F217" t="str">
        <f ca="1">+IFERROR(VLOOKUP(Fact_Control_Operaciones[[#This Row],[Concepto Anterior]],Conceptos_Control_Operaciones[#All],7,0),"")</f>
        <v/>
      </c>
      <c r="G217" s="138" t="s">
        <v>230</v>
      </c>
      <c r="H217" s="138" t="s">
        <v>230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157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216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 ca="1">+IFERROR(VLOOKUP(Fact_Control_Operaciones[[#This Row],[Concepto Anterior]],Conceptos_Control_Operaciones[#All],7,0),"")</f>
        <v/>
      </c>
      <c r="G218" s="138" t="s">
        <v>230</v>
      </c>
      <c r="H218" s="138" t="s">
        <v>230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157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86</v>
      </c>
      <c r="E219" t="str">
        <f>+IFERROR(VLOOKUP(Fact_Control_Operaciones[[#This Row],[Concepto Anterior]],Conceptos_Control_Operaciones[#All],5,0),"")</f>
        <v>Gasto caja menor deducible</v>
      </c>
      <c r="F219" t="str">
        <f ca="1">+IFERROR(VLOOKUP(Fact_Control_Operaciones[[#This Row],[Concepto Anterior]],Conceptos_Control_Operaciones[#All],7,0),"")</f>
        <v/>
      </c>
      <c r="G219" s="138" t="s">
        <v>230</v>
      </c>
      <c r="H219" s="138" t="s">
        <v>230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157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85</v>
      </c>
      <c r="E220" t="str">
        <f>+IFERROR(VLOOKUP(Fact_Control_Operaciones[[#This Row],[Concepto Anterior]],Conceptos_Control_Operaciones[#All],5,0),"")</f>
        <v>Gasto caja menor no deducible</v>
      </c>
      <c r="F220" t="str">
        <f ca="1">+IFERROR(VLOOKUP(Fact_Control_Operaciones[[#This Row],[Concepto Anterior]],Conceptos_Control_Operaciones[#All],7,0),"")</f>
        <v/>
      </c>
      <c r="G220" s="138" t="s">
        <v>230</v>
      </c>
      <c r="H220" s="138" t="s">
        <v>230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157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222</v>
      </c>
      <c r="E221" t="str">
        <f>+IFERROR(VLOOKUP(Fact_Control_Operaciones[[#This Row],[Concepto Anterior]],Conceptos_Control_Operaciones[#All],5,0),"")</f>
        <v>Gestion merma inventario</v>
      </c>
      <c r="F221" t="str">
        <f ca="1">+IFERROR(VLOOKUP(Fact_Control_Operaciones[[#This Row],[Concepto Anterior]],Conceptos_Control_Operaciones[#All],7,0),"")</f>
        <v/>
      </c>
      <c r="G221" s="138" t="s">
        <v>230</v>
      </c>
      <c r="H221" s="138" t="s">
        <v>230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157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162</v>
      </c>
      <c r="E222" t="str">
        <f>+IFERROR(VLOOKUP(Fact_Control_Operaciones[[#This Row],[Concepto Anterior]],Conceptos_Control_Operaciones[#All],5,0),"")</f>
        <v>Gestiones descuadres en caja</v>
      </c>
      <c r="F222" t="str">
        <f ca="1">+IFERROR(VLOOKUP(Fact_Control_Operaciones[[#This Row],[Concepto Anterior]],Conceptos_Control_Operaciones[#All],7,0),"")</f>
        <v/>
      </c>
      <c r="G222" s="138" t="s">
        <v>230</v>
      </c>
      <c r="H222" s="138" t="s">
        <v>230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157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60</v>
      </c>
      <c r="E223" t="str">
        <f>+IFERROR(VLOOKUP(Fact_Control_Operaciones[[#This Row],[Concepto Anterior]],Conceptos_Control_Operaciones[#All],5,0),"")</f>
        <v>Inventarios fisicos​ GS Falabella</v>
      </c>
      <c r="F223" t="str">
        <f ca="1">+IFERROR(VLOOKUP(Fact_Control_Operaciones[[#This Row],[Concepto Anterior]],Conceptos_Control_Operaciones[#All],7,0),"")</f>
        <v/>
      </c>
      <c r="G223" s="138" t="s">
        <v>230</v>
      </c>
      <c r="H223" s="138" t="s">
        <v>230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157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59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 ca="1">+IFERROR(VLOOKUP(Fact_Control_Operaciones[[#This Row],[Concepto Anterior]],Conceptos_Control_Operaciones[#All],7,0),"")</f>
        <v/>
      </c>
      <c r="G224" s="138" t="s">
        <v>230</v>
      </c>
      <c r="H224" s="138" t="s">
        <v>230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157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61</v>
      </c>
      <c r="E225" t="str">
        <f>+IFERROR(VLOOKUP(Fact_Control_Operaciones[[#This Row],[Concepto Anterior]],Conceptos_Control_Operaciones[#All],5,0),"")</f>
        <v>Paz y Salvo Retiros​</v>
      </c>
      <c r="F225" t="str">
        <f ca="1">+IFERROR(VLOOKUP(Fact_Control_Operaciones[[#This Row],[Concepto Anterior]],Conceptos_Control_Operaciones[#All],7,0),"")</f>
        <v/>
      </c>
      <c r="G225" s="138" t="s">
        <v>230</v>
      </c>
      <c r="H225" s="138" t="s">
        <v>230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157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63</v>
      </c>
      <c r="E226" t="str">
        <f>+IFERROR(VLOOKUP(Fact_Control_Operaciones[[#This Row],[Concepto Anterior]],Conceptos_Control_Operaciones[#All],5,0),"")</f>
        <v>Recuperaciones descuadres en caja</v>
      </c>
      <c r="F226" t="str">
        <f ca="1">+IFERROR(VLOOKUP(Fact_Control_Operaciones[[#This Row],[Concepto Anterior]],Conceptos_Control_Operaciones[#All],7,0),"")</f>
        <v/>
      </c>
      <c r="G226" s="138" t="s">
        <v>230</v>
      </c>
      <c r="H226" s="138" t="s">
        <v>230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157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203</v>
      </c>
      <c r="E227" t="str">
        <f>+IFERROR(VLOOKUP(Fact_Control_Operaciones[[#This Row],[Concepto Anterior]],Conceptos_Control_Operaciones[#All],5,0),"")</f>
        <v>Tickets mesa de servicio</v>
      </c>
      <c r="F227" t="str">
        <f ca="1">+IFERROR(VLOOKUP(Fact_Control_Operaciones[[#This Row],[Concepto Anterior]],Conceptos_Control_Operaciones[#All],7,0),"")</f>
        <v/>
      </c>
      <c r="G227" s="138" t="s">
        <v>230</v>
      </c>
      <c r="H227" s="138" t="s">
        <v>230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165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54</v>
      </c>
      <c r="E228" t="str">
        <f>+IFERROR(VLOOKUP(Fact_Control_Operaciones[[#This Row],[Concepto Anterior]],Conceptos_Control_Operaciones[#All],5,0),"")</f>
        <v>Arqueos​</v>
      </c>
      <c r="F228" t="str">
        <f ca="1">+IFERROR(VLOOKUP(Fact_Control_Operaciones[[#This Row],[Concepto Anterior]],Conceptos_Control_Operaciones[#All],7,0),"")</f>
        <v/>
      </c>
      <c r="G228" s="138" t="s">
        <v>230</v>
      </c>
      <c r="H228" s="138" t="s">
        <v>230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165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209</v>
      </c>
      <c r="E229" t="str">
        <f>+IFERROR(VLOOKUP(Fact_Control_Operaciones[[#This Row],[Concepto Anterior]],Conceptos_Control_Operaciones[#All],5,0),"")</f>
        <v>Cantidad de Inventarios cíclicos</v>
      </c>
      <c r="F229" t="str">
        <f ca="1">+IFERROR(VLOOKUP(Fact_Control_Operaciones[[#This Row],[Concepto Anterior]],Conceptos_Control_Operaciones[#All],7,0),"")</f>
        <v/>
      </c>
      <c r="G229" s="138" t="s">
        <v>230</v>
      </c>
      <c r="H229" s="138" t="s">
        <v>230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165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127</v>
      </c>
      <c r="E230" t="str">
        <f>+IFERROR(VLOOKUP(Fact_Control_Operaciones[[#This Row],[Concepto Anterior]],Conceptos_Control_Operaciones[#All],5,0),"")</f>
        <v>Capacitaciones</v>
      </c>
      <c r="F230" t="str">
        <f ca="1">+IFERROR(VLOOKUP(Fact_Control_Operaciones[[#This Row],[Concepto Anterior]],Conceptos_Control_Operaciones[#All],7,0),"")</f>
        <v/>
      </c>
      <c r="G230" s="138" t="s">
        <v>230</v>
      </c>
      <c r="H230" s="138" t="s">
        <v>230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165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56</v>
      </c>
      <c r="E231" t="str">
        <f>+IFERROR(VLOOKUP(Fact_Control_Operaciones[[#This Row],[Concepto Anterior]],Conceptos_Control_Operaciones[#All],5,0),"")</f>
        <v>Causación y Política Caja Menor​</v>
      </c>
      <c r="F231" t="str">
        <f ca="1">+IFERROR(VLOOKUP(Fact_Control_Operaciones[[#This Row],[Concepto Anterior]],Conceptos_Control_Operaciones[#All],7,0),"")</f>
        <v/>
      </c>
      <c r="G231" s="138" t="s">
        <v>230</v>
      </c>
      <c r="H231" s="138" t="s">
        <v>230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165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216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 ca="1">+IFERROR(VLOOKUP(Fact_Control_Operaciones[[#This Row],[Concepto Anterior]],Conceptos_Control_Operaciones[#All],7,0),"")</f>
        <v/>
      </c>
      <c r="G232" s="138" t="s">
        <v>230</v>
      </c>
      <c r="H232" s="138" t="s">
        <v>230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165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86</v>
      </c>
      <c r="E233" t="str">
        <f>+IFERROR(VLOOKUP(Fact_Control_Operaciones[[#This Row],[Concepto Anterior]],Conceptos_Control_Operaciones[#All],5,0),"")</f>
        <v>Gasto caja menor deducible</v>
      </c>
      <c r="F233" t="str">
        <f ca="1">+IFERROR(VLOOKUP(Fact_Control_Operaciones[[#This Row],[Concepto Anterior]],Conceptos_Control_Operaciones[#All],7,0),"")</f>
        <v/>
      </c>
      <c r="G233" s="138" t="s">
        <v>230</v>
      </c>
      <c r="H233" s="138" t="s">
        <v>230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165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85</v>
      </c>
      <c r="E234" t="str">
        <f>+IFERROR(VLOOKUP(Fact_Control_Operaciones[[#This Row],[Concepto Anterior]],Conceptos_Control_Operaciones[#All],5,0),"")</f>
        <v>Gasto caja menor no deducible</v>
      </c>
      <c r="F234" t="str">
        <f ca="1">+IFERROR(VLOOKUP(Fact_Control_Operaciones[[#This Row],[Concepto Anterior]],Conceptos_Control_Operaciones[#All],7,0),"")</f>
        <v/>
      </c>
      <c r="G234" s="138" t="s">
        <v>230</v>
      </c>
      <c r="H234" s="138" t="s">
        <v>230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165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222</v>
      </c>
      <c r="E235" t="str">
        <f>+IFERROR(VLOOKUP(Fact_Control_Operaciones[[#This Row],[Concepto Anterior]],Conceptos_Control_Operaciones[#All],5,0),"")</f>
        <v>Gestion merma inventario</v>
      </c>
      <c r="F235" t="str">
        <f ca="1">+IFERROR(VLOOKUP(Fact_Control_Operaciones[[#This Row],[Concepto Anterior]],Conceptos_Control_Operaciones[#All],7,0),"")</f>
        <v/>
      </c>
      <c r="G235" s="138" t="s">
        <v>230</v>
      </c>
      <c r="H235" s="138" t="s">
        <v>230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165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162</v>
      </c>
      <c r="E236" t="str">
        <f>+IFERROR(VLOOKUP(Fact_Control_Operaciones[[#This Row],[Concepto Anterior]],Conceptos_Control_Operaciones[#All],5,0),"")</f>
        <v>Gestiones descuadres en caja</v>
      </c>
      <c r="F236" t="str">
        <f ca="1">+IFERROR(VLOOKUP(Fact_Control_Operaciones[[#This Row],[Concepto Anterior]],Conceptos_Control_Operaciones[#All],7,0),"")</f>
        <v/>
      </c>
      <c r="G236" s="138" t="s">
        <v>230</v>
      </c>
      <c r="H236" s="138" t="s">
        <v>230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165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60</v>
      </c>
      <c r="E237" t="str">
        <f>+IFERROR(VLOOKUP(Fact_Control_Operaciones[[#This Row],[Concepto Anterior]],Conceptos_Control_Operaciones[#All],5,0),"")</f>
        <v>Inventarios fisicos​ GS Falabella</v>
      </c>
      <c r="F237" t="str">
        <f ca="1">+IFERROR(VLOOKUP(Fact_Control_Operaciones[[#This Row],[Concepto Anterior]],Conceptos_Control_Operaciones[#All],7,0),"")</f>
        <v/>
      </c>
      <c r="G237" s="138" t="s">
        <v>230</v>
      </c>
      <c r="H237" s="138" t="s">
        <v>230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165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59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 ca="1">+IFERROR(VLOOKUP(Fact_Control_Operaciones[[#This Row],[Concepto Anterior]],Conceptos_Control_Operaciones[#All],7,0),"")</f>
        <v/>
      </c>
      <c r="G238" s="138" t="s">
        <v>230</v>
      </c>
      <c r="H238" s="138" t="s">
        <v>230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165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61</v>
      </c>
      <c r="E239" t="str">
        <f>+IFERROR(VLOOKUP(Fact_Control_Operaciones[[#This Row],[Concepto Anterior]],Conceptos_Control_Operaciones[#All],5,0),"")</f>
        <v>Paz y Salvo Retiros​</v>
      </c>
      <c r="F239" t="str">
        <f ca="1">+IFERROR(VLOOKUP(Fact_Control_Operaciones[[#This Row],[Concepto Anterior]],Conceptos_Control_Operaciones[#All],7,0),"")</f>
        <v/>
      </c>
      <c r="G239" s="138" t="s">
        <v>230</v>
      </c>
      <c r="H239" s="138" t="s">
        <v>230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165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63</v>
      </c>
      <c r="E240" t="str">
        <f>+IFERROR(VLOOKUP(Fact_Control_Operaciones[[#This Row],[Concepto Anterior]],Conceptos_Control_Operaciones[#All],5,0),"")</f>
        <v>Recuperaciones descuadres en caja</v>
      </c>
      <c r="F240" t="str">
        <f ca="1">+IFERROR(VLOOKUP(Fact_Control_Operaciones[[#This Row],[Concepto Anterior]],Conceptos_Control_Operaciones[#All],7,0),"")</f>
        <v/>
      </c>
      <c r="G240" s="138" t="s">
        <v>230</v>
      </c>
      <c r="H240" s="138" t="s">
        <v>230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165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203</v>
      </c>
      <c r="E241" t="str">
        <f>+IFERROR(VLOOKUP(Fact_Control_Operaciones[[#This Row],[Concepto Anterior]],Conceptos_Control_Operaciones[#All],5,0),"")</f>
        <v>Tickets mesa de servicio</v>
      </c>
      <c r="F241" t="str">
        <f ca="1">+IFERROR(VLOOKUP(Fact_Control_Operaciones[[#This Row],[Concepto Anterior]],Conceptos_Control_Operaciones[#All],7,0),"")</f>
        <v/>
      </c>
      <c r="G241" s="138" t="s">
        <v>230</v>
      </c>
      <c r="H241" s="138" t="s">
        <v>230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54</v>
      </c>
      <c r="E242" t="str">
        <f>+IFERROR(VLOOKUP(Fact_Control_Operaciones[[#This Row],[Concepto Anterior]],Conceptos_Control_Operaciones[#All],5,0),"")</f>
        <v>Arqueos​</v>
      </c>
      <c r="F242" t="str">
        <f ca="1">+IFERROR(VLOOKUP(Fact_Control_Operaciones[[#This Row],[Concepto Anterior]],Conceptos_Control_Operaciones[#All],7,0),"")</f>
        <v/>
      </c>
      <c r="G242" s="138" t="s">
        <v>230</v>
      </c>
      <c r="H242" s="138" t="s">
        <v>230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209</v>
      </c>
      <c r="E243" t="str">
        <f>+IFERROR(VLOOKUP(Fact_Control_Operaciones[[#This Row],[Concepto Anterior]],Conceptos_Control_Operaciones[#All],5,0),"")</f>
        <v>Cantidad de Inventarios cíclicos</v>
      </c>
      <c r="F243" t="str">
        <f ca="1">+IFERROR(VLOOKUP(Fact_Control_Operaciones[[#This Row],[Concepto Anterior]],Conceptos_Control_Operaciones[#All],7,0),"")</f>
        <v/>
      </c>
      <c r="G243" s="138" t="s">
        <v>230</v>
      </c>
      <c r="H243" s="138" t="s">
        <v>230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127</v>
      </c>
      <c r="E244" t="str">
        <f>+IFERROR(VLOOKUP(Fact_Control_Operaciones[[#This Row],[Concepto Anterior]],Conceptos_Control_Operaciones[#All],5,0),"")</f>
        <v>Capacitaciones</v>
      </c>
      <c r="F244" t="str">
        <f ca="1">+IFERROR(VLOOKUP(Fact_Control_Operaciones[[#This Row],[Concepto Anterior]],Conceptos_Control_Operaciones[#All],7,0),"")</f>
        <v/>
      </c>
      <c r="G244" s="138" t="s">
        <v>230</v>
      </c>
      <c r="H244" s="138" t="s">
        <v>230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56</v>
      </c>
      <c r="E245" t="str">
        <f>+IFERROR(VLOOKUP(Fact_Control_Operaciones[[#This Row],[Concepto Anterior]],Conceptos_Control_Operaciones[#All],5,0),"")</f>
        <v>Causación y Política Caja Menor​</v>
      </c>
      <c r="F245" t="str">
        <f ca="1">+IFERROR(VLOOKUP(Fact_Control_Operaciones[[#This Row],[Concepto Anterior]],Conceptos_Control_Operaciones[#All],7,0),"")</f>
        <v/>
      </c>
      <c r="G245" s="138" t="s">
        <v>230</v>
      </c>
      <c r="H245" s="138" t="s">
        <v>230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216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 ca="1">+IFERROR(VLOOKUP(Fact_Control_Operaciones[[#This Row],[Concepto Anterior]],Conceptos_Control_Operaciones[#All],7,0),"")</f>
        <v/>
      </c>
      <c r="G246" s="138" t="s">
        <v>230</v>
      </c>
      <c r="H246" s="138" t="s">
        <v>230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86</v>
      </c>
      <c r="E247" t="str">
        <f>+IFERROR(VLOOKUP(Fact_Control_Operaciones[[#This Row],[Concepto Anterior]],Conceptos_Control_Operaciones[#All],5,0),"")</f>
        <v>Gasto caja menor deducible</v>
      </c>
      <c r="F247" t="str">
        <f ca="1">+IFERROR(VLOOKUP(Fact_Control_Operaciones[[#This Row],[Concepto Anterior]],Conceptos_Control_Operaciones[#All],7,0),"")</f>
        <v/>
      </c>
      <c r="G247" s="138" t="s">
        <v>230</v>
      </c>
      <c r="H247" s="138" t="s">
        <v>230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85</v>
      </c>
      <c r="E248" t="str">
        <f>+IFERROR(VLOOKUP(Fact_Control_Operaciones[[#This Row],[Concepto Anterior]],Conceptos_Control_Operaciones[#All],5,0),"")</f>
        <v>Gasto caja menor no deducible</v>
      </c>
      <c r="F248" t="str">
        <f ca="1">+IFERROR(VLOOKUP(Fact_Control_Operaciones[[#This Row],[Concepto Anterior]],Conceptos_Control_Operaciones[#All],7,0),"")</f>
        <v/>
      </c>
      <c r="G248" s="138" t="s">
        <v>230</v>
      </c>
      <c r="H248" s="138" t="s">
        <v>230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222</v>
      </c>
      <c r="E249" t="str">
        <f>+IFERROR(VLOOKUP(Fact_Control_Operaciones[[#This Row],[Concepto Anterior]],Conceptos_Control_Operaciones[#All],5,0),"")</f>
        <v>Gestion merma inventario</v>
      </c>
      <c r="F249" t="str">
        <f ca="1">+IFERROR(VLOOKUP(Fact_Control_Operaciones[[#This Row],[Concepto Anterior]],Conceptos_Control_Operaciones[#All],7,0),"")</f>
        <v/>
      </c>
      <c r="G249" s="138" t="s">
        <v>230</v>
      </c>
      <c r="H249" s="138" t="s">
        <v>230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162</v>
      </c>
      <c r="E250" t="str">
        <f>+IFERROR(VLOOKUP(Fact_Control_Operaciones[[#This Row],[Concepto Anterior]],Conceptos_Control_Operaciones[#All],5,0),"")</f>
        <v>Gestiones descuadres en caja</v>
      </c>
      <c r="F250" t="str">
        <f ca="1">+IFERROR(VLOOKUP(Fact_Control_Operaciones[[#This Row],[Concepto Anterior]],Conceptos_Control_Operaciones[#All],7,0),"")</f>
        <v/>
      </c>
      <c r="G250" s="138" t="s">
        <v>230</v>
      </c>
      <c r="H250" s="138" t="s">
        <v>230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60</v>
      </c>
      <c r="E251" t="str">
        <f>+IFERROR(VLOOKUP(Fact_Control_Operaciones[[#This Row],[Concepto Anterior]],Conceptos_Control_Operaciones[#All],5,0),"")</f>
        <v>Inventarios fisicos​ GS Falabella</v>
      </c>
      <c r="F251" t="str">
        <f ca="1">+IFERROR(VLOOKUP(Fact_Control_Operaciones[[#This Row],[Concepto Anterior]],Conceptos_Control_Operaciones[#All],7,0),"")</f>
        <v/>
      </c>
      <c r="G251" s="138" t="s">
        <v>230</v>
      </c>
      <c r="H251" s="138" t="s">
        <v>230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59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 ca="1">+IFERROR(VLOOKUP(Fact_Control_Operaciones[[#This Row],[Concepto Anterior]],Conceptos_Control_Operaciones[#All],7,0),"")</f>
        <v/>
      </c>
      <c r="G252" s="138" t="s">
        <v>230</v>
      </c>
      <c r="H252" s="138" t="s">
        <v>230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61</v>
      </c>
      <c r="E253" t="str">
        <f>+IFERROR(VLOOKUP(Fact_Control_Operaciones[[#This Row],[Concepto Anterior]],Conceptos_Control_Operaciones[#All],5,0),"")</f>
        <v>Paz y Salvo Retiros​</v>
      </c>
      <c r="F253" t="str">
        <f ca="1">+IFERROR(VLOOKUP(Fact_Control_Operaciones[[#This Row],[Concepto Anterior]],Conceptos_Control_Operaciones[#All],7,0),"")</f>
        <v/>
      </c>
      <c r="G253" s="138" t="s">
        <v>230</v>
      </c>
      <c r="H253" s="138" t="s">
        <v>230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63</v>
      </c>
      <c r="E254" t="str">
        <f>+IFERROR(VLOOKUP(Fact_Control_Operaciones[[#This Row],[Concepto Anterior]],Conceptos_Control_Operaciones[#All],5,0),"")</f>
        <v>Recuperaciones descuadres en caja</v>
      </c>
      <c r="F254" t="str">
        <f ca="1">+IFERROR(VLOOKUP(Fact_Control_Operaciones[[#This Row],[Concepto Anterior]],Conceptos_Control_Operaciones[#All],7,0),"")</f>
        <v/>
      </c>
      <c r="G254" s="138" t="s">
        <v>230</v>
      </c>
      <c r="H254" s="138" t="s">
        <v>230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203</v>
      </c>
      <c r="E255" t="str">
        <f>+IFERROR(VLOOKUP(Fact_Control_Operaciones[[#This Row],[Concepto Anterior]],Conceptos_Control_Operaciones[#All],5,0),"")</f>
        <v>Tickets mesa de servicio</v>
      </c>
      <c r="F255" t="str">
        <f ca="1">+IFERROR(VLOOKUP(Fact_Control_Operaciones[[#This Row],[Concepto Anterior]],Conceptos_Control_Operaciones[#All],7,0),"")</f>
        <v/>
      </c>
      <c r="G255" s="138" t="s">
        <v>230</v>
      </c>
      <c r="H255" s="138" t="s">
        <v>230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 customWidth="1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114</v>
      </c>
      <c r="E2" t="str">
        <f>+IFERROR(VLOOKUP(Fact_Impuestos[[#This Row],[Concepto Anterior]],Conceptos_Impuestos[#All],5,0),"")</f>
        <v xml:space="preserve">Fiscalizaciones DIAN - Municipios </v>
      </c>
      <c r="F2" t="str">
        <f ca="1">+IFERROR(VLOOKUP(Fact_Impuestos[[#This Row],[Concepto Anterior]],Conceptos_Impuestos[#All],7,0),"")</f>
        <v/>
      </c>
      <c r="G2" s="138" t="s">
        <v>230</v>
      </c>
      <c r="H2" s="138" t="s">
        <v>230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105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74</v>
      </c>
      <c r="E3" t="str">
        <f>+IFERROR(VLOOKUP(Fact_Impuestos[[#This Row],[Concepto Anterior]],Conceptos_Impuestos[#All],5,0),"")</f>
        <v>Cancelación NIT</v>
      </c>
      <c r="F3" t="str">
        <f ca="1">+IFERROR(VLOOKUP(Fact_Impuestos[[#This Row],[Concepto Anterior]],Conceptos_Impuestos[#All],7,0),"")</f>
        <v/>
      </c>
      <c r="G3" s="138" t="s">
        <v>230</v>
      </c>
      <c r="H3" s="138" t="s">
        <v>230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105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69</v>
      </c>
      <c r="E4" t="str">
        <f>+IFERROR(VLOOKUP(Fact_Impuestos[[#This Row],[Concepto Anterior]],Conceptos_Impuestos[#All],5,0),"")</f>
        <v>declaraciones tributarias</v>
      </c>
      <c r="F4" t="str">
        <f ca="1">+IFERROR(VLOOKUP(Fact_Impuestos[[#This Row],[Concepto Anterior]],Conceptos_Impuestos[#All],7,0),"")</f>
        <v/>
      </c>
      <c r="G4" s="138" t="s">
        <v>230</v>
      </c>
      <c r="H4" s="138" t="s">
        <v>230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105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70</v>
      </c>
      <c r="E5" t="str">
        <f>+IFERROR(VLOOKUP(Fact_Impuestos[[#This Row],[Concepto Anterior]],Conceptos_Impuestos[#All],5,0),"")</f>
        <v>información exógena</v>
      </c>
      <c r="F5" t="str">
        <f ca="1">+IFERROR(VLOOKUP(Fact_Impuestos[[#This Row],[Concepto Anterior]],Conceptos_Impuestos[#All],7,0),"")</f>
        <v/>
      </c>
      <c r="G5" s="138" t="s">
        <v>230</v>
      </c>
      <c r="H5" s="138" t="s">
        <v>230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105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144</v>
      </c>
      <c r="E6" t="str">
        <f>+IFERROR(VLOOKUP(Fact_Impuestos[[#This Row],[Concepto Anterior]],Conceptos_Impuestos[#All],5,0),"")</f>
        <v>Devolución saldos a favor en renta</v>
      </c>
      <c r="F6" t="str">
        <f ca="1">+IFERROR(VLOOKUP(Fact_Impuestos[[#This Row],[Concepto Anterior]],Conceptos_Impuestos[#All],7,0),"")</f>
        <v/>
      </c>
      <c r="G6" s="138" t="s">
        <v>230</v>
      </c>
      <c r="H6" s="138" t="s">
        <v>230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105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72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 ca="1">+IFERROR(VLOOKUP(Fact_Impuestos[[#This Row],[Concepto Anterior]],Conceptos_Impuestos[#All],7,0),"")</f>
        <v/>
      </c>
      <c r="G7" s="138" t="s">
        <v>230</v>
      </c>
      <c r="H7" s="138" t="s">
        <v>230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105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50</v>
      </c>
      <c r="E8" t="str">
        <f>+IFERROR(VLOOKUP(Fact_Impuestos[[#This Row],[Concepto Anterior]],Conceptos_Impuestos[#All],5,0),"")</f>
        <v>Fusiones</v>
      </c>
      <c r="F8" t="str">
        <f ca="1">+IFERROR(VLOOKUP(Fact_Impuestos[[#This Row],[Concepto Anterior]],Conceptos_Impuestos[#All],7,0),"")</f>
        <v/>
      </c>
      <c r="G8" s="138" t="s">
        <v>230</v>
      </c>
      <c r="H8" s="138" t="s">
        <v>230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105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+IFERROR(VLOOKUP(Fact_Impuestos[[#This Row],[Concepto Anterior]],Conceptos_Impuestos[#All],5,0),"")</f>
        <v>Iva descontable en la corrección de regalias</v>
      </c>
      <c r="F9" t="str">
        <f ca="1">+IFERROR(VLOOKUP(Fact_Impuestos[[#This Row],[Concepto Anterior]],Conceptos_Impuestos[#All],7,0),"")</f>
        <v/>
      </c>
      <c r="G9" s="138" t="s">
        <v>230</v>
      </c>
      <c r="H9" s="138" t="s">
        <v>230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105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68</v>
      </c>
      <c r="E10" t="str">
        <f>+IFERROR(VLOOKUP(Fact_Impuestos[[#This Row],[Concepto Anterior]],Conceptos_Impuestos[#All],5,0),"")</f>
        <v>Numeraciones de facturación</v>
      </c>
      <c r="F10" t="str">
        <f ca="1">+IFERROR(VLOOKUP(Fact_Impuestos[[#This Row],[Concepto Anterior]],Conceptos_Impuestos[#All],7,0),"")</f>
        <v/>
      </c>
      <c r="G10" s="138" t="s">
        <v>230</v>
      </c>
      <c r="H10" s="138" t="s">
        <v>230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105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186</v>
      </c>
      <c r="E11" t="str">
        <f>+IFERROR(VLOOKUP(Fact_Impuestos[[#This Row],[Concepto Anterior]],Conceptos_Impuestos[#All],5,0),"")</f>
        <v>Trámites, Aperturas y Cierres de Tiendas</v>
      </c>
      <c r="F11" t="str">
        <f ca="1">+IFERROR(VLOOKUP(Fact_Impuestos[[#This Row],[Concepto Anterior]],Conceptos_Impuestos[#All],7,0),"")</f>
        <v/>
      </c>
      <c r="G11" s="138" t="s">
        <v>230</v>
      </c>
      <c r="H11" s="138" t="s">
        <v>230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117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114</v>
      </c>
      <c r="E12" t="str">
        <f>+IFERROR(VLOOKUP(Fact_Impuestos[[#This Row],[Concepto Anterior]],Conceptos_Impuestos[#All],5,0),"")</f>
        <v xml:space="preserve">Fiscalizaciones DIAN - Municipios </v>
      </c>
      <c r="F12" t="str">
        <f ca="1">+IFERROR(VLOOKUP(Fact_Impuestos[[#This Row],[Concepto Anterior]],Conceptos_Impuestos[#All],7,0),"")</f>
        <v/>
      </c>
      <c r="G12" s="138" t="s">
        <v>230</v>
      </c>
      <c r="H12" s="138" t="s">
        <v>230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117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74</v>
      </c>
      <c r="E13" t="str">
        <f>+IFERROR(VLOOKUP(Fact_Impuestos[[#This Row],[Concepto Anterior]],Conceptos_Impuestos[#All],5,0),"")</f>
        <v>Cancelación NIT</v>
      </c>
      <c r="F13" t="str">
        <f ca="1">+IFERROR(VLOOKUP(Fact_Impuestos[[#This Row],[Concepto Anterior]],Conceptos_Impuestos[#All],7,0),"")</f>
        <v/>
      </c>
      <c r="G13" s="138" t="s">
        <v>230</v>
      </c>
      <c r="H13" s="138" t="s">
        <v>230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69</v>
      </c>
      <c r="E14" t="str">
        <f>+IFERROR(VLOOKUP(Fact_Impuestos[[#This Row],[Concepto Anterior]],Conceptos_Impuestos[#All],5,0),"")</f>
        <v>declaraciones tributarias</v>
      </c>
      <c r="F14" t="str">
        <f ca="1">+IFERROR(VLOOKUP(Fact_Impuestos[[#This Row],[Concepto Anterior]],Conceptos_Impuestos[#All],7,0),"")</f>
        <v/>
      </c>
      <c r="G14" s="138" t="s">
        <v>230</v>
      </c>
      <c r="H14" s="138" t="s">
        <v>230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117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70</v>
      </c>
      <c r="E15" t="str">
        <f>+IFERROR(VLOOKUP(Fact_Impuestos[[#This Row],[Concepto Anterior]],Conceptos_Impuestos[#All],5,0),"")</f>
        <v>información exógena</v>
      </c>
      <c r="F15" t="str">
        <f ca="1">+IFERROR(VLOOKUP(Fact_Impuestos[[#This Row],[Concepto Anterior]],Conceptos_Impuestos[#All],7,0),"")</f>
        <v/>
      </c>
      <c r="G15" s="138" t="s">
        <v>230</v>
      </c>
      <c r="H15" s="138" t="s">
        <v>230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117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144</v>
      </c>
      <c r="E16" t="str">
        <f>+IFERROR(VLOOKUP(Fact_Impuestos[[#This Row],[Concepto Anterior]],Conceptos_Impuestos[#All],5,0),"")</f>
        <v>Devolución saldos a favor en renta</v>
      </c>
      <c r="F16" t="str">
        <f ca="1">+IFERROR(VLOOKUP(Fact_Impuestos[[#This Row],[Concepto Anterior]],Conceptos_Impuestos[#All],7,0),"")</f>
        <v/>
      </c>
      <c r="G16" s="138" t="s">
        <v>230</v>
      </c>
      <c r="H16" s="138" t="s">
        <v>230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117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72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 ca="1">+IFERROR(VLOOKUP(Fact_Impuestos[[#This Row],[Concepto Anterior]],Conceptos_Impuestos[#All],7,0),"")</f>
        <v/>
      </c>
      <c r="G17" s="138" t="s">
        <v>230</v>
      </c>
      <c r="H17" s="138" t="s">
        <v>230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117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50</v>
      </c>
      <c r="E18" t="str">
        <f>+IFERROR(VLOOKUP(Fact_Impuestos[[#This Row],[Concepto Anterior]],Conceptos_Impuestos[#All],5,0),"")</f>
        <v>Fusiones</v>
      </c>
      <c r="F18" t="str">
        <f ca="1">+IFERROR(VLOOKUP(Fact_Impuestos[[#This Row],[Concepto Anterior]],Conceptos_Impuestos[#All],7,0),"")</f>
        <v/>
      </c>
      <c r="G18" s="138" t="s">
        <v>230</v>
      </c>
      <c r="H18" s="138" t="s">
        <v>230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117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+IFERROR(VLOOKUP(Fact_Impuestos[[#This Row],[Concepto Anterior]],Conceptos_Impuestos[#All],5,0),"")</f>
        <v>Iva descontable en la corrección de regalias</v>
      </c>
      <c r="F19" t="str">
        <f ca="1">+IFERROR(VLOOKUP(Fact_Impuestos[[#This Row],[Concepto Anterior]],Conceptos_Impuestos[#All],7,0),"")</f>
        <v/>
      </c>
      <c r="G19" s="138" t="s">
        <v>230</v>
      </c>
      <c r="H19" s="138" t="s">
        <v>230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117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68</v>
      </c>
      <c r="E20" t="str">
        <f>+IFERROR(VLOOKUP(Fact_Impuestos[[#This Row],[Concepto Anterior]],Conceptos_Impuestos[#All],5,0),"")</f>
        <v>Numeraciones de facturación</v>
      </c>
      <c r="F20" t="str">
        <f ca="1">+IFERROR(VLOOKUP(Fact_Impuestos[[#This Row],[Concepto Anterior]],Conceptos_Impuestos[#All],7,0),"")</f>
        <v/>
      </c>
      <c r="G20" s="138" t="s">
        <v>230</v>
      </c>
      <c r="H20" s="138" t="s">
        <v>230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117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186</v>
      </c>
      <c r="E21" t="str">
        <f>+IFERROR(VLOOKUP(Fact_Impuestos[[#This Row],[Concepto Anterior]],Conceptos_Impuestos[#All],5,0),"")</f>
        <v>Trámites, Aperturas y Cierres de Tiendas</v>
      </c>
      <c r="F21" t="str">
        <f ca="1">+IFERROR(VLOOKUP(Fact_Impuestos[[#This Row],[Concepto Anterior]],Conceptos_Impuestos[#All],7,0),"")</f>
        <v/>
      </c>
      <c r="G21" s="138" t="s">
        <v>230</v>
      </c>
      <c r="H21" s="138" t="s">
        <v>230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123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114</v>
      </c>
      <c r="E22" t="str">
        <f>+IFERROR(VLOOKUP(Fact_Impuestos[[#This Row],[Concepto Anterior]],Conceptos_Impuestos[#All],5,0),"")</f>
        <v xml:space="preserve">Fiscalizaciones DIAN - Municipios </v>
      </c>
      <c r="F22" t="str">
        <f ca="1">+IFERROR(VLOOKUP(Fact_Impuestos[[#This Row],[Concepto Anterior]],Conceptos_Impuestos[#All],7,0),"")</f>
        <v/>
      </c>
      <c r="G22" s="138" t="s">
        <v>230</v>
      </c>
      <c r="H22" s="138" t="s">
        <v>230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123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74</v>
      </c>
      <c r="E23" t="str">
        <f>+IFERROR(VLOOKUP(Fact_Impuestos[[#This Row],[Concepto Anterior]],Conceptos_Impuestos[#All],5,0),"")</f>
        <v>Cancelación NIT</v>
      </c>
      <c r="F23" t="str">
        <f ca="1">+IFERROR(VLOOKUP(Fact_Impuestos[[#This Row],[Concepto Anterior]],Conceptos_Impuestos[#All],7,0),"")</f>
        <v/>
      </c>
      <c r="G23" s="138" t="s">
        <v>230</v>
      </c>
      <c r="H23" s="138" t="s">
        <v>230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123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69</v>
      </c>
      <c r="E24" t="str">
        <f>+IFERROR(VLOOKUP(Fact_Impuestos[[#This Row],[Concepto Anterior]],Conceptos_Impuestos[#All],5,0),"")</f>
        <v>declaraciones tributarias</v>
      </c>
      <c r="F24" t="str">
        <f ca="1">+IFERROR(VLOOKUP(Fact_Impuestos[[#This Row],[Concepto Anterior]],Conceptos_Impuestos[#All],7,0),"")</f>
        <v/>
      </c>
      <c r="G24" s="138" t="s">
        <v>230</v>
      </c>
      <c r="H24" s="138" t="s">
        <v>230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123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70</v>
      </c>
      <c r="E25" t="str">
        <f>+IFERROR(VLOOKUP(Fact_Impuestos[[#This Row],[Concepto Anterior]],Conceptos_Impuestos[#All],5,0),"")</f>
        <v>información exógena</v>
      </c>
      <c r="F25" t="str">
        <f ca="1">+IFERROR(VLOOKUP(Fact_Impuestos[[#This Row],[Concepto Anterior]],Conceptos_Impuestos[#All],7,0),"")</f>
        <v/>
      </c>
      <c r="G25" s="138" t="s">
        <v>230</v>
      </c>
      <c r="H25" s="138" t="s">
        <v>230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123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144</v>
      </c>
      <c r="E26" t="str">
        <f>+IFERROR(VLOOKUP(Fact_Impuestos[[#This Row],[Concepto Anterior]],Conceptos_Impuestos[#All],5,0),"")</f>
        <v>Devolución saldos a favor en renta</v>
      </c>
      <c r="F26" t="str">
        <f ca="1">+IFERROR(VLOOKUP(Fact_Impuestos[[#This Row],[Concepto Anterior]],Conceptos_Impuestos[#All],7,0),"")</f>
        <v/>
      </c>
      <c r="G26" s="138" t="s">
        <v>230</v>
      </c>
      <c r="H26" s="138" t="s">
        <v>230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123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72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 ca="1">+IFERROR(VLOOKUP(Fact_Impuestos[[#This Row],[Concepto Anterior]],Conceptos_Impuestos[#All],7,0),"")</f>
        <v/>
      </c>
      <c r="G27" s="138" t="s">
        <v>230</v>
      </c>
      <c r="H27" s="138" t="s">
        <v>230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123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50</v>
      </c>
      <c r="E28" t="str">
        <f>+IFERROR(VLOOKUP(Fact_Impuestos[[#This Row],[Concepto Anterior]],Conceptos_Impuestos[#All],5,0),"")</f>
        <v>Fusiones</v>
      </c>
      <c r="F28" t="str">
        <f ca="1">+IFERROR(VLOOKUP(Fact_Impuestos[[#This Row],[Concepto Anterior]],Conceptos_Impuestos[#All],7,0),"")</f>
        <v/>
      </c>
      <c r="G28" s="138" t="s">
        <v>230</v>
      </c>
      <c r="H28" s="138" t="s">
        <v>230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123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+IFERROR(VLOOKUP(Fact_Impuestos[[#This Row],[Concepto Anterior]],Conceptos_Impuestos[#All],5,0),"")</f>
        <v>Iva descontable en la corrección de regalias</v>
      </c>
      <c r="F29" t="str">
        <f ca="1">+IFERROR(VLOOKUP(Fact_Impuestos[[#This Row],[Concepto Anterior]],Conceptos_Impuestos[#All],7,0),"")</f>
        <v/>
      </c>
      <c r="G29" s="138" t="s">
        <v>230</v>
      </c>
      <c r="H29" s="138" t="s">
        <v>230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123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68</v>
      </c>
      <c r="E30" t="str">
        <f>+IFERROR(VLOOKUP(Fact_Impuestos[[#This Row],[Concepto Anterior]],Conceptos_Impuestos[#All],5,0),"")</f>
        <v>Numeraciones de facturación</v>
      </c>
      <c r="F30" t="str">
        <f ca="1">+IFERROR(VLOOKUP(Fact_Impuestos[[#This Row],[Concepto Anterior]],Conceptos_Impuestos[#All],7,0),"")</f>
        <v/>
      </c>
      <c r="G30" s="138" t="s">
        <v>230</v>
      </c>
      <c r="H30" s="138" t="s">
        <v>230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123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186</v>
      </c>
      <c r="E31" t="str">
        <f>+IFERROR(VLOOKUP(Fact_Impuestos[[#This Row],[Concepto Anterior]],Conceptos_Impuestos[#All],5,0),"")</f>
        <v>Trámites, Aperturas y Cierres de Tiendas</v>
      </c>
      <c r="F31" t="str">
        <f ca="1">+IFERROR(VLOOKUP(Fact_Impuestos[[#This Row],[Concepto Anterior]],Conceptos_Impuestos[#All],7,0),"")</f>
        <v/>
      </c>
      <c r="G31" s="138" t="s">
        <v>230</v>
      </c>
      <c r="H31" s="138" t="s">
        <v>230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130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114</v>
      </c>
      <c r="E32" t="str">
        <f>+IFERROR(VLOOKUP(Fact_Impuestos[[#This Row],[Concepto Anterior]],Conceptos_Impuestos[#All],5,0),"")</f>
        <v xml:space="preserve">Fiscalizaciones DIAN - Municipios </v>
      </c>
      <c r="F32" t="str">
        <f ca="1">+IFERROR(VLOOKUP(Fact_Impuestos[[#This Row],[Concepto Anterior]],Conceptos_Impuestos[#All],7,0),"")</f>
        <v/>
      </c>
      <c r="G32" s="138" t="s">
        <v>230</v>
      </c>
      <c r="H32" s="138" t="s">
        <v>230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130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74</v>
      </c>
      <c r="E33" t="str">
        <f>+IFERROR(VLOOKUP(Fact_Impuestos[[#This Row],[Concepto Anterior]],Conceptos_Impuestos[#All],5,0),"")</f>
        <v>Cancelación NIT</v>
      </c>
      <c r="F33" t="str">
        <f ca="1">+IFERROR(VLOOKUP(Fact_Impuestos[[#This Row],[Concepto Anterior]],Conceptos_Impuestos[#All],7,0),"")</f>
        <v/>
      </c>
      <c r="G33" s="138" t="s">
        <v>230</v>
      </c>
      <c r="H33" s="138" t="s">
        <v>230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130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69</v>
      </c>
      <c r="E34" t="str">
        <f>+IFERROR(VLOOKUP(Fact_Impuestos[[#This Row],[Concepto Anterior]],Conceptos_Impuestos[#All],5,0),"")</f>
        <v>declaraciones tributarias</v>
      </c>
      <c r="F34" t="str">
        <f ca="1">+IFERROR(VLOOKUP(Fact_Impuestos[[#This Row],[Concepto Anterior]],Conceptos_Impuestos[#All],7,0),"")</f>
        <v/>
      </c>
      <c r="G34" s="138" t="s">
        <v>230</v>
      </c>
      <c r="H34" s="138" t="s">
        <v>230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130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70</v>
      </c>
      <c r="E35" t="str">
        <f>+IFERROR(VLOOKUP(Fact_Impuestos[[#This Row],[Concepto Anterior]],Conceptos_Impuestos[#All],5,0),"")</f>
        <v>información exógena</v>
      </c>
      <c r="F35" t="str">
        <f ca="1">+IFERROR(VLOOKUP(Fact_Impuestos[[#This Row],[Concepto Anterior]],Conceptos_Impuestos[#All],7,0),"")</f>
        <v/>
      </c>
      <c r="G35" s="138" t="s">
        <v>230</v>
      </c>
      <c r="H35" s="138" t="s">
        <v>230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130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144</v>
      </c>
      <c r="E36" t="str">
        <f>+IFERROR(VLOOKUP(Fact_Impuestos[[#This Row],[Concepto Anterior]],Conceptos_Impuestos[#All],5,0),"")</f>
        <v>Devolución saldos a favor en renta</v>
      </c>
      <c r="F36" t="str">
        <f ca="1">+IFERROR(VLOOKUP(Fact_Impuestos[[#This Row],[Concepto Anterior]],Conceptos_Impuestos[#All],7,0),"")</f>
        <v/>
      </c>
      <c r="G36" s="138" t="s">
        <v>230</v>
      </c>
      <c r="H36" s="138" t="s">
        <v>230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130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72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 ca="1">+IFERROR(VLOOKUP(Fact_Impuestos[[#This Row],[Concepto Anterior]],Conceptos_Impuestos[#All],7,0),"")</f>
        <v/>
      </c>
      <c r="G37" s="138" t="s">
        <v>230</v>
      </c>
      <c r="H37" s="138" t="s">
        <v>230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130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50</v>
      </c>
      <c r="E38" t="str">
        <f>+IFERROR(VLOOKUP(Fact_Impuestos[[#This Row],[Concepto Anterior]],Conceptos_Impuestos[#All],5,0),"")</f>
        <v>Fusiones</v>
      </c>
      <c r="F38" t="str">
        <f ca="1">+IFERROR(VLOOKUP(Fact_Impuestos[[#This Row],[Concepto Anterior]],Conceptos_Impuestos[#All],7,0),"")</f>
        <v/>
      </c>
      <c r="G38" s="138" t="s">
        <v>230</v>
      </c>
      <c r="H38" s="138" t="s">
        <v>230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130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+IFERROR(VLOOKUP(Fact_Impuestos[[#This Row],[Concepto Anterior]],Conceptos_Impuestos[#All],5,0),"")</f>
        <v>Iva descontable en la corrección de regalias</v>
      </c>
      <c r="F39" t="str">
        <f ca="1">+IFERROR(VLOOKUP(Fact_Impuestos[[#This Row],[Concepto Anterior]],Conceptos_Impuestos[#All],7,0),"")</f>
        <v/>
      </c>
      <c r="G39" s="138" t="s">
        <v>230</v>
      </c>
      <c r="H39" s="138" t="s">
        <v>230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130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68</v>
      </c>
      <c r="E40" t="str">
        <f>+IFERROR(VLOOKUP(Fact_Impuestos[[#This Row],[Concepto Anterior]],Conceptos_Impuestos[#All],5,0),"")</f>
        <v>Numeraciones de facturación</v>
      </c>
      <c r="F40" t="str">
        <f ca="1">+IFERROR(VLOOKUP(Fact_Impuestos[[#This Row],[Concepto Anterior]],Conceptos_Impuestos[#All],7,0),"")</f>
        <v/>
      </c>
      <c r="G40" s="138" t="s">
        <v>230</v>
      </c>
      <c r="H40" s="138" t="s">
        <v>230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130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186</v>
      </c>
      <c r="E41" t="str">
        <f>+IFERROR(VLOOKUP(Fact_Impuestos[[#This Row],[Concepto Anterior]],Conceptos_Impuestos[#All],5,0),"")</f>
        <v>Trámites, Aperturas y Cierres de Tiendas</v>
      </c>
      <c r="F41" t="str">
        <f ca="1">+IFERROR(VLOOKUP(Fact_Impuestos[[#This Row],[Concepto Anterior]],Conceptos_Impuestos[#All],7,0),"")</f>
        <v/>
      </c>
      <c r="G41" s="138" t="s">
        <v>230</v>
      </c>
      <c r="H41" s="138" t="s">
        <v>230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137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114</v>
      </c>
      <c r="E42" t="str">
        <f>+IFERROR(VLOOKUP(Fact_Impuestos[[#This Row],[Concepto Anterior]],Conceptos_Impuestos[#All],5,0),"")</f>
        <v xml:space="preserve">Fiscalizaciones DIAN - Municipios </v>
      </c>
      <c r="F42" t="str">
        <f ca="1">+IFERROR(VLOOKUP(Fact_Impuestos[[#This Row],[Concepto Anterior]],Conceptos_Impuestos[#All],7,0),"")</f>
        <v/>
      </c>
      <c r="G42" s="138" t="s">
        <v>230</v>
      </c>
      <c r="H42" s="138" t="s">
        <v>230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137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74</v>
      </c>
      <c r="E43" t="str">
        <f>+IFERROR(VLOOKUP(Fact_Impuestos[[#This Row],[Concepto Anterior]],Conceptos_Impuestos[#All],5,0),"")</f>
        <v>Cancelación NIT</v>
      </c>
      <c r="F43" t="str">
        <f ca="1">+IFERROR(VLOOKUP(Fact_Impuestos[[#This Row],[Concepto Anterior]],Conceptos_Impuestos[#All],7,0),"")</f>
        <v/>
      </c>
      <c r="G43" s="138" t="s">
        <v>230</v>
      </c>
      <c r="H43" s="138" t="s">
        <v>230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137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69</v>
      </c>
      <c r="E44" t="str">
        <f>+IFERROR(VLOOKUP(Fact_Impuestos[[#This Row],[Concepto Anterior]],Conceptos_Impuestos[#All],5,0),"")</f>
        <v>declaraciones tributarias</v>
      </c>
      <c r="F44" t="str">
        <f ca="1">+IFERROR(VLOOKUP(Fact_Impuestos[[#This Row],[Concepto Anterior]],Conceptos_Impuestos[#All],7,0),"")</f>
        <v/>
      </c>
      <c r="G44" s="138" t="s">
        <v>230</v>
      </c>
      <c r="H44" s="138" t="s">
        <v>230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137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70</v>
      </c>
      <c r="E45" t="str">
        <f>+IFERROR(VLOOKUP(Fact_Impuestos[[#This Row],[Concepto Anterior]],Conceptos_Impuestos[#All],5,0),"")</f>
        <v>información exógena</v>
      </c>
      <c r="F45" t="str">
        <f ca="1">+IFERROR(VLOOKUP(Fact_Impuestos[[#This Row],[Concepto Anterior]],Conceptos_Impuestos[#All],7,0),"")</f>
        <v/>
      </c>
      <c r="G45" s="138" t="s">
        <v>230</v>
      </c>
      <c r="H45" s="138" t="s">
        <v>230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137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144</v>
      </c>
      <c r="E46" t="str">
        <f>+IFERROR(VLOOKUP(Fact_Impuestos[[#This Row],[Concepto Anterior]],Conceptos_Impuestos[#All],5,0),"")</f>
        <v>Devolución saldos a favor en renta</v>
      </c>
      <c r="F46" t="str">
        <f ca="1">+IFERROR(VLOOKUP(Fact_Impuestos[[#This Row],[Concepto Anterior]],Conceptos_Impuestos[#All],7,0),"")</f>
        <v/>
      </c>
      <c r="G46" s="138" t="s">
        <v>230</v>
      </c>
      <c r="H46" s="138" t="s">
        <v>230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137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72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 ca="1">+IFERROR(VLOOKUP(Fact_Impuestos[[#This Row],[Concepto Anterior]],Conceptos_Impuestos[#All],7,0),"")</f>
        <v/>
      </c>
      <c r="G47" s="138" t="s">
        <v>230</v>
      </c>
      <c r="H47" s="138" t="s">
        <v>230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137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50</v>
      </c>
      <c r="E48" t="str">
        <f>+IFERROR(VLOOKUP(Fact_Impuestos[[#This Row],[Concepto Anterior]],Conceptos_Impuestos[#All],5,0),"")</f>
        <v>Fusiones</v>
      </c>
      <c r="F48" t="str">
        <f ca="1">+IFERROR(VLOOKUP(Fact_Impuestos[[#This Row],[Concepto Anterior]],Conceptos_Impuestos[#All],7,0),"")</f>
        <v/>
      </c>
      <c r="G48" s="138" t="s">
        <v>230</v>
      </c>
      <c r="H48" s="138" t="s">
        <v>230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137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+IFERROR(VLOOKUP(Fact_Impuestos[[#This Row],[Concepto Anterior]],Conceptos_Impuestos[#All],5,0),"")</f>
        <v>Iva descontable en la corrección de regalias</v>
      </c>
      <c r="F49" t="str">
        <f ca="1">+IFERROR(VLOOKUP(Fact_Impuestos[[#This Row],[Concepto Anterior]],Conceptos_Impuestos[#All],7,0),"")</f>
        <v/>
      </c>
      <c r="G49" s="138" t="s">
        <v>230</v>
      </c>
      <c r="H49" s="138" t="s">
        <v>230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137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68</v>
      </c>
      <c r="E50" t="str">
        <f>+IFERROR(VLOOKUP(Fact_Impuestos[[#This Row],[Concepto Anterior]],Conceptos_Impuestos[#All],5,0),"")</f>
        <v>Numeraciones de facturación</v>
      </c>
      <c r="F50" t="str">
        <f ca="1">+IFERROR(VLOOKUP(Fact_Impuestos[[#This Row],[Concepto Anterior]],Conceptos_Impuestos[#All],7,0),"")</f>
        <v/>
      </c>
      <c r="G50" s="138" t="s">
        <v>230</v>
      </c>
      <c r="H50" s="138" t="s">
        <v>230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137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186</v>
      </c>
      <c r="E51" t="str">
        <f>+IFERROR(VLOOKUP(Fact_Impuestos[[#This Row],[Concepto Anterior]],Conceptos_Impuestos[#All],5,0),"")</f>
        <v>Trámites, Aperturas y Cierres de Tiendas</v>
      </c>
      <c r="F51" t="str">
        <f ca="1">+IFERROR(VLOOKUP(Fact_Impuestos[[#This Row],[Concepto Anterior]],Conceptos_Impuestos[#All],7,0),"")</f>
        <v/>
      </c>
      <c r="G51" s="138" t="s">
        <v>230</v>
      </c>
      <c r="H51" s="138" t="s">
        <v>230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147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114</v>
      </c>
      <c r="E52" t="str">
        <f>+IFERROR(VLOOKUP(Fact_Impuestos[[#This Row],[Concepto Anterior]],Conceptos_Impuestos[#All],5,0),"")</f>
        <v xml:space="preserve">Fiscalizaciones DIAN - Municipios </v>
      </c>
      <c r="F52" t="str">
        <f ca="1">+IFERROR(VLOOKUP(Fact_Impuestos[[#This Row],[Concepto Anterior]],Conceptos_Impuestos[#All],7,0),"")</f>
        <v/>
      </c>
      <c r="G52" s="138" t="s">
        <v>230</v>
      </c>
      <c r="H52" s="138" t="s">
        <v>230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147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74</v>
      </c>
      <c r="E53" t="str">
        <f>+IFERROR(VLOOKUP(Fact_Impuestos[[#This Row],[Concepto Anterior]],Conceptos_Impuestos[#All],5,0),"")</f>
        <v>Cancelación NIT</v>
      </c>
      <c r="F53" t="str">
        <f ca="1">+IFERROR(VLOOKUP(Fact_Impuestos[[#This Row],[Concepto Anterior]],Conceptos_Impuestos[#All],7,0),"")</f>
        <v/>
      </c>
      <c r="G53" s="138" t="s">
        <v>230</v>
      </c>
      <c r="H53" s="138" t="s">
        <v>230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147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69</v>
      </c>
      <c r="E54" t="str">
        <f>+IFERROR(VLOOKUP(Fact_Impuestos[[#This Row],[Concepto Anterior]],Conceptos_Impuestos[#All],5,0),"")</f>
        <v>declaraciones tributarias</v>
      </c>
      <c r="F54" t="str">
        <f ca="1">+IFERROR(VLOOKUP(Fact_Impuestos[[#This Row],[Concepto Anterior]],Conceptos_Impuestos[#All],7,0),"")</f>
        <v/>
      </c>
      <c r="G54" s="138" t="s">
        <v>230</v>
      </c>
      <c r="H54" s="138" t="s">
        <v>230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147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70</v>
      </c>
      <c r="E55" t="str">
        <f>+IFERROR(VLOOKUP(Fact_Impuestos[[#This Row],[Concepto Anterior]],Conceptos_Impuestos[#All],5,0),"")</f>
        <v>información exógena</v>
      </c>
      <c r="F55" t="str">
        <f ca="1">+IFERROR(VLOOKUP(Fact_Impuestos[[#This Row],[Concepto Anterior]],Conceptos_Impuestos[#All],7,0),"")</f>
        <v/>
      </c>
      <c r="G55" s="138" t="s">
        <v>230</v>
      </c>
      <c r="H55" s="138" t="s">
        <v>230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147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144</v>
      </c>
      <c r="E56" t="str">
        <f>+IFERROR(VLOOKUP(Fact_Impuestos[[#This Row],[Concepto Anterior]],Conceptos_Impuestos[#All],5,0),"")</f>
        <v>Devolución saldos a favor en renta</v>
      </c>
      <c r="F56" t="str">
        <f ca="1">+IFERROR(VLOOKUP(Fact_Impuestos[[#This Row],[Concepto Anterior]],Conceptos_Impuestos[#All],7,0),"")</f>
        <v/>
      </c>
      <c r="G56" s="138" t="s">
        <v>230</v>
      </c>
      <c r="H56" s="138" t="s">
        <v>230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147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72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 ca="1">+IFERROR(VLOOKUP(Fact_Impuestos[[#This Row],[Concepto Anterior]],Conceptos_Impuestos[#All],7,0),"")</f>
        <v/>
      </c>
      <c r="G57" s="138" t="s">
        <v>230</v>
      </c>
      <c r="H57" s="138" t="s">
        <v>230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147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50</v>
      </c>
      <c r="E58" t="str">
        <f>+IFERROR(VLOOKUP(Fact_Impuestos[[#This Row],[Concepto Anterior]],Conceptos_Impuestos[#All],5,0),"")</f>
        <v>Fusiones</v>
      </c>
      <c r="F58" t="str">
        <f ca="1">+IFERROR(VLOOKUP(Fact_Impuestos[[#This Row],[Concepto Anterior]],Conceptos_Impuestos[#All],7,0),"")</f>
        <v/>
      </c>
      <c r="G58" s="138" t="s">
        <v>230</v>
      </c>
      <c r="H58" s="138" t="s">
        <v>230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147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+IFERROR(VLOOKUP(Fact_Impuestos[[#This Row],[Concepto Anterior]],Conceptos_Impuestos[#All],5,0),"")</f>
        <v>Iva descontable en la corrección de regalias</v>
      </c>
      <c r="F59" t="str">
        <f ca="1">+IFERROR(VLOOKUP(Fact_Impuestos[[#This Row],[Concepto Anterior]],Conceptos_Impuestos[#All],7,0),"")</f>
        <v/>
      </c>
      <c r="G59" s="138" t="s">
        <v>230</v>
      </c>
      <c r="H59" s="138" t="s">
        <v>230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147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68</v>
      </c>
      <c r="E60" t="str">
        <f>+IFERROR(VLOOKUP(Fact_Impuestos[[#This Row],[Concepto Anterior]],Conceptos_Impuestos[#All],5,0),"")</f>
        <v>Numeraciones de facturación</v>
      </c>
      <c r="F60" t="str">
        <f ca="1">+IFERROR(VLOOKUP(Fact_Impuestos[[#This Row],[Concepto Anterior]],Conceptos_Impuestos[#All],7,0),"")</f>
        <v/>
      </c>
      <c r="G60" s="138" t="s">
        <v>230</v>
      </c>
      <c r="H60" s="138" t="s">
        <v>230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147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186</v>
      </c>
      <c r="E61" t="str">
        <f>+IFERROR(VLOOKUP(Fact_Impuestos[[#This Row],[Concepto Anterior]],Conceptos_Impuestos[#All],5,0),"")</f>
        <v>Trámites, Aperturas y Cierres de Tiendas</v>
      </c>
      <c r="F61" t="str">
        <f ca="1">+IFERROR(VLOOKUP(Fact_Impuestos[[#This Row],[Concepto Anterior]],Conceptos_Impuestos[#All],7,0),"")</f>
        <v/>
      </c>
      <c r="G61" s="138" t="s">
        <v>230</v>
      </c>
      <c r="H61" s="138" t="s">
        <v>230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157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114</v>
      </c>
      <c r="E62" t="str">
        <f>+IFERROR(VLOOKUP(Fact_Impuestos[[#This Row],[Concepto Anterior]],Conceptos_Impuestos[#All],5,0),"")</f>
        <v xml:space="preserve">Fiscalizaciones DIAN - Municipios </v>
      </c>
      <c r="F62" t="str">
        <f ca="1">+IFERROR(VLOOKUP(Fact_Impuestos[[#This Row],[Concepto Anterior]],Conceptos_Impuestos[#All],7,0),"")</f>
        <v/>
      </c>
      <c r="G62" s="138" t="s">
        <v>230</v>
      </c>
      <c r="H62" s="138" t="s">
        <v>230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157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74</v>
      </c>
      <c r="E63" t="str">
        <f>+IFERROR(VLOOKUP(Fact_Impuestos[[#This Row],[Concepto Anterior]],Conceptos_Impuestos[#All],5,0),"")</f>
        <v>Cancelación NIT</v>
      </c>
      <c r="F63" t="str">
        <f ca="1">+IFERROR(VLOOKUP(Fact_Impuestos[[#This Row],[Concepto Anterior]],Conceptos_Impuestos[#All],7,0),"")</f>
        <v/>
      </c>
      <c r="G63" s="138" t="s">
        <v>230</v>
      </c>
      <c r="H63" s="138" t="s">
        <v>230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157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69</v>
      </c>
      <c r="E64" t="str">
        <f>+IFERROR(VLOOKUP(Fact_Impuestos[[#This Row],[Concepto Anterior]],Conceptos_Impuestos[#All],5,0),"")</f>
        <v>declaraciones tributarias</v>
      </c>
      <c r="F64" t="str">
        <f ca="1">+IFERROR(VLOOKUP(Fact_Impuestos[[#This Row],[Concepto Anterior]],Conceptos_Impuestos[#All],7,0),"")</f>
        <v/>
      </c>
      <c r="G64" s="138" t="s">
        <v>230</v>
      </c>
      <c r="H64" s="138" t="s">
        <v>230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157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70</v>
      </c>
      <c r="E65" t="str">
        <f>+IFERROR(VLOOKUP(Fact_Impuestos[[#This Row],[Concepto Anterior]],Conceptos_Impuestos[#All],5,0),"")</f>
        <v>información exógena</v>
      </c>
      <c r="F65" t="str">
        <f ca="1">+IFERROR(VLOOKUP(Fact_Impuestos[[#This Row],[Concepto Anterior]],Conceptos_Impuestos[#All],7,0),"")</f>
        <v/>
      </c>
      <c r="G65" s="138" t="s">
        <v>230</v>
      </c>
      <c r="H65" s="138" t="s">
        <v>230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157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144</v>
      </c>
      <c r="E66" t="str">
        <f>+IFERROR(VLOOKUP(Fact_Impuestos[[#This Row],[Concepto Anterior]],Conceptos_Impuestos[#All],5,0),"")</f>
        <v>Devolución saldos a favor en renta</v>
      </c>
      <c r="F66" t="str">
        <f ca="1">+IFERROR(VLOOKUP(Fact_Impuestos[[#This Row],[Concepto Anterior]],Conceptos_Impuestos[#All],7,0),"")</f>
        <v/>
      </c>
      <c r="G66" s="138" t="s">
        <v>230</v>
      </c>
      <c r="H66" s="138" t="s">
        <v>230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157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72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 ca="1">+IFERROR(VLOOKUP(Fact_Impuestos[[#This Row],[Concepto Anterior]],Conceptos_Impuestos[#All],7,0),"")</f>
        <v/>
      </c>
      <c r="G67" s="138" t="s">
        <v>230</v>
      </c>
      <c r="H67" s="138" t="s">
        <v>230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157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50</v>
      </c>
      <c r="E68" t="str">
        <f>+IFERROR(VLOOKUP(Fact_Impuestos[[#This Row],[Concepto Anterior]],Conceptos_Impuestos[#All],5,0),"")</f>
        <v>Fusiones</v>
      </c>
      <c r="F68" t="str">
        <f ca="1">+IFERROR(VLOOKUP(Fact_Impuestos[[#This Row],[Concepto Anterior]],Conceptos_Impuestos[#All],7,0),"")</f>
        <v/>
      </c>
      <c r="G68" s="138" t="s">
        <v>230</v>
      </c>
      <c r="H68" s="138" t="s">
        <v>230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157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+IFERROR(VLOOKUP(Fact_Impuestos[[#This Row],[Concepto Anterior]],Conceptos_Impuestos[#All],5,0),"")</f>
        <v>Iva descontable en la corrección de regalias</v>
      </c>
      <c r="F69" t="str">
        <f ca="1">+IFERROR(VLOOKUP(Fact_Impuestos[[#This Row],[Concepto Anterior]],Conceptos_Impuestos[#All],7,0),"")</f>
        <v/>
      </c>
      <c r="G69" s="138" t="s">
        <v>230</v>
      </c>
      <c r="H69" s="138" t="s">
        <v>230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157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68</v>
      </c>
      <c r="E70" t="str">
        <f>+IFERROR(VLOOKUP(Fact_Impuestos[[#This Row],[Concepto Anterior]],Conceptos_Impuestos[#All],5,0),"")</f>
        <v>Numeraciones de facturación</v>
      </c>
      <c r="F70" t="str">
        <f ca="1">+IFERROR(VLOOKUP(Fact_Impuestos[[#This Row],[Concepto Anterior]],Conceptos_Impuestos[#All],7,0),"")</f>
        <v/>
      </c>
      <c r="G70" s="138" t="s">
        <v>230</v>
      </c>
      <c r="H70" s="138" t="s">
        <v>230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157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186</v>
      </c>
      <c r="E71" t="str">
        <f>+IFERROR(VLOOKUP(Fact_Impuestos[[#This Row],[Concepto Anterior]],Conceptos_Impuestos[#All],5,0),"")</f>
        <v>Trámites, Aperturas y Cierres de Tiendas</v>
      </c>
      <c r="F71" t="str">
        <f ca="1">+IFERROR(VLOOKUP(Fact_Impuestos[[#This Row],[Concepto Anterior]],Conceptos_Impuestos[#All],7,0),"")</f>
        <v/>
      </c>
      <c r="G71" s="138" t="s">
        <v>230</v>
      </c>
      <c r="H71" s="138" t="s">
        <v>230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165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114</v>
      </c>
      <c r="E72" t="str">
        <f>+IFERROR(VLOOKUP(Fact_Impuestos[[#This Row],[Concepto Anterior]],Conceptos_Impuestos[#All],5,0),"")</f>
        <v xml:space="preserve">Fiscalizaciones DIAN - Municipios </v>
      </c>
      <c r="F72" t="str">
        <f ca="1">+IFERROR(VLOOKUP(Fact_Impuestos[[#This Row],[Concepto Anterior]],Conceptos_Impuestos[#All],7,0),"")</f>
        <v/>
      </c>
      <c r="G72" s="138" t="s">
        <v>230</v>
      </c>
      <c r="H72" s="138" t="s">
        <v>230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165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74</v>
      </c>
      <c r="E73" t="str">
        <f>+IFERROR(VLOOKUP(Fact_Impuestos[[#This Row],[Concepto Anterior]],Conceptos_Impuestos[#All],5,0),"")</f>
        <v>Cancelación NIT</v>
      </c>
      <c r="F73" t="str">
        <f ca="1">+IFERROR(VLOOKUP(Fact_Impuestos[[#This Row],[Concepto Anterior]],Conceptos_Impuestos[#All],7,0),"")</f>
        <v/>
      </c>
      <c r="G73" s="138" t="s">
        <v>230</v>
      </c>
      <c r="H73" s="138" t="s">
        <v>230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165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69</v>
      </c>
      <c r="E74" t="str">
        <f>+IFERROR(VLOOKUP(Fact_Impuestos[[#This Row],[Concepto Anterior]],Conceptos_Impuestos[#All],5,0),"")</f>
        <v>declaraciones tributarias</v>
      </c>
      <c r="F74" t="str">
        <f ca="1">+IFERROR(VLOOKUP(Fact_Impuestos[[#This Row],[Concepto Anterior]],Conceptos_Impuestos[#All],7,0),"")</f>
        <v/>
      </c>
      <c r="G74" s="138" t="s">
        <v>230</v>
      </c>
      <c r="H74" s="138" t="s">
        <v>230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165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70</v>
      </c>
      <c r="E75" t="str">
        <f>+IFERROR(VLOOKUP(Fact_Impuestos[[#This Row],[Concepto Anterior]],Conceptos_Impuestos[#All],5,0),"")</f>
        <v>información exógena</v>
      </c>
      <c r="F75" t="str">
        <f ca="1">+IFERROR(VLOOKUP(Fact_Impuestos[[#This Row],[Concepto Anterior]],Conceptos_Impuestos[#All],7,0),"")</f>
        <v/>
      </c>
      <c r="G75" s="138" t="s">
        <v>230</v>
      </c>
      <c r="H75" s="138" t="s">
        <v>230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165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144</v>
      </c>
      <c r="E76" t="str">
        <f>+IFERROR(VLOOKUP(Fact_Impuestos[[#This Row],[Concepto Anterior]],Conceptos_Impuestos[#All],5,0),"")</f>
        <v>Devolución saldos a favor en renta</v>
      </c>
      <c r="F76" t="str">
        <f ca="1">+IFERROR(VLOOKUP(Fact_Impuestos[[#This Row],[Concepto Anterior]],Conceptos_Impuestos[#All],7,0),"")</f>
        <v/>
      </c>
      <c r="G76" s="138" t="s">
        <v>230</v>
      </c>
      <c r="H76" s="138" t="s">
        <v>230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165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72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 ca="1">+IFERROR(VLOOKUP(Fact_Impuestos[[#This Row],[Concepto Anterior]],Conceptos_Impuestos[#All],7,0),"")</f>
        <v/>
      </c>
      <c r="G77" s="138" t="s">
        <v>230</v>
      </c>
      <c r="H77" s="138" t="s">
        <v>230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165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50</v>
      </c>
      <c r="E78" t="str">
        <f>+IFERROR(VLOOKUP(Fact_Impuestos[[#This Row],[Concepto Anterior]],Conceptos_Impuestos[#All],5,0),"")</f>
        <v>Fusiones</v>
      </c>
      <c r="F78" t="str">
        <f ca="1">+IFERROR(VLOOKUP(Fact_Impuestos[[#This Row],[Concepto Anterior]],Conceptos_Impuestos[#All],7,0),"")</f>
        <v/>
      </c>
      <c r="G78" s="138" t="s">
        <v>230</v>
      </c>
      <c r="H78" s="138" t="s">
        <v>230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165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+IFERROR(VLOOKUP(Fact_Impuestos[[#This Row],[Concepto Anterior]],Conceptos_Impuestos[#All],5,0),"")</f>
        <v>Iva descontable en la corrección de regalias</v>
      </c>
      <c r="F79" t="str">
        <f ca="1">+IFERROR(VLOOKUP(Fact_Impuestos[[#This Row],[Concepto Anterior]],Conceptos_Impuestos[#All],7,0),"")</f>
        <v/>
      </c>
      <c r="G79" s="138" t="s">
        <v>230</v>
      </c>
      <c r="H79" s="138" t="s">
        <v>230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165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68</v>
      </c>
      <c r="E80" t="str">
        <f>+IFERROR(VLOOKUP(Fact_Impuestos[[#This Row],[Concepto Anterior]],Conceptos_Impuestos[#All],5,0),"")</f>
        <v>Numeraciones de facturación</v>
      </c>
      <c r="F80" t="str">
        <f ca="1">+IFERROR(VLOOKUP(Fact_Impuestos[[#This Row],[Concepto Anterior]],Conceptos_Impuestos[#All],7,0),"")</f>
        <v/>
      </c>
      <c r="G80" s="138" t="s">
        <v>230</v>
      </c>
      <c r="H80" s="138" t="s">
        <v>230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165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186</v>
      </c>
      <c r="E81" t="str">
        <f>+IFERROR(VLOOKUP(Fact_Impuestos[[#This Row],[Concepto Anterior]],Conceptos_Impuestos[#All],5,0),"")</f>
        <v>Trámites, Aperturas y Cierres de Tiendas</v>
      </c>
      <c r="F81" t="str">
        <f ca="1">+IFERROR(VLOOKUP(Fact_Impuestos[[#This Row],[Concepto Anterior]],Conceptos_Impuestos[#All],7,0),"")</f>
        <v/>
      </c>
      <c r="G81" s="138" t="s">
        <v>230</v>
      </c>
      <c r="H81" s="138" t="s">
        <v>230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114</v>
      </c>
      <c r="E82" t="str">
        <f>+IFERROR(VLOOKUP(Fact_Impuestos[[#This Row],[Concepto Anterior]],Conceptos_Impuestos[#All],5,0),"")</f>
        <v xml:space="preserve">Fiscalizaciones DIAN - Municipios </v>
      </c>
      <c r="F82" t="str">
        <f ca="1">+IFERROR(VLOOKUP(Fact_Impuestos[[#This Row],[Concepto Anterior]],Conceptos_Impuestos[#All],7,0),"")</f>
        <v/>
      </c>
      <c r="G82" s="138" t="s">
        <v>230</v>
      </c>
      <c r="H82" s="138" t="s">
        <v>230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74</v>
      </c>
      <c r="E83" t="str">
        <f>+IFERROR(VLOOKUP(Fact_Impuestos[[#This Row],[Concepto Anterior]],Conceptos_Impuestos[#All],5,0),"")</f>
        <v>Cancelación NIT</v>
      </c>
      <c r="F83" t="str">
        <f ca="1">+IFERROR(VLOOKUP(Fact_Impuestos[[#This Row],[Concepto Anterior]],Conceptos_Impuestos[#All],7,0),"")</f>
        <v/>
      </c>
      <c r="G83" s="138" t="s">
        <v>230</v>
      </c>
      <c r="H83" s="138" t="s">
        <v>230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69</v>
      </c>
      <c r="E84" t="str">
        <f>+IFERROR(VLOOKUP(Fact_Impuestos[[#This Row],[Concepto Anterior]],Conceptos_Impuestos[#All],5,0),"")</f>
        <v>declaraciones tributarias</v>
      </c>
      <c r="F84" t="str">
        <f ca="1">+IFERROR(VLOOKUP(Fact_Impuestos[[#This Row],[Concepto Anterior]],Conceptos_Impuestos[#All],7,0),"")</f>
        <v/>
      </c>
      <c r="G84" s="138" t="s">
        <v>230</v>
      </c>
      <c r="H84" s="138" t="s">
        <v>230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70</v>
      </c>
      <c r="E85" t="str">
        <f>+IFERROR(VLOOKUP(Fact_Impuestos[[#This Row],[Concepto Anterior]],Conceptos_Impuestos[#All],5,0),"")</f>
        <v>información exógena</v>
      </c>
      <c r="F85" t="str">
        <f ca="1">+IFERROR(VLOOKUP(Fact_Impuestos[[#This Row],[Concepto Anterior]],Conceptos_Impuestos[#All],7,0),"")</f>
        <v/>
      </c>
      <c r="G85" s="138" t="s">
        <v>230</v>
      </c>
      <c r="H85" s="138" t="s">
        <v>230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144</v>
      </c>
      <c r="E86" t="str">
        <f>+IFERROR(VLOOKUP(Fact_Impuestos[[#This Row],[Concepto Anterior]],Conceptos_Impuestos[#All],5,0),"")</f>
        <v>Devolución saldos a favor en renta</v>
      </c>
      <c r="F86" t="str">
        <f ca="1">+IFERROR(VLOOKUP(Fact_Impuestos[[#This Row],[Concepto Anterior]],Conceptos_Impuestos[#All],7,0),"")</f>
        <v/>
      </c>
      <c r="G86" s="138" t="s">
        <v>230</v>
      </c>
      <c r="H86" s="138" t="s">
        <v>230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72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 ca="1">+IFERROR(VLOOKUP(Fact_Impuestos[[#This Row],[Concepto Anterior]],Conceptos_Impuestos[#All],7,0),"")</f>
        <v/>
      </c>
      <c r="G87" s="138" t="s">
        <v>230</v>
      </c>
      <c r="H87" s="138" t="s">
        <v>230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50</v>
      </c>
      <c r="E88" t="str">
        <f>+IFERROR(VLOOKUP(Fact_Impuestos[[#This Row],[Concepto Anterior]],Conceptos_Impuestos[#All],5,0),"")</f>
        <v>Fusiones</v>
      </c>
      <c r="F88" t="str">
        <f ca="1">+IFERROR(VLOOKUP(Fact_Impuestos[[#This Row],[Concepto Anterior]],Conceptos_Impuestos[#All],7,0),"")</f>
        <v/>
      </c>
      <c r="G88" s="138" t="s">
        <v>230</v>
      </c>
      <c r="H88" s="138" t="s">
        <v>230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+IFERROR(VLOOKUP(Fact_Impuestos[[#This Row],[Concepto Anterior]],Conceptos_Impuestos[#All],5,0),"")</f>
        <v>Iva descontable en la corrección de regalias</v>
      </c>
      <c r="F89" t="str">
        <f ca="1">+IFERROR(VLOOKUP(Fact_Impuestos[[#This Row],[Concepto Anterior]],Conceptos_Impuestos[#All],7,0),"")</f>
        <v/>
      </c>
      <c r="G89" s="138" t="s">
        <v>230</v>
      </c>
      <c r="H89" s="138" t="s">
        <v>230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68</v>
      </c>
      <c r="E90" t="str">
        <f>+IFERROR(VLOOKUP(Fact_Impuestos[[#This Row],[Concepto Anterior]],Conceptos_Impuestos[#All],5,0),"")</f>
        <v>Numeraciones de facturación</v>
      </c>
      <c r="F90" t="str">
        <f ca="1">+IFERROR(VLOOKUP(Fact_Impuestos[[#This Row],[Concepto Anterior]],Conceptos_Impuestos[#All],7,0),"")</f>
        <v/>
      </c>
      <c r="G90" s="138" t="s">
        <v>230</v>
      </c>
      <c r="H90" s="138" t="s">
        <v>230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186</v>
      </c>
      <c r="E91" t="str">
        <f>+IFERROR(VLOOKUP(Fact_Impuestos[[#This Row],[Concepto Anterior]],Conceptos_Impuestos[#All],5,0),"")</f>
        <v>Trámites, Aperturas y Cierres de Tiendas</v>
      </c>
      <c r="F91" t="str">
        <f ca="1">+IFERROR(VLOOKUP(Fact_Impuestos[[#This Row],[Concepto Anterior]],Conceptos_Impuestos[#All],7,0),"")</f>
        <v/>
      </c>
      <c r="G91" s="138" t="s">
        <v>230</v>
      </c>
      <c r="H91" s="138" t="s">
        <v>230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179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114</v>
      </c>
      <c r="E92" t="str">
        <f>+IFERROR(VLOOKUP(Fact_Impuestos[[#This Row],[Concepto Anterior]],Conceptos_Impuestos[#All],5,0),"")</f>
        <v xml:space="preserve">Fiscalizaciones DIAN - Municipios </v>
      </c>
      <c r="F92" t="str">
        <f ca="1">+IFERROR(VLOOKUP(Fact_Impuestos[[#This Row],[Concepto Anterior]],Conceptos_Impuestos[#All],7,0),"")</f>
        <v/>
      </c>
      <c r="G92" s="138" t="s">
        <v>230</v>
      </c>
      <c r="H92" s="138" t="s">
        <v>230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179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74</v>
      </c>
      <c r="E93" t="str">
        <f>+IFERROR(VLOOKUP(Fact_Impuestos[[#This Row],[Concepto Anterior]],Conceptos_Impuestos[#All],5,0),"")</f>
        <v>Cancelación NIT</v>
      </c>
      <c r="F93" t="str">
        <f ca="1">+IFERROR(VLOOKUP(Fact_Impuestos[[#This Row],[Concepto Anterior]],Conceptos_Impuestos[#All],7,0),"")</f>
        <v/>
      </c>
      <c r="G93" s="138" t="s">
        <v>230</v>
      </c>
      <c r="H93" s="138" t="s">
        <v>230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179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69</v>
      </c>
      <c r="E94" t="str">
        <f>+IFERROR(VLOOKUP(Fact_Impuestos[[#This Row],[Concepto Anterior]],Conceptos_Impuestos[#All],5,0),"")</f>
        <v>declaraciones tributarias</v>
      </c>
      <c r="F94" t="str">
        <f ca="1">+IFERROR(VLOOKUP(Fact_Impuestos[[#This Row],[Concepto Anterior]],Conceptos_Impuestos[#All],7,0),"")</f>
        <v/>
      </c>
      <c r="G94" s="138" t="s">
        <v>230</v>
      </c>
      <c r="H94" s="138" t="s">
        <v>230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179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70</v>
      </c>
      <c r="E95" t="str">
        <f>+IFERROR(VLOOKUP(Fact_Impuestos[[#This Row],[Concepto Anterior]],Conceptos_Impuestos[#All],5,0),"")</f>
        <v>información exógena</v>
      </c>
      <c r="F95" t="str">
        <f ca="1">+IFERROR(VLOOKUP(Fact_Impuestos[[#This Row],[Concepto Anterior]],Conceptos_Impuestos[#All],7,0),"")</f>
        <v/>
      </c>
      <c r="G95" s="138" t="s">
        <v>230</v>
      </c>
      <c r="H95" s="138" t="s">
        <v>230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179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144</v>
      </c>
      <c r="E96" t="str">
        <f>+IFERROR(VLOOKUP(Fact_Impuestos[[#This Row],[Concepto Anterior]],Conceptos_Impuestos[#All],5,0),"")</f>
        <v>Devolución saldos a favor en renta</v>
      </c>
      <c r="F96" t="str">
        <f ca="1">+IFERROR(VLOOKUP(Fact_Impuestos[[#This Row],[Concepto Anterior]],Conceptos_Impuestos[#All],7,0),"")</f>
        <v/>
      </c>
      <c r="G96" s="138" t="s">
        <v>230</v>
      </c>
      <c r="H96" s="138" t="s">
        <v>230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179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72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 ca="1">+IFERROR(VLOOKUP(Fact_Impuestos[[#This Row],[Concepto Anterior]],Conceptos_Impuestos[#All],7,0),"")</f>
        <v/>
      </c>
      <c r="G97" s="138" t="s">
        <v>230</v>
      </c>
      <c r="H97" s="138" t="s">
        <v>230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179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50</v>
      </c>
      <c r="E98" t="str">
        <f>+IFERROR(VLOOKUP(Fact_Impuestos[[#This Row],[Concepto Anterior]],Conceptos_Impuestos[#All],5,0),"")</f>
        <v>Fusiones</v>
      </c>
      <c r="F98" t="str">
        <f ca="1">+IFERROR(VLOOKUP(Fact_Impuestos[[#This Row],[Concepto Anterior]],Conceptos_Impuestos[#All],7,0),"")</f>
        <v/>
      </c>
      <c r="G98" s="138" t="s">
        <v>230</v>
      </c>
      <c r="H98" s="138" t="s">
        <v>230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179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+IFERROR(VLOOKUP(Fact_Impuestos[[#This Row],[Concepto Anterior]],Conceptos_Impuestos[#All],5,0),"")</f>
        <v>Iva descontable en la corrección de regalias</v>
      </c>
      <c r="F99" t="str">
        <f ca="1">+IFERROR(VLOOKUP(Fact_Impuestos[[#This Row],[Concepto Anterior]],Conceptos_Impuestos[#All],7,0),"")</f>
        <v/>
      </c>
      <c r="G99" s="138" t="s">
        <v>230</v>
      </c>
      <c r="H99" s="138" t="s">
        <v>230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179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68</v>
      </c>
      <c r="E100" t="str">
        <f>+IFERROR(VLOOKUP(Fact_Impuestos[[#This Row],[Concepto Anterior]],Conceptos_Impuestos[#All],5,0),"")</f>
        <v>Numeraciones de facturación</v>
      </c>
      <c r="F100" t="str">
        <f ca="1">+IFERROR(VLOOKUP(Fact_Impuestos[[#This Row],[Concepto Anterior]],Conceptos_Impuestos[#All],7,0),"")</f>
        <v/>
      </c>
      <c r="G100" s="138" t="s">
        <v>230</v>
      </c>
      <c r="H100" s="138" t="s">
        <v>230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179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186</v>
      </c>
      <c r="E101" t="str">
        <f>+IFERROR(VLOOKUP(Fact_Impuestos[[#This Row],[Concepto Anterior]],Conceptos_Impuestos[#All],5,0),"")</f>
        <v>Trámites, Aperturas y Cierres de Tiendas</v>
      </c>
      <c r="F101" t="str">
        <f ca="1">+IFERROR(VLOOKUP(Fact_Impuestos[[#This Row],[Concepto Anterior]],Conceptos_Impuestos[#All],7,0),"")</f>
        <v/>
      </c>
      <c r="G101" s="138" t="s">
        <v>230</v>
      </c>
      <c r="H101" s="138" t="s">
        <v>230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188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114</v>
      </c>
      <c r="E102" t="str">
        <f>+IFERROR(VLOOKUP(Fact_Impuestos[[#This Row],[Concepto Anterior]],Conceptos_Impuestos[#All],5,0),"")</f>
        <v xml:space="preserve">Fiscalizaciones DIAN - Municipios </v>
      </c>
      <c r="F102" t="str">
        <f ca="1">+IFERROR(VLOOKUP(Fact_Impuestos[[#This Row],[Concepto Anterior]],Conceptos_Impuestos[#All],7,0),"")</f>
        <v/>
      </c>
      <c r="G102" s="138" t="s">
        <v>230</v>
      </c>
      <c r="H102" s="138" t="s">
        <v>230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188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74</v>
      </c>
      <c r="E103" t="str">
        <f>+IFERROR(VLOOKUP(Fact_Impuestos[[#This Row],[Concepto Anterior]],Conceptos_Impuestos[#All],5,0),"")</f>
        <v>Cancelación NIT</v>
      </c>
      <c r="F103" t="str">
        <f ca="1">+IFERROR(VLOOKUP(Fact_Impuestos[[#This Row],[Concepto Anterior]],Conceptos_Impuestos[#All],7,0),"")</f>
        <v/>
      </c>
      <c r="G103" s="138" t="s">
        <v>230</v>
      </c>
      <c r="H103" s="138" t="s">
        <v>230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188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69</v>
      </c>
      <c r="E104" t="str">
        <f>+IFERROR(VLOOKUP(Fact_Impuestos[[#This Row],[Concepto Anterior]],Conceptos_Impuestos[#All],5,0),"")</f>
        <v>declaraciones tributarias</v>
      </c>
      <c r="F104" t="str">
        <f ca="1">+IFERROR(VLOOKUP(Fact_Impuestos[[#This Row],[Concepto Anterior]],Conceptos_Impuestos[#All],7,0),"")</f>
        <v/>
      </c>
      <c r="G104" s="138" t="s">
        <v>230</v>
      </c>
      <c r="H104" s="138" t="s">
        <v>230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188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70</v>
      </c>
      <c r="E105" t="str">
        <f>+IFERROR(VLOOKUP(Fact_Impuestos[[#This Row],[Concepto Anterior]],Conceptos_Impuestos[#All],5,0),"")</f>
        <v>información exógena</v>
      </c>
      <c r="F105" t="str">
        <f ca="1">+IFERROR(VLOOKUP(Fact_Impuestos[[#This Row],[Concepto Anterior]],Conceptos_Impuestos[#All],7,0),"")</f>
        <v/>
      </c>
      <c r="G105" s="138" t="s">
        <v>230</v>
      </c>
      <c r="H105" s="138" t="s">
        <v>230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188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144</v>
      </c>
      <c r="E106" t="str">
        <f>+IFERROR(VLOOKUP(Fact_Impuestos[[#This Row],[Concepto Anterior]],Conceptos_Impuestos[#All],5,0),"")</f>
        <v>Devolución saldos a favor en renta</v>
      </c>
      <c r="F106" t="str">
        <f ca="1">+IFERROR(VLOOKUP(Fact_Impuestos[[#This Row],[Concepto Anterior]],Conceptos_Impuestos[#All],7,0),"")</f>
        <v/>
      </c>
      <c r="G106" s="138" t="s">
        <v>230</v>
      </c>
      <c r="H106" s="138" t="s">
        <v>230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188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72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 ca="1">+IFERROR(VLOOKUP(Fact_Impuestos[[#This Row],[Concepto Anterior]],Conceptos_Impuestos[#All],7,0),"")</f>
        <v/>
      </c>
      <c r="G107" s="138" t="s">
        <v>230</v>
      </c>
      <c r="H107" s="138" t="s">
        <v>230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188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50</v>
      </c>
      <c r="E108" t="str">
        <f>+IFERROR(VLOOKUP(Fact_Impuestos[[#This Row],[Concepto Anterior]],Conceptos_Impuestos[#All],5,0),"")</f>
        <v>Fusiones</v>
      </c>
      <c r="F108" t="str">
        <f ca="1">+IFERROR(VLOOKUP(Fact_Impuestos[[#This Row],[Concepto Anterior]],Conceptos_Impuestos[#All],7,0),"")</f>
        <v/>
      </c>
      <c r="G108" s="138" t="s">
        <v>230</v>
      </c>
      <c r="H108" s="138" t="s">
        <v>230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188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+IFERROR(VLOOKUP(Fact_Impuestos[[#This Row],[Concepto Anterior]],Conceptos_Impuestos[#All],5,0),"")</f>
        <v>Iva descontable en la corrección de regalias</v>
      </c>
      <c r="F109" t="str">
        <f ca="1">+IFERROR(VLOOKUP(Fact_Impuestos[[#This Row],[Concepto Anterior]],Conceptos_Impuestos[#All],7,0),"")</f>
        <v/>
      </c>
      <c r="G109" s="138" t="s">
        <v>230</v>
      </c>
      <c r="H109" s="138" t="s">
        <v>230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188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68</v>
      </c>
      <c r="E110" t="str">
        <f>+IFERROR(VLOOKUP(Fact_Impuestos[[#This Row],[Concepto Anterior]],Conceptos_Impuestos[#All],5,0),"")</f>
        <v>Numeraciones de facturación</v>
      </c>
      <c r="F110" t="str">
        <f ca="1">+IFERROR(VLOOKUP(Fact_Impuestos[[#This Row],[Concepto Anterior]],Conceptos_Impuestos[#All],7,0),"")</f>
        <v/>
      </c>
      <c r="G110" s="138" t="s">
        <v>230</v>
      </c>
      <c r="H110" s="138" t="s">
        <v>230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188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186</v>
      </c>
      <c r="E111" t="str">
        <f>+IFERROR(VLOOKUP(Fact_Impuestos[[#This Row],[Concepto Anterior]],Conceptos_Impuestos[#All],5,0),"")</f>
        <v>Trámites, Aperturas y Cierres de Tiendas</v>
      </c>
      <c r="F111" t="str">
        <f ca="1">+IFERROR(VLOOKUP(Fact_Impuestos[[#This Row],[Concepto Anterior]],Conceptos_Impuestos[#All],7,0),"")</f>
        <v/>
      </c>
      <c r="G111" s="138" t="s">
        <v>230</v>
      </c>
      <c r="H111" s="138" t="s">
        <v>230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196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114</v>
      </c>
      <c r="E112" t="str">
        <f>+IFERROR(VLOOKUP(Fact_Impuestos[[#This Row],[Concepto Anterior]],Conceptos_Impuestos[#All],5,0),"")</f>
        <v xml:space="preserve">Fiscalizaciones DIAN - Municipios </v>
      </c>
      <c r="F112" t="str">
        <f ca="1">+IFERROR(VLOOKUP(Fact_Impuestos[[#This Row],[Concepto Anterior]],Conceptos_Impuestos[#All],7,0),"")</f>
        <v/>
      </c>
      <c r="G112" s="138" t="s">
        <v>230</v>
      </c>
      <c r="H112" s="138" t="s">
        <v>230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196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74</v>
      </c>
      <c r="E113" t="str">
        <f>+IFERROR(VLOOKUP(Fact_Impuestos[[#This Row],[Concepto Anterior]],Conceptos_Impuestos[#All],5,0),"")</f>
        <v>Cancelación NIT</v>
      </c>
      <c r="F113" t="str">
        <f ca="1">+IFERROR(VLOOKUP(Fact_Impuestos[[#This Row],[Concepto Anterior]],Conceptos_Impuestos[#All],7,0),"")</f>
        <v/>
      </c>
      <c r="G113" s="138" t="s">
        <v>230</v>
      </c>
      <c r="H113" s="138" t="s">
        <v>230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196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69</v>
      </c>
      <c r="E114" t="str">
        <f>+IFERROR(VLOOKUP(Fact_Impuestos[[#This Row],[Concepto Anterior]],Conceptos_Impuestos[#All],5,0),"")</f>
        <v>declaraciones tributarias</v>
      </c>
      <c r="F114" t="str">
        <f ca="1">+IFERROR(VLOOKUP(Fact_Impuestos[[#This Row],[Concepto Anterior]],Conceptos_Impuestos[#All],7,0),"")</f>
        <v/>
      </c>
      <c r="G114" s="138" t="s">
        <v>230</v>
      </c>
      <c r="H114" s="138" t="s">
        <v>230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196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70</v>
      </c>
      <c r="E115" t="str">
        <f>+IFERROR(VLOOKUP(Fact_Impuestos[[#This Row],[Concepto Anterior]],Conceptos_Impuestos[#All],5,0),"")</f>
        <v>información exógena</v>
      </c>
      <c r="F115" t="str">
        <f ca="1">+IFERROR(VLOOKUP(Fact_Impuestos[[#This Row],[Concepto Anterior]],Conceptos_Impuestos[#All],7,0),"")</f>
        <v/>
      </c>
      <c r="G115" s="138" t="s">
        <v>230</v>
      </c>
      <c r="H115" s="138" t="s">
        <v>230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196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144</v>
      </c>
      <c r="E116" t="str">
        <f>+IFERROR(VLOOKUP(Fact_Impuestos[[#This Row],[Concepto Anterior]],Conceptos_Impuestos[#All],5,0),"")</f>
        <v>Devolución saldos a favor en renta</v>
      </c>
      <c r="F116" t="str">
        <f ca="1">+IFERROR(VLOOKUP(Fact_Impuestos[[#This Row],[Concepto Anterior]],Conceptos_Impuestos[#All],7,0),"")</f>
        <v/>
      </c>
      <c r="G116" s="138" t="s">
        <v>230</v>
      </c>
      <c r="H116" s="138" t="s">
        <v>230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196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72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 ca="1">+IFERROR(VLOOKUP(Fact_Impuestos[[#This Row],[Concepto Anterior]],Conceptos_Impuestos[#All],7,0),"")</f>
        <v/>
      </c>
      <c r="G117" s="138" t="s">
        <v>230</v>
      </c>
      <c r="H117" s="138" t="s">
        <v>230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196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50</v>
      </c>
      <c r="E118" t="str">
        <f>+IFERROR(VLOOKUP(Fact_Impuestos[[#This Row],[Concepto Anterior]],Conceptos_Impuestos[#All],5,0),"")</f>
        <v>Fusiones</v>
      </c>
      <c r="F118" t="str">
        <f ca="1">+IFERROR(VLOOKUP(Fact_Impuestos[[#This Row],[Concepto Anterior]],Conceptos_Impuestos[#All],7,0),"")</f>
        <v/>
      </c>
      <c r="G118" s="138" t="s">
        <v>230</v>
      </c>
      <c r="H118" s="138" t="s">
        <v>230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196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+IFERROR(VLOOKUP(Fact_Impuestos[[#This Row],[Concepto Anterior]],Conceptos_Impuestos[#All],5,0),"")</f>
        <v>Iva descontable en la corrección de regalias</v>
      </c>
      <c r="F119" t="str">
        <f ca="1">+IFERROR(VLOOKUP(Fact_Impuestos[[#This Row],[Concepto Anterior]],Conceptos_Impuestos[#All],7,0),"")</f>
        <v/>
      </c>
      <c r="G119" s="138" t="s">
        <v>230</v>
      </c>
      <c r="H119" s="138" t="s">
        <v>230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196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68</v>
      </c>
      <c r="E120" t="str">
        <f>+IFERROR(VLOOKUP(Fact_Impuestos[[#This Row],[Concepto Anterior]],Conceptos_Impuestos[#All],5,0),"")</f>
        <v>Numeraciones de facturación</v>
      </c>
      <c r="F120" t="str">
        <f ca="1">+IFERROR(VLOOKUP(Fact_Impuestos[[#This Row],[Concepto Anterior]],Conceptos_Impuestos[#All],7,0),"")</f>
        <v/>
      </c>
      <c r="G120" s="138" t="s">
        <v>230</v>
      </c>
      <c r="H120" s="138" t="s">
        <v>230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196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186</v>
      </c>
      <c r="E121" t="str">
        <f>+IFERROR(VLOOKUP(Fact_Impuestos[[#This Row],[Concepto Anterior]],Conceptos_Impuestos[#All],5,0),"")</f>
        <v>Trámites, Aperturas y Cierres de Tiendas</v>
      </c>
      <c r="F121" t="str">
        <f ca="1">+IFERROR(VLOOKUP(Fact_Impuestos[[#This Row],[Concepto Anterior]],Conceptos_Impuestos[#All],7,0),"")</f>
        <v/>
      </c>
      <c r="G121" s="138" t="s">
        <v>230</v>
      </c>
      <c r="H121" s="138" t="s">
        <v>230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105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114</v>
      </c>
      <c r="E122" t="str">
        <f>+IFERROR(VLOOKUP(Fact_Impuestos[[#This Row],[Concepto Anterior]],Conceptos_Impuestos[#All],5,0),"")</f>
        <v xml:space="preserve">Fiscalizaciones DIAN - Municipios </v>
      </c>
      <c r="F122" t="str">
        <f ca="1">+IFERROR(VLOOKUP(Fact_Impuestos[[#This Row],[Concepto Anterior]],Conceptos_Impuestos[#All],7,0),"")</f>
        <v/>
      </c>
      <c r="G122" s="138" t="s">
        <v>230</v>
      </c>
      <c r="H122" s="138" t="s">
        <v>230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105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74</v>
      </c>
      <c r="E123" t="str">
        <f>+IFERROR(VLOOKUP(Fact_Impuestos[[#This Row],[Concepto Anterior]],Conceptos_Impuestos[#All],5,0),"")</f>
        <v>Cancelación NIT</v>
      </c>
      <c r="F123" t="str">
        <f ca="1">+IFERROR(VLOOKUP(Fact_Impuestos[[#This Row],[Concepto Anterior]],Conceptos_Impuestos[#All],7,0),"")</f>
        <v/>
      </c>
      <c r="G123" s="138" t="s">
        <v>230</v>
      </c>
      <c r="H123" s="138" t="s">
        <v>230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105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69</v>
      </c>
      <c r="E124" t="str">
        <f>+IFERROR(VLOOKUP(Fact_Impuestos[[#This Row],[Concepto Anterior]],Conceptos_Impuestos[#All],5,0),"")</f>
        <v>declaraciones tributarias</v>
      </c>
      <c r="F124" t="str">
        <f ca="1">+IFERROR(VLOOKUP(Fact_Impuestos[[#This Row],[Concepto Anterior]],Conceptos_Impuestos[#All],7,0),"")</f>
        <v/>
      </c>
      <c r="G124" s="138" t="s">
        <v>230</v>
      </c>
      <c r="H124" s="138" t="s">
        <v>230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105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70</v>
      </c>
      <c r="E125" t="str">
        <f>+IFERROR(VLOOKUP(Fact_Impuestos[[#This Row],[Concepto Anterior]],Conceptos_Impuestos[#All],5,0),"")</f>
        <v>información exógena</v>
      </c>
      <c r="F125" t="str">
        <f ca="1">+IFERROR(VLOOKUP(Fact_Impuestos[[#This Row],[Concepto Anterior]],Conceptos_Impuestos[#All],7,0),"")</f>
        <v/>
      </c>
      <c r="G125" s="138" t="s">
        <v>230</v>
      </c>
      <c r="H125" s="138" t="s">
        <v>230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105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195</v>
      </c>
      <c r="E126" t="str">
        <f>+IFERROR(VLOOKUP(Fact_Impuestos[[#This Row],[Concepto Anterior]],Conceptos_Impuestos[#All],5,0),"")</f>
        <v>Cantidad de personas naturales que atendemos</v>
      </c>
      <c r="F126" t="str">
        <f ca="1">+IFERROR(VLOOKUP(Fact_Impuestos[[#This Row],[Concepto Anterior]],Conceptos_Impuestos[#All],7,0),"")</f>
        <v/>
      </c>
      <c r="G126" s="138" t="s">
        <v>230</v>
      </c>
      <c r="H126" s="138" t="s">
        <v>230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105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144</v>
      </c>
      <c r="E127" t="str">
        <f>+IFERROR(VLOOKUP(Fact_Impuestos[[#This Row],[Concepto Anterior]],Conceptos_Impuestos[#All],5,0),"")</f>
        <v>Devolución saldos a favor en renta</v>
      </c>
      <c r="F127" t="str">
        <f ca="1">+IFERROR(VLOOKUP(Fact_Impuestos[[#This Row],[Concepto Anterior]],Conceptos_Impuestos[#All],7,0),"")</f>
        <v/>
      </c>
      <c r="G127" s="138" t="s">
        <v>230</v>
      </c>
      <c r="H127" s="138" t="s">
        <v>230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105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68</v>
      </c>
      <c r="E128" t="str">
        <f>+IFERROR(VLOOKUP(Fact_Impuestos[[#This Row],[Concepto Anterior]],Conceptos_Impuestos[#All],5,0),"")</f>
        <v>Numeraciones de facturación</v>
      </c>
      <c r="F128" t="str">
        <f ca="1">+IFERROR(VLOOKUP(Fact_Impuestos[[#This Row],[Concepto Anterior]],Conceptos_Impuestos[#All],7,0),"")</f>
        <v/>
      </c>
      <c r="G128" s="138" t="s">
        <v>230</v>
      </c>
      <c r="H128" s="138" t="s">
        <v>230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105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79</v>
      </c>
      <c r="E129" t="str">
        <f>+IFERROR(VLOOKUP(Fact_Impuestos[[#This Row],[Concepto Anterior]],Conceptos_Impuestos[#All],5,0),"")</f>
        <v>Numero de razones sociales atendidas directas</v>
      </c>
      <c r="F129" t="str">
        <f ca="1">+IFERROR(VLOOKUP(Fact_Impuestos[[#This Row],[Concepto Anterior]],Conceptos_Impuestos[#All],7,0),"")</f>
        <v/>
      </c>
      <c r="G129" s="138" t="s">
        <v>230</v>
      </c>
      <c r="H129" s="138" t="s">
        <v>230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105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186</v>
      </c>
      <c r="E130" t="str">
        <f>+IFERROR(VLOOKUP(Fact_Impuestos[[#This Row],[Concepto Anterior]],Conceptos_Impuestos[#All],5,0),"")</f>
        <v>Trámites, Aperturas y Cierres de Tiendas</v>
      </c>
      <c r="F130" t="str">
        <f ca="1">+IFERROR(VLOOKUP(Fact_Impuestos[[#This Row],[Concepto Anterior]],Conceptos_Impuestos[#All],7,0),"")</f>
        <v/>
      </c>
      <c r="G130" s="138" t="s">
        <v>230</v>
      </c>
      <c r="H130" s="138" t="s">
        <v>230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117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114</v>
      </c>
      <c r="E131" t="str">
        <f>+IFERROR(VLOOKUP(Fact_Impuestos[[#This Row],[Concepto Anterior]],Conceptos_Impuestos[#All],5,0),"")</f>
        <v xml:space="preserve">Fiscalizaciones DIAN - Municipios </v>
      </c>
      <c r="F131" t="str">
        <f ca="1">+IFERROR(VLOOKUP(Fact_Impuestos[[#This Row],[Concepto Anterior]],Conceptos_Impuestos[#All],7,0),"")</f>
        <v/>
      </c>
      <c r="G131" s="138" t="s">
        <v>230</v>
      </c>
      <c r="H131" s="138" t="s">
        <v>230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117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74</v>
      </c>
      <c r="E132" t="str">
        <f>+IFERROR(VLOOKUP(Fact_Impuestos[[#This Row],[Concepto Anterior]],Conceptos_Impuestos[#All],5,0),"")</f>
        <v>Cancelación NIT</v>
      </c>
      <c r="F132" t="str">
        <f ca="1">+IFERROR(VLOOKUP(Fact_Impuestos[[#This Row],[Concepto Anterior]],Conceptos_Impuestos[#All],7,0),"")</f>
        <v/>
      </c>
      <c r="G132" s="138" t="s">
        <v>230</v>
      </c>
      <c r="H132" s="138" t="s">
        <v>230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117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69</v>
      </c>
      <c r="E133" t="str">
        <f>+IFERROR(VLOOKUP(Fact_Impuestos[[#This Row],[Concepto Anterior]],Conceptos_Impuestos[#All],5,0),"")</f>
        <v>declaraciones tributarias</v>
      </c>
      <c r="F133" t="str">
        <f ca="1">+IFERROR(VLOOKUP(Fact_Impuestos[[#This Row],[Concepto Anterior]],Conceptos_Impuestos[#All],7,0),"")</f>
        <v/>
      </c>
      <c r="G133" s="138" t="s">
        <v>230</v>
      </c>
      <c r="H133" s="138" t="s">
        <v>230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117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70</v>
      </c>
      <c r="E134" t="str">
        <f>+IFERROR(VLOOKUP(Fact_Impuestos[[#This Row],[Concepto Anterior]],Conceptos_Impuestos[#All],5,0),"")</f>
        <v>información exógena</v>
      </c>
      <c r="F134" t="str">
        <f ca="1">+IFERROR(VLOOKUP(Fact_Impuestos[[#This Row],[Concepto Anterior]],Conceptos_Impuestos[#All],7,0),"")</f>
        <v/>
      </c>
      <c r="G134" s="138" t="s">
        <v>230</v>
      </c>
      <c r="H134" s="138" t="s">
        <v>230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117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195</v>
      </c>
      <c r="E135" t="str">
        <f>+IFERROR(VLOOKUP(Fact_Impuestos[[#This Row],[Concepto Anterior]],Conceptos_Impuestos[#All],5,0),"")</f>
        <v>Cantidad de personas naturales que atendemos</v>
      </c>
      <c r="F135" t="str">
        <f ca="1">+IFERROR(VLOOKUP(Fact_Impuestos[[#This Row],[Concepto Anterior]],Conceptos_Impuestos[#All],7,0),"")</f>
        <v/>
      </c>
      <c r="G135" s="138" t="s">
        <v>230</v>
      </c>
      <c r="H135" s="138" t="s">
        <v>230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117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144</v>
      </c>
      <c r="E136" t="str">
        <f>+IFERROR(VLOOKUP(Fact_Impuestos[[#This Row],[Concepto Anterior]],Conceptos_Impuestos[#All],5,0),"")</f>
        <v>Devolución saldos a favor en renta</v>
      </c>
      <c r="F136" t="str">
        <f ca="1">+IFERROR(VLOOKUP(Fact_Impuestos[[#This Row],[Concepto Anterior]],Conceptos_Impuestos[#All],7,0),"")</f>
        <v/>
      </c>
      <c r="G136" s="138" t="s">
        <v>230</v>
      </c>
      <c r="H136" s="138" t="s">
        <v>230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117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68</v>
      </c>
      <c r="E137" t="str">
        <f>+IFERROR(VLOOKUP(Fact_Impuestos[[#This Row],[Concepto Anterior]],Conceptos_Impuestos[#All],5,0),"")</f>
        <v>Numeraciones de facturación</v>
      </c>
      <c r="F137" t="str">
        <f ca="1">+IFERROR(VLOOKUP(Fact_Impuestos[[#This Row],[Concepto Anterior]],Conceptos_Impuestos[#All],7,0),"")</f>
        <v/>
      </c>
      <c r="G137" s="138" t="s">
        <v>230</v>
      </c>
      <c r="H137" s="138" t="s">
        <v>230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117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79</v>
      </c>
      <c r="E138" t="str">
        <f>+IFERROR(VLOOKUP(Fact_Impuestos[[#This Row],[Concepto Anterior]],Conceptos_Impuestos[#All],5,0),"")</f>
        <v>Numero de razones sociales atendidas directas</v>
      </c>
      <c r="F138" t="str">
        <f ca="1">+IFERROR(VLOOKUP(Fact_Impuestos[[#This Row],[Concepto Anterior]],Conceptos_Impuestos[#All],7,0),"")</f>
        <v/>
      </c>
      <c r="G138" s="138" t="s">
        <v>230</v>
      </c>
      <c r="H138" s="138" t="s">
        <v>230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117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186</v>
      </c>
      <c r="E139" t="str">
        <f>+IFERROR(VLOOKUP(Fact_Impuestos[[#This Row],[Concepto Anterior]],Conceptos_Impuestos[#All],5,0),"")</f>
        <v>Trámites, Aperturas y Cierres de Tiendas</v>
      </c>
      <c r="F139" t="str">
        <f ca="1">+IFERROR(VLOOKUP(Fact_Impuestos[[#This Row],[Concepto Anterior]],Conceptos_Impuestos[#All],7,0),"")</f>
        <v/>
      </c>
      <c r="G139" s="138" t="s">
        <v>230</v>
      </c>
      <c r="H139" s="138" t="s">
        <v>230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123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114</v>
      </c>
      <c r="E140" t="str">
        <f>+IFERROR(VLOOKUP(Fact_Impuestos[[#This Row],[Concepto Anterior]],Conceptos_Impuestos[#All],5,0),"")</f>
        <v xml:space="preserve">Fiscalizaciones DIAN - Municipios </v>
      </c>
      <c r="F140" t="str">
        <f ca="1">+IFERROR(VLOOKUP(Fact_Impuestos[[#This Row],[Concepto Anterior]],Conceptos_Impuestos[#All],7,0),"")</f>
        <v/>
      </c>
      <c r="G140" s="138" t="s">
        <v>230</v>
      </c>
      <c r="H140" s="138" t="s">
        <v>230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123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74</v>
      </c>
      <c r="E141" t="str">
        <f>+IFERROR(VLOOKUP(Fact_Impuestos[[#This Row],[Concepto Anterior]],Conceptos_Impuestos[#All],5,0),"")</f>
        <v>Cancelación NIT</v>
      </c>
      <c r="F141" t="str">
        <f ca="1">+IFERROR(VLOOKUP(Fact_Impuestos[[#This Row],[Concepto Anterior]],Conceptos_Impuestos[#All],7,0),"")</f>
        <v/>
      </c>
      <c r="G141" s="138" t="s">
        <v>230</v>
      </c>
      <c r="H141" s="138" t="s">
        <v>230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123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69</v>
      </c>
      <c r="E142" t="str">
        <f>+IFERROR(VLOOKUP(Fact_Impuestos[[#This Row],[Concepto Anterior]],Conceptos_Impuestos[#All],5,0),"")</f>
        <v>declaraciones tributarias</v>
      </c>
      <c r="F142" t="str">
        <f ca="1">+IFERROR(VLOOKUP(Fact_Impuestos[[#This Row],[Concepto Anterior]],Conceptos_Impuestos[#All],7,0),"")</f>
        <v/>
      </c>
      <c r="G142" s="138" t="s">
        <v>230</v>
      </c>
      <c r="H142" s="138" t="s">
        <v>230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123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70</v>
      </c>
      <c r="E143" t="str">
        <f>+IFERROR(VLOOKUP(Fact_Impuestos[[#This Row],[Concepto Anterior]],Conceptos_Impuestos[#All],5,0),"")</f>
        <v>información exógena</v>
      </c>
      <c r="F143" t="str">
        <f ca="1">+IFERROR(VLOOKUP(Fact_Impuestos[[#This Row],[Concepto Anterior]],Conceptos_Impuestos[#All],7,0),"")</f>
        <v/>
      </c>
      <c r="G143" s="138" t="s">
        <v>230</v>
      </c>
      <c r="H143" s="138" t="s">
        <v>230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123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195</v>
      </c>
      <c r="E144" t="str">
        <f>+IFERROR(VLOOKUP(Fact_Impuestos[[#This Row],[Concepto Anterior]],Conceptos_Impuestos[#All],5,0),"")</f>
        <v>Cantidad de personas naturales que atendemos</v>
      </c>
      <c r="F144" t="str">
        <f ca="1">+IFERROR(VLOOKUP(Fact_Impuestos[[#This Row],[Concepto Anterior]],Conceptos_Impuestos[#All],7,0),"")</f>
        <v/>
      </c>
      <c r="G144" s="138" t="s">
        <v>230</v>
      </c>
      <c r="H144" s="138" t="s">
        <v>230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123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144</v>
      </c>
      <c r="E145" t="str">
        <f>+IFERROR(VLOOKUP(Fact_Impuestos[[#This Row],[Concepto Anterior]],Conceptos_Impuestos[#All],5,0),"")</f>
        <v>Devolución saldos a favor en renta</v>
      </c>
      <c r="F145" t="str">
        <f ca="1">+IFERROR(VLOOKUP(Fact_Impuestos[[#This Row],[Concepto Anterior]],Conceptos_Impuestos[#All],7,0),"")</f>
        <v/>
      </c>
      <c r="G145" s="138" t="s">
        <v>230</v>
      </c>
      <c r="H145" s="138" t="s">
        <v>230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123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68</v>
      </c>
      <c r="E146" t="str">
        <f>+IFERROR(VLOOKUP(Fact_Impuestos[[#This Row],[Concepto Anterior]],Conceptos_Impuestos[#All],5,0),"")</f>
        <v>Numeraciones de facturación</v>
      </c>
      <c r="F146" t="str">
        <f ca="1">+IFERROR(VLOOKUP(Fact_Impuestos[[#This Row],[Concepto Anterior]],Conceptos_Impuestos[#All],7,0),"")</f>
        <v/>
      </c>
      <c r="G146" s="138" t="s">
        <v>230</v>
      </c>
      <c r="H146" s="138" t="s">
        <v>230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123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79</v>
      </c>
      <c r="E147" t="str">
        <f>+IFERROR(VLOOKUP(Fact_Impuestos[[#This Row],[Concepto Anterior]],Conceptos_Impuestos[#All],5,0),"")</f>
        <v>Numero de razones sociales atendidas directas</v>
      </c>
      <c r="F147" t="str">
        <f ca="1">+IFERROR(VLOOKUP(Fact_Impuestos[[#This Row],[Concepto Anterior]],Conceptos_Impuestos[#All],7,0),"")</f>
        <v/>
      </c>
      <c r="G147" s="138" t="s">
        <v>230</v>
      </c>
      <c r="H147" s="138" t="s">
        <v>230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123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186</v>
      </c>
      <c r="E148" t="str">
        <f>+IFERROR(VLOOKUP(Fact_Impuestos[[#This Row],[Concepto Anterior]],Conceptos_Impuestos[#All],5,0),"")</f>
        <v>Trámites, Aperturas y Cierres de Tiendas</v>
      </c>
      <c r="F148" t="str">
        <f ca="1">+IFERROR(VLOOKUP(Fact_Impuestos[[#This Row],[Concepto Anterior]],Conceptos_Impuestos[#All],7,0),"")</f>
        <v/>
      </c>
      <c r="G148" s="138" t="s">
        <v>230</v>
      </c>
      <c r="H148" s="138" t="s">
        <v>230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130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114</v>
      </c>
      <c r="E149" t="str">
        <f>+IFERROR(VLOOKUP(Fact_Impuestos[[#This Row],[Concepto Anterior]],Conceptos_Impuestos[#All],5,0),"")</f>
        <v xml:space="preserve">Fiscalizaciones DIAN - Municipios </v>
      </c>
      <c r="F149" t="str">
        <f ca="1">+IFERROR(VLOOKUP(Fact_Impuestos[[#This Row],[Concepto Anterior]],Conceptos_Impuestos[#All],7,0),"")</f>
        <v/>
      </c>
      <c r="G149" s="138" t="s">
        <v>230</v>
      </c>
      <c r="H149" s="138" t="s">
        <v>230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130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74</v>
      </c>
      <c r="E150" t="str">
        <f>+IFERROR(VLOOKUP(Fact_Impuestos[[#This Row],[Concepto Anterior]],Conceptos_Impuestos[#All],5,0),"")</f>
        <v>Cancelación NIT</v>
      </c>
      <c r="F150" t="str">
        <f ca="1">+IFERROR(VLOOKUP(Fact_Impuestos[[#This Row],[Concepto Anterior]],Conceptos_Impuestos[#All],7,0),"")</f>
        <v/>
      </c>
      <c r="G150" s="138" t="s">
        <v>230</v>
      </c>
      <c r="H150" s="138" t="s">
        <v>230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130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69</v>
      </c>
      <c r="E151" t="str">
        <f>+IFERROR(VLOOKUP(Fact_Impuestos[[#This Row],[Concepto Anterior]],Conceptos_Impuestos[#All],5,0),"")</f>
        <v>declaraciones tributarias</v>
      </c>
      <c r="F151" t="str">
        <f ca="1">+IFERROR(VLOOKUP(Fact_Impuestos[[#This Row],[Concepto Anterior]],Conceptos_Impuestos[#All],7,0),"")</f>
        <v/>
      </c>
      <c r="G151" s="138" t="s">
        <v>230</v>
      </c>
      <c r="H151" s="138" t="s">
        <v>230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130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70</v>
      </c>
      <c r="E152" t="str">
        <f>+IFERROR(VLOOKUP(Fact_Impuestos[[#This Row],[Concepto Anterior]],Conceptos_Impuestos[#All],5,0),"")</f>
        <v>información exógena</v>
      </c>
      <c r="F152" t="str">
        <f ca="1">+IFERROR(VLOOKUP(Fact_Impuestos[[#This Row],[Concepto Anterior]],Conceptos_Impuestos[#All],7,0),"")</f>
        <v/>
      </c>
      <c r="G152" s="138" t="s">
        <v>230</v>
      </c>
      <c r="H152" s="138" t="s">
        <v>230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130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195</v>
      </c>
      <c r="E153" t="str">
        <f>+IFERROR(VLOOKUP(Fact_Impuestos[[#This Row],[Concepto Anterior]],Conceptos_Impuestos[#All],5,0),"")</f>
        <v>Cantidad de personas naturales que atendemos</v>
      </c>
      <c r="F153" t="str">
        <f ca="1">+IFERROR(VLOOKUP(Fact_Impuestos[[#This Row],[Concepto Anterior]],Conceptos_Impuestos[#All],7,0),"")</f>
        <v/>
      </c>
      <c r="G153" s="138" t="s">
        <v>230</v>
      </c>
      <c r="H153" s="138" t="s">
        <v>230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130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144</v>
      </c>
      <c r="E154" t="str">
        <f>+IFERROR(VLOOKUP(Fact_Impuestos[[#This Row],[Concepto Anterior]],Conceptos_Impuestos[#All],5,0),"")</f>
        <v>Devolución saldos a favor en renta</v>
      </c>
      <c r="F154" t="str">
        <f ca="1">+IFERROR(VLOOKUP(Fact_Impuestos[[#This Row],[Concepto Anterior]],Conceptos_Impuestos[#All],7,0),"")</f>
        <v/>
      </c>
      <c r="G154" s="138" t="s">
        <v>230</v>
      </c>
      <c r="H154" s="138" t="s">
        <v>230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130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68</v>
      </c>
      <c r="E155" t="str">
        <f>+IFERROR(VLOOKUP(Fact_Impuestos[[#This Row],[Concepto Anterior]],Conceptos_Impuestos[#All],5,0),"")</f>
        <v>Numeraciones de facturación</v>
      </c>
      <c r="F155" t="str">
        <f ca="1">+IFERROR(VLOOKUP(Fact_Impuestos[[#This Row],[Concepto Anterior]],Conceptos_Impuestos[#All],7,0),"")</f>
        <v/>
      </c>
      <c r="G155" s="138" t="s">
        <v>230</v>
      </c>
      <c r="H155" s="138" t="s">
        <v>230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130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79</v>
      </c>
      <c r="E156" t="str">
        <f>+IFERROR(VLOOKUP(Fact_Impuestos[[#This Row],[Concepto Anterior]],Conceptos_Impuestos[#All],5,0),"")</f>
        <v>Numero de razones sociales atendidas directas</v>
      </c>
      <c r="F156" t="str">
        <f ca="1">+IFERROR(VLOOKUP(Fact_Impuestos[[#This Row],[Concepto Anterior]],Conceptos_Impuestos[#All],7,0),"")</f>
        <v/>
      </c>
      <c r="G156" s="138" t="s">
        <v>230</v>
      </c>
      <c r="H156" s="138" t="s">
        <v>230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130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186</v>
      </c>
      <c r="E157" t="str">
        <f>+IFERROR(VLOOKUP(Fact_Impuestos[[#This Row],[Concepto Anterior]],Conceptos_Impuestos[#All],5,0),"")</f>
        <v>Trámites, Aperturas y Cierres de Tiendas</v>
      </c>
      <c r="F157" t="str">
        <f ca="1">+IFERROR(VLOOKUP(Fact_Impuestos[[#This Row],[Concepto Anterior]],Conceptos_Impuestos[#All],7,0),"")</f>
        <v/>
      </c>
      <c r="G157" s="138" t="s">
        <v>230</v>
      </c>
      <c r="H157" s="138" t="s">
        <v>230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137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114</v>
      </c>
      <c r="E158" t="str">
        <f>+IFERROR(VLOOKUP(Fact_Impuestos[[#This Row],[Concepto Anterior]],Conceptos_Impuestos[#All],5,0),"")</f>
        <v xml:space="preserve">Fiscalizaciones DIAN - Municipios </v>
      </c>
      <c r="F158" t="str">
        <f ca="1">+IFERROR(VLOOKUP(Fact_Impuestos[[#This Row],[Concepto Anterior]],Conceptos_Impuestos[#All],7,0),"")</f>
        <v/>
      </c>
      <c r="G158" s="138" t="s">
        <v>230</v>
      </c>
      <c r="H158" s="138" t="s">
        <v>230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137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74</v>
      </c>
      <c r="E159" t="str">
        <f>+IFERROR(VLOOKUP(Fact_Impuestos[[#This Row],[Concepto Anterior]],Conceptos_Impuestos[#All],5,0),"")</f>
        <v>Cancelación NIT</v>
      </c>
      <c r="F159" t="str">
        <f ca="1">+IFERROR(VLOOKUP(Fact_Impuestos[[#This Row],[Concepto Anterior]],Conceptos_Impuestos[#All],7,0),"")</f>
        <v/>
      </c>
      <c r="G159" s="138" t="s">
        <v>230</v>
      </c>
      <c r="H159" s="138" t="s">
        <v>230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137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69</v>
      </c>
      <c r="E160" t="str">
        <f>+IFERROR(VLOOKUP(Fact_Impuestos[[#This Row],[Concepto Anterior]],Conceptos_Impuestos[#All],5,0),"")</f>
        <v>declaraciones tributarias</v>
      </c>
      <c r="F160" t="str">
        <f ca="1">+IFERROR(VLOOKUP(Fact_Impuestos[[#This Row],[Concepto Anterior]],Conceptos_Impuestos[#All],7,0),"")</f>
        <v/>
      </c>
      <c r="G160" s="138" t="s">
        <v>230</v>
      </c>
      <c r="H160" s="138" t="s">
        <v>230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137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70</v>
      </c>
      <c r="E161" t="str">
        <f>+IFERROR(VLOOKUP(Fact_Impuestos[[#This Row],[Concepto Anterior]],Conceptos_Impuestos[#All],5,0),"")</f>
        <v>información exógena</v>
      </c>
      <c r="F161" t="str">
        <f ca="1">+IFERROR(VLOOKUP(Fact_Impuestos[[#This Row],[Concepto Anterior]],Conceptos_Impuestos[#All],7,0),"")</f>
        <v/>
      </c>
      <c r="G161" s="138" t="s">
        <v>230</v>
      </c>
      <c r="H161" s="138" t="s">
        <v>230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137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195</v>
      </c>
      <c r="E162" t="str">
        <f>+IFERROR(VLOOKUP(Fact_Impuestos[[#This Row],[Concepto Anterior]],Conceptos_Impuestos[#All],5,0),"")</f>
        <v>Cantidad de personas naturales que atendemos</v>
      </c>
      <c r="F162" t="str">
        <f ca="1">+IFERROR(VLOOKUP(Fact_Impuestos[[#This Row],[Concepto Anterior]],Conceptos_Impuestos[#All],7,0),"")</f>
        <v/>
      </c>
      <c r="G162" s="138" t="s">
        <v>230</v>
      </c>
      <c r="H162" s="138" t="s">
        <v>230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137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144</v>
      </c>
      <c r="E163" t="str">
        <f>+IFERROR(VLOOKUP(Fact_Impuestos[[#This Row],[Concepto Anterior]],Conceptos_Impuestos[#All],5,0),"")</f>
        <v>Devolución saldos a favor en renta</v>
      </c>
      <c r="F163" t="str">
        <f ca="1">+IFERROR(VLOOKUP(Fact_Impuestos[[#This Row],[Concepto Anterior]],Conceptos_Impuestos[#All],7,0),"")</f>
        <v/>
      </c>
      <c r="G163" s="138" t="s">
        <v>230</v>
      </c>
      <c r="H163" s="138" t="s">
        <v>230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137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68</v>
      </c>
      <c r="E164" t="str">
        <f>+IFERROR(VLOOKUP(Fact_Impuestos[[#This Row],[Concepto Anterior]],Conceptos_Impuestos[#All],5,0),"")</f>
        <v>Numeraciones de facturación</v>
      </c>
      <c r="F164" t="str">
        <f ca="1">+IFERROR(VLOOKUP(Fact_Impuestos[[#This Row],[Concepto Anterior]],Conceptos_Impuestos[#All],7,0),"")</f>
        <v/>
      </c>
      <c r="G164" s="138" t="s">
        <v>230</v>
      </c>
      <c r="H164" s="138" t="s">
        <v>230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137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79</v>
      </c>
      <c r="E165" t="str">
        <f>+IFERROR(VLOOKUP(Fact_Impuestos[[#This Row],[Concepto Anterior]],Conceptos_Impuestos[#All],5,0),"")</f>
        <v>Numero de razones sociales atendidas directas</v>
      </c>
      <c r="F165" t="str">
        <f ca="1">+IFERROR(VLOOKUP(Fact_Impuestos[[#This Row],[Concepto Anterior]],Conceptos_Impuestos[#All],7,0),"")</f>
        <v/>
      </c>
      <c r="G165" s="138" t="s">
        <v>230</v>
      </c>
      <c r="H165" s="138" t="s">
        <v>230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137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186</v>
      </c>
      <c r="E166" t="str">
        <f>+IFERROR(VLOOKUP(Fact_Impuestos[[#This Row],[Concepto Anterior]],Conceptos_Impuestos[#All],5,0),"")</f>
        <v>Trámites, Aperturas y Cierres de Tiendas</v>
      </c>
      <c r="F166" t="str">
        <f ca="1">+IFERROR(VLOOKUP(Fact_Impuestos[[#This Row],[Concepto Anterior]],Conceptos_Impuestos[#All],7,0),"")</f>
        <v/>
      </c>
      <c r="G166" s="138" t="s">
        <v>230</v>
      </c>
      <c r="H166" s="138" t="s">
        <v>230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147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114</v>
      </c>
      <c r="E167" t="str">
        <f>+IFERROR(VLOOKUP(Fact_Impuestos[[#This Row],[Concepto Anterior]],Conceptos_Impuestos[#All],5,0),"")</f>
        <v xml:space="preserve">Fiscalizaciones DIAN - Municipios </v>
      </c>
      <c r="F167" t="str">
        <f ca="1">+IFERROR(VLOOKUP(Fact_Impuestos[[#This Row],[Concepto Anterior]],Conceptos_Impuestos[#All],7,0),"")</f>
        <v/>
      </c>
      <c r="G167" s="138" t="s">
        <v>230</v>
      </c>
      <c r="H167" s="138" t="s">
        <v>230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147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74</v>
      </c>
      <c r="E168" t="str">
        <f>+IFERROR(VLOOKUP(Fact_Impuestos[[#This Row],[Concepto Anterior]],Conceptos_Impuestos[#All],5,0),"")</f>
        <v>Cancelación NIT</v>
      </c>
      <c r="F168" t="str">
        <f ca="1">+IFERROR(VLOOKUP(Fact_Impuestos[[#This Row],[Concepto Anterior]],Conceptos_Impuestos[#All],7,0),"")</f>
        <v/>
      </c>
      <c r="G168" s="138" t="s">
        <v>230</v>
      </c>
      <c r="H168" s="138" t="s">
        <v>230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147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69</v>
      </c>
      <c r="E169" t="str">
        <f>+IFERROR(VLOOKUP(Fact_Impuestos[[#This Row],[Concepto Anterior]],Conceptos_Impuestos[#All],5,0),"")</f>
        <v>declaraciones tributarias</v>
      </c>
      <c r="F169" t="str">
        <f ca="1">+IFERROR(VLOOKUP(Fact_Impuestos[[#This Row],[Concepto Anterior]],Conceptos_Impuestos[#All],7,0),"")</f>
        <v/>
      </c>
      <c r="G169" s="138" t="s">
        <v>230</v>
      </c>
      <c r="H169" s="138" t="s">
        <v>230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147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70</v>
      </c>
      <c r="E170" t="str">
        <f>+IFERROR(VLOOKUP(Fact_Impuestos[[#This Row],[Concepto Anterior]],Conceptos_Impuestos[#All],5,0),"")</f>
        <v>información exógena</v>
      </c>
      <c r="F170" t="str">
        <f ca="1">+IFERROR(VLOOKUP(Fact_Impuestos[[#This Row],[Concepto Anterior]],Conceptos_Impuestos[#All],7,0),"")</f>
        <v/>
      </c>
      <c r="G170" s="138" t="s">
        <v>230</v>
      </c>
      <c r="H170" s="138" t="s">
        <v>230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147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195</v>
      </c>
      <c r="E171" t="str">
        <f>+IFERROR(VLOOKUP(Fact_Impuestos[[#This Row],[Concepto Anterior]],Conceptos_Impuestos[#All],5,0),"")</f>
        <v>Cantidad de personas naturales que atendemos</v>
      </c>
      <c r="F171" t="str">
        <f ca="1">+IFERROR(VLOOKUP(Fact_Impuestos[[#This Row],[Concepto Anterior]],Conceptos_Impuestos[#All],7,0),"")</f>
        <v/>
      </c>
      <c r="G171" s="138" t="s">
        <v>230</v>
      </c>
      <c r="H171" s="138" t="s">
        <v>230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147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144</v>
      </c>
      <c r="E172" t="str">
        <f>+IFERROR(VLOOKUP(Fact_Impuestos[[#This Row],[Concepto Anterior]],Conceptos_Impuestos[#All],5,0),"")</f>
        <v>Devolución saldos a favor en renta</v>
      </c>
      <c r="F172" t="str">
        <f ca="1">+IFERROR(VLOOKUP(Fact_Impuestos[[#This Row],[Concepto Anterior]],Conceptos_Impuestos[#All],7,0),"")</f>
        <v/>
      </c>
      <c r="G172" s="138" t="s">
        <v>230</v>
      </c>
      <c r="H172" s="138" t="s">
        <v>230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147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68</v>
      </c>
      <c r="E173" t="str">
        <f>+IFERROR(VLOOKUP(Fact_Impuestos[[#This Row],[Concepto Anterior]],Conceptos_Impuestos[#All],5,0),"")</f>
        <v>Numeraciones de facturación</v>
      </c>
      <c r="F173" t="str">
        <f ca="1">+IFERROR(VLOOKUP(Fact_Impuestos[[#This Row],[Concepto Anterior]],Conceptos_Impuestos[#All],7,0),"")</f>
        <v/>
      </c>
      <c r="G173" s="138" t="s">
        <v>230</v>
      </c>
      <c r="H173" s="138" t="s">
        <v>230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147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79</v>
      </c>
      <c r="E174" t="str">
        <f>+IFERROR(VLOOKUP(Fact_Impuestos[[#This Row],[Concepto Anterior]],Conceptos_Impuestos[#All],5,0),"")</f>
        <v>Numero de razones sociales atendidas directas</v>
      </c>
      <c r="F174" t="str">
        <f ca="1">+IFERROR(VLOOKUP(Fact_Impuestos[[#This Row],[Concepto Anterior]],Conceptos_Impuestos[#All],7,0),"")</f>
        <v/>
      </c>
      <c r="G174" s="138" t="s">
        <v>230</v>
      </c>
      <c r="H174" s="138" t="s">
        <v>230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147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186</v>
      </c>
      <c r="E175" t="str">
        <f>+IFERROR(VLOOKUP(Fact_Impuestos[[#This Row],[Concepto Anterior]],Conceptos_Impuestos[#All],5,0),"")</f>
        <v>Trámites, Aperturas y Cierres de Tiendas</v>
      </c>
      <c r="F175" t="str">
        <f ca="1">+IFERROR(VLOOKUP(Fact_Impuestos[[#This Row],[Concepto Anterior]],Conceptos_Impuestos[#All],7,0),"")</f>
        <v/>
      </c>
      <c r="G175" s="138" t="s">
        <v>230</v>
      </c>
      <c r="H175" s="138" t="s">
        <v>230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157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114</v>
      </c>
      <c r="E176" t="str">
        <f>+IFERROR(VLOOKUP(Fact_Impuestos[[#This Row],[Concepto Anterior]],Conceptos_Impuestos[#All],5,0),"")</f>
        <v xml:space="preserve">Fiscalizaciones DIAN - Municipios </v>
      </c>
      <c r="F176" t="str">
        <f ca="1">+IFERROR(VLOOKUP(Fact_Impuestos[[#This Row],[Concepto Anterior]],Conceptos_Impuestos[#All],7,0),"")</f>
        <v/>
      </c>
      <c r="G176" s="138" t="s">
        <v>230</v>
      </c>
      <c r="H176" s="138" t="s">
        <v>230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157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74</v>
      </c>
      <c r="E177" t="str">
        <f>+IFERROR(VLOOKUP(Fact_Impuestos[[#This Row],[Concepto Anterior]],Conceptos_Impuestos[#All],5,0),"")</f>
        <v>Cancelación NIT</v>
      </c>
      <c r="F177" t="str">
        <f ca="1">+IFERROR(VLOOKUP(Fact_Impuestos[[#This Row],[Concepto Anterior]],Conceptos_Impuestos[#All],7,0),"")</f>
        <v/>
      </c>
      <c r="G177" s="138" t="s">
        <v>230</v>
      </c>
      <c r="H177" s="138" t="s">
        <v>230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157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69</v>
      </c>
      <c r="E178" t="str">
        <f>+IFERROR(VLOOKUP(Fact_Impuestos[[#This Row],[Concepto Anterior]],Conceptos_Impuestos[#All],5,0),"")</f>
        <v>declaraciones tributarias</v>
      </c>
      <c r="F178" t="str">
        <f ca="1">+IFERROR(VLOOKUP(Fact_Impuestos[[#This Row],[Concepto Anterior]],Conceptos_Impuestos[#All],7,0),"")</f>
        <v/>
      </c>
      <c r="G178" s="138" t="s">
        <v>230</v>
      </c>
      <c r="H178" s="138" t="s">
        <v>230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157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70</v>
      </c>
      <c r="E179" t="str">
        <f>+IFERROR(VLOOKUP(Fact_Impuestos[[#This Row],[Concepto Anterior]],Conceptos_Impuestos[#All],5,0),"")</f>
        <v>información exógena</v>
      </c>
      <c r="F179" t="str">
        <f ca="1">+IFERROR(VLOOKUP(Fact_Impuestos[[#This Row],[Concepto Anterior]],Conceptos_Impuestos[#All],7,0),"")</f>
        <v/>
      </c>
      <c r="G179" s="138" t="s">
        <v>230</v>
      </c>
      <c r="H179" s="138" t="s">
        <v>230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157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195</v>
      </c>
      <c r="E180" t="str">
        <f>+IFERROR(VLOOKUP(Fact_Impuestos[[#This Row],[Concepto Anterior]],Conceptos_Impuestos[#All],5,0),"")</f>
        <v>Cantidad de personas naturales que atendemos</v>
      </c>
      <c r="F180" t="str">
        <f ca="1">+IFERROR(VLOOKUP(Fact_Impuestos[[#This Row],[Concepto Anterior]],Conceptos_Impuestos[#All],7,0),"")</f>
        <v/>
      </c>
      <c r="G180" s="138" t="s">
        <v>230</v>
      </c>
      <c r="H180" s="138" t="s">
        <v>230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157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144</v>
      </c>
      <c r="E181" t="str">
        <f>+IFERROR(VLOOKUP(Fact_Impuestos[[#This Row],[Concepto Anterior]],Conceptos_Impuestos[#All],5,0),"")</f>
        <v>Devolución saldos a favor en renta</v>
      </c>
      <c r="F181" t="str">
        <f ca="1">+IFERROR(VLOOKUP(Fact_Impuestos[[#This Row],[Concepto Anterior]],Conceptos_Impuestos[#All],7,0),"")</f>
        <v/>
      </c>
      <c r="G181" s="138" t="s">
        <v>230</v>
      </c>
      <c r="H181" s="138" t="s">
        <v>230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157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68</v>
      </c>
      <c r="E182" t="str">
        <f>+IFERROR(VLOOKUP(Fact_Impuestos[[#This Row],[Concepto Anterior]],Conceptos_Impuestos[#All],5,0),"")</f>
        <v>Numeraciones de facturación</v>
      </c>
      <c r="F182" t="str">
        <f ca="1">+IFERROR(VLOOKUP(Fact_Impuestos[[#This Row],[Concepto Anterior]],Conceptos_Impuestos[#All],7,0),"")</f>
        <v/>
      </c>
      <c r="G182" s="138" t="s">
        <v>230</v>
      </c>
      <c r="H182" s="138" t="s">
        <v>230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157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79</v>
      </c>
      <c r="E183" t="str">
        <f>+IFERROR(VLOOKUP(Fact_Impuestos[[#This Row],[Concepto Anterior]],Conceptos_Impuestos[#All],5,0),"")</f>
        <v>Numero de razones sociales atendidas directas</v>
      </c>
      <c r="F183" t="str">
        <f ca="1">+IFERROR(VLOOKUP(Fact_Impuestos[[#This Row],[Concepto Anterior]],Conceptos_Impuestos[#All],7,0),"")</f>
        <v/>
      </c>
      <c r="G183" s="138" t="s">
        <v>230</v>
      </c>
      <c r="H183" s="138" t="s">
        <v>230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157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186</v>
      </c>
      <c r="E184" t="str">
        <f>+IFERROR(VLOOKUP(Fact_Impuestos[[#This Row],[Concepto Anterior]],Conceptos_Impuestos[#All],5,0),"")</f>
        <v>Trámites, Aperturas y Cierres de Tiendas</v>
      </c>
      <c r="F184" t="str">
        <f ca="1">+IFERROR(VLOOKUP(Fact_Impuestos[[#This Row],[Concepto Anterior]],Conceptos_Impuestos[#All],7,0),"")</f>
        <v/>
      </c>
      <c r="G184" s="138" t="s">
        <v>230</v>
      </c>
      <c r="H184" s="138" t="s">
        <v>230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165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114</v>
      </c>
      <c r="E185" t="str">
        <f>+IFERROR(VLOOKUP(Fact_Impuestos[[#This Row],[Concepto Anterior]],Conceptos_Impuestos[#All],5,0),"")</f>
        <v xml:space="preserve">Fiscalizaciones DIAN - Municipios </v>
      </c>
      <c r="F185" t="str">
        <f ca="1">+IFERROR(VLOOKUP(Fact_Impuestos[[#This Row],[Concepto Anterior]],Conceptos_Impuestos[#All],7,0),"")</f>
        <v/>
      </c>
      <c r="G185" s="138" t="s">
        <v>230</v>
      </c>
      <c r="H185" s="138" t="s">
        <v>230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165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74</v>
      </c>
      <c r="E186" t="str">
        <f>+IFERROR(VLOOKUP(Fact_Impuestos[[#This Row],[Concepto Anterior]],Conceptos_Impuestos[#All],5,0),"")</f>
        <v>Cancelación NIT</v>
      </c>
      <c r="F186" t="str">
        <f ca="1">+IFERROR(VLOOKUP(Fact_Impuestos[[#This Row],[Concepto Anterior]],Conceptos_Impuestos[#All],7,0),"")</f>
        <v/>
      </c>
      <c r="G186" s="138" t="s">
        <v>230</v>
      </c>
      <c r="H186" s="138" t="s">
        <v>230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165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69</v>
      </c>
      <c r="E187" t="str">
        <f>+IFERROR(VLOOKUP(Fact_Impuestos[[#This Row],[Concepto Anterior]],Conceptos_Impuestos[#All],5,0),"")</f>
        <v>declaraciones tributarias</v>
      </c>
      <c r="F187" t="str">
        <f ca="1">+IFERROR(VLOOKUP(Fact_Impuestos[[#This Row],[Concepto Anterior]],Conceptos_Impuestos[#All],7,0),"")</f>
        <v/>
      </c>
      <c r="G187" s="138" t="s">
        <v>230</v>
      </c>
      <c r="H187" s="138" t="s">
        <v>230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165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70</v>
      </c>
      <c r="E188" t="str">
        <f>+IFERROR(VLOOKUP(Fact_Impuestos[[#This Row],[Concepto Anterior]],Conceptos_Impuestos[#All],5,0),"")</f>
        <v>información exógena</v>
      </c>
      <c r="F188" t="str">
        <f ca="1">+IFERROR(VLOOKUP(Fact_Impuestos[[#This Row],[Concepto Anterior]],Conceptos_Impuestos[#All],7,0),"")</f>
        <v/>
      </c>
      <c r="G188" s="138" t="s">
        <v>230</v>
      </c>
      <c r="H188" s="138" t="s">
        <v>230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165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195</v>
      </c>
      <c r="E189" t="str">
        <f>+IFERROR(VLOOKUP(Fact_Impuestos[[#This Row],[Concepto Anterior]],Conceptos_Impuestos[#All],5,0),"")</f>
        <v>Cantidad de personas naturales que atendemos</v>
      </c>
      <c r="F189" t="str">
        <f ca="1">+IFERROR(VLOOKUP(Fact_Impuestos[[#This Row],[Concepto Anterior]],Conceptos_Impuestos[#All],7,0),"")</f>
        <v/>
      </c>
      <c r="G189" s="138" t="s">
        <v>230</v>
      </c>
      <c r="H189" s="138" t="s">
        <v>230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165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144</v>
      </c>
      <c r="E190" t="str">
        <f>+IFERROR(VLOOKUP(Fact_Impuestos[[#This Row],[Concepto Anterior]],Conceptos_Impuestos[#All],5,0),"")</f>
        <v>Devolución saldos a favor en renta</v>
      </c>
      <c r="F190" t="str">
        <f ca="1">+IFERROR(VLOOKUP(Fact_Impuestos[[#This Row],[Concepto Anterior]],Conceptos_Impuestos[#All],7,0),"")</f>
        <v/>
      </c>
      <c r="G190" s="138" t="s">
        <v>230</v>
      </c>
      <c r="H190" s="138" t="s">
        <v>230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165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68</v>
      </c>
      <c r="E191" t="str">
        <f>+IFERROR(VLOOKUP(Fact_Impuestos[[#This Row],[Concepto Anterior]],Conceptos_Impuestos[#All],5,0),"")</f>
        <v>Numeraciones de facturación</v>
      </c>
      <c r="F191" t="str">
        <f ca="1">+IFERROR(VLOOKUP(Fact_Impuestos[[#This Row],[Concepto Anterior]],Conceptos_Impuestos[#All],7,0),"")</f>
        <v/>
      </c>
      <c r="G191" s="138" t="s">
        <v>230</v>
      </c>
      <c r="H191" s="138" t="s">
        <v>230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165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79</v>
      </c>
      <c r="E192" t="str">
        <f>+IFERROR(VLOOKUP(Fact_Impuestos[[#This Row],[Concepto Anterior]],Conceptos_Impuestos[#All],5,0),"")</f>
        <v>Numero de razones sociales atendidas directas</v>
      </c>
      <c r="F192" t="str">
        <f ca="1">+IFERROR(VLOOKUP(Fact_Impuestos[[#This Row],[Concepto Anterior]],Conceptos_Impuestos[#All],7,0),"")</f>
        <v/>
      </c>
      <c r="G192" s="138" t="s">
        <v>230</v>
      </c>
      <c r="H192" s="138" t="s">
        <v>230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165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186</v>
      </c>
      <c r="E193" t="str">
        <f>+IFERROR(VLOOKUP(Fact_Impuestos[[#This Row],[Concepto Anterior]],Conceptos_Impuestos[#All],5,0),"")</f>
        <v>Trámites, Aperturas y Cierres de Tiendas</v>
      </c>
      <c r="F193" t="str">
        <f ca="1">+IFERROR(VLOOKUP(Fact_Impuestos[[#This Row],[Concepto Anterior]],Conceptos_Impuestos[#All],7,0),"")</f>
        <v/>
      </c>
      <c r="G193" s="138" t="s">
        <v>230</v>
      </c>
      <c r="H193" s="138" t="s">
        <v>230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114</v>
      </c>
      <c r="E194" t="str">
        <f>+IFERROR(VLOOKUP(Fact_Impuestos[[#This Row],[Concepto Anterior]],Conceptos_Impuestos[#All],5,0),"")</f>
        <v xml:space="preserve">Fiscalizaciones DIAN - Municipios </v>
      </c>
      <c r="F194" t="str">
        <f ca="1">+IFERROR(VLOOKUP(Fact_Impuestos[[#This Row],[Concepto Anterior]],Conceptos_Impuestos[#All],7,0),"")</f>
        <v/>
      </c>
      <c r="G194" s="138" t="s">
        <v>230</v>
      </c>
      <c r="H194" s="138" t="s">
        <v>230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74</v>
      </c>
      <c r="E195" t="str">
        <f>+IFERROR(VLOOKUP(Fact_Impuestos[[#This Row],[Concepto Anterior]],Conceptos_Impuestos[#All],5,0),"")</f>
        <v>Cancelación NIT</v>
      </c>
      <c r="F195" t="str">
        <f ca="1">+IFERROR(VLOOKUP(Fact_Impuestos[[#This Row],[Concepto Anterior]],Conceptos_Impuestos[#All],7,0),"")</f>
        <v/>
      </c>
      <c r="G195" s="138" t="s">
        <v>230</v>
      </c>
      <c r="H195" s="138" t="s">
        <v>230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69</v>
      </c>
      <c r="E196" t="str">
        <f>+IFERROR(VLOOKUP(Fact_Impuestos[[#This Row],[Concepto Anterior]],Conceptos_Impuestos[#All],5,0),"")</f>
        <v>declaraciones tributarias</v>
      </c>
      <c r="F196" t="str">
        <f ca="1">+IFERROR(VLOOKUP(Fact_Impuestos[[#This Row],[Concepto Anterior]],Conceptos_Impuestos[#All],7,0),"")</f>
        <v/>
      </c>
      <c r="G196" s="138" t="s">
        <v>230</v>
      </c>
      <c r="H196" s="138" t="s">
        <v>230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70</v>
      </c>
      <c r="E197" t="str">
        <f>+IFERROR(VLOOKUP(Fact_Impuestos[[#This Row],[Concepto Anterior]],Conceptos_Impuestos[#All],5,0),"")</f>
        <v>información exógena</v>
      </c>
      <c r="F197" t="str">
        <f ca="1">+IFERROR(VLOOKUP(Fact_Impuestos[[#This Row],[Concepto Anterior]],Conceptos_Impuestos[#All],7,0),"")</f>
        <v/>
      </c>
      <c r="G197" s="138" t="s">
        <v>230</v>
      </c>
      <c r="H197" s="138" t="s">
        <v>230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195</v>
      </c>
      <c r="E198" t="str">
        <f>+IFERROR(VLOOKUP(Fact_Impuestos[[#This Row],[Concepto Anterior]],Conceptos_Impuestos[#All],5,0),"")</f>
        <v>Cantidad de personas naturales que atendemos</v>
      </c>
      <c r="F198" t="str">
        <f ca="1">+IFERROR(VLOOKUP(Fact_Impuestos[[#This Row],[Concepto Anterior]],Conceptos_Impuestos[#All],7,0),"")</f>
        <v/>
      </c>
      <c r="G198" s="138" t="s">
        <v>230</v>
      </c>
      <c r="H198" s="138" t="s">
        <v>230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144</v>
      </c>
      <c r="E199" t="str">
        <f>+IFERROR(VLOOKUP(Fact_Impuestos[[#This Row],[Concepto Anterior]],Conceptos_Impuestos[#All],5,0),"")</f>
        <v>Devolución saldos a favor en renta</v>
      </c>
      <c r="F199" t="str">
        <f ca="1">+IFERROR(VLOOKUP(Fact_Impuestos[[#This Row],[Concepto Anterior]],Conceptos_Impuestos[#All],7,0),"")</f>
        <v/>
      </c>
      <c r="G199" s="138" t="s">
        <v>230</v>
      </c>
      <c r="H199" s="138" t="s">
        <v>230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68</v>
      </c>
      <c r="E200" t="str">
        <f>+IFERROR(VLOOKUP(Fact_Impuestos[[#This Row],[Concepto Anterior]],Conceptos_Impuestos[#All],5,0),"")</f>
        <v>Numeraciones de facturación</v>
      </c>
      <c r="F200" t="str">
        <f ca="1">+IFERROR(VLOOKUP(Fact_Impuestos[[#This Row],[Concepto Anterior]],Conceptos_Impuestos[#All],7,0),"")</f>
        <v/>
      </c>
      <c r="G200" s="138" t="s">
        <v>230</v>
      </c>
      <c r="H200" s="138" t="s">
        <v>230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79</v>
      </c>
      <c r="E201" t="str">
        <f>+IFERROR(VLOOKUP(Fact_Impuestos[[#This Row],[Concepto Anterior]],Conceptos_Impuestos[#All],5,0),"")</f>
        <v>Numero de razones sociales atendidas directas</v>
      </c>
      <c r="F201" t="str">
        <f ca="1">+IFERROR(VLOOKUP(Fact_Impuestos[[#This Row],[Concepto Anterior]],Conceptos_Impuestos[#All],7,0),"")</f>
        <v/>
      </c>
      <c r="G201" s="138" t="s">
        <v>230</v>
      </c>
      <c r="H201" s="138" t="s">
        <v>230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186</v>
      </c>
      <c r="E202" t="str">
        <f>+IFERROR(VLOOKUP(Fact_Impuestos[[#This Row],[Concepto Anterior]],Conceptos_Impuestos[#All],5,0),"")</f>
        <v>Trámites, Aperturas y Cierres de Tiendas</v>
      </c>
      <c r="F202" t="str">
        <f ca="1">+IFERROR(VLOOKUP(Fact_Impuestos[[#This Row],[Concepto Anterior]],Conceptos_Impuestos[#All],7,0),"")</f>
        <v/>
      </c>
      <c r="G202" s="138" t="s">
        <v>230</v>
      </c>
      <c r="H202" s="138" t="s">
        <v>230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 customWidth="1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 customWidth="1"/>
    <col min="11" max="11" width="10.81640625" style="138" customWidth="1"/>
  </cols>
  <sheetData>
    <row r="1" spans="1:11" x14ac:dyDescent="0.35">
      <c r="A1" s="140" t="s">
        <v>361</v>
      </c>
      <c r="B1" s="140" t="s">
        <v>362</v>
      </c>
      <c r="C1" s="143" t="s">
        <v>363</v>
      </c>
      <c r="D1" s="140" t="s">
        <v>97</v>
      </c>
      <c r="E1" s="143" t="s">
        <v>99</v>
      </c>
      <c r="F1" s="143" t="s">
        <v>0</v>
      </c>
      <c r="G1" s="140" t="s">
        <v>364</v>
      </c>
      <c r="H1" s="140" t="s">
        <v>365</v>
      </c>
      <c r="I1" s="143" t="s">
        <v>2</v>
      </c>
      <c r="J1" s="143" t="s">
        <v>3</v>
      </c>
      <c r="K1" s="141" t="s">
        <v>366</v>
      </c>
    </row>
    <row r="2" spans="1:11" x14ac:dyDescent="0.35">
      <c r="A2" s="138">
        <v>2024</v>
      </c>
      <c r="B2" s="138" t="s">
        <v>105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82</v>
      </c>
      <c r="E2" t="str">
        <f>+IFERROR(VLOOKUP(Fact_Cumplimiento[[#This Row],[Concepto Anterior]],Conceptos_Cumplimiento[#All],5,0),"")</f>
        <v>Comunicados para generación de cultura de riesgos</v>
      </c>
      <c r="F2" t="str">
        <f ca="1">+IFERROR(VLOOKUP(Fact_Cumplimiento[[#This Row],[Concepto Anterior]],Conceptos_Cumplimiento[#All],7,0),"")</f>
        <v/>
      </c>
      <c r="G2" s="138" t="s">
        <v>230</v>
      </c>
      <c r="H2" s="138" t="s">
        <v>230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105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81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 ca="1">+IFERROR(VLOOKUP(Fact_Cumplimiento[[#This Row],[Concepto Anterior]],Conceptos_Cumplimiento[#All],7,0),"")</f>
        <v/>
      </c>
      <c r="G3" s="138" t="s">
        <v>230</v>
      </c>
      <c r="H3" s="138" t="s">
        <v>230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105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79</v>
      </c>
      <c r="E4" t="str">
        <f>+IFERROR(VLOOKUP(Fact_Cumplimiento[[#This Row],[Concepto Anterior]],Conceptos_Cumplimiento[#All],5,0),"")</f>
        <v>Numero de razones sociales atendidas directas</v>
      </c>
      <c r="F4" t="str">
        <f ca="1">+IFERROR(VLOOKUP(Fact_Cumplimiento[[#This Row],[Concepto Anterior]],Conceptos_Cumplimiento[#All],7,0),"")</f>
        <v/>
      </c>
      <c r="G4" s="138" t="s">
        <v>230</v>
      </c>
      <c r="H4" s="138" t="s">
        <v>230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105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80</v>
      </c>
      <c r="E5" t="str">
        <f>+IFERROR(VLOOKUP(Fact_Cumplimiento[[#This Row],[Concepto Anterior]],Conceptos_Cumplimiento[#All],5,0),"")</f>
        <v>Numero de razones sociales atendidas indirectas</v>
      </c>
      <c r="F5" t="str">
        <f ca="1">+IFERROR(VLOOKUP(Fact_Cumplimiento[[#This Row],[Concepto Anterior]],Conceptos_Cumplimiento[#All],7,0),"")</f>
        <v/>
      </c>
      <c r="G5" s="138" t="s">
        <v>230</v>
      </c>
      <c r="H5" s="138" t="s">
        <v>230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105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145</v>
      </c>
      <c r="E6" t="str">
        <f>+IFERROR(VLOOKUP(Fact_Cumplimiento[[#This Row],[Concepto Anterior]],Conceptos_Cumplimiento[#All],5,0),"")</f>
        <v>Numeros de terceros evaluados</v>
      </c>
      <c r="F6" t="str">
        <f ca="1">+IFERROR(VLOOKUP(Fact_Cumplimiento[[#This Row],[Concepto Anterior]],Conceptos_Cumplimiento[#All],7,0),"")</f>
        <v/>
      </c>
      <c r="G6" s="138" t="s">
        <v>230</v>
      </c>
      <c r="H6" s="138" t="s">
        <v>230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105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155</v>
      </c>
      <c r="E7" t="str">
        <f>+IFERROR(VLOOKUP(Fact_Cumplimiento[[#This Row],[Concepto Anterior]],Conceptos_Cumplimiento[#All],5,0),"")</f>
        <v>Público Capacitado</v>
      </c>
      <c r="F7" t="str">
        <f ca="1">+IFERROR(VLOOKUP(Fact_Cumplimiento[[#This Row],[Concepto Anterior]],Conceptos_Cumplimiento[#All],7,0),"")</f>
        <v/>
      </c>
      <c r="G7" s="138" t="s">
        <v>230</v>
      </c>
      <c r="H7" s="138" t="s">
        <v>230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105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84</v>
      </c>
      <c r="E8" t="str">
        <f>+IFERROR(VLOOKUP(Fact_Cumplimiento[[#This Row],[Concepto Anterior]],Conceptos_Cumplimiento[#All],5,0),"")</f>
        <v>Registro Clientes Mayoristas​</v>
      </c>
      <c r="F8" t="str">
        <f ca="1">+IFERROR(VLOOKUP(Fact_Cumplimiento[[#This Row],[Concepto Anterior]],Conceptos_Cumplimiento[#All],7,0),"")</f>
        <v/>
      </c>
      <c r="G8" s="138" t="s">
        <v>230</v>
      </c>
      <c r="H8" s="138" t="s">
        <v>230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117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82</v>
      </c>
      <c r="E9" t="str">
        <f>+IFERROR(VLOOKUP(Fact_Cumplimiento[[#This Row],[Concepto Anterior]],Conceptos_Cumplimiento[#All],5,0),"")</f>
        <v>Comunicados para generación de cultura de riesgos</v>
      </c>
      <c r="F9" t="str">
        <f ca="1">+IFERROR(VLOOKUP(Fact_Cumplimiento[[#This Row],[Concepto Anterior]],Conceptos_Cumplimiento[#All],7,0),"")</f>
        <v/>
      </c>
      <c r="G9" s="138" t="s">
        <v>230</v>
      </c>
      <c r="H9" s="138" t="s">
        <v>230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117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81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 ca="1">+IFERROR(VLOOKUP(Fact_Cumplimiento[[#This Row],[Concepto Anterior]],Conceptos_Cumplimiento[#All],7,0),"")</f>
        <v/>
      </c>
      <c r="G10" s="138" t="s">
        <v>230</v>
      </c>
      <c r="H10" s="138" t="s">
        <v>230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117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79</v>
      </c>
      <c r="E11" t="str">
        <f>+IFERROR(VLOOKUP(Fact_Cumplimiento[[#This Row],[Concepto Anterior]],Conceptos_Cumplimiento[#All],5,0),"")</f>
        <v>Numero de razones sociales atendidas directas</v>
      </c>
      <c r="F11" t="str">
        <f ca="1">+IFERROR(VLOOKUP(Fact_Cumplimiento[[#This Row],[Concepto Anterior]],Conceptos_Cumplimiento[#All],7,0),"")</f>
        <v/>
      </c>
      <c r="G11" s="138" t="s">
        <v>230</v>
      </c>
      <c r="H11" s="138" t="s">
        <v>230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117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80</v>
      </c>
      <c r="E12" t="str">
        <f>+IFERROR(VLOOKUP(Fact_Cumplimiento[[#This Row],[Concepto Anterior]],Conceptos_Cumplimiento[#All],5,0),"")</f>
        <v>Numero de razones sociales atendidas indirectas</v>
      </c>
      <c r="F12" t="str">
        <f ca="1">+IFERROR(VLOOKUP(Fact_Cumplimiento[[#This Row],[Concepto Anterior]],Conceptos_Cumplimiento[#All],7,0),"")</f>
        <v/>
      </c>
      <c r="G12" s="138" t="s">
        <v>230</v>
      </c>
      <c r="H12" s="138" t="s">
        <v>230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117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145</v>
      </c>
      <c r="E13" t="str">
        <f>+IFERROR(VLOOKUP(Fact_Cumplimiento[[#This Row],[Concepto Anterior]],Conceptos_Cumplimiento[#All],5,0),"")</f>
        <v>Numeros de terceros evaluados</v>
      </c>
      <c r="F13" t="str">
        <f ca="1">+IFERROR(VLOOKUP(Fact_Cumplimiento[[#This Row],[Concepto Anterior]],Conceptos_Cumplimiento[#All],7,0),"")</f>
        <v/>
      </c>
      <c r="G13" s="138" t="s">
        <v>230</v>
      </c>
      <c r="H13" s="138" t="s">
        <v>230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117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155</v>
      </c>
      <c r="E14" t="str">
        <f>+IFERROR(VLOOKUP(Fact_Cumplimiento[[#This Row],[Concepto Anterior]],Conceptos_Cumplimiento[#All],5,0),"")</f>
        <v>Público Capacitado</v>
      </c>
      <c r="F14" t="str">
        <f ca="1">+IFERROR(VLOOKUP(Fact_Cumplimiento[[#This Row],[Concepto Anterior]],Conceptos_Cumplimiento[#All],7,0),"")</f>
        <v/>
      </c>
      <c r="G14" s="138" t="s">
        <v>230</v>
      </c>
      <c r="H14" s="138" t="s">
        <v>230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117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84</v>
      </c>
      <c r="E15" t="str">
        <f>+IFERROR(VLOOKUP(Fact_Cumplimiento[[#This Row],[Concepto Anterior]],Conceptos_Cumplimiento[#All],5,0),"")</f>
        <v>Registro Clientes Mayoristas​</v>
      </c>
      <c r="F15" t="str">
        <f ca="1">+IFERROR(VLOOKUP(Fact_Cumplimiento[[#This Row],[Concepto Anterior]],Conceptos_Cumplimiento[#All],7,0),"")</f>
        <v/>
      </c>
      <c r="G15" s="138" t="s">
        <v>230</v>
      </c>
      <c r="H15" s="138" t="s">
        <v>230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123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82</v>
      </c>
      <c r="E16" t="str">
        <f>+IFERROR(VLOOKUP(Fact_Cumplimiento[[#This Row],[Concepto Anterior]],Conceptos_Cumplimiento[#All],5,0),"")</f>
        <v>Comunicados para generación de cultura de riesgos</v>
      </c>
      <c r="F16" t="str">
        <f ca="1">+IFERROR(VLOOKUP(Fact_Cumplimiento[[#This Row],[Concepto Anterior]],Conceptos_Cumplimiento[#All],7,0),"")</f>
        <v/>
      </c>
      <c r="G16" s="138" t="s">
        <v>230</v>
      </c>
      <c r="H16" s="138" t="s">
        <v>230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123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81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 ca="1">+IFERROR(VLOOKUP(Fact_Cumplimiento[[#This Row],[Concepto Anterior]],Conceptos_Cumplimiento[#All],7,0),"")</f>
        <v/>
      </c>
      <c r="G17" s="138" t="s">
        <v>230</v>
      </c>
      <c r="H17" s="138" t="s">
        <v>230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123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79</v>
      </c>
      <c r="E18" t="str">
        <f>+IFERROR(VLOOKUP(Fact_Cumplimiento[[#This Row],[Concepto Anterior]],Conceptos_Cumplimiento[#All],5,0),"")</f>
        <v>Numero de razones sociales atendidas directas</v>
      </c>
      <c r="F18" t="str">
        <f ca="1">+IFERROR(VLOOKUP(Fact_Cumplimiento[[#This Row],[Concepto Anterior]],Conceptos_Cumplimiento[#All],7,0),"")</f>
        <v/>
      </c>
      <c r="G18" s="138" t="s">
        <v>230</v>
      </c>
      <c r="H18" s="138" t="s">
        <v>230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123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80</v>
      </c>
      <c r="E19" t="str">
        <f>+IFERROR(VLOOKUP(Fact_Cumplimiento[[#This Row],[Concepto Anterior]],Conceptos_Cumplimiento[#All],5,0),"")</f>
        <v>Numero de razones sociales atendidas indirectas</v>
      </c>
      <c r="F19" t="str">
        <f ca="1">+IFERROR(VLOOKUP(Fact_Cumplimiento[[#This Row],[Concepto Anterior]],Conceptos_Cumplimiento[#All],7,0),"")</f>
        <v/>
      </c>
      <c r="G19" s="138" t="s">
        <v>230</v>
      </c>
      <c r="H19" s="138" t="s">
        <v>230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123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145</v>
      </c>
      <c r="E20" t="str">
        <f>+IFERROR(VLOOKUP(Fact_Cumplimiento[[#This Row],[Concepto Anterior]],Conceptos_Cumplimiento[#All],5,0),"")</f>
        <v>Numeros de terceros evaluados</v>
      </c>
      <c r="F20" t="str">
        <f ca="1">+IFERROR(VLOOKUP(Fact_Cumplimiento[[#This Row],[Concepto Anterior]],Conceptos_Cumplimiento[#All],7,0),"")</f>
        <v/>
      </c>
      <c r="G20" s="138" t="s">
        <v>230</v>
      </c>
      <c r="H20" s="138" t="s">
        <v>230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123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155</v>
      </c>
      <c r="E21" t="str">
        <f>+IFERROR(VLOOKUP(Fact_Cumplimiento[[#This Row],[Concepto Anterior]],Conceptos_Cumplimiento[#All],5,0),"")</f>
        <v>Público Capacitado</v>
      </c>
      <c r="F21" t="str">
        <f ca="1">+IFERROR(VLOOKUP(Fact_Cumplimiento[[#This Row],[Concepto Anterior]],Conceptos_Cumplimiento[#All],7,0),"")</f>
        <v/>
      </c>
      <c r="G21" s="138" t="s">
        <v>230</v>
      </c>
      <c r="H21" s="138" t="s">
        <v>230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123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84</v>
      </c>
      <c r="E22" t="str">
        <f>+IFERROR(VLOOKUP(Fact_Cumplimiento[[#This Row],[Concepto Anterior]],Conceptos_Cumplimiento[#All],5,0),"")</f>
        <v>Registro Clientes Mayoristas​</v>
      </c>
      <c r="F22" t="str">
        <f ca="1">+IFERROR(VLOOKUP(Fact_Cumplimiento[[#This Row],[Concepto Anterior]],Conceptos_Cumplimiento[#All],7,0),"")</f>
        <v/>
      </c>
      <c r="G22" s="138" t="s">
        <v>230</v>
      </c>
      <c r="H22" s="138" t="s">
        <v>230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130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82</v>
      </c>
      <c r="E23" t="str">
        <f>+IFERROR(VLOOKUP(Fact_Cumplimiento[[#This Row],[Concepto Anterior]],Conceptos_Cumplimiento[#All],5,0),"")</f>
        <v>Comunicados para generación de cultura de riesgos</v>
      </c>
      <c r="F23" t="str">
        <f ca="1">+IFERROR(VLOOKUP(Fact_Cumplimiento[[#This Row],[Concepto Anterior]],Conceptos_Cumplimiento[#All],7,0),"")</f>
        <v/>
      </c>
      <c r="G23" s="138" t="s">
        <v>230</v>
      </c>
      <c r="H23" s="138" t="s">
        <v>230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130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81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 ca="1">+IFERROR(VLOOKUP(Fact_Cumplimiento[[#This Row],[Concepto Anterior]],Conceptos_Cumplimiento[#All],7,0),"")</f>
        <v/>
      </c>
      <c r="G24" s="138" t="s">
        <v>230</v>
      </c>
      <c r="H24" s="138" t="s">
        <v>230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130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79</v>
      </c>
      <c r="E25" t="str">
        <f>+IFERROR(VLOOKUP(Fact_Cumplimiento[[#This Row],[Concepto Anterior]],Conceptos_Cumplimiento[#All],5,0),"")</f>
        <v>Numero de razones sociales atendidas directas</v>
      </c>
      <c r="F25" t="str">
        <f ca="1">+IFERROR(VLOOKUP(Fact_Cumplimiento[[#This Row],[Concepto Anterior]],Conceptos_Cumplimiento[#All],7,0),"")</f>
        <v/>
      </c>
      <c r="G25" s="138" t="s">
        <v>230</v>
      </c>
      <c r="H25" s="138" t="s">
        <v>230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130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80</v>
      </c>
      <c r="E26" t="str">
        <f>+IFERROR(VLOOKUP(Fact_Cumplimiento[[#This Row],[Concepto Anterior]],Conceptos_Cumplimiento[#All],5,0),"")</f>
        <v>Numero de razones sociales atendidas indirectas</v>
      </c>
      <c r="F26" t="str">
        <f ca="1">+IFERROR(VLOOKUP(Fact_Cumplimiento[[#This Row],[Concepto Anterior]],Conceptos_Cumplimiento[#All],7,0),"")</f>
        <v/>
      </c>
      <c r="G26" s="138" t="s">
        <v>230</v>
      </c>
      <c r="H26" s="138" t="s">
        <v>230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130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145</v>
      </c>
      <c r="E27" t="str">
        <f>+IFERROR(VLOOKUP(Fact_Cumplimiento[[#This Row],[Concepto Anterior]],Conceptos_Cumplimiento[#All],5,0),"")</f>
        <v>Numeros de terceros evaluados</v>
      </c>
      <c r="F27" t="str">
        <f ca="1">+IFERROR(VLOOKUP(Fact_Cumplimiento[[#This Row],[Concepto Anterior]],Conceptos_Cumplimiento[#All],7,0),"")</f>
        <v/>
      </c>
      <c r="G27" s="138" t="s">
        <v>230</v>
      </c>
      <c r="H27" s="138" t="s">
        <v>230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130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155</v>
      </c>
      <c r="E28" t="str">
        <f>+IFERROR(VLOOKUP(Fact_Cumplimiento[[#This Row],[Concepto Anterior]],Conceptos_Cumplimiento[#All],5,0),"")</f>
        <v>Público Capacitado</v>
      </c>
      <c r="F28" t="str">
        <f ca="1">+IFERROR(VLOOKUP(Fact_Cumplimiento[[#This Row],[Concepto Anterior]],Conceptos_Cumplimiento[#All],7,0),"")</f>
        <v/>
      </c>
      <c r="G28" s="138" t="s">
        <v>230</v>
      </c>
      <c r="H28" s="138" t="s">
        <v>230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130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84</v>
      </c>
      <c r="E29" t="str">
        <f>+IFERROR(VLOOKUP(Fact_Cumplimiento[[#This Row],[Concepto Anterior]],Conceptos_Cumplimiento[#All],5,0),"")</f>
        <v>Registro Clientes Mayoristas​</v>
      </c>
      <c r="F29" t="str">
        <f ca="1">+IFERROR(VLOOKUP(Fact_Cumplimiento[[#This Row],[Concepto Anterior]],Conceptos_Cumplimiento[#All],7,0),"")</f>
        <v/>
      </c>
      <c r="G29" s="138" t="s">
        <v>230</v>
      </c>
      <c r="H29" s="138" t="s">
        <v>230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137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82</v>
      </c>
      <c r="E30" t="str">
        <f>+IFERROR(VLOOKUP(Fact_Cumplimiento[[#This Row],[Concepto Anterior]],Conceptos_Cumplimiento[#All],5,0),"")</f>
        <v>Comunicados para generación de cultura de riesgos</v>
      </c>
      <c r="F30" t="str">
        <f ca="1">+IFERROR(VLOOKUP(Fact_Cumplimiento[[#This Row],[Concepto Anterior]],Conceptos_Cumplimiento[#All],7,0),"")</f>
        <v/>
      </c>
      <c r="G30" s="138" t="s">
        <v>230</v>
      </c>
      <c r="H30" s="138" t="s">
        <v>230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137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81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 ca="1">+IFERROR(VLOOKUP(Fact_Cumplimiento[[#This Row],[Concepto Anterior]],Conceptos_Cumplimiento[#All],7,0),"")</f>
        <v/>
      </c>
      <c r="G31" s="138" t="s">
        <v>230</v>
      </c>
      <c r="H31" s="138" t="s">
        <v>230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137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79</v>
      </c>
      <c r="E32" t="str">
        <f>+IFERROR(VLOOKUP(Fact_Cumplimiento[[#This Row],[Concepto Anterior]],Conceptos_Cumplimiento[#All],5,0),"")</f>
        <v>Numero de razones sociales atendidas directas</v>
      </c>
      <c r="F32" t="str">
        <f ca="1">+IFERROR(VLOOKUP(Fact_Cumplimiento[[#This Row],[Concepto Anterior]],Conceptos_Cumplimiento[#All],7,0),"")</f>
        <v/>
      </c>
      <c r="G32" s="138" t="s">
        <v>230</v>
      </c>
      <c r="H32" s="138" t="s">
        <v>230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137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80</v>
      </c>
      <c r="E33" t="str">
        <f>+IFERROR(VLOOKUP(Fact_Cumplimiento[[#This Row],[Concepto Anterior]],Conceptos_Cumplimiento[#All],5,0),"")</f>
        <v>Numero de razones sociales atendidas indirectas</v>
      </c>
      <c r="F33" t="str">
        <f ca="1">+IFERROR(VLOOKUP(Fact_Cumplimiento[[#This Row],[Concepto Anterior]],Conceptos_Cumplimiento[#All],7,0),"")</f>
        <v/>
      </c>
      <c r="G33" s="138" t="s">
        <v>230</v>
      </c>
      <c r="H33" s="138" t="s">
        <v>230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137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145</v>
      </c>
      <c r="E34" t="str">
        <f>+IFERROR(VLOOKUP(Fact_Cumplimiento[[#This Row],[Concepto Anterior]],Conceptos_Cumplimiento[#All],5,0),"")</f>
        <v>Numeros de terceros evaluados</v>
      </c>
      <c r="F34" t="str">
        <f ca="1">+IFERROR(VLOOKUP(Fact_Cumplimiento[[#This Row],[Concepto Anterior]],Conceptos_Cumplimiento[#All],7,0),"")</f>
        <v/>
      </c>
      <c r="G34" s="138" t="s">
        <v>230</v>
      </c>
      <c r="H34" s="138" t="s">
        <v>230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137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155</v>
      </c>
      <c r="E35" t="str">
        <f>+IFERROR(VLOOKUP(Fact_Cumplimiento[[#This Row],[Concepto Anterior]],Conceptos_Cumplimiento[#All],5,0),"")</f>
        <v>Público Capacitado</v>
      </c>
      <c r="F35" t="str">
        <f ca="1">+IFERROR(VLOOKUP(Fact_Cumplimiento[[#This Row],[Concepto Anterior]],Conceptos_Cumplimiento[#All],7,0),"")</f>
        <v/>
      </c>
      <c r="G35" s="138" t="s">
        <v>230</v>
      </c>
      <c r="H35" s="138" t="s">
        <v>230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137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84</v>
      </c>
      <c r="E36" t="str">
        <f>+IFERROR(VLOOKUP(Fact_Cumplimiento[[#This Row],[Concepto Anterior]],Conceptos_Cumplimiento[#All],5,0),"")</f>
        <v>Registro Clientes Mayoristas​</v>
      </c>
      <c r="F36" t="str">
        <f ca="1">+IFERROR(VLOOKUP(Fact_Cumplimiento[[#This Row],[Concepto Anterior]],Conceptos_Cumplimiento[#All],7,0),"")</f>
        <v/>
      </c>
      <c r="G36" s="138" t="s">
        <v>230</v>
      </c>
      <c r="H36" s="138" t="s">
        <v>230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147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82</v>
      </c>
      <c r="E37" t="str">
        <f>+IFERROR(VLOOKUP(Fact_Cumplimiento[[#This Row],[Concepto Anterior]],Conceptos_Cumplimiento[#All],5,0),"")</f>
        <v>Comunicados para generación de cultura de riesgos</v>
      </c>
      <c r="F37" t="str">
        <f ca="1">+IFERROR(VLOOKUP(Fact_Cumplimiento[[#This Row],[Concepto Anterior]],Conceptos_Cumplimiento[#All],7,0),"")</f>
        <v/>
      </c>
      <c r="G37" s="138" t="s">
        <v>230</v>
      </c>
      <c r="H37" s="138" t="s">
        <v>230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147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81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 ca="1">+IFERROR(VLOOKUP(Fact_Cumplimiento[[#This Row],[Concepto Anterior]],Conceptos_Cumplimiento[#All],7,0),"")</f>
        <v/>
      </c>
      <c r="G38" s="138" t="s">
        <v>230</v>
      </c>
      <c r="H38" s="138" t="s">
        <v>230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147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79</v>
      </c>
      <c r="E39" t="str">
        <f>+IFERROR(VLOOKUP(Fact_Cumplimiento[[#This Row],[Concepto Anterior]],Conceptos_Cumplimiento[#All],5,0),"")</f>
        <v>Numero de razones sociales atendidas directas</v>
      </c>
      <c r="F39" t="str">
        <f ca="1">+IFERROR(VLOOKUP(Fact_Cumplimiento[[#This Row],[Concepto Anterior]],Conceptos_Cumplimiento[#All],7,0),"")</f>
        <v/>
      </c>
      <c r="G39" s="138" t="s">
        <v>230</v>
      </c>
      <c r="H39" s="138" t="s">
        <v>230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147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80</v>
      </c>
      <c r="E40" t="str">
        <f>+IFERROR(VLOOKUP(Fact_Cumplimiento[[#This Row],[Concepto Anterior]],Conceptos_Cumplimiento[#All],5,0),"")</f>
        <v>Numero de razones sociales atendidas indirectas</v>
      </c>
      <c r="F40" t="str">
        <f ca="1">+IFERROR(VLOOKUP(Fact_Cumplimiento[[#This Row],[Concepto Anterior]],Conceptos_Cumplimiento[#All],7,0),"")</f>
        <v/>
      </c>
      <c r="G40" s="138" t="s">
        <v>230</v>
      </c>
      <c r="H40" s="138" t="s">
        <v>230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147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145</v>
      </c>
      <c r="E41" t="str">
        <f>+IFERROR(VLOOKUP(Fact_Cumplimiento[[#This Row],[Concepto Anterior]],Conceptos_Cumplimiento[#All],5,0),"")</f>
        <v>Numeros de terceros evaluados</v>
      </c>
      <c r="F41" t="str">
        <f ca="1">+IFERROR(VLOOKUP(Fact_Cumplimiento[[#This Row],[Concepto Anterior]],Conceptos_Cumplimiento[#All],7,0),"")</f>
        <v/>
      </c>
      <c r="G41" s="138" t="s">
        <v>230</v>
      </c>
      <c r="H41" s="138" t="s">
        <v>230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147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155</v>
      </c>
      <c r="E42" t="str">
        <f>+IFERROR(VLOOKUP(Fact_Cumplimiento[[#This Row],[Concepto Anterior]],Conceptos_Cumplimiento[#All],5,0),"")</f>
        <v>Público Capacitado</v>
      </c>
      <c r="F42" t="str">
        <f ca="1">+IFERROR(VLOOKUP(Fact_Cumplimiento[[#This Row],[Concepto Anterior]],Conceptos_Cumplimiento[#All],7,0),"")</f>
        <v/>
      </c>
      <c r="G42" s="138" t="s">
        <v>230</v>
      </c>
      <c r="H42" s="138" t="s">
        <v>230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147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84</v>
      </c>
      <c r="E43" t="str">
        <f>+IFERROR(VLOOKUP(Fact_Cumplimiento[[#This Row],[Concepto Anterior]],Conceptos_Cumplimiento[#All],5,0),"")</f>
        <v>Registro Clientes Mayoristas​</v>
      </c>
      <c r="F43" t="str">
        <f ca="1">+IFERROR(VLOOKUP(Fact_Cumplimiento[[#This Row],[Concepto Anterior]],Conceptos_Cumplimiento[#All],7,0),"")</f>
        <v/>
      </c>
      <c r="G43" s="138" t="s">
        <v>230</v>
      </c>
      <c r="H43" s="138" t="s">
        <v>230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157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82</v>
      </c>
      <c r="E44" t="str">
        <f>+IFERROR(VLOOKUP(Fact_Cumplimiento[[#This Row],[Concepto Anterior]],Conceptos_Cumplimiento[#All],5,0),"")</f>
        <v>Comunicados para generación de cultura de riesgos</v>
      </c>
      <c r="F44" t="str">
        <f ca="1">+IFERROR(VLOOKUP(Fact_Cumplimiento[[#This Row],[Concepto Anterior]],Conceptos_Cumplimiento[#All],7,0),"")</f>
        <v/>
      </c>
      <c r="G44" s="138" t="s">
        <v>230</v>
      </c>
      <c r="H44" s="138" t="s">
        <v>230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157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81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 ca="1">+IFERROR(VLOOKUP(Fact_Cumplimiento[[#This Row],[Concepto Anterior]],Conceptos_Cumplimiento[#All],7,0),"")</f>
        <v/>
      </c>
      <c r="G45" s="138" t="s">
        <v>230</v>
      </c>
      <c r="H45" s="138" t="s">
        <v>230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157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79</v>
      </c>
      <c r="E46" t="str">
        <f>+IFERROR(VLOOKUP(Fact_Cumplimiento[[#This Row],[Concepto Anterior]],Conceptos_Cumplimiento[#All],5,0),"")</f>
        <v>Numero de razones sociales atendidas directas</v>
      </c>
      <c r="F46" t="str">
        <f ca="1">+IFERROR(VLOOKUP(Fact_Cumplimiento[[#This Row],[Concepto Anterior]],Conceptos_Cumplimiento[#All],7,0),"")</f>
        <v/>
      </c>
      <c r="G46" s="138" t="s">
        <v>230</v>
      </c>
      <c r="H46" s="138" t="s">
        <v>230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157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80</v>
      </c>
      <c r="E47" t="str">
        <f>+IFERROR(VLOOKUP(Fact_Cumplimiento[[#This Row],[Concepto Anterior]],Conceptos_Cumplimiento[#All],5,0),"")</f>
        <v>Numero de razones sociales atendidas indirectas</v>
      </c>
      <c r="F47" t="str">
        <f ca="1">+IFERROR(VLOOKUP(Fact_Cumplimiento[[#This Row],[Concepto Anterior]],Conceptos_Cumplimiento[#All],7,0),"")</f>
        <v/>
      </c>
      <c r="G47" s="138" t="s">
        <v>230</v>
      </c>
      <c r="H47" s="138" t="s">
        <v>230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157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145</v>
      </c>
      <c r="E48" t="str">
        <f>+IFERROR(VLOOKUP(Fact_Cumplimiento[[#This Row],[Concepto Anterior]],Conceptos_Cumplimiento[#All],5,0),"")</f>
        <v>Numeros de terceros evaluados</v>
      </c>
      <c r="F48" t="str">
        <f ca="1">+IFERROR(VLOOKUP(Fact_Cumplimiento[[#This Row],[Concepto Anterior]],Conceptos_Cumplimiento[#All],7,0),"")</f>
        <v/>
      </c>
      <c r="G48" s="138" t="s">
        <v>230</v>
      </c>
      <c r="H48" s="138" t="s">
        <v>230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157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155</v>
      </c>
      <c r="E49" t="str">
        <f>+IFERROR(VLOOKUP(Fact_Cumplimiento[[#This Row],[Concepto Anterior]],Conceptos_Cumplimiento[#All],5,0),"")</f>
        <v>Público Capacitado</v>
      </c>
      <c r="F49" t="str">
        <f ca="1">+IFERROR(VLOOKUP(Fact_Cumplimiento[[#This Row],[Concepto Anterior]],Conceptos_Cumplimiento[#All],7,0),"")</f>
        <v/>
      </c>
      <c r="G49" s="138" t="s">
        <v>230</v>
      </c>
      <c r="H49" s="138" t="s">
        <v>230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157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84</v>
      </c>
      <c r="E50" t="str">
        <f>+IFERROR(VLOOKUP(Fact_Cumplimiento[[#This Row],[Concepto Anterior]],Conceptos_Cumplimiento[#All],5,0),"")</f>
        <v>Registro Clientes Mayoristas​</v>
      </c>
      <c r="F50" t="str">
        <f ca="1">+IFERROR(VLOOKUP(Fact_Cumplimiento[[#This Row],[Concepto Anterior]],Conceptos_Cumplimiento[#All],7,0),"")</f>
        <v/>
      </c>
      <c r="G50" s="138" t="s">
        <v>230</v>
      </c>
      <c r="H50" s="138" t="s">
        <v>230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165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82</v>
      </c>
      <c r="E51" t="str">
        <f>+IFERROR(VLOOKUP(Fact_Cumplimiento[[#This Row],[Concepto Anterior]],Conceptos_Cumplimiento[#All],5,0),"")</f>
        <v>Comunicados para generación de cultura de riesgos</v>
      </c>
      <c r="F51" t="str">
        <f ca="1">+IFERROR(VLOOKUP(Fact_Cumplimiento[[#This Row],[Concepto Anterior]],Conceptos_Cumplimiento[#All],7,0),"")</f>
        <v/>
      </c>
      <c r="G51" s="138" t="s">
        <v>230</v>
      </c>
      <c r="H51" s="138" t="s">
        <v>230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165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81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 ca="1">+IFERROR(VLOOKUP(Fact_Cumplimiento[[#This Row],[Concepto Anterior]],Conceptos_Cumplimiento[#All],7,0),"")</f>
        <v/>
      </c>
      <c r="G52" s="138" t="s">
        <v>230</v>
      </c>
      <c r="H52" s="138" t="s">
        <v>230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165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79</v>
      </c>
      <c r="E53" t="str">
        <f>+IFERROR(VLOOKUP(Fact_Cumplimiento[[#This Row],[Concepto Anterior]],Conceptos_Cumplimiento[#All],5,0),"")</f>
        <v>Numero de razones sociales atendidas directas</v>
      </c>
      <c r="F53" t="str">
        <f ca="1">+IFERROR(VLOOKUP(Fact_Cumplimiento[[#This Row],[Concepto Anterior]],Conceptos_Cumplimiento[#All],7,0),"")</f>
        <v/>
      </c>
      <c r="G53" s="138" t="s">
        <v>230</v>
      </c>
      <c r="H53" s="138" t="s">
        <v>230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165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80</v>
      </c>
      <c r="E54" t="str">
        <f>+IFERROR(VLOOKUP(Fact_Cumplimiento[[#This Row],[Concepto Anterior]],Conceptos_Cumplimiento[#All],5,0),"")</f>
        <v>Numero de razones sociales atendidas indirectas</v>
      </c>
      <c r="F54" t="str">
        <f ca="1">+IFERROR(VLOOKUP(Fact_Cumplimiento[[#This Row],[Concepto Anterior]],Conceptos_Cumplimiento[#All],7,0),"")</f>
        <v/>
      </c>
      <c r="G54" s="138" t="s">
        <v>230</v>
      </c>
      <c r="H54" s="138" t="s">
        <v>230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165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145</v>
      </c>
      <c r="E55" t="str">
        <f>+IFERROR(VLOOKUP(Fact_Cumplimiento[[#This Row],[Concepto Anterior]],Conceptos_Cumplimiento[#All],5,0),"")</f>
        <v>Numeros de terceros evaluados</v>
      </c>
      <c r="F55" t="str">
        <f ca="1">+IFERROR(VLOOKUP(Fact_Cumplimiento[[#This Row],[Concepto Anterior]],Conceptos_Cumplimiento[#All],7,0),"")</f>
        <v/>
      </c>
      <c r="G55" s="138" t="s">
        <v>230</v>
      </c>
      <c r="H55" s="138" t="s">
        <v>230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165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155</v>
      </c>
      <c r="E56" t="str">
        <f>+IFERROR(VLOOKUP(Fact_Cumplimiento[[#This Row],[Concepto Anterior]],Conceptos_Cumplimiento[#All],5,0),"")</f>
        <v>Público Capacitado</v>
      </c>
      <c r="F56" t="str">
        <f ca="1">+IFERROR(VLOOKUP(Fact_Cumplimiento[[#This Row],[Concepto Anterior]],Conceptos_Cumplimiento[#All],7,0),"")</f>
        <v/>
      </c>
      <c r="G56" s="138" t="s">
        <v>230</v>
      </c>
      <c r="H56" s="138" t="s">
        <v>230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165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84</v>
      </c>
      <c r="E57" t="str">
        <f>+IFERROR(VLOOKUP(Fact_Cumplimiento[[#This Row],[Concepto Anterior]],Conceptos_Cumplimiento[#All],5,0),"")</f>
        <v>Registro Clientes Mayoristas​</v>
      </c>
      <c r="F57" t="str">
        <f ca="1">+IFERROR(VLOOKUP(Fact_Cumplimiento[[#This Row],[Concepto Anterior]],Conceptos_Cumplimiento[#All],7,0),"")</f>
        <v/>
      </c>
      <c r="G57" s="138" t="s">
        <v>230</v>
      </c>
      <c r="H57" s="138" t="s">
        <v>230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82</v>
      </c>
      <c r="E58" t="str">
        <f>+IFERROR(VLOOKUP(Fact_Cumplimiento[[#This Row],[Concepto Anterior]],Conceptos_Cumplimiento[#All],5,0),"")</f>
        <v>Comunicados para generación de cultura de riesgos</v>
      </c>
      <c r="F58" t="str">
        <f ca="1">+IFERROR(VLOOKUP(Fact_Cumplimiento[[#This Row],[Concepto Anterior]],Conceptos_Cumplimiento[#All],7,0),"")</f>
        <v/>
      </c>
      <c r="G58" s="138" t="s">
        <v>230</v>
      </c>
      <c r="H58" s="138" t="s">
        <v>230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81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 ca="1">+IFERROR(VLOOKUP(Fact_Cumplimiento[[#This Row],[Concepto Anterior]],Conceptos_Cumplimiento[#All],7,0),"")</f>
        <v/>
      </c>
      <c r="G59" s="138" t="s">
        <v>230</v>
      </c>
      <c r="H59" s="138" t="s">
        <v>230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79</v>
      </c>
      <c r="E60" t="str">
        <f>+IFERROR(VLOOKUP(Fact_Cumplimiento[[#This Row],[Concepto Anterior]],Conceptos_Cumplimiento[#All],5,0),"")</f>
        <v>Numero de razones sociales atendidas directas</v>
      </c>
      <c r="F60" t="str">
        <f ca="1">+IFERROR(VLOOKUP(Fact_Cumplimiento[[#This Row],[Concepto Anterior]],Conceptos_Cumplimiento[#All],7,0),"")</f>
        <v/>
      </c>
      <c r="G60" s="138" t="s">
        <v>230</v>
      </c>
      <c r="H60" s="138" t="s">
        <v>230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80</v>
      </c>
      <c r="E61" t="str">
        <f>+IFERROR(VLOOKUP(Fact_Cumplimiento[[#This Row],[Concepto Anterior]],Conceptos_Cumplimiento[#All],5,0),"")</f>
        <v>Numero de razones sociales atendidas indirectas</v>
      </c>
      <c r="F61" t="str">
        <f ca="1">+IFERROR(VLOOKUP(Fact_Cumplimiento[[#This Row],[Concepto Anterior]],Conceptos_Cumplimiento[#All],7,0),"")</f>
        <v/>
      </c>
      <c r="G61" s="138" t="s">
        <v>230</v>
      </c>
      <c r="H61" s="138" t="s">
        <v>230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145</v>
      </c>
      <c r="E62" t="str">
        <f>+IFERROR(VLOOKUP(Fact_Cumplimiento[[#This Row],[Concepto Anterior]],Conceptos_Cumplimiento[#All],5,0),"")</f>
        <v>Numeros de terceros evaluados</v>
      </c>
      <c r="F62" t="str">
        <f ca="1">+IFERROR(VLOOKUP(Fact_Cumplimiento[[#This Row],[Concepto Anterior]],Conceptos_Cumplimiento[#All],7,0),"")</f>
        <v/>
      </c>
      <c r="G62" s="138" t="s">
        <v>230</v>
      </c>
      <c r="H62" s="138" t="s">
        <v>230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155</v>
      </c>
      <c r="E63" t="str">
        <f>+IFERROR(VLOOKUP(Fact_Cumplimiento[[#This Row],[Concepto Anterior]],Conceptos_Cumplimiento[#All],5,0),"")</f>
        <v>Público Capacitado</v>
      </c>
      <c r="F63" t="str">
        <f ca="1">+IFERROR(VLOOKUP(Fact_Cumplimiento[[#This Row],[Concepto Anterior]],Conceptos_Cumplimiento[#All],7,0),"")</f>
        <v/>
      </c>
      <c r="G63" s="138" t="s">
        <v>230</v>
      </c>
      <c r="H63" s="138" t="s">
        <v>230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84</v>
      </c>
      <c r="E64" t="str">
        <f>+IFERROR(VLOOKUP(Fact_Cumplimiento[[#This Row],[Concepto Anterior]],Conceptos_Cumplimiento[#All],5,0),"")</f>
        <v>Registro Clientes Mayoristas​</v>
      </c>
      <c r="F64" t="str">
        <f ca="1">+IFERROR(VLOOKUP(Fact_Cumplimiento[[#This Row],[Concepto Anterior]],Conceptos_Cumplimiento[#All],7,0),"")</f>
        <v/>
      </c>
      <c r="G64" s="138" t="s">
        <v>230</v>
      </c>
      <c r="H64" s="138" t="s">
        <v>230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179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82</v>
      </c>
      <c r="E65" t="str">
        <f>+IFERROR(VLOOKUP(Fact_Cumplimiento[[#This Row],[Concepto Anterior]],Conceptos_Cumplimiento[#All],5,0),"")</f>
        <v>Comunicados para generación de cultura de riesgos</v>
      </c>
      <c r="F65" t="str">
        <f ca="1">+IFERROR(VLOOKUP(Fact_Cumplimiento[[#This Row],[Concepto Anterior]],Conceptos_Cumplimiento[#All],7,0),"")</f>
        <v/>
      </c>
      <c r="G65" s="138" t="s">
        <v>230</v>
      </c>
      <c r="H65" s="138" t="s">
        <v>230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179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81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 ca="1">+IFERROR(VLOOKUP(Fact_Cumplimiento[[#This Row],[Concepto Anterior]],Conceptos_Cumplimiento[#All],7,0),"")</f>
        <v/>
      </c>
      <c r="G66" s="138" t="s">
        <v>230</v>
      </c>
      <c r="H66" s="138" t="s">
        <v>230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179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79</v>
      </c>
      <c r="E67" t="str">
        <f>+IFERROR(VLOOKUP(Fact_Cumplimiento[[#This Row],[Concepto Anterior]],Conceptos_Cumplimiento[#All],5,0),"")</f>
        <v>Numero de razones sociales atendidas directas</v>
      </c>
      <c r="F67" t="str">
        <f ca="1">+IFERROR(VLOOKUP(Fact_Cumplimiento[[#This Row],[Concepto Anterior]],Conceptos_Cumplimiento[#All],7,0),"")</f>
        <v/>
      </c>
      <c r="G67" s="138" t="s">
        <v>230</v>
      </c>
      <c r="H67" s="138" t="s">
        <v>230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179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80</v>
      </c>
      <c r="E68" t="str">
        <f>+IFERROR(VLOOKUP(Fact_Cumplimiento[[#This Row],[Concepto Anterior]],Conceptos_Cumplimiento[#All],5,0),"")</f>
        <v>Numero de razones sociales atendidas indirectas</v>
      </c>
      <c r="F68" t="str">
        <f ca="1">+IFERROR(VLOOKUP(Fact_Cumplimiento[[#This Row],[Concepto Anterior]],Conceptos_Cumplimiento[#All],7,0),"")</f>
        <v/>
      </c>
      <c r="G68" s="138" t="s">
        <v>230</v>
      </c>
      <c r="H68" s="138" t="s">
        <v>230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179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145</v>
      </c>
      <c r="E69" t="str">
        <f>+IFERROR(VLOOKUP(Fact_Cumplimiento[[#This Row],[Concepto Anterior]],Conceptos_Cumplimiento[#All],5,0),"")</f>
        <v>Numeros de terceros evaluados</v>
      </c>
      <c r="F69" t="str">
        <f ca="1">+IFERROR(VLOOKUP(Fact_Cumplimiento[[#This Row],[Concepto Anterior]],Conceptos_Cumplimiento[#All],7,0),"")</f>
        <v/>
      </c>
      <c r="G69" s="138" t="s">
        <v>230</v>
      </c>
      <c r="H69" s="138" t="s">
        <v>230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179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155</v>
      </c>
      <c r="E70" t="str">
        <f>+IFERROR(VLOOKUP(Fact_Cumplimiento[[#This Row],[Concepto Anterior]],Conceptos_Cumplimiento[#All],5,0),"")</f>
        <v>Público Capacitado</v>
      </c>
      <c r="F70" t="str">
        <f ca="1">+IFERROR(VLOOKUP(Fact_Cumplimiento[[#This Row],[Concepto Anterior]],Conceptos_Cumplimiento[#All],7,0),"")</f>
        <v/>
      </c>
      <c r="G70" s="138" t="s">
        <v>230</v>
      </c>
      <c r="H70" s="138" t="s">
        <v>230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179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84</v>
      </c>
      <c r="E71" t="str">
        <f>+IFERROR(VLOOKUP(Fact_Cumplimiento[[#This Row],[Concepto Anterior]],Conceptos_Cumplimiento[#All],5,0),"")</f>
        <v>Registro Clientes Mayoristas​</v>
      </c>
      <c r="F71" t="str">
        <f ca="1">+IFERROR(VLOOKUP(Fact_Cumplimiento[[#This Row],[Concepto Anterior]],Conceptos_Cumplimiento[#All],7,0),"")</f>
        <v/>
      </c>
      <c r="G71" s="138" t="s">
        <v>230</v>
      </c>
      <c r="H71" s="138" t="s">
        <v>230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188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82</v>
      </c>
      <c r="E72" t="str">
        <f>+IFERROR(VLOOKUP(Fact_Cumplimiento[[#This Row],[Concepto Anterior]],Conceptos_Cumplimiento[#All],5,0),"")</f>
        <v>Comunicados para generación de cultura de riesgos</v>
      </c>
      <c r="F72" t="str">
        <f ca="1">+IFERROR(VLOOKUP(Fact_Cumplimiento[[#This Row],[Concepto Anterior]],Conceptos_Cumplimiento[#All],7,0),"")</f>
        <v/>
      </c>
      <c r="G72" s="138" t="s">
        <v>230</v>
      </c>
      <c r="H72" s="138" t="s">
        <v>230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188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81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 ca="1">+IFERROR(VLOOKUP(Fact_Cumplimiento[[#This Row],[Concepto Anterior]],Conceptos_Cumplimiento[#All],7,0),"")</f>
        <v/>
      </c>
      <c r="G73" s="138" t="s">
        <v>230</v>
      </c>
      <c r="H73" s="138" t="s">
        <v>230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188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79</v>
      </c>
      <c r="E74" t="str">
        <f>+IFERROR(VLOOKUP(Fact_Cumplimiento[[#This Row],[Concepto Anterior]],Conceptos_Cumplimiento[#All],5,0),"")</f>
        <v>Numero de razones sociales atendidas directas</v>
      </c>
      <c r="F74" t="str">
        <f ca="1">+IFERROR(VLOOKUP(Fact_Cumplimiento[[#This Row],[Concepto Anterior]],Conceptos_Cumplimiento[#All],7,0),"")</f>
        <v/>
      </c>
      <c r="G74" s="138" t="s">
        <v>230</v>
      </c>
      <c r="H74" s="138" t="s">
        <v>230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188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80</v>
      </c>
      <c r="E75" t="str">
        <f>+IFERROR(VLOOKUP(Fact_Cumplimiento[[#This Row],[Concepto Anterior]],Conceptos_Cumplimiento[#All],5,0),"")</f>
        <v>Numero de razones sociales atendidas indirectas</v>
      </c>
      <c r="F75" t="str">
        <f ca="1">+IFERROR(VLOOKUP(Fact_Cumplimiento[[#This Row],[Concepto Anterior]],Conceptos_Cumplimiento[#All],7,0),"")</f>
        <v/>
      </c>
      <c r="G75" s="138" t="s">
        <v>230</v>
      </c>
      <c r="H75" s="138" t="s">
        <v>230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188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145</v>
      </c>
      <c r="E76" t="str">
        <f>+IFERROR(VLOOKUP(Fact_Cumplimiento[[#This Row],[Concepto Anterior]],Conceptos_Cumplimiento[#All],5,0),"")</f>
        <v>Numeros de terceros evaluados</v>
      </c>
      <c r="F76" t="str">
        <f ca="1">+IFERROR(VLOOKUP(Fact_Cumplimiento[[#This Row],[Concepto Anterior]],Conceptos_Cumplimiento[#All],7,0),"")</f>
        <v/>
      </c>
      <c r="G76" s="138" t="s">
        <v>230</v>
      </c>
      <c r="H76" s="138" t="s">
        <v>230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188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155</v>
      </c>
      <c r="E77" t="str">
        <f>+IFERROR(VLOOKUP(Fact_Cumplimiento[[#This Row],[Concepto Anterior]],Conceptos_Cumplimiento[#All],5,0),"")</f>
        <v>Público Capacitado</v>
      </c>
      <c r="F77" t="str">
        <f ca="1">+IFERROR(VLOOKUP(Fact_Cumplimiento[[#This Row],[Concepto Anterior]],Conceptos_Cumplimiento[#All],7,0),"")</f>
        <v/>
      </c>
      <c r="G77" s="138" t="s">
        <v>230</v>
      </c>
      <c r="H77" s="138" t="s">
        <v>230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188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84</v>
      </c>
      <c r="E78" t="str">
        <f>+IFERROR(VLOOKUP(Fact_Cumplimiento[[#This Row],[Concepto Anterior]],Conceptos_Cumplimiento[#All],5,0),"")</f>
        <v>Registro Clientes Mayoristas​</v>
      </c>
      <c r="F78" t="str">
        <f ca="1">+IFERROR(VLOOKUP(Fact_Cumplimiento[[#This Row],[Concepto Anterior]],Conceptos_Cumplimiento[#All],7,0),"")</f>
        <v/>
      </c>
      <c r="G78" s="138" t="s">
        <v>230</v>
      </c>
      <c r="H78" s="138" t="s">
        <v>230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196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82</v>
      </c>
      <c r="E79" t="str">
        <f>+IFERROR(VLOOKUP(Fact_Cumplimiento[[#This Row],[Concepto Anterior]],Conceptos_Cumplimiento[#All],5,0),"")</f>
        <v>Comunicados para generación de cultura de riesgos</v>
      </c>
      <c r="F79" t="str">
        <f ca="1">+IFERROR(VLOOKUP(Fact_Cumplimiento[[#This Row],[Concepto Anterior]],Conceptos_Cumplimiento[#All],7,0),"")</f>
        <v/>
      </c>
      <c r="G79" s="138" t="s">
        <v>230</v>
      </c>
      <c r="H79" s="138" t="s">
        <v>230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196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81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 ca="1">+IFERROR(VLOOKUP(Fact_Cumplimiento[[#This Row],[Concepto Anterior]],Conceptos_Cumplimiento[#All],7,0),"")</f>
        <v/>
      </c>
      <c r="G80" s="138" t="s">
        <v>230</v>
      </c>
      <c r="H80" s="138" t="s">
        <v>230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196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79</v>
      </c>
      <c r="E81" t="str">
        <f>+IFERROR(VLOOKUP(Fact_Cumplimiento[[#This Row],[Concepto Anterior]],Conceptos_Cumplimiento[#All],5,0),"")</f>
        <v>Numero de razones sociales atendidas directas</v>
      </c>
      <c r="F81" t="str">
        <f ca="1">+IFERROR(VLOOKUP(Fact_Cumplimiento[[#This Row],[Concepto Anterior]],Conceptos_Cumplimiento[#All],7,0),"")</f>
        <v/>
      </c>
      <c r="G81" s="138" t="s">
        <v>230</v>
      </c>
      <c r="H81" s="138" t="s">
        <v>230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196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80</v>
      </c>
      <c r="E82" t="str">
        <f>+IFERROR(VLOOKUP(Fact_Cumplimiento[[#This Row],[Concepto Anterior]],Conceptos_Cumplimiento[#All],5,0),"")</f>
        <v>Numero de razones sociales atendidas indirectas</v>
      </c>
      <c r="F82" t="str">
        <f ca="1">+IFERROR(VLOOKUP(Fact_Cumplimiento[[#This Row],[Concepto Anterior]],Conceptos_Cumplimiento[#All],7,0),"")</f>
        <v/>
      </c>
      <c r="G82" s="138" t="s">
        <v>230</v>
      </c>
      <c r="H82" s="138" t="s">
        <v>230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196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145</v>
      </c>
      <c r="E83" t="str">
        <f>+IFERROR(VLOOKUP(Fact_Cumplimiento[[#This Row],[Concepto Anterior]],Conceptos_Cumplimiento[#All],5,0),"")</f>
        <v>Numeros de terceros evaluados</v>
      </c>
      <c r="F83" t="str">
        <f ca="1">+IFERROR(VLOOKUP(Fact_Cumplimiento[[#This Row],[Concepto Anterior]],Conceptos_Cumplimiento[#All],7,0),"")</f>
        <v/>
      </c>
      <c r="G83" s="138" t="s">
        <v>230</v>
      </c>
      <c r="H83" s="138" t="s">
        <v>230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196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155</v>
      </c>
      <c r="E84" t="str">
        <f>+IFERROR(VLOOKUP(Fact_Cumplimiento[[#This Row],[Concepto Anterior]],Conceptos_Cumplimiento[#All],5,0),"")</f>
        <v>Público Capacitado</v>
      </c>
      <c r="F84" t="str">
        <f ca="1">+IFERROR(VLOOKUP(Fact_Cumplimiento[[#This Row],[Concepto Anterior]],Conceptos_Cumplimiento[#All],7,0),"")</f>
        <v/>
      </c>
      <c r="G84" s="138" t="s">
        <v>230</v>
      </c>
      <c r="H84" s="138" t="s">
        <v>230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196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84</v>
      </c>
      <c r="E85" t="str">
        <f>+IFERROR(VLOOKUP(Fact_Cumplimiento[[#This Row],[Concepto Anterior]],Conceptos_Cumplimiento[#All],5,0),"")</f>
        <v>Registro Clientes Mayoristas​</v>
      </c>
      <c r="F85" t="str">
        <f ca="1">+IFERROR(VLOOKUP(Fact_Cumplimiento[[#This Row],[Concepto Anterior]],Conceptos_Cumplimiento[#All],7,0),"")</f>
        <v/>
      </c>
      <c r="G85" s="138" t="s">
        <v>230</v>
      </c>
      <c r="H85" s="138" t="s">
        <v>230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105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82</v>
      </c>
      <c r="E86" t="str">
        <f>+IFERROR(VLOOKUP(Fact_Cumplimiento[[#This Row],[Concepto Anterior]],Conceptos_Cumplimiento[#All],5,0),"")</f>
        <v>Comunicados para generación de cultura de riesgos</v>
      </c>
      <c r="F86" t="str">
        <f ca="1">+IFERROR(VLOOKUP(Fact_Cumplimiento[[#This Row],[Concepto Anterior]],Conceptos_Cumplimiento[#All],7,0),"")</f>
        <v/>
      </c>
      <c r="G86" s="138" t="s">
        <v>230</v>
      </c>
      <c r="H86" s="138" t="s">
        <v>230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105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81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 ca="1">+IFERROR(VLOOKUP(Fact_Cumplimiento[[#This Row],[Concepto Anterior]],Conceptos_Cumplimiento[#All],7,0),"")</f>
        <v/>
      </c>
      <c r="G87" s="138" t="s">
        <v>230</v>
      </c>
      <c r="H87" s="138" t="s">
        <v>230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105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170</v>
      </c>
      <c r="E88" t="str">
        <f>+IFERROR(VLOOKUP(Fact_Cumplimiento[[#This Row],[Concepto Anterior]],Conceptos_Cumplimiento[#All],5,0),"")</f>
        <v>Informes realizados</v>
      </c>
      <c r="F88" t="str">
        <f ca="1">+IFERROR(VLOOKUP(Fact_Cumplimiento[[#This Row],[Concepto Anterior]],Conceptos_Cumplimiento[#All],7,0),"")</f>
        <v/>
      </c>
      <c r="G88" s="138" t="s">
        <v>230</v>
      </c>
      <c r="H88" s="138" t="s">
        <v>230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105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79</v>
      </c>
      <c r="E89" t="str">
        <f>+IFERROR(VLOOKUP(Fact_Cumplimiento[[#This Row],[Concepto Anterior]],Conceptos_Cumplimiento[#All],5,0),"")</f>
        <v>Numero de razones sociales atendidas directas</v>
      </c>
      <c r="F89" t="str">
        <f ca="1">+IFERROR(VLOOKUP(Fact_Cumplimiento[[#This Row],[Concepto Anterior]],Conceptos_Cumplimiento[#All],7,0),"")</f>
        <v/>
      </c>
      <c r="G89" s="138" t="s">
        <v>230</v>
      </c>
      <c r="H89" s="138" t="s">
        <v>230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105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80</v>
      </c>
      <c r="E90" t="str">
        <f>+IFERROR(VLOOKUP(Fact_Cumplimiento[[#This Row],[Concepto Anterior]],Conceptos_Cumplimiento[#All],5,0),"")</f>
        <v>Numero de razones sociales atendidas indirectas</v>
      </c>
      <c r="F90" t="str">
        <f ca="1">+IFERROR(VLOOKUP(Fact_Cumplimiento[[#This Row],[Concepto Anterior]],Conceptos_Cumplimiento[#All],7,0),"")</f>
        <v/>
      </c>
      <c r="G90" s="138" t="s">
        <v>230</v>
      </c>
      <c r="H90" s="138" t="s">
        <v>230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105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145</v>
      </c>
      <c r="E91" t="str">
        <f>+IFERROR(VLOOKUP(Fact_Cumplimiento[[#This Row],[Concepto Anterior]],Conceptos_Cumplimiento[#All],5,0),"")</f>
        <v>Numeros de terceros evaluados</v>
      </c>
      <c r="F91" t="str">
        <f ca="1">+IFERROR(VLOOKUP(Fact_Cumplimiento[[#This Row],[Concepto Anterior]],Conceptos_Cumplimiento[#All],7,0),"")</f>
        <v/>
      </c>
      <c r="G91" s="138" t="s">
        <v>230</v>
      </c>
      <c r="H91" s="138" t="s">
        <v>230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105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155</v>
      </c>
      <c r="E92" t="str">
        <f>+IFERROR(VLOOKUP(Fact_Cumplimiento[[#This Row],[Concepto Anterior]],Conceptos_Cumplimiento[#All],5,0),"")</f>
        <v>Público Capacitado</v>
      </c>
      <c r="F92" t="str">
        <f ca="1">+IFERROR(VLOOKUP(Fact_Cumplimiento[[#This Row],[Concepto Anterior]],Conceptos_Cumplimiento[#All],7,0),"")</f>
        <v/>
      </c>
      <c r="G92" s="138" t="s">
        <v>230</v>
      </c>
      <c r="H92" s="138" t="s">
        <v>230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105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178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 ca="1">+IFERROR(VLOOKUP(Fact_Cumplimiento[[#This Row],[Concepto Anterior]],Conceptos_Cumplimiento[#All],7,0),"")</f>
        <v/>
      </c>
      <c r="G93" s="138" t="s">
        <v>230</v>
      </c>
      <c r="H93" s="138" t="s">
        <v>230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117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82</v>
      </c>
      <c r="E94" t="str">
        <f>+IFERROR(VLOOKUP(Fact_Cumplimiento[[#This Row],[Concepto Anterior]],Conceptos_Cumplimiento[#All],5,0),"")</f>
        <v>Comunicados para generación de cultura de riesgos</v>
      </c>
      <c r="F94" t="str">
        <f ca="1">+IFERROR(VLOOKUP(Fact_Cumplimiento[[#This Row],[Concepto Anterior]],Conceptos_Cumplimiento[#All],7,0),"")</f>
        <v/>
      </c>
      <c r="G94" s="138" t="s">
        <v>230</v>
      </c>
      <c r="H94" s="138" t="s">
        <v>230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117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81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 ca="1">+IFERROR(VLOOKUP(Fact_Cumplimiento[[#This Row],[Concepto Anterior]],Conceptos_Cumplimiento[#All],7,0),"")</f>
        <v/>
      </c>
      <c r="G95" s="138" t="s">
        <v>230</v>
      </c>
      <c r="H95" s="138" t="s">
        <v>230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117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170</v>
      </c>
      <c r="E96" t="str">
        <f>+IFERROR(VLOOKUP(Fact_Cumplimiento[[#This Row],[Concepto Anterior]],Conceptos_Cumplimiento[#All],5,0),"")</f>
        <v>Informes realizados</v>
      </c>
      <c r="F96" t="str">
        <f ca="1">+IFERROR(VLOOKUP(Fact_Cumplimiento[[#This Row],[Concepto Anterior]],Conceptos_Cumplimiento[#All],7,0),"")</f>
        <v/>
      </c>
      <c r="G96" s="138" t="s">
        <v>230</v>
      </c>
      <c r="H96" s="138" t="s">
        <v>230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117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79</v>
      </c>
      <c r="E97" t="str">
        <f>+IFERROR(VLOOKUP(Fact_Cumplimiento[[#This Row],[Concepto Anterior]],Conceptos_Cumplimiento[#All],5,0),"")</f>
        <v>Numero de razones sociales atendidas directas</v>
      </c>
      <c r="F97" t="str">
        <f ca="1">+IFERROR(VLOOKUP(Fact_Cumplimiento[[#This Row],[Concepto Anterior]],Conceptos_Cumplimiento[#All],7,0),"")</f>
        <v/>
      </c>
      <c r="G97" s="138" t="s">
        <v>230</v>
      </c>
      <c r="H97" s="138" t="s">
        <v>230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117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80</v>
      </c>
      <c r="E98" t="str">
        <f>+IFERROR(VLOOKUP(Fact_Cumplimiento[[#This Row],[Concepto Anterior]],Conceptos_Cumplimiento[#All],5,0),"")</f>
        <v>Numero de razones sociales atendidas indirectas</v>
      </c>
      <c r="F98" t="str">
        <f ca="1">+IFERROR(VLOOKUP(Fact_Cumplimiento[[#This Row],[Concepto Anterior]],Conceptos_Cumplimiento[#All],7,0),"")</f>
        <v/>
      </c>
      <c r="G98" s="138" t="s">
        <v>230</v>
      </c>
      <c r="H98" s="138" t="s">
        <v>230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117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145</v>
      </c>
      <c r="E99" t="str">
        <f>+IFERROR(VLOOKUP(Fact_Cumplimiento[[#This Row],[Concepto Anterior]],Conceptos_Cumplimiento[#All],5,0),"")</f>
        <v>Numeros de terceros evaluados</v>
      </c>
      <c r="F99" t="str">
        <f ca="1">+IFERROR(VLOOKUP(Fact_Cumplimiento[[#This Row],[Concepto Anterior]],Conceptos_Cumplimiento[#All],7,0),"")</f>
        <v/>
      </c>
      <c r="G99" s="138" t="s">
        <v>230</v>
      </c>
      <c r="H99" s="138" t="s">
        <v>230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117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155</v>
      </c>
      <c r="E100" t="str">
        <f>+IFERROR(VLOOKUP(Fact_Cumplimiento[[#This Row],[Concepto Anterior]],Conceptos_Cumplimiento[#All],5,0),"")</f>
        <v>Público Capacitado</v>
      </c>
      <c r="F100" t="str">
        <f ca="1">+IFERROR(VLOOKUP(Fact_Cumplimiento[[#This Row],[Concepto Anterior]],Conceptos_Cumplimiento[#All],7,0),"")</f>
        <v/>
      </c>
      <c r="G100" s="138" t="s">
        <v>230</v>
      </c>
      <c r="H100" s="138" t="s">
        <v>230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117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178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 ca="1">+IFERROR(VLOOKUP(Fact_Cumplimiento[[#This Row],[Concepto Anterior]],Conceptos_Cumplimiento[#All],7,0),"")</f>
        <v/>
      </c>
      <c r="G101" s="138" t="s">
        <v>230</v>
      </c>
      <c r="H101" s="138" t="s">
        <v>230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123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82</v>
      </c>
      <c r="E102" t="str">
        <f>+IFERROR(VLOOKUP(Fact_Cumplimiento[[#This Row],[Concepto Anterior]],Conceptos_Cumplimiento[#All],5,0),"")</f>
        <v>Comunicados para generación de cultura de riesgos</v>
      </c>
      <c r="F102" t="str">
        <f ca="1">+IFERROR(VLOOKUP(Fact_Cumplimiento[[#This Row],[Concepto Anterior]],Conceptos_Cumplimiento[#All],7,0),"")</f>
        <v/>
      </c>
      <c r="G102" s="138" t="s">
        <v>230</v>
      </c>
      <c r="H102" s="138" t="s">
        <v>230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123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81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 ca="1">+IFERROR(VLOOKUP(Fact_Cumplimiento[[#This Row],[Concepto Anterior]],Conceptos_Cumplimiento[#All],7,0),"")</f>
        <v/>
      </c>
      <c r="G103" s="138" t="s">
        <v>230</v>
      </c>
      <c r="H103" s="138" t="s">
        <v>230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123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170</v>
      </c>
      <c r="E104" t="str">
        <f>+IFERROR(VLOOKUP(Fact_Cumplimiento[[#This Row],[Concepto Anterior]],Conceptos_Cumplimiento[#All],5,0),"")</f>
        <v>Informes realizados</v>
      </c>
      <c r="F104" t="str">
        <f ca="1">+IFERROR(VLOOKUP(Fact_Cumplimiento[[#This Row],[Concepto Anterior]],Conceptos_Cumplimiento[#All],7,0),"")</f>
        <v/>
      </c>
      <c r="G104" s="138" t="s">
        <v>230</v>
      </c>
      <c r="H104" s="138" t="s">
        <v>230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123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79</v>
      </c>
      <c r="E105" t="str">
        <f>+IFERROR(VLOOKUP(Fact_Cumplimiento[[#This Row],[Concepto Anterior]],Conceptos_Cumplimiento[#All],5,0),"")</f>
        <v>Numero de razones sociales atendidas directas</v>
      </c>
      <c r="F105" t="str">
        <f ca="1">+IFERROR(VLOOKUP(Fact_Cumplimiento[[#This Row],[Concepto Anterior]],Conceptos_Cumplimiento[#All],7,0),"")</f>
        <v/>
      </c>
      <c r="G105" s="138" t="s">
        <v>230</v>
      </c>
      <c r="H105" s="138" t="s">
        <v>230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123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80</v>
      </c>
      <c r="E106" t="str">
        <f>+IFERROR(VLOOKUP(Fact_Cumplimiento[[#This Row],[Concepto Anterior]],Conceptos_Cumplimiento[#All],5,0),"")</f>
        <v>Numero de razones sociales atendidas indirectas</v>
      </c>
      <c r="F106" t="str">
        <f ca="1">+IFERROR(VLOOKUP(Fact_Cumplimiento[[#This Row],[Concepto Anterior]],Conceptos_Cumplimiento[#All],7,0),"")</f>
        <v/>
      </c>
      <c r="G106" s="138" t="s">
        <v>230</v>
      </c>
      <c r="H106" s="138" t="s">
        <v>230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123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145</v>
      </c>
      <c r="E107" t="str">
        <f>+IFERROR(VLOOKUP(Fact_Cumplimiento[[#This Row],[Concepto Anterior]],Conceptos_Cumplimiento[#All],5,0),"")</f>
        <v>Numeros de terceros evaluados</v>
      </c>
      <c r="F107" t="str">
        <f ca="1">+IFERROR(VLOOKUP(Fact_Cumplimiento[[#This Row],[Concepto Anterior]],Conceptos_Cumplimiento[#All],7,0),"")</f>
        <v/>
      </c>
      <c r="G107" s="138" t="s">
        <v>230</v>
      </c>
      <c r="H107" s="138" t="s">
        <v>230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123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155</v>
      </c>
      <c r="E108" t="str">
        <f>+IFERROR(VLOOKUP(Fact_Cumplimiento[[#This Row],[Concepto Anterior]],Conceptos_Cumplimiento[#All],5,0),"")</f>
        <v>Público Capacitado</v>
      </c>
      <c r="F108" t="str">
        <f ca="1">+IFERROR(VLOOKUP(Fact_Cumplimiento[[#This Row],[Concepto Anterior]],Conceptos_Cumplimiento[#All],7,0),"")</f>
        <v/>
      </c>
      <c r="G108" s="138" t="s">
        <v>230</v>
      </c>
      <c r="H108" s="138" t="s">
        <v>230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123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178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 ca="1">+IFERROR(VLOOKUP(Fact_Cumplimiento[[#This Row],[Concepto Anterior]],Conceptos_Cumplimiento[#All],7,0),"")</f>
        <v/>
      </c>
      <c r="G109" s="138" t="s">
        <v>230</v>
      </c>
      <c r="H109" s="138" t="s">
        <v>230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130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82</v>
      </c>
      <c r="E110" t="str">
        <f>+IFERROR(VLOOKUP(Fact_Cumplimiento[[#This Row],[Concepto Anterior]],Conceptos_Cumplimiento[#All],5,0),"")</f>
        <v>Comunicados para generación de cultura de riesgos</v>
      </c>
      <c r="F110" t="str">
        <f ca="1">+IFERROR(VLOOKUP(Fact_Cumplimiento[[#This Row],[Concepto Anterior]],Conceptos_Cumplimiento[#All],7,0),"")</f>
        <v/>
      </c>
      <c r="G110" s="138" t="s">
        <v>230</v>
      </c>
      <c r="H110" s="138" t="s">
        <v>230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130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81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 ca="1">+IFERROR(VLOOKUP(Fact_Cumplimiento[[#This Row],[Concepto Anterior]],Conceptos_Cumplimiento[#All],7,0),"")</f>
        <v/>
      </c>
      <c r="G111" s="138" t="s">
        <v>230</v>
      </c>
      <c r="H111" s="138" t="s">
        <v>230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130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170</v>
      </c>
      <c r="E112" t="str">
        <f>+IFERROR(VLOOKUP(Fact_Cumplimiento[[#This Row],[Concepto Anterior]],Conceptos_Cumplimiento[#All],5,0),"")</f>
        <v>Informes realizados</v>
      </c>
      <c r="F112" t="str">
        <f ca="1">+IFERROR(VLOOKUP(Fact_Cumplimiento[[#This Row],[Concepto Anterior]],Conceptos_Cumplimiento[#All],7,0),"")</f>
        <v/>
      </c>
      <c r="G112" s="138" t="s">
        <v>230</v>
      </c>
      <c r="H112" s="138" t="s">
        <v>230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130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79</v>
      </c>
      <c r="E113" t="str">
        <f>+IFERROR(VLOOKUP(Fact_Cumplimiento[[#This Row],[Concepto Anterior]],Conceptos_Cumplimiento[#All],5,0),"")</f>
        <v>Numero de razones sociales atendidas directas</v>
      </c>
      <c r="F113" t="str">
        <f ca="1">+IFERROR(VLOOKUP(Fact_Cumplimiento[[#This Row],[Concepto Anterior]],Conceptos_Cumplimiento[#All],7,0),"")</f>
        <v/>
      </c>
      <c r="G113" s="138" t="s">
        <v>230</v>
      </c>
      <c r="H113" s="138" t="s">
        <v>230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130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80</v>
      </c>
      <c r="E114" t="str">
        <f>+IFERROR(VLOOKUP(Fact_Cumplimiento[[#This Row],[Concepto Anterior]],Conceptos_Cumplimiento[#All],5,0),"")</f>
        <v>Numero de razones sociales atendidas indirectas</v>
      </c>
      <c r="F114" t="str">
        <f ca="1">+IFERROR(VLOOKUP(Fact_Cumplimiento[[#This Row],[Concepto Anterior]],Conceptos_Cumplimiento[#All],7,0),"")</f>
        <v/>
      </c>
      <c r="G114" s="138" t="s">
        <v>230</v>
      </c>
      <c r="H114" s="138" t="s">
        <v>230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130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145</v>
      </c>
      <c r="E115" t="str">
        <f>+IFERROR(VLOOKUP(Fact_Cumplimiento[[#This Row],[Concepto Anterior]],Conceptos_Cumplimiento[#All],5,0),"")</f>
        <v>Numeros de terceros evaluados</v>
      </c>
      <c r="F115" t="str">
        <f ca="1">+IFERROR(VLOOKUP(Fact_Cumplimiento[[#This Row],[Concepto Anterior]],Conceptos_Cumplimiento[#All],7,0),"")</f>
        <v/>
      </c>
      <c r="G115" s="138" t="s">
        <v>230</v>
      </c>
      <c r="H115" s="138" t="s">
        <v>230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130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155</v>
      </c>
      <c r="E116" t="str">
        <f>+IFERROR(VLOOKUP(Fact_Cumplimiento[[#This Row],[Concepto Anterior]],Conceptos_Cumplimiento[#All],5,0),"")</f>
        <v>Público Capacitado</v>
      </c>
      <c r="F116" t="str">
        <f ca="1">+IFERROR(VLOOKUP(Fact_Cumplimiento[[#This Row],[Concepto Anterior]],Conceptos_Cumplimiento[#All],7,0),"")</f>
        <v/>
      </c>
      <c r="G116" s="138" t="s">
        <v>230</v>
      </c>
      <c r="H116" s="138" t="s">
        <v>230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130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178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 ca="1">+IFERROR(VLOOKUP(Fact_Cumplimiento[[#This Row],[Concepto Anterior]],Conceptos_Cumplimiento[#All],7,0),"")</f>
        <v/>
      </c>
      <c r="G117" s="138" t="s">
        <v>230</v>
      </c>
      <c r="H117" s="138" t="s">
        <v>230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137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82</v>
      </c>
      <c r="E118" t="str">
        <f>+IFERROR(VLOOKUP(Fact_Cumplimiento[[#This Row],[Concepto Anterior]],Conceptos_Cumplimiento[#All],5,0),"")</f>
        <v>Comunicados para generación de cultura de riesgos</v>
      </c>
      <c r="F118" t="str">
        <f ca="1">+IFERROR(VLOOKUP(Fact_Cumplimiento[[#This Row],[Concepto Anterior]],Conceptos_Cumplimiento[#All],7,0),"")</f>
        <v/>
      </c>
      <c r="G118" s="138" t="s">
        <v>230</v>
      </c>
      <c r="H118" s="138" t="s">
        <v>230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137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81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 ca="1">+IFERROR(VLOOKUP(Fact_Cumplimiento[[#This Row],[Concepto Anterior]],Conceptos_Cumplimiento[#All],7,0),"")</f>
        <v/>
      </c>
      <c r="G119" s="138" t="s">
        <v>230</v>
      </c>
      <c r="H119" s="138" t="s">
        <v>230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137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170</v>
      </c>
      <c r="E120" t="str">
        <f>+IFERROR(VLOOKUP(Fact_Cumplimiento[[#This Row],[Concepto Anterior]],Conceptos_Cumplimiento[#All],5,0),"")</f>
        <v>Informes realizados</v>
      </c>
      <c r="F120" t="str">
        <f ca="1">+IFERROR(VLOOKUP(Fact_Cumplimiento[[#This Row],[Concepto Anterior]],Conceptos_Cumplimiento[#All],7,0),"")</f>
        <v/>
      </c>
      <c r="G120" s="138" t="s">
        <v>230</v>
      </c>
      <c r="H120" s="138" t="s">
        <v>230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137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79</v>
      </c>
      <c r="E121" t="str">
        <f>+IFERROR(VLOOKUP(Fact_Cumplimiento[[#This Row],[Concepto Anterior]],Conceptos_Cumplimiento[#All],5,0),"")</f>
        <v>Numero de razones sociales atendidas directas</v>
      </c>
      <c r="F121" t="str">
        <f ca="1">+IFERROR(VLOOKUP(Fact_Cumplimiento[[#This Row],[Concepto Anterior]],Conceptos_Cumplimiento[#All],7,0),"")</f>
        <v/>
      </c>
      <c r="G121" s="138" t="s">
        <v>230</v>
      </c>
      <c r="H121" s="138" t="s">
        <v>230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137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80</v>
      </c>
      <c r="E122" t="str">
        <f>+IFERROR(VLOOKUP(Fact_Cumplimiento[[#This Row],[Concepto Anterior]],Conceptos_Cumplimiento[#All],5,0),"")</f>
        <v>Numero de razones sociales atendidas indirectas</v>
      </c>
      <c r="F122" t="str">
        <f ca="1">+IFERROR(VLOOKUP(Fact_Cumplimiento[[#This Row],[Concepto Anterior]],Conceptos_Cumplimiento[#All],7,0),"")</f>
        <v/>
      </c>
      <c r="G122" s="138" t="s">
        <v>230</v>
      </c>
      <c r="H122" s="138" t="s">
        <v>230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137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145</v>
      </c>
      <c r="E123" t="str">
        <f>+IFERROR(VLOOKUP(Fact_Cumplimiento[[#This Row],[Concepto Anterior]],Conceptos_Cumplimiento[#All],5,0),"")</f>
        <v>Numeros de terceros evaluados</v>
      </c>
      <c r="F123" t="str">
        <f ca="1">+IFERROR(VLOOKUP(Fact_Cumplimiento[[#This Row],[Concepto Anterior]],Conceptos_Cumplimiento[#All],7,0),"")</f>
        <v/>
      </c>
      <c r="G123" s="138" t="s">
        <v>230</v>
      </c>
      <c r="H123" s="138" t="s">
        <v>230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137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155</v>
      </c>
      <c r="E124" t="str">
        <f>+IFERROR(VLOOKUP(Fact_Cumplimiento[[#This Row],[Concepto Anterior]],Conceptos_Cumplimiento[#All],5,0),"")</f>
        <v>Público Capacitado</v>
      </c>
      <c r="F124" t="str">
        <f ca="1">+IFERROR(VLOOKUP(Fact_Cumplimiento[[#This Row],[Concepto Anterior]],Conceptos_Cumplimiento[#All],7,0),"")</f>
        <v/>
      </c>
      <c r="G124" s="138" t="s">
        <v>230</v>
      </c>
      <c r="H124" s="138" t="s">
        <v>230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137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178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 ca="1">+IFERROR(VLOOKUP(Fact_Cumplimiento[[#This Row],[Concepto Anterior]],Conceptos_Cumplimiento[#All],7,0),"")</f>
        <v/>
      </c>
      <c r="G125" s="138" t="s">
        <v>230</v>
      </c>
      <c r="H125" s="138" t="s">
        <v>230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147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82</v>
      </c>
      <c r="E126" t="str">
        <f>+IFERROR(VLOOKUP(Fact_Cumplimiento[[#This Row],[Concepto Anterior]],Conceptos_Cumplimiento[#All],5,0),"")</f>
        <v>Comunicados para generación de cultura de riesgos</v>
      </c>
      <c r="F126" t="str">
        <f ca="1">+IFERROR(VLOOKUP(Fact_Cumplimiento[[#This Row],[Concepto Anterior]],Conceptos_Cumplimiento[#All],7,0),"")</f>
        <v/>
      </c>
      <c r="G126" s="138" t="s">
        <v>230</v>
      </c>
      <c r="H126" s="138" t="s">
        <v>230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147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81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 ca="1">+IFERROR(VLOOKUP(Fact_Cumplimiento[[#This Row],[Concepto Anterior]],Conceptos_Cumplimiento[#All],7,0),"")</f>
        <v/>
      </c>
      <c r="G127" s="138" t="s">
        <v>230</v>
      </c>
      <c r="H127" s="138" t="s">
        <v>230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147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170</v>
      </c>
      <c r="E128" t="str">
        <f>+IFERROR(VLOOKUP(Fact_Cumplimiento[[#This Row],[Concepto Anterior]],Conceptos_Cumplimiento[#All],5,0),"")</f>
        <v>Informes realizados</v>
      </c>
      <c r="F128" t="str">
        <f ca="1">+IFERROR(VLOOKUP(Fact_Cumplimiento[[#This Row],[Concepto Anterior]],Conceptos_Cumplimiento[#All],7,0),"")</f>
        <v/>
      </c>
      <c r="G128" s="138" t="s">
        <v>230</v>
      </c>
      <c r="H128" s="138" t="s">
        <v>230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147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79</v>
      </c>
      <c r="E129" t="str">
        <f>+IFERROR(VLOOKUP(Fact_Cumplimiento[[#This Row],[Concepto Anterior]],Conceptos_Cumplimiento[#All],5,0),"")</f>
        <v>Numero de razones sociales atendidas directas</v>
      </c>
      <c r="F129" t="str">
        <f ca="1">+IFERROR(VLOOKUP(Fact_Cumplimiento[[#This Row],[Concepto Anterior]],Conceptos_Cumplimiento[#All],7,0),"")</f>
        <v/>
      </c>
      <c r="G129" s="138" t="s">
        <v>230</v>
      </c>
      <c r="H129" s="138" t="s">
        <v>230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147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80</v>
      </c>
      <c r="E130" t="str">
        <f>+IFERROR(VLOOKUP(Fact_Cumplimiento[[#This Row],[Concepto Anterior]],Conceptos_Cumplimiento[#All],5,0),"")</f>
        <v>Numero de razones sociales atendidas indirectas</v>
      </c>
      <c r="F130" t="str">
        <f ca="1">+IFERROR(VLOOKUP(Fact_Cumplimiento[[#This Row],[Concepto Anterior]],Conceptos_Cumplimiento[#All],7,0),"")</f>
        <v/>
      </c>
      <c r="G130" s="138" t="s">
        <v>230</v>
      </c>
      <c r="H130" s="138" t="s">
        <v>230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147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145</v>
      </c>
      <c r="E131" t="str">
        <f>+IFERROR(VLOOKUP(Fact_Cumplimiento[[#This Row],[Concepto Anterior]],Conceptos_Cumplimiento[#All],5,0),"")</f>
        <v>Numeros de terceros evaluados</v>
      </c>
      <c r="F131" t="str">
        <f ca="1">+IFERROR(VLOOKUP(Fact_Cumplimiento[[#This Row],[Concepto Anterior]],Conceptos_Cumplimiento[#All],7,0),"")</f>
        <v/>
      </c>
      <c r="G131" s="138" t="s">
        <v>230</v>
      </c>
      <c r="H131" s="138" t="s">
        <v>230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147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155</v>
      </c>
      <c r="E132" t="str">
        <f>+IFERROR(VLOOKUP(Fact_Cumplimiento[[#This Row],[Concepto Anterior]],Conceptos_Cumplimiento[#All],5,0),"")</f>
        <v>Público Capacitado</v>
      </c>
      <c r="F132" t="str">
        <f ca="1">+IFERROR(VLOOKUP(Fact_Cumplimiento[[#This Row],[Concepto Anterior]],Conceptos_Cumplimiento[#All],7,0),"")</f>
        <v/>
      </c>
      <c r="G132" s="138" t="s">
        <v>230</v>
      </c>
      <c r="H132" s="138" t="s">
        <v>230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147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178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 ca="1">+IFERROR(VLOOKUP(Fact_Cumplimiento[[#This Row],[Concepto Anterior]],Conceptos_Cumplimiento[#All],7,0),"")</f>
        <v/>
      </c>
      <c r="G133" s="138" t="s">
        <v>230</v>
      </c>
      <c r="H133" s="138" t="s">
        <v>230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157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82</v>
      </c>
      <c r="E134" t="str">
        <f>+IFERROR(VLOOKUP(Fact_Cumplimiento[[#This Row],[Concepto Anterior]],Conceptos_Cumplimiento[#All],5,0),"")</f>
        <v>Comunicados para generación de cultura de riesgos</v>
      </c>
      <c r="F134" t="str">
        <f ca="1">+IFERROR(VLOOKUP(Fact_Cumplimiento[[#This Row],[Concepto Anterior]],Conceptos_Cumplimiento[#All],7,0),"")</f>
        <v/>
      </c>
      <c r="G134" s="138" t="s">
        <v>230</v>
      </c>
      <c r="H134" s="138" t="s">
        <v>230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157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81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 ca="1">+IFERROR(VLOOKUP(Fact_Cumplimiento[[#This Row],[Concepto Anterior]],Conceptos_Cumplimiento[#All],7,0),"")</f>
        <v/>
      </c>
      <c r="G135" s="138" t="s">
        <v>230</v>
      </c>
      <c r="H135" s="138" t="s">
        <v>230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157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170</v>
      </c>
      <c r="E136" t="str">
        <f>+IFERROR(VLOOKUP(Fact_Cumplimiento[[#This Row],[Concepto Anterior]],Conceptos_Cumplimiento[#All],5,0),"")</f>
        <v>Informes realizados</v>
      </c>
      <c r="F136" t="str">
        <f ca="1">+IFERROR(VLOOKUP(Fact_Cumplimiento[[#This Row],[Concepto Anterior]],Conceptos_Cumplimiento[#All],7,0),"")</f>
        <v/>
      </c>
      <c r="G136" s="138" t="s">
        <v>230</v>
      </c>
      <c r="H136" s="138" t="s">
        <v>230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157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79</v>
      </c>
      <c r="E137" t="str">
        <f>+IFERROR(VLOOKUP(Fact_Cumplimiento[[#This Row],[Concepto Anterior]],Conceptos_Cumplimiento[#All],5,0),"")</f>
        <v>Numero de razones sociales atendidas directas</v>
      </c>
      <c r="F137" t="str">
        <f ca="1">+IFERROR(VLOOKUP(Fact_Cumplimiento[[#This Row],[Concepto Anterior]],Conceptos_Cumplimiento[#All],7,0),"")</f>
        <v/>
      </c>
      <c r="G137" s="138" t="s">
        <v>230</v>
      </c>
      <c r="H137" s="138" t="s">
        <v>230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157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80</v>
      </c>
      <c r="E138" t="str">
        <f>+IFERROR(VLOOKUP(Fact_Cumplimiento[[#This Row],[Concepto Anterior]],Conceptos_Cumplimiento[#All],5,0),"")</f>
        <v>Numero de razones sociales atendidas indirectas</v>
      </c>
      <c r="F138" t="str">
        <f ca="1">+IFERROR(VLOOKUP(Fact_Cumplimiento[[#This Row],[Concepto Anterior]],Conceptos_Cumplimiento[#All],7,0),"")</f>
        <v/>
      </c>
      <c r="G138" s="138" t="s">
        <v>230</v>
      </c>
      <c r="H138" s="138" t="s">
        <v>230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157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145</v>
      </c>
      <c r="E139" t="str">
        <f>+IFERROR(VLOOKUP(Fact_Cumplimiento[[#This Row],[Concepto Anterior]],Conceptos_Cumplimiento[#All],5,0),"")</f>
        <v>Numeros de terceros evaluados</v>
      </c>
      <c r="F139" t="str">
        <f ca="1">+IFERROR(VLOOKUP(Fact_Cumplimiento[[#This Row],[Concepto Anterior]],Conceptos_Cumplimiento[#All],7,0),"")</f>
        <v/>
      </c>
      <c r="G139" s="138" t="s">
        <v>230</v>
      </c>
      <c r="H139" s="138" t="s">
        <v>230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157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155</v>
      </c>
      <c r="E140" t="str">
        <f>+IFERROR(VLOOKUP(Fact_Cumplimiento[[#This Row],[Concepto Anterior]],Conceptos_Cumplimiento[#All],5,0),"")</f>
        <v>Público Capacitado</v>
      </c>
      <c r="F140" t="str">
        <f ca="1">+IFERROR(VLOOKUP(Fact_Cumplimiento[[#This Row],[Concepto Anterior]],Conceptos_Cumplimiento[#All],7,0),"")</f>
        <v/>
      </c>
      <c r="G140" s="138" t="s">
        <v>230</v>
      </c>
      <c r="H140" s="138" t="s">
        <v>230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157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178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 ca="1">+IFERROR(VLOOKUP(Fact_Cumplimiento[[#This Row],[Concepto Anterior]],Conceptos_Cumplimiento[#All],7,0),"")</f>
        <v/>
      </c>
      <c r="G141" s="138" t="s">
        <v>230</v>
      </c>
      <c r="H141" s="138" t="s">
        <v>230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165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82</v>
      </c>
      <c r="E142" t="str">
        <f>+IFERROR(VLOOKUP(Fact_Cumplimiento[[#This Row],[Concepto Anterior]],Conceptos_Cumplimiento[#All],5,0),"")</f>
        <v>Comunicados para generación de cultura de riesgos</v>
      </c>
      <c r="F142" t="str">
        <f ca="1">+IFERROR(VLOOKUP(Fact_Cumplimiento[[#This Row],[Concepto Anterior]],Conceptos_Cumplimiento[#All],7,0),"")</f>
        <v/>
      </c>
      <c r="G142" s="138" t="s">
        <v>230</v>
      </c>
      <c r="H142" s="138" t="s">
        <v>230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165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81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 ca="1">+IFERROR(VLOOKUP(Fact_Cumplimiento[[#This Row],[Concepto Anterior]],Conceptos_Cumplimiento[#All],7,0),"")</f>
        <v/>
      </c>
      <c r="G143" s="138" t="s">
        <v>230</v>
      </c>
      <c r="H143" s="138" t="s">
        <v>230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165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170</v>
      </c>
      <c r="E144" t="str">
        <f>+IFERROR(VLOOKUP(Fact_Cumplimiento[[#This Row],[Concepto Anterior]],Conceptos_Cumplimiento[#All],5,0),"")</f>
        <v>Informes realizados</v>
      </c>
      <c r="F144" t="str">
        <f ca="1">+IFERROR(VLOOKUP(Fact_Cumplimiento[[#This Row],[Concepto Anterior]],Conceptos_Cumplimiento[#All],7,0),"")</f>
        <v/>
      </c>
      <c r="G144" s="138" t="s">
        <v>230</v>
      </c>
      <c r="H144" s="138" t="s">
        <v>230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165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79</v>
      </c>
      <c r="E145" t="str">
        <f>+IFERROR(VLOOKUP(Fact_Cumplimiento[[#This Row],[Concepto Anterior]],Conceptos_Cumplimiento[#All],5,0),"")</f>
        <v>Numero de razones sociales atendidas directas</v>
      </c>
      <c r="F145" t="str">
        <f ca="1">+IFERROR(VLOOKUP(Fact_Cumplimiento[[#This Row],[Concepto Anterior]],Conceptos_Cumplimiento[#All],7,0),"")</f>
        <v/>
      </c>
      <c r="G145" s="138" t="s">
        <v>230</v>
      </c>
      <c r="H145" s="138" t="s">
        <v>230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165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80</v>
      </c>
      <c r="E146" t="str">
        <f>+IFERROR(VLOOKUP(Fact_Cumplimiento[[#This Row],[Concepto Anterior]],Conceptos_Cumplimiento[#All],5,0),"")</f>
        <v>Numero de razones sociales atendidas indirectas</v>
      </c>
      <c r="F146" t="str">
        <f ca="1">+IFERROR(VLOOKUP(Fact_Cumplimiento[[#This Row],[Concepto Anterior]],Conceptos_Cumplimiento[#All],7,0),"")</f>
        <v/>
      </c>
      <c r="G146" s="138" t="s">
        <v>230</v>
      </c>
      <c r="H146" s="138" t="s">
        <v>230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165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145</v>
      </c>
      <c r="E147" t="str">
        <f>+IFERROR(VLOOKUP(Fact_Cumplimiento[[#This Row],[Concepto Anterior]],Conceptos_Cumplimiento[#All],5,0),"")</f>
        <v>Numeros de terceros evaluados</v>
      </c>
      <c r="F147" t="str">
        <f ca="1">+IFERROR(VLOOKUP(Fact_Cumplimiento[[#This Row],[Concepto Anterior]],Conceptos_Cumplimiento[#All],7,0),"")</f>
        <v/>
      </c>
      <c r="G147" s="138" t="s">
        <v>230</v>
      </c>
      <c r="H147" s="138" t="s">
        <v>230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165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155</v>
      </c>
      <c r="E148" t="str">
        <f>+IFERROR(VLOOKUP(Fact_Cumplimiento[[#This Row],[Concepto Anterior]],Conceptos_Cumplimiento[#All],5,0),"")</f>
        <v>Público Capacitado</v>
      </c>
      <c r="F148" t="str">
        <f ca="1">+IFERROR(VLOOKUP(Fact_Cumplimiento[[#This Row],[Concepto Anterior]],Conceptos_Cumplimiento[#All],7,0),"")</f>
        <v/>
      </c>
      <c r="G148" s="138" t="s">
        <v>230</v>
      </c>
      <c r="H148" s="138" t="s">
        <v>230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165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178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 ca="1">+IFERROR(VLOOKUP(Fact_Cumplimiento[[#This Row],[Concepto Anterior]],Conceptos_Cumplimiento[#All],7,0),"")</f>
        <v/>
      </c>
      <c r="G149" s="138" t="s">
        <v>230</v>
      </c>
      <c r="H149" s="138" t="s">
        <v>230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82</v>
      </c>
      <c r="E150" t="str">
        <f>+IFERROR(VLOOKUP(Fact_Cumplimiento[[#This Row],[Concepto Anterior]],Conceptos_Cumplimiento[#All],5,0),"")</f>
        <v>Comunicados para generación de cultura de riesgos</v>
      </c>
      <c r="F150" t="str">
        <f ca="1">+IFERROR(VLOOKUP(Fact_Cumplimiento[[#This Row],[Concepto Anterior]],Conceptos_Cumplimiento[#All],7,0),"")</f>
        <v/>
      </c>
      <c r="G150" s="138" t="s">
        <v>230</v>
      </c>
      <c r="H150" s="138" t="s">
        <v>230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81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 ca="1">+IFERROR(VLOOKUP(Fact_Cumplimiento[[#This Row],[Concepto Anterior]],Conceptos_Cumplimiento[#All],7,0),"")</f>
        <v/>
      </c>
      <c r="G151" s="138" t="s">
        <v>230</v>
      </c>
      <c r="H151" s="138" t="s">
        <v>230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170</v>
      </c>
      <c r="E152" t="str">
        <f>+IFERROR(VLOOKUP(Fact_Cumplimiento[[#This Row],[Concepto Anterior]],Conceptos_Cumplimiento[#All],5,0),"")</f>
        <v>Informes realizados</v>
      </c>
      <c r="F152" t="str">
        <f ca="1">+IFERROR(VLOOKUP(Fact_Cumplimiento[[#This Row],[Concepto Anterior]],Conceptos_Cumplimiento[#All],7,0),"")</f>
        <v/>
      </c>
      <c r="G152" s="138" t="s">
        <v>230</v>
      </c>
      <c r="H152" s="138" t="s">
        <v>230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79</v>
      </c>
      <c r="E153" t="str">
        <f>+IFERROR(VLOOKUP(Fact_Cumplimiento[[#This Row],[Concepto Anterior]],Conceptos_Cumplimiento[#All],5,0),"")</f>
        <v>Numero de razones sociales atendidas directas</v>
      </c>
      <c r="F153" t="str">
        <f ca="1">+IFERROR(VLOOKUP(Fact_Cumplimiento[[#This Row],[Concepto Anterior]],Conceptos_Cumplimiento[#All],7,0),"")</f>
        <v/>
      </c>
      <c r="G153" s="138" t="s">
        <v>230</v>
      </c>
      <c r="H153" s="138" t="s">
        <v>230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80</v>
      </c>
      <c r="E154" t="str">
        <f>+IFERROR(VLOOKUP(Fact_Cumplimiento[[#This Row],[Concepto Anterior]],Conceptos_Cumplimiento[#All],5,0),"")</f>
        <v>Numero de razones sociales atendidas indirectas</v>
      </c>
      <c r="F154" t="str">
        <f ca="1">+IFERROR(VLOOKUP(Fact_Cumplimiento[[#This Row],[Concepto Anterior]],Conceptos_Cumplimiento[#All],7,0),"")</f>
        <v/>
      </c>
      <c r="G154" s="138" t="s">
        <v>230</v>
      </c>
      <c r="H154" s="138" t="s">
        <v>230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145</v>
      </c>
      <c r="E155" t="str">
        <f>+IFERROR(VLOOKUP(Fact_Cumplimiento[[#This Row],[Concepto Anterior]],Conceptos_Cumplimiento[#All],5,0),"")</f>
        <v>Numeros de terceros evaluados</v>
      </c>
      <c r="F155" t="str">
        <f ca="1">+IFERROR(VLOOKUP(Fact_Cumplimiento[[#This Row],[Concepto Anterior]],Conceptos_Cumplimiento[#All],7,0),"")</f>
        <v/>
      </c>
      <c r="G155" s="138" t="s">
        <v>230</v>
      </c>
      <c r="H155" s="138" t="s">
        <v>230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155</v>
      </c>
      <c r="E156" t="str">
        <f>+IFERROR(VLOOKUP(Fact_Cumplimiento[[#This Row],[Concepto Anterior]],Conceptos_Cumplimiento[#All],5,0),"")</f>
        <v>Público Capacitado</v>
      </c>
      <c r="F156" t="str">
        <f ca="1">+IFERROR(VLOOKUP(Fact_Cumplimiento[[#This Row],[Concepto Anterior]],Conceptos_Cumplimiento[#All],7,0),"")</f>
        <v/>
      </c>
      <c r="G156" s="138" t="s">
        <v>230</v>
      </c>
      <c r="H156" s="138" t="s">
        <v>230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178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 ca="1">+IFERROR(VLOOKUP(Fact_Cumplimiento[[#This Row],[Concepto Anterior]],Conceptos_Cumplimiento[#All],7,0),"")</f>
        <v/>
      </c>
      <c r="G157" s="138" t="s">
        <v>230</v>
      </c>
      <c r="H157" s="138" t="s">
        <v>230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M30"/>
  <sheetViews>
    <sheetView topLeftCell="O4" zoomScaleNormal="100" workbookViewId="0">
      <selection activeCell="S13" sqref="S13"/>
    </sheetView>
  </sheetViews>
  <sheetFormatPr baseColWidth="10" defaultRowHeight="14.5" x14ac:dyDescent="0.35"/>
  <cols>
    <col min="1" max="1" width="11.7265625" bestFit="1" customWidth="1"/>
    <col min="2" max="2" width="50.90625" bestFit="1" customWidth="1"/>
    <col min="3" max="3" width="12.54296875" bestFit="1" customWidth="1"/>
    <col min="4" max="4" width="12" bestFit="1" customWidth="1"/>
    <col min="5" max="5" width="8.26953125" bestFit="1" customWidth="1"/>
    <col min="6" max="6" width="13.36328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36328125" bestFit="1" customWidth="1"/>
    <col min="11" max="11" width="13" bestFit="1" customWidth="1"/>
    <col min="12" max="12" width="12.26953125" bestFit="1" customWidth="1"/>
    <col min="13" max="13" width="14.36328125" bestFit="1" customWidth="1"/>
    <col min="14" max="14" width="18.1796875" bestFit="1" customWidth="1"/>
    <col min="15" max="15" width="15.26953125" bestFit="1" customWidth="1"/>
    <col min="16" max="16" width="17.90625" bestFit="1" customWidth="1"/>
    <col min="17" max="17" width="17" bestFit="1" customWidth="1"/>
    <col min="19" max="19" width="12.1796875" bestFit="1" customWidth="1"/>
    <col min="20" max="20" width="13.6328125" bestFit="1" customWidth="1"/>
    <col min="21" max="21" width="61.81640625" bestFit="1" customWidth="1"/>
    <col min="22" max="22" width="14.81640625" bestFit="1" customWidth="1"/>
    <col min="23" max="23" width="11.81640625" bestFit="1" customWidth="1"/>
    <col min="24" max="24" width="9.632812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36328125" bestFit="1" customWidth="1"/>
    <col min="29" max="29" width="13" bestFit="1" customWidth="1"/>
    <col min="30" max="30" width="12.26953125" bestFit="1" customWidth="1"/>
    <col min="31" max="31" width="14.36328125" bestFit="1" customWidth="1"/>
    <col min="32" max="32" width="18.1796875" bestFit="1" customWidth="1"/>
    <col min="33" max="33" width="15.26953125" bestFit="1" customWidth="1"/>
    <col min="34" max="34" width="17.90625" bestFit="1" customWidth="1"/>
    <col min="35" max="35" width="17" bestFit="1" customWidth="1"/>
    <col min="38" max="39" width="4.90625" bestFit="1" customWidth="1"/>
  </cols>
  <sheetData>
    <row r="1" spans="1:39" x14ac:dyDescent="0.35">
      <c r="A1" s="127" t="s">
        <v>378</v>
      </c>
      <c r="B1" t="s">
        <v>379</v>
      </c>
      <c r="S1" s="127" t="s">
        <v>378</v>
      </c>
      <c r="T1" t="s">
        <v>89</v>
      </c>
    </row>
    <row r="3" spans="1:39" x14ac:dyDescent="0.35">
      <c r="A3" s="127" t="s">
        <v>361</v>
      </c>
      <c r="B3" s="127" t="s">
        <v>1</v>
      </c>
      <c r="C3" s="127" t="s">
        <v>364</v>
      </c>
      <c r="D3" s="127" t="s">
        <v>2</v>
      </c>
      <c r="E3" s="127" t="s">
        <v>3</v>
      </c>
      <c r="F3" t="s">
        <v>380</v>
      </c>
      <c r="G3" t="s">
        <v>381</v>
      </c>
      <c r="H3" t="s">
        <v>382</v>
      </c>
      <c r="I3" t="s">
        <v>383</v>
      </c>
      <c r="J3" t="s">
        <v>384</v>
      </c>
      <c r="K3" t="s">
        <v>385</v>
      </c>
      <c r="L3" t="s">
        <v>386</v>
      </c>
      <c r="M3" t="s">
        <v>387</v>
      </c>
      <c r="N3" t="s">
        <v>388</v>
      </c>
      <c r="O3" t="s">
        <v>389</v>
      </c>
      <c r="P3" t="s">
        <v>390</v>
      </c>
      <c r="Q3" t="s">
        <v>391</v>
      </c>
      <c r="S3" s="127" t="s">
        <v>373</v>
      </c>
      <c r="T3" s="127" t="s">
        <v>361</v>
      </c>
      <c r="U3" s="127" t="s">
        <v>1</v>
      </c>
      <c r="V3" s="127" t="s">
        <v>364</v>
      </c>
      <c r="W3" s="127" t="s">
        <v>2</v>
      </c>
      <c r="X3" s="127" t="s">
        <v>3</v>
      </c>
      <c r="Y3" t="s">
        <v>381</v>
      </c>
      <c r="Z3" t="s">
        <v>382</v>
      </c>
      <c r="AA3" t="s">
        <v>383</v>
      </c>
      <c r="AB3" t="s">
        <v>384</v>
      </c>
      <c r="AC3" t="s">
        <v>385</v>
      </c>
      <c r="AD3" t="s">
        <v>386</v>
      </c>
      <c r="AE3" t="s">
        <v>387</v>
      </c>
      <c r="AF3" t="s">
        <v>388</v>
      </c>
      <c r="AG3" t="s">
        <v>389</v>
      </c>
      <c r="AH3" t="s">
        <v>390</v>
      </c>
      <c r="AI3" t="s">
        <v>391</v>
      </c>
    </row>
    <row r="4" spans="1:39" x14ac:dyDescent="0.35">
      <c r="A4">
        <v>2024</v>
      </c>
      <c r="B4" t="s">
        <v>82</v>
      </c>
      <c r="C4" t="s">
        <v>392</v>
      </c>
      <c r="D4" t="s">
        <v>9</v>
      </c>
      <c r="E4" t="s">
        <v>12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215</v>
      </c>
      <c r="V4" t="s">
        <v>392</v>
      </c>
      <c r="W4" t="s">
        <v>9</v>
      </c>
      <c r="X4" t="s">
        <v>12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81</v>
      </c>
      <c r="C5" t="s">
        <v>392</v>
      </c>
      <c r="D5" t="s">
        <v>9</v>
      </c>
      <c r="E5" t="s">
        <v>12</v>
      </c>
      <c r="N5">
        <v>1</v>
      </c>
      <c r="S5">
        <v>0</v>
      </c>
      <c r="T5">
        <v>2025</v>
      </c>
      <c r="U5" t="s">
        <v>228</v>
      </c>
      <c r="V5" t="s">
        <v>392</v>
      </c>
      <c r="W5" t="s">
        <v>6</v>
      </c>
      <c r="X5" t="s">
        <v>7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79</v>
      </c>
      <c r="C6" t="s">
        <v>392</v>
      </c>
      <c r="D6" t="s">
        <v>9</v>
      </c>
      <c r="E6" t="s">
        <v>12</v>
      </c>
      <c r="N6">
        <v>1</v>
      </c>
      <c r="S6">
        <v>0</v>
      </c>
      <c r="T6">
        <v>2025</v>
      </c>
      <c r="U6" t="s">
        <v>233</v>
      </c>
      <c r="V6" t="s">
        <v>392</v>
      </c>
      <c r="W6" t="s">
        <v>6</v>
      </c>
      <c r="X6" t="s">
        <v>7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80</v>
      </c>
      <c r="C7" t="s">
        <v>392</v>
      </c>
      <c r="D7" t="s">
        <v>9</v>
      </c>
      <c r="E7" t="s">
        <v>12</v>
      </c>
      <c r="S7">
        <v>0</v>
      </c>
      <c r="T7">
        <v>2025</v>
      </c>
      <c r="U7" t="s">
        <v>237</v>
      </c>
      <c r="V7" t="s">
        <v>392</v>
      </c>
      <c r="W7" t="s">
        <v>6</v>
      </c>
      <c r="X7" t="s">
        <v>7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145</v>
      </c>
      <c r="C8" t="s">
        <v>392</v>
      </c>
      <c r="D8" t="s">
        <v>9</v>
      </c>
      <c r="E8" t="s">
        <v>12</v>
      </c>
      <c r="S8">
        <v>0</v>
      </c>
      <c r="T8">
        <v>2025</v>
      </c>
      <c r="U8" t="s">
        <v>51</v>
      </c>
      <c r="V8" t="s">
        <v>392</v>
      </c>
      <c r="W8" t="s">
        <v>6</v>
      </c>
      <c r="X8" t="s">
        <v>7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83</v>
      </c>
      <c r="C9" t="s">
        <v>392</v>
      </c>
      <c r="D9" t="s">
        <v>9</v>
      </c>
      <c r="E9" t="s">
        <v>12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393</v>
      </c>
      <c r="V9" t="s">
        <v>392</v>
      </c>
      <c r="W9" t="s">
        <v>9</v>
      </c>
      <c r="X9" t="s">
        <v>139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1553.492340908158</v>
      </c>
      <c r="AM9" s="142">
        <v>1553</v>
      </c>
    </row>
    <row r="10" spans="1:39" x14ac:dyDescent="0.35">
      <c r="A10">
        <v>2024</v>
      </c>
      <c r="B10" t="s">
        <v>84</v>
      </c>
      <c r="C10" t="s">
        <v>392</v>
      </c>
      <c r="D10" t="s">
        <v>9</v>
      </c>
      <c r="E10" t="s">
        <v>12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221</v>
      </c>
      <c r="V10" t="s">
        <v>392</v>
      </c>
      <c r="W10" t="s">
        <v>9</v>
      </c>
      <c r="X10" t="s">
        <v>12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1220.388051136144</v>
      </c>
      <c r="AM10" s="142">
        <v>1220</v>
      </c>
    </row>
    <row r="11" spans="1:39" x14ac:dyDescent="0.35">
      <c r="A11">
        <v>2025</v>
      </c>
      <c r="B11" t="s">
        <v>82</v>
      </c>
      <c r="C11" t="s">
        <v>392</v>
      </c>
      <c r="D11" t="s">
        <v>9</v>
      </c>
      <c r="E11" t="s">
        <v>12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170</v>
      </c>
      <c r="V11" t="s">
        <v>392</v>
      </c>
      <c r="W11" t="s">
        <v>9</v>
      </c>
      <c r="X11" t="s">
        <v>12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81</v>
      </c>
      <c r="C12" t="s">
        <v>392</v>
      </c>
      <c r="D12" t="s">
        <v>9</v>
      </c>
      <c r="E12" t="s">
        <v>12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170</v>
      </c>
      <c r="V12" t="s">
        <v>392</v>
      </c>
      <c r="W12" t="s">
        <v>9</v>
      </c>
      <c r="X12" t="s">
        <v>12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170</v>
      </c>
      <c r="C13" t="s">
        <v>392</v>
      </c>
      <c r="D13" t="s">
        <v>9</v>
      </c>
      <c r="E13" t="s">
        <v>12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202</v>
      </c>
      <c r="V13" t="s">
        <v>392</v>
      </c>
      <c r="W13" t="s">
        <v>9</v>
      </c>
      <c r="X13" t="s">
        <v>12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79</v>
      </c>
      <c r="C14" t="s">
        <v>392</v>
      </c>
      <c r="D14" t="s">
        <v>9</v>
      </c>
      <c r="E14" t="s">
        <v>12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243</v>
      </c>
      <c r="V14" t="s">
        <v>392</v>
      </c>
      <c r="W14" t="s">
        <v>9</v>
      </c>
      <c r="X14" t="s">
        <v>12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1162.5799959166529</v>
      </c>
      <c r="AM14" s="142">
        <v>1163</v>
      </c>
    </row>
    <row r="15" spans="1:39" x14ac:dyDescent="0.35">
      <c r="A15">
        <v>2025</v>
      </c>
      <c r="B15" t="s">
        <v>80</v>
      </c>
      <c r="C15" t="s">
        <v>392</v>
      </c>
      <c r="D15" t="s">
        <v>9</v>
      </c>
      <c r="E15" t="s">
        <v>12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79</v>
      </c>
      <c r="V15" t="s">
        <v>392</v>
      </c>
      <c r="W15" t="s">
        <v>9</v>
      </c>
      <c r="X15" t="s">
        <v>12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</v>
      </c>
      <c r="AM15" s="142">
        <v>1581</v>
      </c>
    </row>
    <row r="16" spans="1:39" x14ac:dyDescent="0.35">
      <c r="A16">
        <v>2025</v>
      </c>
      <c r="B16" t="s">
        <v>145</v>
      </c>
      <c r="C16" t="s">
        <v>392</v>
      </c>
      <c r="D16" t="s">
        <v>9</v>
      </c>
      <c r="E16" t="s">
        <v>12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208</v>
      </c>
      <c r="V16" t="s">
        <v>392</v>
      </c>
      <c r="W16" t="s">
        <v>9</v>
      </c>
      <c r="X16" t="s">
        <v>12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1956.1274143299811</v>
      </c>
      <c r="AM16" s="142">
        <v>1957</v>
      </c>
    </row>
    <row r="17" spans="1:39" x14ac:dyDescent="0.35">
      <c r="A17">
        <v>2025</v>
      </c>
      <c r="B17" t="s">
        <v>83</v>
      </c>
      <c r="C17" t="s">
        <v>392</v>
      </c>
      <c r="D17" t="s">
        <v>9</v>
      </c>
      <c r="E17" t="s">
        <v>12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47</v>
      </c>
      <c r="V17" t="s">
        <v>392</v>
      </c>
      <c r="W17" t="s">
        <v>9</v>
      </c>
      <c r="X17" t="s">
        <v>12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265.39253927142107</v>
      </c>
      <c r="AM17" s="142">
        <v>265</v>
      </c>
    </row>
    <row r="18" spans="1:39" x14ac:dyDescent="0.35">
      <c r="A18">
        <v>2025</v>
      </c>
      <c r="B18" t="s">
        <v>178</v>
      </c>
      <c r="C18" t="s">
        <v>392</v>
      </c>
      <c r="D18" t="s">
        <v>9</v>
      </c>
      <c r="E18" t="s">
        <v>12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48</v>
      </c>
      <c r="V18" t="s">
        <v>392</v>
      </c>
      <c r="W18" t="s">
        <v>9</v>
      </c>
      <c r="X18" t="s">
        <v>12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1285.2895729537261</v>
      </c>
      <c r="AM18" s="142">
        <v>1285</v>
      </c>
    </row>
    <row r="19" spans="1:39" x14ac:dyDescent="0.35">
      <c r="A19" t="s">
        <v>394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194</v>
      </c>
      <c r="V19" t="s">
        <v>392</v>
      </c>
      <c r="W19" t="s">
        <v>9</v>
      </c>
      <c r="X19" t="s">
        <v>12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52</v>
      </c>
      <c r="V20" t="s">
        <v>392</v>
      </c>
      <c r="W20" t="s">
        <v>9</v>
      </c>
      <c r="X20" t="s">
        <v>12</v>
      </c>
      <c r="Y20">
        <v>1300</v>
      </c>
      <c r="Z20">
        <v>1319</v>
      </c>
      <c r="AA20">
        <v>1329</v>
      </c>
      <c r="AB20">
        <v>1331</v>
      </c>
      <c r="AL20" s="142">
        <v>346.38628170657398</v>
      </c>
      <c r="AM20" s="142">
        <v>346</v>
      </c>
    </row>
    <row r="21" spans="1:39" x14ac:dyDescent="0.35">
      <c r="S21">
        <v>1283</v>
      </c>
      <c r="T21">
        <v>2025</v>
      </c>
      <c r="U21" t="s">
        <v>52</v>
      </c>
      <c r="V21" t="s">
        <v>392</v>
      </c>
      <c r="W21" t="s">
        <v>9</v>
      </c>
      <c r="X21" t="s">
        <v>12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46</v>
      </c>
      <c r="V22" t="s">
        <v>392</v>
      </c>
      <c r="W22" t="s">
        <v>9</v>
      </c>
      <c r="X22" t="s">
        <v>12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46</v>
      </c>
      <c r="V23" t="s">
        <v>392</v>
      </c>
      <c r="W23" t="s">
        <v>9</v>
      </c>
      <c r="X23" t="s">
        <v>12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45</v>
      </c>
      <c r="V24" t="s">
        <v>392</v>
      </c>
      <c r="W24" t="s">
        <v>9</v>
      </c>
      <c r="X24" t="s">
        <v>12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45</v>
      </c>
      <c r="V25" t="s">
        <v>392</v>
      </c>
      <c r="W25" t="s">
        <v>9</v>
      </c>
      <c r="X25" t="s">
        <v>12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392</v>
      </c>
      <c r="T26">
        <v>2024</v>
      </c>
      <c r="U26" t="s">
        <v>49</v>
      </c>
      <c r="V26" t="s">
        <v>392</v>
      </c>
      <c r="W26" t="s">
        <v>6</v>
      </c>
      <c r="X26" t="s">
        <v>7</v>
      </c>
      <c r="AB26">
        <v>2625812</v>
      </c>
    </row>
    <row r="27" spans="1:39" x14ac:dyDescent="0.35">
      <c r="S27" t="s">
        <v>392</v>
      </c>
      <c r="T27">
        <v>2024</v>
      </c>
      <c r="U27" t="s">
        <v>50</v>
      </c>
      <c r="V27" t="s">
        <v>392</v>
      </c>
      <c r="W27" t="s">
        <v>9</v>
      </c>
      <c r="X27" t="s">
        <v>12</v>
      </c>
      <c r="Y27">
        <v>1</v>
      </c>
    </row>
    <row r="28" spans="1:39" x14ac:dyDescent="0.35">
      <c r="S28" t="s">
        <v>392</v>
      </c>
      <c r="T28">
        <v>2024</v>
      </c>
      <c r="U28" t="s">
        <v>51</v>
      </c>
      <c r="V28" t="s">
        <v>392</v>
      </c>
      <c r="W28" t="s">
        <v>6</v>
      </c>
      <c r="X28" t="s">
        <v>7</v>
      </c>
      <c r="AG28">
        <v>216542249</v>
      </c>
    </row>
    <row r="29" spans="1:39" x14ac:dyDescent="0.35">
      <c r="S29" t="s">
        <v>392</v>
      </c>
      <c r="T29">
        <v>2025</v>
      </c>
      <c r="U29" t="s">
        <v>153</v>
      </c>
      <c r="V29" t="s">
        <v>392</v>
      </c>
      <c r="W29" t="s">
        <v>9</v>
      </c>
      <c r="X29" t="s">
        <v>139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394</v>
      </c>
      <c r="Y30">
        <v>16854766.87896996</v>
      </c>
      <c r="Z30">
        <v>389164760.50529963</v>
      </c>
      <c r="AA30">
        <v>43049646.570897423</v>
      </c>
      <c r="AB30">
        <v>120028350.7162064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216553548.67580611</v>
      </c>
      <c r="AH30">
        <v>11221.75167294019</v>
      </c>
      <c r="AI30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 filterMode="1"/>
  <dimension ref="A1:R168"/>
  <sheetViews>
    <sheetView zoomScale="120" zoomScaleNormal="120" workbookViewId="0">
      <selection activeCell="C166" sqref="C166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378</v>
      </c>
      <c r="B1" s="2" t="s">
        <v>361</v>
      </c>
      <c r="C1" s="2" t="s">
        <v>1</v>
      </c>
      <c r="D1" s="2" t="s">
        <v>364</v>
      </c>
      <c r="E1" s="2" t="s">
        <v>2</v>
      </c>
      <c r="F1" s="2" t="s">
        <v>3</v>
      </c>
      <c r="G1" s="2" t="s">
        <v>373</v>
      </c>
      <c r="H1" s="2" t="s">
        <v>375</v>
      </c>
      <c r="I1" s="2" t="s">
        <v>377</v>
      </c>
      <c r="J1" s="2" t="s">
        <v>376</v>
      </c>
      <c r="K1" s="2" t="s">
        <v>368</v>
      </c>
      <c r="L1" s="2" t="s">
        <v>369</v>
      </c>
      <c r="M1" s="2" t="s">
        <v>370</v>
      </c>
      <c r="N1" s="2" t="s">
        <v>371</v>
      </c>
      <c r="O1" s="2" t="s">
        <v>372</v>
      </c>
      <c r="P1" s="2" t="s">
        <v>395</v>
      </c>
      <c r="Q1" s="2" t="s">
        <v>374</v>
      </c>
      <c r="R1" s="2" t="s">
        <v>396</v>
      </c>
    </row>
    <row r="2" spans="1:18" hidden="1" x14ac:dyDescent="0.35">
      <c r="A2" s="3" t="s">
        <v>87</v>
      </c>
      <c r="B2" s="4">
        <v>2024</v>
      </c>
      <c r="C2" s="4" t="s">
        <v>5</v>
      </c>
      <c r="D2" s="4"/>
      <c r="E2" s="4" t="s">
        <v>6</v>
      </c>
      <c r="F2" s="5" t="s">
        <v>7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87</v>
      </c>
      <c r="B3" s="11">
        <v>2024</v>
      </c>
      <c r="C3" s="11" t="s">
        <v>8</v>
      </c>
      <c r="D3" s="11"/>
      <c r="E3" s="11" t="s">
        <v>9</v>
      </c>
      <c r="F3" s="12" t="s">
        <v>10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87</v>
      </c>
      <c r="B4" s="4">
        <v>2024</v>
      </c>
      <c r="C4" s="4" t="s">
        <v>11</v>
      </c>
      <c r="D4" s="4"/>
      <c r="E4" s="4" t="s">
        <v>9</v>
      </c>
      <c r="F4" s="5" t="s">
        <v>12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87</v>
      </c>
      <c r="B5" s="11">
        <v>2024</v>
      </c>
      <c r="C5" s="11" t="s">
        <v>180</v>
      </c>
      <c r="D5" s="11"/>
      <c r="E5" s="11" t="s">
        <v>6</v>
      </c>
      <c r="F5" s="12" t="s">
        <v>7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87</v>
      </c>
      <c r="B6" s="4">
        <v>2024</v>
      </c>
      <c r="C6" s="4" t="s">
        <v>14</v>
      </c>
      <c r="D6" s="4"/>
      <c r="E6" s="4" t="s">
        <v>6</v>
      </c>
      <c r="F6" s="5" t="s">
        <v>7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87</v>
      </c>
      <c r="B7" s="11">
        <v>2024</v>
      </c>
      <c r="C7" s="11" t="s">
        <v>15</v>
      </c>
      <c r="D7" s="11"/>
      <c r="E7" s="11" t="s">
        <v>6</v>
      </c>
      <c r="F7" s="12" t="s">
        <v>7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87</v>
      </c>
      <c r="B8" s="4">
        <v>2024</v>
      </c>
      <c r="C8" s="4" t="s">
        <v>16</v>
      </c>
      <c r="D8" s="4"/>
      <c r="E8" s="4" t="s">
        <v>6</v>
      </c>
      <c r="F8" s="5" t="s">
        <v>7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87</v>
      </c>
      <c r="B9" s="11">
        <v>2024</v>
      </c>
      <c r="C9" s="11" t="s">
        <v>17</v>
      </c>
      <c r="D9" s="11"/>
      <c r="E9" s="11" t="s">
        <v>9</v>
      </c>
      <c r="F9" s="12" t="s">
        <v>12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87</v>
      </c>
      <c r="B10" s="4">
        <v>2024</v>
      </c>
      <c r="C10" s="4" t="s">
        <v>18</v>
      </c>
      <c r="D10" s="4"/>
      <c r="E10" s="4" t="s">
        <v>9</v>
      </c>
      <c r="F10" s="5" t="s">
        <v>12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87</v>
      </c>
      <c r="B11" s="11">
        <v>2024</v>
      </c>
      <c r="C11" s="11" t="s">
        <v>19</v>
      </c>
      <c r="D11" s="11"/>
      <c r="E11" s="11" t="s">
        <v>9</v>
      </c>
      <c r="F11" s="12" t="s">
        <v>12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87</v>
      </c>
      <c r="B12" s="4">
        <v>2024</v>
      </c>
      <c r="C12" s="21" t="s">
        <v>138</v>
      </c>
      <c r="D12" s="21"/>
      <c r="E12" s="21" t="s">
        <v>9</v>
      </c>
      <c r="F12" s="22" t="s">
        <v>139</v>
      </c>
      <c r="G12" s="23">
        <f t="shared" ref="G12:R12" si="1">G10/G9</f>
        <v>0.68516129032258066</v>
      </c>
      <c r="H12" s="23">
        <f t="shared" si="1"/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397</v>
      </c>
      <c r="B13" s="11">
        <v>2024</v>
      </c>
      <c r="C13" s="25" t="s">
        <v>398</v>
      </c>
      <c r="D13" s="25"/>
      <c r="E13" s="25" t="s">
        <v>9</v>
      </c>
      <c r="F13" s="26" t="s">
        <v>139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87</v>
      </c>
      <c r="B14" s="4">
        <v>2024</v>
      </c>
      <c r="C14" s="27" t="s">
        <v>217</v>
      </c>
      <c r="D14" s="21"/>
      <c r="E14" s="21" t="s">
        <v>9</v>
      </c>
      <c r="F14" s="22" t="s">
        <v>12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87</v>
      </c>
      <c r="B15" s="11">
        <v>2024</v>
      </c>
      <c r="C15" s="11" t="s">
        <v>106</v>
      </c>
      <c r="D15" s="21"/>
      <c r="E15" s="21" t="s">
        <v>9</v>
      </c>
      <c r="F15" s="22" t="s">
        <v>12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87</v>
      </c>
      <c r="B16" s="4">
        <v>2024</v>
      </c>
      <c r="C16" s="27" t="s">
        <v>197</v>
      </c>
      <c r="D16" s="21"/>
      <c r="E16" s="21" t="s">
        <v>9</v>
      </c>
      <c r="F16" s="22" t="s">
        <v>12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87</v>
      </c>
      <c r="B17" s="11">
        <v>2024</v>
      </c>
      <c r="C17" s="30" t="s">
        <v>223</v>
      </c>
      <c r="D17" s="31" t="s">
        <v>108</v>
      </c>
      <c r="E17" s="30" t="s">
        <v>9</v>
      </c>
      <c r="F17" s="12" t="s">
        <v>12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87</v>
      </c>
      <c r="B18" s="4">
        <v>2024</v>
      </c>
      <c r="C18" s="34" t="s">
        <v>223</v>
      </c>
      <c r="D18" s="35" t="s">
        <v>118</v>
      </c>
      <c r="E18" s="34" t="s">
        <v>9</v>
      </c>
      <c r="F18" s="5" t="s">
        <v>12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87</v>
      </c>
      <c r="B19" s="11">
        <v>2024</v>
      </c>
      <c r="C19" s="30" t="s">
        <v>223</v>
      </c>
      <c r="D19" s="31" t="s">
        <v>125</v>
      </c>
      <c r="E19" s="30" t="s">
        <v>9</v>
      </c>
      <c r="F19" s="12" t="s">
        <v>12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87</v>
      </c>
      <c r="B20" s="4">
        <v>2024</v>
      </c>
      <c r="C20" s="34" t="s">
        <v>223</v>
      </c>
      <c r="D20" s="35" t="s">
        <v>131</v>
      </c>
      <c r="E20" s="34" t="s">
        <v>9</v>
      </c>
      <c r="F20" s="5" t="s">
        <v>12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87</v>
      </c>
      <c r="B21" s="11">
        <v>2024</v>
      </c>
      <c r="C21" s="30" t="s">
        <v>223</v>
      </c>
      <c r="D21" s="31" t="s">
        <v>141</v>
      </c>
      <c r="E21" s="30" t="s">
        <v>9</v>
      </c>
      <c r="F21" s="12" t="s">
        <v>12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87</v>
      </c>
      <c r="B22" s="4">
        <v>2024</v>
      </c>
      <c r="C22" s="34" t="s">
        <v>223</v>
      </c>
      <c r="D22" s="35" t="s">
        <v>150</v>
      </c>
      <c r="E22" s="34" t="s">
        <v>9</v>
      </c>
      <c r="F22" s="5" t="s">
        <v>12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87</v>
      </c>
      <c r="B23" s="11">
        <v>2024</v>
      </c>
      <c r="C23" s="30" t="s">
        <v>223</v>
      </c>
      <c r="D23" s="31" t="s">
        <v>159</v>
      </c>
      <c r="E23" s="30" t="s">
        <v>9</v>
      </c>
      <c r="F23" s="12" t="s">
        <v>12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87</v>
      </c>
      <c r="B24" s="4">
        <v>2024</v>
      </c>
      <c r="C24" s="34" t="s">
        <v>223</v>
      </c>
      <c r="D24" s="35" t="s">
        <v>167</v>
      </c>
      <c r="E24" s="34" t="s">
        <v>9</v>
      </c>
      <c r="F24" s="5" t="s">
        <v>12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87</v>
      </c>
      <c r="B25" s="11">
        <v>2024</v>
      </c>
      <c r="C25" s="30" t="s">
        <v>223</v>
      </c>
      <c r="D25" s="31" t="s">
        <v>174</v>
      </c>
      <c r="E25" s="30" t="s">
        <v>9</v>
      </c>
      <c r="F25" s="12" t="s">
        <v>12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87</v>
      </c>
      <c r="B26" s="4">
        <v>2024</v>
      </c>
      <c r="C26" s="34" t="s">
        <v>223</v>
      </c>
      <c r="D26" s="35" t="s">
        <v>191</v>
      </c>
      <c r="E26" s="34" t="s">
        <v>9</v>
      </c>
      <c r="F26" s="5" t="s">
        <v>12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87</v>
      </c>
      <c r="B27" s="11">
        <v>2024</v>
      </c>
      <c r="C27" s="30" t="s">
        <v>223</v>
      </c>
      <c r="D27" s="31" t="s">
        <v>199</v>
      </c>
      <c r="E27" s="30" t="s">
        <v>9</v>
      </c>
      <c r="F27" s="12" t="s">
        <v>12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87</v>
      </c>
      <c r="B28" s="4">
        <v>2024</v>
      </c>
      <c r="C28" s="34" t="s">
        <v>223</v>
      </c>
      <c r="D28" s="35" t="s">
        <v>205</v>
      </c>
      <c r="E28" s="34" t="s">
        <v>9</v>
      </c>
      <c r="F28" s="5" t="s">
        <v>12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87</v>
      </c>
      <c r="B29" s="11">
        <v>2024</v>
      </c>
      <c r="C29" s="30" t="s">
        <v>223</v>
      </c>
      <c r="D29" s="31" t="s">
        <v>212</v>
      </c>
      <c r="E29" s="30" t="s">
        <v>9</v>
      </c>
      <c r="F29" s="12" t="s">
        <v>12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87</v>
      </c>
      <c r="B30" s="4">
        <v>2024</v>
      </c>
      <c r="C30" s="4" t="s">
        <v>229</v>
      </c>
      <c r="D30" s="4" t="s">
        <v>218</v>
      </c>
      <c r="E30" s="34" t="s">
        <v>9</v>
      </c>
      <c r="F30" s="5" t="s">
        <v>12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87</v>
      </c>
      <c r="B31" s="11">
        <v>2024</v>
      </c>
      <c r="C31" s="11" t="s">
        <v>234</v>
      </c>
      <c r="D31" s="11" t="s">
        <v>225</v>
      </c>
      <c r="E31" s="30" t="s">
        <v>9</v>
      </c>
      <c r="F31" s="12" t="s">
        <v>12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88</v>
      </c>
      <c r="B32" s="4">
        <v>2024</v>
      </c>
      <c r="C32" s="4" t="s">
        <v>35</v>
      </c>
      <c r="D32" s="4"/>
      <c r="E32" s="4" t="s">
        <v>6</v>
      </c>
      <c r="F32" s="5" t="s">
        <v>36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88</v>
      </c>
      <c r="B33" s="11">
        <v>2024</v>
      </c>
      <c r="C33" s="11" t="s">
        <v>37</v>
      </c>
      <c r="D33" s="11"/>
      <c r="E33" s="11" t="s">
        <v>9</v>
      </c>
      <c r="F33" s="12" t="s">
        <v>38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88</v>
      </c>
      <c r="B34" s="4">
        <v>2024</v>
      </c>
      <c r="C34" s="4" t="s">
        <v>161</v>
      </c>
      <c r="D34" s="4"/>
      <c r="E34" s="4" t="s">
        <v>9</v>
      </c>
      <c r="F34" s="5" t="s">
        <v>38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88</v>
      </c>
      <c r="B35" s="11">
        <v>2024</v>
      </c>
      <c r="C35" s="11" t="s">
        <v>169</v>
      </c>
      <c r="D35" s="11"/>
      <c r="E35" s="11" t="s">
        <v>9</v>
      </c>
      <c r="F35" s="12" t="s">
        <v>38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88</v>
      </c>
      <c r="B36" s="4">
        <v>2024</v>
      </c>
      <c r="C36" s="4" t="s">
        <v>133</v>
      </c>
      <c r="D36" s="4"/>
      <c r="E36" s="4" t="s">
        <v>9</v>
      </c>
      <c r="F36" s="5" t="s">
        <v>38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88</v>
      </c>
      <c r="B37" s="11">
        <v>2024</v>
      </c>
      <c r="C37" s="11" t="s">
        <v>143</v>
      </c>
      <c r="D37" s="11"/>
      <c r="E37" s="11" t="s">
        <v>9</v>
      </c>
      <c r="F37" s="12" t="s">
        <v>38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88</v>
      </c>
      <c r="B38" s="4">
        <v>2024</v>
      </c>
      <c r="C38" s="4" t="s">
        <v>152</v>
      </c>
      <c r="D38" s="4"/>
      <c r="E38" s="4" t="s">
        <v>6</v>
      </c>
      <c r="F38" s="5" t="s">
        <v>36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89</v>
      </c>
      <c r="B39" s="11">
        <v>2024</v>
      </c>
      <c r="C39" s="11" t="s">
        <v>45</v>
      </c>
      <c r="D39" s="11"/>
      <c r="E39" s="11" t="s">
        <v>9</v>
      </c>
      <c r="F39" s="45" t="s">
        <v>12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89</v>
      </c>
      <c r="B40" s="4">
        <v>2024</v>
      </c>
      <c r="C40" s="4" t="s">
        <v>46</v>
      </c>
      <c r="D40" s="4"/>
      <c r="E40" s="4" t="s">
        <v>9</v>
      </c>
      <c r="F40" s="46" t="s">
        <v>12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89</v>
      </c>
      <c r="B41" s="11">
        <v>2024</v>
      </c>
      <c r="C41" s="11" t="s">
        <v>47</v>
      </c>
      <c r="D41" s="11"/>
      <c r="E41" s="11" t="s">
        <v>9</v>
      </c>
      <c r="F41" s="45" t="s">
        <v>12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89</v>
      </c>
      <c r="B42" s="4">
        <v>2024</v>
      </c>
      <c r="C42" s="4" t="s">
        <v>48</v>
      </c>
      <c r="D42" s="4"/>
      <c r="E42" s="4" t="s">
        <v>9</v>
      </c>
      <c r="F42" s="46" t="s">
        <v>12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customHeight="1" x14ac:dyDescent="0.4">
      <c r="A43" s="10" t="s">
        <v>89</v>
      </c>
      <c r="B43" s="11">
        <v>2024</v>
      </c>
      <c r="C43" s="11" t="s">
        <v>49</v>
      </c>
      <c r="D43" s="11"/>
      <c r="E43" s="11" t="s">
        <v>6</v>
      </c>
      <c r="F43" s="45" t="s">
        <v>7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customHeight="1" x14ac:dyDescent="0.4">
      <c r="A44" s="20" t="s">
        <v>89</v>
      </c>
      <c r="B44" s="4">
        <v>2024</v>
      </c>
      <c r="C44" s="21" t="s">
        <v>393</v>
      </c>
      <c r="D44" s="21"/>
      <c r="E44" s="21" t="s">
        <v>9</v>
      </c>
      <c r="F44" s="49" t="s">
        <v>139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89</v>
      </c>
      <c r="B45" s="11">
        <v>2024</v>
      </c>
      <c r="C45" s="11" t="s">
        <v>170</v>
      </c>
      <c r="D45" s="11"/>
      <c r="E45" s="11" t="s">
        <v>9</v>
      </c>
      <c r="F45" s="45" t="s">
        <v>12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89</v>
      </c>
      <c r="B46" s="4">
        <v>2024</v>
      </c>
      <c r="C46" s="4" t="s">
        <v>50</v>
      </c>
      <c r="D46" s="4"/>
      <c r="E46" s="4" t="s">
        <v>9</v>
      </c>
      <c r="F46" s="46" t="s">
        <v>12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customHeight="1" x14ac:dyDescent="0.4">
      <c r="A47" s="10" t="s">
        <v>89</v>
      </c>
      <c r="B47" s="11">
        <v>2024</v>
      </c>
      <c r="C47" s="11" t="s">
        <v>51</v>
      </c>
      <c r="D47" s="11"/>
      <c r="E47" s="11" t="s">
        <v>6</v>
      </c>
      <c r="F47" s="45" t="s">
        <v>7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customHeight="1" x14ac:dyDescent="0.4">
      <c r="A48" s="3" t="s">
        <v>89</v>
      </c>
      <c r="B48" s="4">
        <v>2024</v>
      </c>
      <c r="C48" s="4" t="s">
        <v>52</v>
      </c>
      <c r="D48" s="4"/>
      <c r="E48" s="4" t="s">
        <v>9</v>
      </c>
      <c r="F48" s="5" t="s">
        <v>12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90</v>
      </c>
      <c r="B49" s="11">
        <v>2024</v>
      </c>
      <c r="C49" s="54" t="s">
        <v>113</v>
      </c>
      <c r="D49" s="54"/>
      <c r="E49" s="54" t="s">
        <v>9</v>
      </c>
      <c r="F49" s="55" t="s">
        <v>12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90</v>
      </c>
      <c r="B50" s="4">
        <v>2024</v>
      </c>
      <c r="C50" s="4" t="s">
        <v>54</v>
      </c>
      <c r="D50" s="4"/>
      <c r="E50" s="4" t="s">
        <v>9</v>
      </c>
      <c r="F50" s="46" t="s">
        <v>12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90</v>
      </c>
      <c r="B51" s="11">
        <v>2024</v>
      </c>
      <c r="C51" s="21" t="s">
        <v>399</v>
      </c>
      <c r="D51" s="21"/>
      <c r="E51" s="21" t="s">
        <v>9</v>
      </c>
      <c r="F51" s="49" t="s">
        <v>12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90</v>
      </c>
      <c r="B52" s="4">
        <v>2024</v>
      </c>
      <c r="C52" s="25" t="s">
        <v>203</v>
      </c>
      <c r="D52" s="25"/>
      <c r="E52" s="25" t="s">
        <v>9</v>
      </c>
      <c r="F52" s="56" t="s">
        <v>12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90</v>
      </c>
      <c r="B53" s="11">
        <v>2024</v>
      </c>
      <c r="C53" s="11" t="s">
        <v>56</v>
      </c>
      <c r="D53" s="11"/>
      <c r="E53" s="11" t="s">
        <v>9</v>
      </c>
      <c r="F53" s="45" t="s">
        <v>12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90</v>
      </c>
      <c r="B54" s="4">
        <v>2024</v>
      </c>
      <c r="C54" s="4" t="s">
        <v>162</v>
      </c>
      <c r="D54" s="4"/>
      <c r="E54" s="4" t="s">
        <v>9</v>
      </c>
      <c r="F54" s="46" t="s">
        <v>12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90</v>
      </c>
      <c r="B55" s="11">
        <v>2024</v>
      </c>
      <c r="C55" s="57" t="s">
        <v>59</v>
      </c>
      <c r="D55" s="57"/>
      <c r="E55" s="11" t="s">
        <v>9</v>
      </c>
      <c r="F55" s="45" t="s">
        <v>12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90</v>
      </c>
      <c r="B56" s="4">
        <v>2024</v>
      </c>
      <c r="C56" s="59" t="s">
        <v>60</v>
      </c>
      <c r="D56" s="59"/>
      <c r="E56" s="4" t="s">
        <v>9</v>
      </c>
      <c r="F56" s="46" t="s">
        <v>12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90</v>
      </c>
      <c r="B57" s="11">
        <v>2024</v>
      </c>
      <c r="C57" s="61" t="s">
        <v>61</v>
      </c>
      <c r="D57" s="61"/>
      <c r="E57" s="61" t="s">
        <v>9</v>
      </c>
      <c r="F57" s="62" t="s">
        <v>12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90</v>
      </c>
      <c r="B58" s="4">
        <v>2024</v>
      </c>
      <c r="C58" s="4" t="s">
        <v>63</v>
      </c>
      <c r="D58" s="4"/>
      <c r="E58" s="4" t="s">
        <v>6</v>
      </c>
      <c r="F58" s="5" t="s">
        <v>7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114</v>
      </c>
      <c r="D59" s="11"/>
      <c r="E59" s="11" t="s">
        <v>9</v>
      </c>
      <c r="F59" s="45" t="s">
        <v>12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400</v>
      </c>
      <c r="D60" s="4"/>
      <c r="E60" s="4" t="s">
        <v>9</v>
      </c>
      <c r="F60" s="46" t="s">
        <v>12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68</v>
      </c>
      <c r="D61" s="11"/>
      <c r="E61" s="11" t="s">
        <v>9</v>
      </c>
      <c r="F61" s="45" t="s">
        <v>12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69</v>
      </c>
      <c r="D62" s="4"/>
      <c r="E62" s="4" t="s">
        <v>9</v>
      </c>
      <c r="F62" s="46" t="s">
        <v>12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70</v>
      </c>
      <c r="D63" s="11"/>
      <c r="E63" s="11" t="s">
        <v>9</v>
      </c>
      <c r="F63" s="45" t="s">
        <v>12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71</v>
      </c>
      <c r="D64" s="4"/>
      <c r="E64" s="4" t="s">
        <v>6</v>
      </c>
      <c r="F64" s="46" t="s">
        <v>7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72</v>
      </c>
      <c r="D65" s="11"/>
      <c r="E65" s="11" t="s">
        <v>6</v>
      </c>
      <c r="F65" s="45" t="s">
        <v>7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50</v>
      </c>
      <c r="D66" s="4"/>
      <c r="E66" s="4" t="s">
        <v>9</v>
      </c>
      <c r="F66" s="46" t="s">
        <v>12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74</v>
      </c>
      <c r="D67" s="11"/>
      <c r="E67" s="11" t="s">
        <v>9</v>
      </c>
      <c r="F67" s="45" t="s">
        <v>12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77</v>
      </c>
      <c r="D68" s="4"/>
      <c r="E68" s="4" t="s">
        <v>6</v>
      </c>
      <c r="F68" s="46" t="s">
        <v>7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379</v>
      </c>
      <c r="B69" s="11">
        <v>2024</v>
      </c>
      <c r="C69" s="11" t="s">
        <v>79</v>
      </c>
      <c r="D69" s="11"/>
      <c r="E69" s="11" t="s">
        <v>9</v>
      </c>
      <c r="F69" s="45" t="s">
        <v>12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379</v>
      </c>
      <c r="B70" s="4">
        <v>2024</v>
      </c>
      <c r="C70" s="4" t="s">
        <v>80</v>
      </c>
      <c r="D70" s="4"/>
      <c r="E70" s="4" t="s">
        <v>9</v>
      </c>
      <c r="F70" s="46" t="s">
        <v>12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379</v>
      </c>
      <c r="B71" s="11">
        <v>2024</v>
      </c>
      <c r="C71" s="11" t="s">
        <v>81</v>
      </c>
      <c r="D71" s="11"/>
      <c r="E71" s="11" t="s">
        <v>9</v>
      </c>
      <c r="F71" s="45" t="s">
        <v>12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379</v>
      </c>
      <c r="B72" s="4">
        <v>2024</v>
      </c>
      <c r="C72" s="21" t="s">
        <v>145</v>
      </c>
      <c r="D72" s="21"/>
      <c r="E72" s="21" t="s">
        <v>9</v>
      </c>
      <c r="F72" s="49" t="s">
        <v>12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379</v>
      </c>
      <c r="B73" s="11">
        <v>2024</v>
      </c>
      <c r="C73" s="11" t="s">
        <v>82</v>
      </c>
      <c r="D73" s="11"/>
      <c r="E73" s="11" t="s">
        <v>9</v>
      </c>
      <c r="F73" s="45" t="s">
        <v>12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379</v>
      </c>
      <c r="B74" s="4">
        <v>2024</v>
      </c>
      <c r="C74" s="78" t="s">
        <v>83</v>
      </c>
      <c r="D74" s="78"/>
      <c r="E74" s="78" t="s">
        <v>9</v>
      </c>
      <c r="F74" s="79" t="s">
        <v>12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379</v>
      </c>
      <c r="B75" s="11">
        <v>2024</v>
      </c>
      <c r="C75" s="78" t="s">
        <v>84</v>
      </c>
      <c r="D75" s="78"/>
      <c r="E75" s="78" t="s">
        <v>9</v>
      </c>
      <c r="F75" s="79" t="s">
        <v>12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90</v>
      </c>
      <c r="B76" s="4">
        <v>2024</v>
      </c>
      <c r="C76" s="4" t="s">
        <v>85</v>
      </c>
      <c r="D76" s="4"/>
      <c r="E76" s="4" t="s">
        <v>6</v>
      </c>
      <c r="F76" s="5" t="s">
        <v>7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90</v>
      </c>
      <c r="B77" s="11">
        <v>2024</v>
      </c>
      <c r="C77" s="11" t="s">
        <v>86</v>
      </c>
      <c r="D77" s="11"/>
      <c r="E77" s="11" t="s">
        <v>6</v>
      </c>
      <c r="F77" s="12" t="s">
        <v>7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88</v>
      </c>
      <c r="B78" s="4">
        <v>2024</v>
      </c>
      <c r="C78" s="4" t="s">
        <v>401</v>
      </c>
      <c r="D78" s="4"/>
      <c r="E78" s="4" t="s">
        <v>9</v>
      </c>
      <c r="F78" s="5" t="s">
        <v>38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87</v>
      </c>
      <c r="B79" s="46">
        <v>2025</v>
      </c>
      <c r="C79" s="4" t="s">
        <v>8</v>
      </c>
      <c r="D79" s="4"/>
      <c r="E79" s="4" t="s">
        <v>9</v>
      </c>
      <c r="F79" s="5" t="s">
        <v>10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87</v>
      </c>
      <c r="B80" s="45">
        <v>2025</v>
      </c>
      <c r="C80" s="11" t="s">
        <v>11</v>
      </c>
      <c r="D80" s="11"/>
      <c r="E80" s="11" t="s">
        <v>9</v>
      </c>
      <c r="F80" s="12" t="s">
        <v>12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87</v>
      </c>
      <c r="B81" s="46">
        <v>2025</v>
      </c>
      <c r="C81" s="4" t="s">
        <v>180</v>
      </c>
      <c r="D81" s="4"/>
      <c r="E81" s="4" t="s">
        <v>6</v>
      </c>
      <c r="F81" s="5" t="s">
        <v>7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87</v>
      </c>
      <c r="B82" s="45">
        <v>2025</v>
      </c>
      <c r="C82" s="11" t="s">
        <v>402</v>
      </c>
      <c r="D82" s="11"/>
      <c r="E82" s="11" t="s">
        <v>6</v>
      </c>
      <c r="F82" s="12" t="s">
        <v>7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87</v>
      </c>
      <c r="B83" s="46">
        <v>2025</v>
      </c>
      <c r="C83" s="4" t="s">
        <v>15</v>
      </c>
      <c r="D83" s="4"/>
      <c r="E83" s="4" t="s">
        <v>6</v>
      </c>
      <c r="F83" s="5" t="s">
        <v>7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87</v>
      </c>
      <c r="B84" s="45">
        <v>2025</v>
      </c>
      <c r="C84" s="11" t="s">
        <v>16</v>
      </c>
      <c r="D84" s="11"/>
      <c r="E84" s="11" t="s">
        <v>6</v>
      </c>
      <c r="F84" s="12" t="s">
        <v>7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87</v>
      </c>
      <c r="B85" s="46">
        <v>2025</v>
      </c>
      <c r="C85" s="4" t="s">
        <v>148</v>
      </c>
      <c r="D85" s="4"/>
      <c r="E85" s="4" t="s">
        <v>9</v>
      </c>
      <c r="F85" s="5" t="s">
        <v>12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87</v>
      </c>
      <c r="B86" s="45">
        <v>2025</v>
      </c>
      <c r="C86" s="11" t="s">
        <v>158</v>
      </c>
      <c r="D86" s="11"/>
      <c r="E86" s="11" t="s">
        <v>9</v>
      </c>
      <c r="F86" s="12" t="s">
        <v>12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87</v>
      </c>
      <c r="B87" s="46">
        <v>2025</v>
      </c>
      <c r="C87" s="4" t="s">
        <v>166</v>
      </c>
      <c r="D87" s="4"/>
      <c r="E87" s="4" t="s">
        <v>9</v>
      </c>
      <c r="F87" s="5" t="s">
        <v>12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87</v>
      </c>
      <c r="B88" s="45">
        <v>2025</v>
      </c>
      <c r="C88" s="11" t="s">
        <v>403</v>
      </c>
      <c r="D88" s="11"/>
      <c r="E88" s="11" t="s">
        <v>9</v>
      </c>
      <c r="F88" s="12" t="s">
        <v>139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87</v>
      </c>
      <c r="B89" s="46">
        <v>2025</v>
      </c>
      <c r="C89" s="74" t="s">
        <v>189</v>
      </c>
      <c r="D89" s="74"/>
      <c r="E89" s="74" t="s">
        <v>9</v>
      </c>
      <c r="F89" s="96" t="s">
        <v>12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87</v>
      </c>
      <c r="B90" s="45">
        <v>2025</v>
      </c>
      <c r="C90" s="11" t="s">
        <v>404</v>
      </c>
      <c r="D90" s="11"/>
      <c r="E90" s="11" t="s">
        <v>9</v>
      </c>
      <c r="F90" s="45" t="s">
        <v>12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87</v>
      </c>
      <c r="B91" s="46">
        <v>2025</v>
      </c>
      <c r="C91" s="4" t="s">
        <v>217</v>
      </c>
      <c r="D91" s="4"/>
      <c r="E91" s="4" t="s">
        <v>9</v>
      </c>
      <c r="F91" s="5" t="s">
        <v>12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87</v>
      </c>
      <c r="B92" s="45">
        <v>2025</v>
      </c>
      <c r="C92" s="11" t="s">
        <v>367</v>
      </c>
      <c r="D92" s="11"/>
      <c r="E92" s="11" t="s">
        <v>9</v>
      </c>
      <c r="F92" s="12" t="s">
        <v>12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87</v>
      </c>
      <c r="B93" s="46">
        <v>2025</v>
      </c>
      <c r="C93" s="34" t="s">
        <v>223</v>
      </c>
      <c r="D93" s="35" t="s">
        <v>108</v>
      </c>
      <c r="E93" s="34" t="s">
        <v>9</v>
      </c>
      <c r="F93" s="5" t="s">
        <v>12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87</v>
      </c>
      <c r="B94" s="45">
        <v>2025</v>
      </c>
      <c r="C94" s="30" t="s">
        <v>223</v>
      </c>
      <c r="D94" s="31" t="s">
        <v>118</v>
      </c>
      <c r="E94" s="30" t="s">
        <v>9</v>
      </c>
      <c r="F94" s="12" t="s">
        <v>12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1553.492340908158</v>
      </c>
      <c r="N94" s="32"/>
      <c r="O94" s="30"/>
      <c r="P94" s="33"/>
      <c r="Q94" s="33"/>
      <c r="R94" s="33"/>
    </row>
    <row r="95" spans="1:18" hidden="1" x14ac:dyDescent="0.35">
      <c r="A95" s="3" t="s">
        <v>87</v>
      </c>
      <c r="B95" s="46">
        <v>2025</v>
      </c>
      <c r="C95" s="34" t="s">
        <v>223</v>
      </c>
      <c r="D95" s="35" t="s">
        <v>125</v>
      </c>
      <c r="E95" s="34" t="s">
        <v>9</v>
      </c>
      <c r="F95" s="5" t="s">
        <v>12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1220.388051136144</v>
      </c>
      <c r="N95" s="36"/>
      <c r="O95" s="34"/>
      <c r="P95" s="37"/>
      <c r="Q95" s="37"/>
      <c r="R95" s="37"/>
    </row>
    <row r="96" spans="1:18" hidden="1" x14ac:dyDescent="0.35">
      <c r="A96" s="10" t="s">
        <v>87</v>
      </c>
      <c r="B96" s="45">
        <v>2025</v>
      </c>
      <c r="C96" s="30" t="s">
        <v>223</v>
      </c>
      <c r="D96" s="31" t="s">
        <v>131</v>
      </c>
      <c r="E96" s="30" t="s">
        <v>9</v>
      </c>
      <c r="F96" s="12" t="s">
        <v>12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87</v>
      </c>
      <c r="B97" s="46">
        <v>2025</v>
      </c>
      <c r="C97" s="34" t="s">
        <v>223</v>
      </c>
      <c r="D97" s="35" t="s">
        <v>141</v>
      </c>
      <c r="E97" s="34" t="s">
        <v>9</v>
      </c>
      <c r="F97" s="5" t="s">
        <v>12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87</v>
      </c>
      <c r="B98" s="45">
        <v>2025</v>
      </c>
      <c r="C98" s="30" t="s">
        <v>223</v>
      </c>
      <c r="D98" s="31" t="s">
        <v>150</v>
      </c>
      <c r="E98" s="30" t="s">
        <v>9</v>
      </c>
      <c r="F98" s="12" t="s">
        <v>12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87</v>
      </c>
      <c r="B99" s="46">
        <v>2025</v>
      </c>
      <c r="C99" s="34" t="s">
        <v>223</v>
      </c>
      <c r="D99" s="35" t="s">
        <v>159</v>
      </c>
      <c r="E99" s="34" t="s">
        <v>9</v>
      </c>
      <c r="F99" s="5" t="s">
        <v>12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1162.5799959166529</v>
      </c>
      <c r="N99" s="36"/>
      <c r="O99" s="34"/>
      <c r="P99" s="37"/>
      <c r="Q99" s="37"/>
      <c r="R99" s="37"/>
    </row>
    <row r="100" spans="1:18" hidden="1" x14ac:dyDescent="0.35">
      <c r="A100" s="10" t="s">
        <v>87</v>
      </c>
      <c r="B100" s="45">
        <v>2025</v>
      </c>
      <c r="C100" s="30" t="s">
        <v>223</v>
      </c>
      <c r="D100" s="31" t="s">
        <v>167</v>
      </c>
      <c r="E100" s="30" t="s">
        <v>9</v>
      </c>
      <c r="F100" s="12" t="s">
        <v>12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</v>
      </c>
      <c r="N100" s="32"/>
      <c r="O100" s="30"/>
      <c r="P100" s="33"/>
      <c r="Q100" s="33"/>
      <c r="R100" s="33"/>
    </row>
    <row r="101" spans="1:18" hidden="1" x14ac:dyDescent="0.35">
      <c r="A101" s="3" t="s">
        <v>87</v>
      </c>
      <c r="B101" s="46">
        <v>2025</v>
      </c>
      <c r="C101" s="34" t="s">
        <v>223</v>
      </c>
      <c r="D101" s="35" t="s">
        <v>174</v>
      </c>
      <c r="E101" s="34" t="s">
        <v>9</v>
      </c>
      <c r="F101" s="5" t="s">
        <v>12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1956.1274143299811</v>
      </c>
      <c r="N101" s="36"/>
      <c r="O101" s="34"/>
      <c r="P101" s="37"/>
      <c r="Q101" s="37"/>
      <c r="R101" s="37"/>
    </row>
    <row r="102" spans="1:18" hidden="1" x14ac:dyDescent="0.35">
      <c r="A102" s="10" t="s">
        <v>87</v>
      </c>
      <c r="B102" s="45">
        <v>2025</v>
      </c>
      <c r="C102" s="30" t="s">
        <v>223</v>
      </c>
      <c r="D102" s="31" t="s">
        <v>182</v>
      </c>
      <c r="E102" s="30" t="s">
        <v>9</v>
      </c>
      <c r="F102" s="12" t="s">
        <v>12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265.39253927142107</v>
      </c>
      <c r="N102" s="32"/>
      <c r="O102" s="30"/>
      <c r="P102" s="33"/>
      <c r="Q102" s="33"/>
      <c r="R102" s="33"/>
    </row>
    <row r="103" spans="1:18" hidden="1" x14ac:dyDescent="0.35">
      <c r="A103" s="3" t="s">
        <v>87</v>
      </c>
      <c r="B103" s="46">
        <v>2025</v>
      </c>
      <c r="C103" s="34" t="s">
        <v>223</v>
      </c>
      <c r="D103" s="35" t="s">
        <v>191</v>
      </c>
      <c r="E103" s="34" t="s">
        <v>9</v>
      </c>
      <c r="F103" s="5" t="s">
        <v>12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1285.2895729537261</v>
      </c>
      <c r="N103" s="36"/>
      <c r="O103" s="34"/>
      <c r="P103" s="37"/>
      <c r="Q103" s="37"/>
      <c r="R103" s="37"/>
    </row>
    <row r="104" spans="1:18" hidden="1" x14ac:dyDescent="0.35">
      <c r="A104" s="10" t="s">
        <v>87</v>
      </c>
      <c r="B104" s="45">
        <v>2025</v>
      </c>
      <c r="C104" s="30" t="s">
        <v>223</v>
      </c>
      <c r="D104" s="31" t="s">
        <v>199</v>
      </c>
      <c r="E104" s="30" t="s">
        <v>9</v>
      </c>
      <c r="F104" s="12" t="s">
        <v>12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87</v>
      </c>
      <c r="B105" s="46">
        <v>2025</v>
      </c>
      <c r="C105" s="34" t="s">
        <v>223</v>
      </c>
      <c r="D105" s="35" t="s">
        <v>205</v>
      </c>
      <c r="E105" s="34" t="s">
        <v>9</v>
      </c>
      <c r="F105" s="5" t="s">
        <v>12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346.38628170657398</v>
      </c>
      <c r="N105" s="36"/>
      <c r="O105" s="34"/>
      <c r="P105" s="37"/>
      <c r="Q105" s="37"/>
      <c r="R105" s="37"/>
    </row>
    <row r="106" spans="1:18" hidden="1" x14ac:dyDescent="0.35">
      <c r="A106" s="10" t="s">
        <v>87</v>
      </c>
      <c r="B106" s="45">
        <v>2025</v>
      </c>
      <c r="C106" s="30" t="s">
        <v>223</v>
      </c>
      <c r="D106" s="31" t="s">
        <v>212</v>
      </c>
      <c r="E106" s="30" t="s">
        <v>9</v>
      </c>
      <c r="F106" s="12" t="s">
        <v>12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87</v>
      </c>
      <c r="B107" s="46">
        <v>2025</v>
      </c>
      <c r="C107" s="4" t="s">
        <v>229</v>
      </c>
      <c r="D107" s="4" t="s">
        <v>218</v>
      </c>
      <c r="E107" s="34" t="s">
        <v>9</v>
      </c>
      <c r="F107" s="5" t="s">
        <v>12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87</v>
      </c>
      <c r="B108" s="45">
        <v>2025</v>
      </c>
      <c r="C108" s="11" t="s">
        <v>234</v>
      </c>
      <c r="D108" s="11" t="s">
        <v>225</v>
      </c>
      <c r="E108" s="30" t="s">
        <v>9</v>
      </c>
      <c r="F108" s="12" t="s">
        <v>12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customHeight="1" x14ac:dyDescent="0.35">
      <c r="A109" s="103" t="s">
        <v>397</v>
      </c>
      <c r="B109" s="104">
        <v>2025</v>
      </c>
      <c r="C109" s="105" t="s">
        <v>405</v>
      </c>
      <c r="D109" s="105"/>
      <c r="E109" s="105" t="s">
        <v>9</v>
      </c>
      <c r="F109" s="106" t="s">
        <v>139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406</v>
      </c>
      <c r="B110" s="11">
        <v>2025</v>
      </c>
      <c r="C110" s="11" t="s">
        <v>5</v>
      </c>
      <c r="D110" s="11"/>
      <c r="E110" s="11" t="s">
        <v>6</v>
      </c>
      <c r="F110" s="12" t="s">
        <v>7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88</v>
      </c>
      <c r="B111" s="4">
        <v>2025</v>
      </c>
      <c r="C111" s="4" t="s">
        <v>161</v>
      </c>
      <c r="D111" s="4"/>
      <c r="E111" s="4" t="s">
        <v>9</v>
      </c>
      <c r="F111" s="5" t="s">
        <v>38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88</v>
      </c>
      <c r="B112" s="11">
        <v>2025</v>
      </c>
      <c r="C112" s="11" t="s">
        <v>207</v>
      </c>
      <c r="D112" s="11"/>
      <c r="E112" s="11" t="s">
        <v>9</v>
      </c>
      <c r="F112" s="12" t="s">
        <v>38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88</v>
      </c>
      <c r="B113" s="4">
        <v>2025</v>
      </c>
      <c r="C113" s="4" t="s">
        <v>169</v>
      </c>
      <c r="D113" s="4"/>
      <c r="E113" s="4" t="s">
        <v>9</v>
      </c>
      <c r="F113" s="5" t="s">
        <v>38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88</v>
      </c>
      <c r="B114" s="11">
        <v>2025</v>
      </c>
      <c r="C114" s="11" t="s">
        <v>133</v>
      </c>
      <c r="D114" s="11"/>
      <c r="E114" s="11" t="s">
        <v>9</v>
      </c>
      <c r="F114" s="12" t="s">
        <v>38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88</v>
      </c>
      <c r="B115" s="4">
        <v>2025</v>
      </c>
      <c r="C115" s="4" t="s">
        <v>193</v>
      </c>
      <c r="D115" s="4"/>
      <c r="E115" s="4" t="s">
        <v>9</v>
      </c>
      <c r="F115" s="5" t="s">
        <v>38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88</v>
      </c>
      <c r="B116" s="11">
        <v>2025</v>
      </c>
      <c r="C116" s="11" t="s">
        <v>214</v>
      </c>
      <c r="D116" s="11"/>
      <c r="E116" s="11" t="s">
        <v>6</v>
      </c>
      <c r="F116" s="12" t="s">
        <v>36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88</v>
      </c>
      <c r="B117" s="4">
        <v>2025</v>
      </c>
      <c r="C117" s="4" t="s">
        <v>184</v>
      </c>
      <c r="D117" s="4"/>
      <c r="E117" s="4" t="s">
        <v>9</v>
      </c>
      <c r="F117" s="5" t="s">
        <v>38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88</v>
      </c>
      <c r="B118" s="11">
        <v>2025</v>
      </c>
      <c r="C118" s="11" t="s">
        <v>176</v>
      </c>
      <c r="D118" s="11"/>
      <c r="E118" s="11" t="s">
        <v>9</v>
      </c>
      <c r="F118" s="12" t="s">
        <v>38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88</v>
      </c>
      <c r="B119" s="4">
        <v>2025</v>
      </c>
      <c r="C119" s="4" t="s">
        <v>401</v>
      </c>
      <c r="D119" s="4"/>
      <c r="E119" s="4" t="s">
        <v>9</v>
      </c>
      <c r="F119" s="5" t="s">
        <v>38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88</v>
      </c>
      <c r="B120" s="11">
        <v>2025</v>
      </c>
      <c r="C120" s="11" t="s">
        <v>407</v>
      </c>
      <c r="D120" s="11"/>
      <c r="E120" s="11" t="s">
        <v>9</v>
      </c>
      <c r="F120" s="12" t="s">
        <v>38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89</v>
      </c>
      <c r="B121" s="4">
        <v>2025</v>
      </c>
      <c r="C121" s="4" t="s">
        <v>45</v>
      </c>
      <c r="D121" s="4"/>
      <c r="E121" s="4" t="s">
        <v>9</v>
      </c>
      <c r="F121" s="46" t="s">
        <v>12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89</v>
      </c>
      <c r="B122" s="11">
        <v>2025</v>
      </c>
      <c r="C122" s="11" t="s">
        <v>46</v>
      </c>
      <c r="D122" s="11"/>
      <c r="E122" s="11" t="s">
        <v>9</v>
      </c>
      <c r="F122" s="45" t="s">
        <v>12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89</v>
      </c>
      <c r="B123" s="4">
        <v>2025</v>
      </c>
      <c r="C123" s="4" t="s">
        <v>194</v>
      </c>
      <c r="D123" s="4"/>
      <c r="E123" s="4" t="s">
        <v>9</v>
      </c>
      <c r="F123" s="46" t="s">
        <v>12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89</v>
      </c>
      <c r="B124" s="11">
        <v>2025</v>
      </c>
      <c r="C124" s="11" t="s">
        <v>208</v>
      </c>
      <c r="D124" s="11"/>
      <c r="E124" s="11" t="s">
        <v>9</v>
      </c>
      <c r="F124" s="45" t="s">
        <v>12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89</v>
      </c>
      <c r="B125" s="4">
        <v>2025</v>
      </c>
      <c r="C125" s="4" t="s">
        <v>221</v>
      </c>
      <c r="D125" s="4"/>
      <c r="E125" s="4" t="s">
        <v>9</v>
      </c>
      <c r="F125" s="46" t="s">
        <v>12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89</v>
      </c>
      <c r="B126" s="11">
        <v>2025</v>
      </c>
      <c r="C126" s="11" t="s">
        <v>215</v>
      </c>
      <c r="D126" s="11"/>
      <c r="E126" s="11" t="s">
        <v>9</v>
      </c>
      <c r="F126" s="45" t="s">
        <v>12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89</v>
      </c>
      <c r="B127" s="4">
        <v>2025</v>
      </c>
      <c r="C127" s="4" t="s">
        <v>202</v>
      </c>
      <c r="D127" s="4"/>
      <c r="E127" s="4" t="s">
        <v>9</v>
      </c>
      <c r="F127" s="46" t="s">
        <v>12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89</v>
      </c>
      <c r="B128" s="11">
        <v>2025</v>
      </c>
      <c r="C128" s="11" t="s">
        <v>237</v>
      </c>
      <c r="D128" s="11"/>
      <c r="E128" s="11" t="s">
        <v>6</v>
      </c>
      <c r="F128" s="45" t="s">
        <v>7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89</v>
      </c>
      <c r="B129" s="4">
        <v>2025</v>
      </c>
      <c r="C129" s="4" t="s">
        <v>153</v>
      </c>
      <c r="D129" s="4"/>
      <c r="E129" s="4" t="s">
        <v>9</v>
      </c>
      <c r="F129" s="46" t="s">
        <v>139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89</v>
      </c>
      <c r="B130" s="11">
        <v>2025</v>
      </c>
      <c r="C130" s="11" t="s">
        <v>79</v>
      </c>
      <c r="D130" s="11"/>
      <c r="E130" s="11" t="s">
        <v>9</v>
      </c>
      <c r="F130" s="45" t="s">
        <v>12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89</v>
      </c>
      <c r="B131" s="4">
        <v>2025</v>
      </c>
      <c r="C131" s="4" t="s">
        <v>243</v>
      </c>
      <c r="D131" s="4"/>
      <c r="E131" s="4" t="s">
        <v>9</v>
      </c>
      <c r="F131" s="46" t="s">
        <v>12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89</v>
      </c>
      <c r="B132" s="11">
        <v>2025</v>
      </c>
      <c r="C132" s="11" t="s">
        <v>170</v>
      </c>
      <c r="D132" s="11"/>
      <c r="E132" s="11" t="s">
        <v>9</v>
      </c>
      <c r="F132" s="45" t="s">
        <v>12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customHeight="1" x14ac:dyDescent="0.4">
      <c r="A133" s="3" t="s">
        <v>89</v>
      </c>
      <c r="B133" s="4">
        <v>2025</v>
      </c>
      <c r="C133" s="4" t="s">
        <v>51</v>
      </c>
      <c r="D133" s="4"/>
      <c r="E133" s="4" t="s">
        <v>6</v>
      </c>
      <c r="F133" s="46" t="s">
        <v>7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customHeight="1" x14ac:dyDescent="0.4">
      <c r="A134" s="10" t="s">
        <v>89</v>
      </c>
      <c r="B134" s="11">
        <v>2025</v>
      </c>
      <c r="C134" s="11" t="s">
        <v>52</v>
      </c>
      <c r="D134" s="11"/>
      <c r="E134" s="11" t="s">
        <v>9</v>
      </c>
      <c r="F134" s="12" t="s">
        <v>12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90</v>
      </c>
      <c r="B135" s="4">
        <v>2025</v>
      </c>
      <c r="C135" s="4" t="s">
        <v>54</v>
      </c>
      <c r="D135" s="4"/>
      <c r="E135" s="4" t="s">
        <v>9</v>
      </c>
      <c r="F135" s="46" t="s">
        <v>12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90</v>
      </c>
      <c r="B136" s="11">
        <v>2025</v>
      </c>
      <c r="C136" s="11" t="s">
        <v>399</v>
      </c>
      <c r="D136" s="11"/>
      <c r="E136" s="11" t="s">
        <v>9</v>
      </c>
      <c r="F136" s="45" t="s">
        <v>12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90</v>
      </c>
      <c r="B137" s="4">
        <v>2025</v>
      </c>
      <c r="C137" s="4" t="s">
        <v>203</v>
      </c>
      <c r="D137" s="4"/>
      <c r="E137" s="4" t="s">
        <v>9</v>
      </c>
      <c r="F137" s="46" t="s">
        <v>12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90</v>
      </c>
      <c r="B138" s="11">
        <v>2025</v>
      </c>
      <c r="C138" s="11" t="s">
        <v>408</v>
      </c>
      <c r="D138" s="11"/>
      <c r="E138" s="11" t="s">
        <v>9</v>
      </c>
      <c r="F138" s="45" t="s">
        <v>12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90</v>
      </c>
      <c r="B139" s="4">
        <v>2025</v>
      </c>
      <c r="C139" s="4" t="s">
        <v>162</v>
      </c>
      <c r="D139" s="4"/>
      <c r="E139" s="4" t="s">
        <v>9</v>
      </c>
      <c r="F139" s="46" t="s">
        <v>12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90</v>
      </c>
      <c r="B140" s="11">
        <v>2025</v>
      </c>
      <c r="C140" s="57" t="s">
        <v>59</v>
      </c>
      <c r="D140" s="57"/>
      <c r="E140" s="11" t="s">
        <v>9</v>
      </c>
      <c r="F140" s="45" t="s">
        <v>12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90</v>
      </c>
      <c r="B141" s="4">
        <v>2025</v>
      </c>
      <c r="C141" s="59" t="s">
        <v>60</v>
      </c>
      <c r="D141" s="59"/>
      <c r="E141" s="4" t="s">
        <v>9</v>
      </c>
      <c r="F141" s="46" t="s">
        <v>12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90</v>
      </c>
      <c r="B142" s="11">
        <v>2025</v>
      </c>
      <c r="C142" s="11" t="s">
        <v>61</v>
      </c>
      <c r="D142" s="11"/>
      <c r="E142" s="11" t="s">
        <v>9</v>
      </c>
      <c r="F142" s="45" t="s">
        <v>12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90</v>
      </c>
      <c r="B143" s="4">
        <v>2025</v>
      </c>
      <c r="C143" s="4" t="s">
        <v>63</v>
      </c>
      <c r="D143" s="4"/>
      <c r="E143" s="4" t="s">
        <v>6</v>
      </c>
      <c r="F143" s="5" t="s">
        <v>7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90</v>
      </c>
      <c r="B144" s="11">
        <v>2025</v>
      </c>
      <c r="C144" s="11" t="s">
        <v>216</v>
      </c>
      <c r="D144" s="11"/>
      <c r="E144" s="11" t="s">
        <v>6</v>
      </c>
      <c r="F144" s="45" t="s">
        <v>7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90</v>
      </c>
      <c r="B145" s="4">
        <v>2025</v>
      </c>
      <c r="C145" s="4" t="s">
        <v>85</v>
      </c>
      <c r="D145" s="4"/>
      <c r="E145" s="4" t="s">
        <v>6</v>
      </c>
      <c r="F145" s="5" t="s">
        <v>7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90</v>
      </c>
      <c r="B146" s="11">
        <v>2025</v>
      </c>
      <c r="C146" s="11" t="s">
        <v>86</v>
      </c>
      <c r="D146" s="11"/>
      <c r="E146" s="11" t="s">
        <v>6</v>
      </c>
      <c r="F146" s="12" t="s">
        <v>7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90</v>
      </c>
      <c r="B147" s="4">
        <v>2025</v>
      </c>
      <c r="C147" s="74" t="s">
        <v>409</v>
      </c>
      <c r="D147" s="74"/>
      <c r="E147" s="74" t="s">
        <v>9</v>
      </c>
      <c r="F147" s="96" t="s">
        <v>38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410</v>
      </c>
      <c r="B148" s="11">
        <v>2025</v>
      </c>
      <c r="C148" s="119" t="s">
        <v>113</v>
      </c>
      <c r="D148" s="119"/>
      <c r="E148" s="119" t="s">
        <v>9</v>
      </c>
      <c r="F148" s="120" t="s">
        <v>12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90</v>
      </c>
      <c r="B149" s="4">
        <v>2025</v>
      </c>
      <c r="C149" s="74" t="s">
        <v>222</v>
      </c>
      <c r="D149" s="74"/>
      <c r="E149" s="4" t="s">
        <v>6</v>
      </c>
      <c r="F149" s="5" t="s">
        <v>7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79</v>
      </c>
      <c r="D150" s="11"/>
      <c r="E150" s="11" t="s">
        <v>9</v>
      </c>
      <c r="F150" s="45" t="s">
        <v>12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195</v>
      </c>
      <c r="D151" s="4"/>
      <c r="E151" s="4" t="s">
        <v>9</v>
      </c>
      <c r="F151" s="46" t="s">
        <v>12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114</v>
      </c>
      <c r="D152" s="11"/>
      <c r="E152" s="11" t="s">
        <v>9</v>
      </c>
      <c r="F152" s="45" t="s">
        <v>12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186</v>
      </c>
      <c r="D153" s="4"/>
      <c r="E153" s="4" t="s">
        <v>9</v>
      </c>
      <c r="F153" s="46" t="s">
        <v>12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68</v>
      </c>
      <c r="D154" s="11"/>
      <c r="E154" s="11" t="s">
        <v>9</v>
      </c>
      <c r="F154" s="45" t="s">
        <v>12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69</v>
      </c>
      <c r="D155" s="4"/>
      <c r="E155" s="4" t="s">
        <v>9</v>
      </c>
      <c r="F155" s="46" t="s">
        <v>12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70</v>
      </c>
      <c r="D156" s="11"/>
      <c r="E156" s="11" t="s">
        <v>9</v>
      </c>
      <c r="F156" s="45" t="s">
        <v>12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71</v>
      </c>
      <c r="D157" s="4"/>
      <c r="E157" s="4" t="s">
        <v>6</v>
      </c>
      <c r="F157" s="46" t="s">
        <v>7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74</v>
      </c>
      <c r="D158" s="11"/>
      <c r="E158" s="11" t="s">
        <v>9</v>
      </c>
      <c r="F158" s="45" t="s">
        <v>12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379</v>
      </c>
      <c r="B159" s="4">
        <v>2025</v>
      </c>
      <c r="C159" s="4" t="s">
        <v>79</v>
      </c>
      <c r="D159" s="4"/>
      <c r="E159" s="4" t="s">
        <v>9</v>
      </c>
      <c r="F159" s="46" t="s">
        <v>12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379</v>
      </c>
      <c r="B160" s="11">
        <v>2025</v>
      </c>
      <c r="C160" s="11" t="s">
        <v>80</v>
      </c>
      <c r="D160" s="11"/>
      <c r="E160" s="11" t="s">
        <v>9</v>
      </c>
      <c r="F160" s="45" t="s">
        <v>12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379</v>
      </c>
      <c r="B161" s="4">
        <v>2025</v>
      </c>
      <c r="C161" s="4" t="s">
        <v>81</v>
      </c>
      <c r="D161" s="4"/>
      <c r="E161" s="4" t="s">
        <v>9</v>
      </c>
      <c r="F161" s="46" t="s">
        <v>12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379</v>
      </c>
      <c r="B162" s="11">
        <v>2025</v>
      </c>
      <c r="C162" s="11" t="s">
        <v>145</v>
      </c>
      <c r="D162" s="11"/>
      <c r="E162" s="11" t="s">
        <v>9</v>
      </c>
      <c r="F162" s="45" t="s">
        <v>12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379</v>
      </c>
      <c r="B163" s="4">
        <v>2025</v>
      </c>
      <c r="C163" s="4" t="s">
        <v>82</v>
      </c>
      <c r="D163" s="4"/>
      <c r="E163" s="4" t="s">
        <v>9</v>
      </c>
      <c r="F163" s="46" t="s">
        <v>12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379</v>
      </c>
      <c r="B164" s="11">
        <v>2025</v>
      </c>
      <c r="C164" s="11" t="s">
        <v>170</v>
      </c>
      <c r="D164" s="11"/>
      <c r="E164" s="11" t="s">
        <v>9</v>
      </c>
      <c r="F164" s="45" t="s">
        <v>12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379</v>
      </c>
      <c r="B165" s="4">
        <v>2025</v>
      </c>
      <c r="C165" s="4" t="s">
        <v>83</v>
      </c>
      <c r="D165" s="4"/>
      <c r="E165" s="4" t="s">
        <v>9</v>
      </c>
      <c r="F165" s="46" t="s">
        <v>12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379</v>
      </c>
      <c r="B166" s="11">
        <v>2025</v>
      </c>
      <c r="C166" s="57" t="s">
        <v>178</v>
      </c>
      <c r="D166" s="11"/>
      <c r="E166" s="11" t="s">
        <v>9</v>
      </c>
      <c r="F166" s="45" t="s">
        <v>12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customHeight="1" x14ac:dyDescent="0.4">
      <c r="A167" s="3" t="s">
        <v>89</v>
      </c>
      <c r="B167" s="4">
        <v>2025</v>
      </c>
      <c r="C167" s="4" t="s">
        <v>233</v>
      </c>
      <c r="D167" s="4"/>
      <c r="E167" s="4" t="s">
        <v>6</v>
      </c>
      <c r="F167" s="46" t="s">
        <v>7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customHeight="1" x14ac:dyDescent="0.4">
      <c r="A168" s="10" t="s">
        <v>89</v>
      </c>
      <c r="B168" s="11">
        <v>2025</v>
      </c>
      <c r="C168" s="11" t="s">
        <v>228</v>
      </c>
      <c r="D168" s="11"/>
      <c r="E168" s="11" t="s">
        <v>6</v>
      </c>
      <c r="F168" s="12" t="s">
        <v>7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9-0000-0000-000009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2025-11-14T16:23:57Z</dcterms:modified>
</cp:coreProperties>
</file>