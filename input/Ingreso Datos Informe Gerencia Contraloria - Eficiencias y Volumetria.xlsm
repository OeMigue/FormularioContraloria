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S\input\"/>
    </mc:Choice>
  </mc:AlternateContent>
  <xr:revisionPtr revIDLastSave="0" documentId="13_ncr:1_{B4C2D95C-E7C8-4BFE-A396-05F95A5B0DDA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2">Administrativa!$A$1:$K$3000</definedName>
    <definedName name="_xlnm._FilterDatabase" localSheetId="3">'Analítica de Contraloría'!$A$1:$K$19</definedName>
    <definedName name="_xlnm._FilterDatabase" localSheetId="0">'Conceptos Ant'!$A$1:$E$76</definedName>
    <definedName name="_xlnm._FilterDatabase" localSheetId="4">Contabilidad!$A$1:$K$3000</definedName>
    <definedName name="_xlnm._FilterDatabase" localSheetId="9">'data consol'!$A$1:$R$168</definedName>
    <definedName name="_xlnm._FilterDatabase" localSheetId="7">'Riesgos y Cumplimiento'!$A$1:$K$3000</definedName>
  </definedName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F159" i="8"/>
  <c r="E159" i="8"/>
  <c r="C159" i="8"/>
  <c r="J158" i="8"/>
  <c r="I158" i="8"/>
  <c r="F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F207" i="7"/>
  <c r="E207" i="7"/>
  <c r="C207" i="7"/>
  <c r="J206" i="7"/>
  <c r="I206" i="7"/>
  <c r="F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F261" i="6"/>
  <c r="E261" i="6"/>
  <c r="C261" i="6"/>
  <c r="J260" i="6"/>
  <c r="I260" i="6"/>
  <c r="F260" i="6"/>
  <c r="E260" i="6"/>
  <c r="C260" i="6"/>
  <c r="J259" i="6"/>
  <c r="I259" i="6"/>
  <c r="F259" i="6"/>
  <c r="E259" i="6"/>
  <c r="C259" i="6"/>
  <c r="J258" i="6"/>
  <c r="I258" i="6"/>
  <c r="F258" i="6"/>
  <c r="E258" i="6"/>
  <c r="C258" i="6"/>
  <c r="J257" i="6"/>
  <c r="I257" i="6"/>
  <c r="F257" i="6"/>
  <c r="E257" i="6"/>
  <c r="C257" i="6"/>
  <c r="J256" i="6"/>
  <c r="I256" i="6"/>
  <c r="F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F271" i="4"/>
  <c r="E271" i="4"/>
  <c r="C271" i="4"/>
  <c r="J270" i="4"/>
  <c r="I270" i="4"/>
  <c r="F270" i="4"/>
  <c r="E270" i="4"/>
  <c r="C270" i="4"/>
  <c r="J269" i="4"/>
  <c r="I269" i="4"/>
  <c r="F269" i="4"/>
  <c r="E269" i="4"/>
  <c r="C269" i="4"/>
  <c r="J268" i="4"/>
  <c r="I268" i="4"/>
  <c r="F268" i="4"/>
  <c r="E268" i="4"/>
  <c r="C268" i="4"/>
  <c r="J267" i="4"/>
  <c r="I267" i="4"/>
  <c r="F267" i="4"/>
  <c r="E267" i="4"/>
  <c r="C267" i="4"/>
  <c r="J266" i="4"/>
  <c r="I266" i="4"/>
  <c r="F266" i="4"/>
  <c r="E266" i="4"/>
  <c r="C266" i="4"/>
  <c r="J265" i="4"/>
  <c r="I265" i="4"/>
  <c r="F265" i="4"/>
  <c r="E265" i="4"/>
  <c r="C265" i="4"/>
  <c r="J264" i="4"/>
  <c r="I264" i="4"/>
  <c r="F264" i="4"/>
  <c r="E264" i="4"/>
  <c r="C264" i="4"/>
  <c r="J263" i="4"/>
  <c r="I263" i="4"/>
  <c r="F263" i="4"/>
  <c r="E263" i="4"/>
  <c r="C263" i="4"/>
  <c r="J262" i="4"/>
  <c r="I262" i="4"/>
  <c r="F262" i="4"/>
  <c r="E262" i="4"/>
  <c r="C262" i="4"/>
  <c r="J261" i="4"/>
  <c r="I261" i="4"/>
  <c r="F261" i="4"/>
  <c r="E261" i="4"/>
  <c r="C261" i="4"/>
  <c r="J260" i="4"/>
  <c r="I260" i="4"/>
  <c r="F260" i="4"/>
  <c r="E260" i="4"/>
  <c r="C260" i="4"/>
  <c r="J259" i="4"/>
  <c r="I259" i="4"/>
  <c r="F259" i="4"/>
  <c r="E259" i="4"/>
  <c r="C259" i="4"/>
  <c r="J258" i="4"/>
  <c r="I258" i="4"/>
  <c r="F258" i="4"/>
  <c r="E258" i="4"/>
  <c r="C258" i="4"/>
  <c r="J257" i="4"/>
  <c r="I257" i="4"/>
  <c r="F257" i="4"/>
  <c r="E257" i="4"/>
  <c r="C257" i="4"/>
  <c r="J256" i="4"/>
  <c r="I256" i="4"/>
  <c r="F256" i="4"/>
  <c r="E256" i="4"/>
  <c r="C256" i="4"/>
  <c r="J255" i="4"/>
  <c r="I255" i="4"/>
  <c r="F255" i="4"/>
  <c r="E255" i="4"/>
  <c r="C255" i="4"/>
  <c r="J254" i="4"/>
  <c r="I254" i="4"/>
  <c r="F254" i="4"/>
  <c r="E254" i="4"/>
  <c r="C254" i="4"/>
  <c r="J253" i="4"/>
  <c r="I253" i="4"/>
  <c r="F253" i="4"/>
  <c r="E253" i="4"/>
  <c r="C253" i="4"/>
  <c r="J252" i="4"/>
  <c r="I252" i="4"/>
  <c r="F252" i="4"/>
  <c r="E252" i="4"/>
  <c r="C252" i="4"/>
  <c r="J251" i="4"/>
  <c r="I251" i="4"/>
  <c r="F251" i="4"/>
  <c r="E251" i="4"/>
  <c r="C251" i="4"/>
  <c r="J250" i="4"/>
  <c r="I250" i="4"/>
  <c r="F250" i="4"/>
  <c r="E250" i="4"/>
  <c r="C250" i="4"/>
  <c r="J249" i="4"/>
  <c r="I249" i="4"/>
  <c r="F249" i="4"/>
  <c r="E249" i="4"/>
  <c r="C249" i="4"/>
  <c r="J248" i="4"/>
  <c r="I248" i="4"/>
  <c r="F248" i="4"/>
  <c r="E248" i="4"/>
  <c r="C248" i="4"/>
  <c r="J247" i="4"/>
  <c r="I247" i="4"/>
  <c r="F247" i="4"/>
  <c r="E247" i="4"/>
  <c r="C247" i="4"/>
  <c r="J246" i="4"/>
  <c r="I246" i="4"/>
  <c r="F246" i="4"/>
  <c r="E246" i="4"/>
  <c r="C246" i="4"/>
  <c r="J245" i="4"/>
  <c r="I245" i="4"/>
  <c r="F245" i="4"/>
  <c r="E245" i="4"/>
  <c r="C245" i="4"/>
  <c r="J244" i="4"/>
  <c r="I244" i="4"/>
  <c r="F244" i="4"/>
  <c r="E244" i="4"/>
  <c r="C244" i="4"/>
  <c r="J243" i="4"/>
  <c r="I243" i="4"/>
  <c r="F243" i="4"/>
  <c r="E243" i="4"/>
  <c r="C243" i="4"/>
  <c r="J242" i="4"/>
  <c r="I242" i="4"/>
  <c r="F242" i="4"/>
  <c r="E242" i="4"/>
  <c r="C242" i="4"/>
  <c r="J241" i="4"/>
  <c r="I241" i="4"/>
  <c r="F241" i="4"/>
  <c r="E241" i="4"/>
  <c r="C241" i="4"/>
  <c r="J240" i="4"/>
  <c r="I240" i="4"/>
  <c r="F240" i="4"/>
  <c r="E240" i="4"/>
  <c r="C240" i="4"/>
  <c r="J239" i="4"/>
  <c r="I239" i="4"/>
  <c r="F239" i="4"/>
  <c r="E239" i="4"/>
  <c r="C239" i="4"/>
  <c r="J238" i="4"/>
  <c r="I238" i="4"/>
  <c r="F238" i="4"/>
  <c r="E238" i="4"/>
  <c r="C238" i="4"/>
  <c r="J237" i="4"/>
  <c r="I237" i="4"/>
  <c r="F237" i="4"/>
  <c r="E237" i="4"/>
  <c r="C237" i="4"/>
  <c r="J236" i="4"/>
  <c r="I236" i="4"/>
  <c r="F236" i="4"/>
  <c r="E236" i="4"/>
  <c r="C236" i="4"/>
  <c r="J235" i="4"/>
  <c r="I235" i="4"/>
  <c r="F235" i="4"/>
  <c r="E235" i="4"/>
  <c r="C235" i="4"/>
  <c r="J234" i="4"/>
  <c r="I234" i="4"/>
  <c r="F234" i="4"/>
  <c r="E234" i="4"/>
  <c r="C234" i="4"/>
  <c r="J233" i="4"/>
  <c r="I233" i="4"/>
  <c r="F233" i="4"/>
  <c r="E233" i="4"/>
  <c r="C233" i="4"/>
  <c r="J232" i="4"/>
  <c r="I232" i="4"/>
  <c r="F232" i="4"/>
  <c r="E232" i="4"/>
  <c r="C232" i="4"/>
  <c r="J231" i="4"/>
  <c r="I231" i="4"/>
  <c r="F231" i="4"/>
  <c r="E231" i="4"/>
  <c r="C231" i="4"/>
  <c r="J230" i="4"/>
  <c r="I230" i="4"/>
  <c r="F230" i="4"/>
  <c r="E230" i="4"/>
  <c r="C230" i="4"/>
  <c r="J229" i="4"/>
  <c r="I229" i="4"/>
  <c r="F229" i="4"/>
  <c r="E229" i="4"/>
  <c r="C229" i="4"/>
  <c r="J228" i="4"/>
  <c r="I228" i="4"/>
  <c r="F228" i="4"/>
  <c r="E228" i="4"/>
  <c r="C228" i="4"/>
  <c r="J227" i="4"/>
  <c r="I227" i="4"/>
  <c r="F227" i="4"/>
  <c r="E227" i="4"/>
  <c r="C227" i="4"/>
  <c r="J226" i="4"/>
  <c r="I226" i="4"/>
  <c r="F226" i="4"/>
  <c r="E226" i="4"/>
  <c r="C226" i="4"/>
  <c r="J225" i="4"/>
  <c r="I225" i="4"/>
  <c r="F225" i="4"/>
  <c r="E225" i="4"/>
  <c r="C225" i="4"/>
  <c r="J224" i="4"/>
  <c r="I224" i="4"/>
  <c r="F224" i="4"/>
  <c r="E224" i="4"/>
  <c r="C224" i="4"/>
  <c r="J223" i="4"/>
  <c r="I223" i="4"/>
  <c r="F223" i="4"/>
  <c r="E223" i="4"/>
  <c r="C223" i="4"/>
  <c r="J222" i="4"/>
  <c r="I222" i="4"/>
  <c r="F222" i="4"/>
  <c r="E222" i="4"/>
  <c r="C222" i="4"/>
  <c r="J221" i="4"/>
  <c r="I221" i="4"/>
  <c r="F221" i="4"/>
  <c r="E221" i="4"/>
  <c r="C221" i="4"/>
  <c r="J220" i="4"/>
  <c r="I220" i="4"/>
  <c r="F220" i="4"/>
  <c r="E220" i="4"/>
  <c r="C220" i="4"/>
  <c r="J219" i="4"/>
  <c r="I219" i="4"/>
  <c r="F219" i="4"/>
  <c r="E219" i="4"/>
  <c r="C219" i="4"/>
  <c r="J218" i="4"/>
  <c r="I218" i="4"/>
  <c r="F218" i="4"/>
  <c r="E218" i="4"/>
  <c r="C218" i="4"/>
  <c r="J217" i="4"/>
  <c r="I217" i="4"/>
  <c r="F217" i="4"/>
  <c r="E217" i="4"/>
  <c r="C217" i="4"/>
  <c r="J216" i="4"/>
  <c r="I216" i="4"/>
  <c r="F216" i="4"/>
  <c r="E216" i="4"/>
  <c r="C216" i="4"/>
  <c r="J215" i="4"/>
  <c r="I215" i="4"/>
  <c r="F215" i="4"/>
  <c r="E215" i="4"/>
  <c r="C215" i="4"/>
  <c r="J214" i="4"/>
  <c r="I214" i="4"/>
  <c r="F214" i="4"/>
  <c r="E214" i="4"/>
  <c r="C214" i="4"/>
  <c r="J213" i="4"/>
  <c r="I213" i="4"/>
  <c r="F213" i="4"/>
  <c r="E213" i="4"/>
  <c r="C213" i="4"/>
  <c r="J212" i="4"/>
  <c r="I212" i="4"/>
  <c r="F212" i="4"/>
  <c r="E212" i="4"/>
  <c r="C212" i="4"/>
  <c r="J211" i="4"/>
  <c r="I211" i="4"/>
  <c r="F211" i="4"/>
  <c r="E211" i="4"/>
  <c r="C211" i="4"/>
  <c r="J210" i="4"/>
  <c r="I210" i="4"/>
  <c r="F210" i="4"/>
  <c r="E210" i="4"/>
  <c r="C210" i="4"/>
  <c r="J209" i="4"/>
  <c r="I209" i="4"/>
  <c r="F209" i="4"/>
  <c r="E209" i="4"/>
  <c r="C209" i="4"/>
  <c r="J208" i="4"/>
  <c r="I208" i="4"/>
  <c r="F208" i="4"/>
  <c r="E208" i="4"/>
  <c r="C208" i="4"/>
  <c r="J207" i="4"/>
  <c r="I207" i="4"/>
  <c r="F207" i="4"/>
  <c r="E207" i="4"/>
  <c r="C207" i="4"/>
  <c r="J206" i="4"/>
  <c r="I206" i="4"/>
  <c r="F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F613" i="3"/>
  <c r="E613" i="3"/>
  <c r="C613" i="3"/>
  <c r="J612" i="3"/>
  <c r="I612" i="3"/>
  <c r="F612" i="3"/>
  <c r="E612" i="3"/>
  <c r="C612" i="3"/>
  <c r="J611" i="3"/>
  <c r="I611" i="3"/>
  <c r="F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AW11" i="2"/>
  <c r="AW10" i="2"/>
  <c r="AW9" i="2"/>
  <c r="AW7" i="2"/>
  <c r="BD5" i="2"/>
  <c r="BE5" i="2" s="1"/>
  <c r="AW5" i="2"/>
  <c r="BD4" i="2"/>
  <c r="BE4" i="2" s="1"/>
  <c r="AW4" i="2"/>
  <c r="AV4" i="2"/>
  <c r="AV5" i="2" s="1"/>
  <c r="AV6" i="2" s="1"/>
  <c r="AV7" i="2" s="1"/>
  <c r="AV8" i="2" s="1"/>
  <c r="AV9" i="2" s="1"/>
  <c r="AV10" i="2" s="1"/>
  <c r="AV11" i="2" s="1"/>
  <c r="AV12" i="2" s="1"/>
  <c r="AV13" i="2" s="1"/>
  <c r="AN4" i="2"/>
  <c r="AO4" i="2" s="1"/>
  <c r="AF4" i="2"/>
  <c r="AG4" i="2" s="1"/>
  <c r="X4" i="2"/>
  <c r="Y4" i="2" s="1"/>
  <c r="L4" i="2"/>
  <c r="L5" i="2" s="1"/>
  <c r="BE3" i="2"/>
  <c r="AW3" i="2"/>
  <c r="AO3" i="2"/>
  <c r="AG3" i="2"/>
  <c r="Y3" i="2"/>
  <c r="M3" i="2"/>
  <c r="F33" i="3" s="1"/>
  <c r="C3" i="2"/>
  <c r="A3" i="2"/>
  <c r="F178" i="3" l="1"/>
  <c r="F323" i="5"/>
  <c r="F83" i="5"/>
  <c r="F23" i="5"/>
  <c r="F198" i="5"/>
  <c r="F73" i="5"/>
  <c r="F13" i="5"/>
  <c r="F248" i="5"/>
  <c r="F123" i="5"/>
  <c r="F63" i="5"/>
  <c r="F3" i="5"/>
  <c r="F298" i="5"/>
  <c r="F173" i="5"/>
  <c r="F113" i="5"/>
  <c r="F53" i="5"/>
  <c r="F223" i="5"/>
  <c r="F103" i="5"/>
  <c r="F43" i="5"/>
  <c r="F273" i="5"/>
  <c r="F93" i="5"/>
  <c r="F33" i="5"/>
  <c r="F148" i="5"/>
  <c r="F228" i="6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68" i="7"/>
  <c r="F8" i="7"/>
  <c r="F118" i="7"/>
  <c r="F58" i="7"/>
  <c r="F108" i="7"/>
  <c r="F48" i="7"/>
  <c r="F98" i="7"/>
  <c r="F38" i="7"/>
  <c r="F88" i="7"/>
  <c r="F28" i="7"/>
  <c r="F78" i="7"/>
  <c r="F18" i="7"/>
  <c r="AW13" i="2"/>
  <c r="AV14" i="2"/>
  <c r="AW14" i="2" s="1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L6" i="2"/>
  <c r="M5" i="2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F109" i="7"/>
  <c r="F49" i="7"/>
  <c r="F99" i="7"/>
  <c r="F39" i="7"/>
  <c r="F89" i="7"/>
  <c r="F29" i="7"/>
  <c r="F79" i="7"/>
  <c r="F19" i="7"/>
  <c r="F69" i="7"/>
  <c r="F9" i="7"/>
  <c r="F119" i="7"/>
  <c r="F59" i="7"/>
  <c r="F108" i="6"/>
  <c r="F86" i="6"/>
  <c r="F74" i="6"/>
  <c r="F62" i="6"/>
  <c r="F50" i="6"/>
  <c r="F38" i="6"/>
  <c r="F26" i="6"/>
  <c r="F14" i="6"/>
  <c r="F2" i="6"/>
  <c r="F119" i="6"/>
  <c r="F97" i="6"/>
  <c r="AW6" i="2"/>
  <c r="AW12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F74" i="8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BD6" i="2"/>
  <c r="F78" i="4"/>
  <c r="F54" i="4"/>
  <c r="F3" i="4"/>
  <c r="F94" i="4"/>
  <c r="F70" i="4"/>
  <c r="F46" i="4"/>
  <c r="F29" i="4"/>
  <c r="F12" i="4"/>
  <c r="F86" i="4"/>
  <c r="F62" i="4"/>
  <c r="F38" i="4"/>
  <c r="F21" i="4"/>
  <c r="AW8" i="2"/>
  <c r="F294" i="3"/>
  <c r="M4" i="2"/>
  <c r="F120" i="3"/>
  <c r="F265" i="3"/>
  <c r="F149" i="3"/>
  <c r="X5" i="2"/>
  <c r="F91" i="3"/>
  <c r="F323" i="3"/>
  <c r="F62" i="3"/>
  <c r="AF5" i="2"/>
  <c r="F236" i="3"/>
  <c r="AN5" i="2"/>
  <c r="F165" i="4"/>
  <c r="F11" i="4"/>
  <c r="F102" i="4"/>
  <c r="F121" i="4"/>
  <c r="F85" i="4"/>
  <c r="F61" i="4"/>
  <c r="F37" i="4"/>
  <c r="F20" i="4"/>
  <c r="F191" i="4"/>
  <c r="F152" i="4"/>
  <c r="F111" i="4"/>
  <c r="F130" i="4"/>
  <c r="F77" i="4"/>
  <c r="F53" i="4"/>
  <c r="F178" i="4"/>
  <c r="F139" i="4"/>
  <c r="F2" i="4"/>
  <c r="F93" i="4"/>
  <c r="F69" i="4"/>
  <c r="F45" i="4"/>
  <c r="F28" i="4"/>
  <c r="F4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222" i="5"/>
  <c r="F102" i="5"/>
  <c r="F42" i="5"/>
  <c r="F272" i="5"/>
  <c r="F92" i="5"/>
  <c r="F32" i="5"/>
  <c r="F147" i="5"/>
  <c r="F322" i="5"/>
  <c r="F82" i="5"/>
  <c r="F22" i="5"/>
  <c r="F197" i="5"/>
  <c r="F72" i="5"/>
  <c r="F12" i="5"/>
  <c r="F247" i="5"/>
  <c r="F297" i="5"/>
  <c r="F122" i="5"/>
  <c r="F62" i="5"/>
  <c r="F172" i="5"/>
  <c r="F112" i="5"/>
  <c r="F2" i="5"/>
  <c r="F52" i="5"/>
  <c r="F207" i="3"/>
  <c r="Y5" i="2" l="1"/>
  <c r="X6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F183" i="7"/>
  <c r="F147" i="7"/>
  <c r="F192" i="7"/>
  <c r="F156" i="7"/>
  <c r="F201" i="7"/>
  <c r="F165" i="7"/>
  <c r="F129" i="7"/>
  <c r="F174" i="7"/>
  <c r="F138" i="7"/>
  <c r="F193" i="7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F171" i="7"/>
  <c r="F135" i="7"/>
  <c r="F180" i="7"/>
  <c r="F144" i="7"/>
  <c r="F189" i="7"/>
  <c r="F153" i="7"/>
  <c r="F198" i="7"/>
  <c r="F162" i="7"/>
  <c r="F126" i="7"/>
  <c r="F57" i="3"/>
  <c r="F202" i="3"/>
  <c r="F28" i="3"/>
  <c r="F318" i="3"/>
  <c r="F231" i="3"/>
  <c r="F86" i="3"/>
  <c r="F260" i="3"/>
  <c r="F115" i="3"/>
  <c r="F144" i="3"/>
  <c r="F347" i="3"/>
  <c r="F289" i="3"/>
  <c r="F173" i="3"/>
  <c r="AN6" i="2"/>
  <c r="AO5" i="2"/>
  <c r="F97" i="7"/>
  <c r="F37" i="7"/>
  <c r="F87" i="7"/>
  <c r="F27" i="7"/>
  <c r="F77" i="7"/>
  <c r="F17" i="7"/>
  <c r="F67" i="7"/>
  <c r="F7" i="7"/>
  <c r="F117" i="7"/>
  <c r="F57" i="7"/>
  <c r="F107" i="7"/>
  <c r="F47" i="7"/>
  <c r="F319" i="3"/>
  <c r="F290" i="3"/>
  <c r="F261" i="3"/>
  <c r="F58" i="3"/>
  <c r="F87" i="3"/>
  <c r="F116" i="3"/>
  <c r="F145" i="3"/>
  <c r="F174" i="3"/>
  <c r="F348" i="3"/>
  <c r="F203" i="3"/>
  <c r="F232" i="3"/>
  <c r="F29" i="3"/>
  <c r="BE6" i="2"/>
  <c r="BD7" i="2"/>
  <c r="L7" i="2"/>
  <c r="M6" i="2"/>
  <c r="AG5" i="2"/>
  <c r="AF6" i="2"/>
  <c r="AG6" i="2" l="1"/>
  <c r="AF7" i="2"/>
  <c r="F299" i="5"/>
  <c r="F174" i="5"/>
  <c r="F114" i="5"/>
  <c r="F54" i="5"/>
  <c r="F224" i="5"/>
  <c r="F104" i="5"/>
  <c r="F44" i="5"/>
  <c r="F274" i="5"/>
  <c r="F94" i="5"/>
  <c r="F34" i="5"/>
  <c r="F149" i="5"/>
  <c r="F324" i="5"/>
  <c r="F84" i="5"/>
  <c r="F24" i="5"/>
  <c r="F199" i="5"/>
  <c r="F249" i="5"/>
  <c r="F74" i="5"/>
  <c r="F124" i="5"/>
  <c r="F14" i="5"/>
  <c r="F64" i="5"/>
  <c r="F4" i="5"/>
  <c r="L8" i="2"/>
  <c r="M7" i="2"/>
  <c r="BE7" i="2"/>
  <c r="BD8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AO6" i="2"/>
  <c r="AN7" i="2"/>
  <c r="F117" i="3"/>
  <c r="F175" i="3"/>
  <c r="F349" i="3"/>
  <c r="F291" i="3"/>
  <c r="F204" i="3"/>
  <c r="F30" i="3"/>
  <c r="F233" i="3"/>
  <c r="F320" i="3"/>
  <c r="F59" i="3"/>
  <c r="F88" i="3"/>
  <c r="F146" i="3"/>
  <c r="F262" i="3"/>
  <c r="Y6" i="2"/>
  <c r="X7" i="2"/>
  <c r="F95" i="4"/>
  <c r="F71" i="4"/>
  <c r="F47" i="4"/>
  <c r="F30" i="4"/>
  <c r="F13" i="4"/>
  <c r="F87" i="4"/>
  <c r="F63" i="4"/>
  <c r="F39" i="4"/>
  <c r="F22" i="4"/>
  <c r="F79" i="4"/>
  <c r="F55" i="4"/>
  <c r="F4" i="4"/>
  <c r="AN8" i="2" l="1"/>
  <c r="AO7" i="2"/>
  <c r="L9" i="2"/>
  <c r="M8" i="2"/>
  <c r="BE8" i="2"/>
  <c r="BD9" i="2"/>
  <c r="Y7" i="2"/>
  <c r="X8" i="2"/>
  <c r="F131" i="4"/>
  <c r="F23" i="4"/>
  <c r="F179" i="4"/>
  <c r="F140" i="4"/>
  <c r="F80" i="4"/>
  <c r="F56" i="4"/>
  <c r="F5" i="4"/>
  <c r="F166" i="4"/>
  <c r="F96" i="4"/>
  <c r="F72" i="4"/>
  <c r="F48" i="4"/>
  <c r="F103" i="4"/>
  <c r="F31" i="4"/>
  <c r="F122" i="4"/>
  <c r="F14" i="4"/>
  <c r="F192" i="4"/>
  <c r="F153" i="4"/>
  <c r="F112" i="4"/>
  <c r="F88" i="4"/>
  <c r="F64" i="4"/>
  <c r="F40" i="4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AG7" i="2"/>
  <c r="AF8" i="2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F326" i="3"/>
  <c r="F297" i="3"/>
  <c r="F36" i="3"/>
  <c r="F239" i="3"/>
  <c r="F65" i="3"/>
  <c r="F94" i="3"/>
  <c r="F123" i="3"/>
  <c r="F268" i="3"/>
  <c r="F152" i="3"/>
  <c r="F210" i="3"/>
  <c r="F181" i="3"/>
  <c r="F7" i="3"/>
  <c r="F95" i="5"/>
  <c r="F35" i="5"/>
  <c r="F85" i="5"/>
  <c r="F25" i="5"/>
  <c r="F75" i="5"/>
  <c r="F15" i="5"/>
  <c r="F65" i="5"/>
  <c r="F5" i="5"/>
  <c r="F115" i="5"/>
  <c r="F55" i="5"/>
  <c r="F105" i="5"/>
  <c r="F45" i="5"/>
  <c r="Y8" i="2" l="1"/>
  <c r="X9" i="2"/>
  <c r="F6" i="4"/>
  <c r="F97" i="4"/>
  <c r="F73" i="4"/>
  <c r="F49" i="4"/>
  <c r="F32" i="4"/>
  <c r="F15" i="4"/>
  <c r="F89" i="4"/>
  <c r="F65" i="4"/>
  <c r="F41" i="4"/>
  <c r="F24" i="4"/>
  <c r="F81" i="4"/>
  <c r="F57" i="4"/>
  <c r="BE9" i="2"/>
  <c r="BD10" i="2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AG8" i="2"/>
  <c r="AF9" i="2"/>
  <c r="F66" i="5"/>
  <c r="F6" i="5"/>
  <c r="F116" i="5"/>
  <c r="F56" i="5"/>
  <c r="F106" i="5"/>
  <c r="F46" i="5"/>
  <c r="F96" i="5"/>
  <c r="F36" i="5"/>
  <c r="F26" i="5"/>
  <c r="F76" i="5"/>
  <c r="F16" i="5"/>
  <c r="F86" i="5"/>
  <c r="L10" i="2"/>
  <c r="M9" i="2"/>
  <c r="F247" i="6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AO8" i="2"/>
  <c r="AN9" i="2"/>
  <c r="F349" i="5" l="1"/>
  <c r="F352" i="5"/>
  <c r="AO9" i="2"/>
  <c r="AN10" i="2"/>
  <c r="AG9" i="2"/>
  <c r="AF10" i="2"/>
  <c r="M10" i="2"/>
  <c r="L11" i="2"/>
  <c r="BE10" i="2"/>
  <c r="BD11" i="2"/>
  <c r="BE11" i="2" s="1"/>
  <c r="F50" i="8"/>
  <c r="F57" i="8"/>
  <c r="F64" i="8"/>
  <c r="F71" i="8"/>
  <c r="F78" i="8"/>
  <c r="F85" i="8"/>
  <c r="F8" i="8"/>
  <c r="F15" i="8"/>
  <c r="F22" i="8"/>
  <c r="F29" i="8"/>
  <c r="F36" i="8"/>
  <c r="F43" i="8"/>
  <c r="F107" i="5"/>
  <c r="F47" i="5"/>
  <c r="F282" i="5"/>
  <c r="F157" i="5"/>
  <c r="F97" i="5"/>
  <c r="F37" i="5"/>
  <c r="F332" i="5"/>
  <c r="F207" i="5"/>
  <c r="F87" i="5"/>
  <c r="F27" i="5"/>
  <c r="F257" i="5"/>
  <c r="F77" i="5"/>
  <c r="F17" i="5"/>
  <c r="F348" i="5"/>
  <c r="F132" i="5"/>
  <c r="F307" i="5"/>
  <c r="F67" i="5"/>
  <c r="F7" i="5"/>
  <c r="F232" i="5"/>
  <c r="F182" i="5"/>
  <c r="F57" i="5"/>
  <c r="F117" i="5"/>
  <c r="Y9" i="2"/>
  <c r="X10" i="2"/>
  <c r="F192" i="6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90" i="4"/>
  <c r="F66" i="4"/>
  <c r="F42" i="4"/>
  <c r="F25" i="4"/>
  <c r="F82" i="4"/>
  <c r="F58" i="4"/>
  <c r="F7" i="4"/>
  <c r="F98" i="4"/>
  <c r="F74" i="4"/>
  <c r="F50" i="4"/>
  <c r="F33" i="4"/>
  <c r="F16" i="4"/>
  <c r="Y10" i="2" l="1"/>
  <c r="X11" i="2"/>
  <c r="F141" i="8"/>
  <c r="F117" i="8"/>
  <c r="F93" i="8"/>
  <c r="F157" i="8"/>
  <c r="F133" i="8"/>
  <c r="F109" i="8"/>
  <c r="F149" i="8"/>
  <c r="F125" i="8"/>
  <c r="F101" i="8"/>
  <c r="F182" i="4"/>
  <c r="F83" i="4"/>
  <c r="F59" i="4"/>
  <c r="F194" i="4"/>
  <c r="F8" i="4"/>
  <c r="F99" i="4"/>
  <c r="F75" i="4"/>
  <c r="F51" i="4"/>
  <c r="F142" i="4"/>
  <c r="F106" i="4"/>
  <c r="F34" i="4"/>
  <c r="F125" i="4"/>
  <c r="F17" i="4"/>
  <c r="F156" i="4"/>
  <c r="F115" i="4"/>
  <c r="F91" i="4"/>
  <c r="F67" i="4"/>
  <c r="F43" i="4"/>
  <c r="F168" i="4"/>
  <c r="F134" i="4"/>
  <c r="F26" i="4"/>
  <c r="F136" i="8"/>
  <c r="F112" i="8"/>
  <c r="F88" i="8"/>
  <c r="F152" i="8"/>
  <c r="F128" i="8"/>
  <c r="F104" i="8"/>
  <c r="F144" i="8"/>
  <c r="F120" i="8"/>
  <c r="F96" i="8"/>
  <c r="L12" i="2"/>
  <c r="M11" i="2"/>
  <c r="AG10" i="2"/>
  <c r="AF11" i="2"/>
  <c r="F347" i="5"/>
  <c r="F78" i="5"/>
  <c r="F18" i="5"/>
  <c r="F68" i="5"/>
  <c r="F8" i="5"/>
  <c r="F118" i="5"/>
  <c r="F58" i="5"/>
  <c r="F108" i="5"/>
  <c r="F48" i="5"/>
  <c r="F88" i="5"/>
  <c r="F28" i="5"/>
  <c r="F98" i="5"/>
  <c r="F38" i="5"/>
  <c r="AN11" i="2"/>
  <c r="AO10" i="2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O11" i="2" l="1"/>
  <c r="AN12" i="2"/>
  <c r="F206" i="3"/>
  <c r="F177" i="3"/>
  <c r="F264" i="3"/>
  <c r="F119" i="3"/>
  <c r="F148" i="3"/>
  <c r="F61" i="3"/>
  <c r="F293" i="3"/>
  <c r="F3" i="3"/>
  <c r="F235" i="3"/>
  <c r="F32" i="3"/>
  <c r="F90" i="3"/>
  <c r="F322" i="3"/>
  <c r="M12" i="2"/>
  <c r="L13" i="2"/>
  <c r="F119" i="5"/>
  <c r="F59" i="5"/>
  <c r="F109" i="5"/>
  <c r="F49" i="5"/>
  <c r="F99" i="5"/>
  <c r="F39" i="5"/>
  <c r="F89" i="5"/>
  <c r="F29" i="5"/>
  <c r="F79" i="5"/>
  <c r="F19" i="5"/>
  <c r="F9" i="5"/>
  <c r="F69" i="5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Y11" i="2"/>
  <c r="X12" i="2"/>
  <c r="AG11" i="2"/>
  <c r="AF12" i="2"/>
  <c r="F196" i="4"/>
  <c r="F184" i="4"/>
  <c r="F35" i="4"/>
  <c r="F18" i="4"/>
  <c r="F92" i="4"/>
  <c r="F68" i="4"/>
  <c r="F44" i="4"/>
  <c r="F27" i="4"/>
  <c r="F144" i="4"/>
  <c r="F108" i="4"/>
  <c r="F84" i="4"/>
  <c r="F60" i="4"/>
  <c r="F127" i="4"/>
  <c r="F158" i="4"/>
  <c r="F117" i="4"/>
  <c r="F9" i="4"/>
  <c r="F170" i="4"/>
  <c r="F136" i="4"/>
  <c r="F100" i="4"/>
  <c r="F76" i="4"/>
  <c r="F52" i="4"/>
  <c r="AG12" i="2" l="1"/>
  <c r="AF13" i="2"/>
  <c r="L14" i="2"/>
  <c r="M13" i="2"/>
  <c r="AO12" i="2"/>
  <c r="AN13" i="2"/>
  <c r="F234" i="5"/>
  <c r="F90" i="5"/>
  <c r="F30" i="5"/>
  <c r="F284" i="5"/>
  <c r="F80" i="5"/>
  <c r="F20" i="5"/>
  <c r="F159" i="5"/>
  <c r="F334" i="5"/>
  <c r="F70" i="5"/>
  <c r="F10" i="5"/>
  <c r="F209" i="5"/>
  <c r="F120" i="5"/>
  <c r="F60" i="5"/>
  <c r="F259" i="5"/>
  <c r="F309" i="5"/>
  <c r="F40" i="5"/>
  <c r="F184" i="5"/>
  <c r="F110" i="5"/>
  <c r="F50" i="5"/>
  <c r="F134" i="5"/>
  <c r="F100" i="5"/>
  <c r="F466" i="3"/>
  <c r="F605" i="3"/>
  <c r="F576" i="3"/>
  <c r="F379" i="3"/>
  <c r="F350" i="3"/>
  <c r="F321" i="3"/>
  <c r="F31" i="3"/>
  <c r="F60" i="3"/>
  <c r="F234" i="3"/>
  <c r="F495" i="3"/>
  <c r="F89" i="3"/>
  <c r="F437" i="3"/>
  <c r="F263" i="3"/>
  <c r="F118" i="3"/>
  <c r="F292" i="3"/>
  <c r="F147" i="3"/>
  <c r="F524" i="3"/>
  <c r="F176" i="3"/>
  <c r="F205" i="3"/>
  <c r="F408" i="3"/>
  <c r="F2" i="3"/>
  <c r="X13" i="2"/>
  <c r="Y12" i="2"/>
  <c r="F119" i="4"/>
  <c r="F145" i="4"/>
  <c r="F159" i="4"/>
  <c r="F10" i="4"/>
  <c r="F171" i="4"/>
  <c r="F36" i="4"/>
  <c r="F19" i="4"/>
  <c r="F185" i="4"/>
  <c r="F197" i="4"/>
  <c r="F252" i="6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O13" i="2" l="1"/>
  <c r="AN14" i="2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F525" i="3"/>
  <c r="F496" i="3"/>
  <c r="F577" i="3"/>
  <c r="F409" i="3"/>
  <c r="F351" i="3"/>
  <c r="F606" i="3"/>
  <c r="F438" i="3"/>
  <c r="F467" i="3"/>
  <c r="F380" i="3"/>
  <c r="L15" i="2"/>
  <c r="M14" i="2"/>
  <c r="F177" i="4"/>
  <c r="F138" i="4"/>
  <c r="F164" i="4"/>
  <c r="F101" i="4"/>
  <c r="F120" i="4"/>
  <c r="F190" i="4"/>
  <c r="F151" i="4"/>
  <c r="F110" i="4"/>
  <c r="F129" i="4"/>
  <c r="AG13" i="2"/>
  <c r="AF14" i="2"/>
  <c r="Y13" i="2"/>
  <c r="X14" i="2"/>
  <c r="F287" i="5"/>
  <c r="F71" i="5"/>
  <c r="F11" i="5"/>
  <c r="F162" i="5"/>
  <c r="F337" i="5"/>
  <c r="F121" i="5"/>
  <c r="F61" i="5"/>
  <c r="F212" i="5"/>
  <c r="F111" i="5"/>
  <c r="F51" i="5"/>
  <c r="F262" i="5"/>
  <c r="F137" i="5"/>
  <c r="F101" i="5"/>
  <c r="F41" i="5"/>
  <c r="F312" i="5"/>
  <c r="F187" i="5"/>
  <c r="F91" i="5"/>
  <c r="F31" i="5"/>
  <c r="F237" i="5"/>
  <c r="F81" i="5"/>
  <c r="F21" i="5"/>
  <c r="F350" i="5" l="1"/>
  <c r="F351" i="5"/>
  <c r="F526" i="3"/>
  <c r="F497" i="3"/>
  <c r="F600" i="3"/>
  <c r="F571" i="3"/>
  <c r="F439" i="3"/>
  <c r="F410" i="3"/>
  <c r="F266" i="3"/>
  <c r="F381" i="3"/>
  <c r="F237" i="3"/>
  <c r="F324" i="3"/>
  <c r="F92" i="3"/>
  <c r="F121" i="3"/>
  <c r="F150" i="3"/>
  <c r="F5" i="3"/>
  <c r="F468" i="3"/>
  <c r="F179" i="3"/>
  <c r="F295" i="3"/>
  <c r="F208" i="3"/>
  <c r="F352" i="3"/>
  <c r="F63" i="3"/>
  <c r="F34" i="3"/>
  <c r="X15" i="2"/>
  <c r="Y14" i="2"/>
  <c r="F167" i="4"/>
  <c r="F104" i="4"/>
  <c r="F123" i="4"/>
  <c r="F193" i="4"/>
  <c r="F154" i="4"/>
  <c r="F113" i="4"/>
  <c r="F132" i="4"/>
  <c r="F180" i="4"/>
  <c r="F141" i="4"/>
  <c r="AG14" i="2"/>
  <c r="AF15" i="2"/>
  <c r="M15" i="2"/>
  <c r="L16" i="2"/>
  <c r="F275" i="5"/>
  <c r="F150" i="5"/>
  <c r="F325" i="5"/>
  <c r="F200" i="5"/>
  <c r="F250" i="5"/>
  <c r="F125" i="5"/>
  <c r="F300" i="5"/>
  <c r="F175" i="5"/>
  <c r="F225" i="5"/>
  <c r="F240" i="6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AO14" i="2"/>
  <c r="AN15" i="2"/>
  <c r="F251" i="5" l="1"/>
  <c r="F126" i="5"/>
  <c r="F301" i="5"/>
  <c r="F176" i="5"/>
  <c r="F226" i="5"/>
  <c r="F276" i="5"/>
  <c r="F151" i="5"/>
  <c r="F201" i="5"/>
  <c r="F326" i="5"/>
  <c r="AN16" i="2"/>
  <c r="AO15" i="2"/>
  <c r="M16" i="2"/>
  <c r="L17" i="2"/>
  <c r="AF16" i="2"/>
  <c r="AG15" i="2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F93" i="3"/>
  <c r="F599" i="3"/>
  <c r="F469" i="3"/>
  <c r="F180" i="3"/>
  <c r="F382" i="3"/>
  <c r="F296" i="3"/>
  <c r="F498" i="3"/>
  <c r="F440" i="3"/>
  <c r="F209" i="3"/>
  <c r="F6" i="3"/>
  <c r="F122" i="3"/>
  <c r="F35" i="3"/>
  <c r="F64" i="3"/>
  <c r="F527" i="3"/>
  <c r="F353" i="3"/>
  <c r="F238" i="3"/>
  <c r="F411" i="3"/>
  <c r="F325" i="3"/>
  <c r="F570" i="3"/>
  <c r="F267" i="3"/>
  <c r="F151" i="3"/>
  <c r="F155" i="4"/>
  <c r="F114" i="4"/>
  <c r="F133" i="4"/>
  <c r="F147" i="4"/>
  <c r="F181" i="4"/>
  <c r="F198" i="4"/>
  <c r="F173" i="4"/>
  <c r="F105" i="4"/>
  <c r="F124" i="4"/>
  <c r="Y15" i="2"/>
  <c r="X16" i="2"/>
  <c r="AO16" i="2" l="1"/>
  <c r="AN17" i="2"/>
  <c r="AO17" i="2" s="1"/>
  <c r="F598" i="3"/>
  <c r="F569" i="3"/>
  <c r="F528" i="3"/>
  <c r="F499" i="3"/>
  <c r="F470" i="3"/>
  <c r="F441" i="3"/>
  <c r="F153" i="3"/>
  <c r="F269" i="3"/>
  <c r="F354" i="3"/>
  <c r="F412" i="3"/>
  <c r="F182" i="3"/>
  <c r="F298" i="3"/>
  <c r="F211" i="3"/>
  <c r="F8" i="3"/>
  <c r="F240" i="3"/>
  <c r="F37" i="3"/>
  <c r="F383" i="3"/>
  <c r="F66" i="3"/>
  <c r="F124" i="3"/>
  <c r="F95" i="3"/>
  <c r="F327" i="3"/>
  <c r="F187" i="6"/>
  <c r="F201" i="6"/>
  <c r="F215" i="6"/>
  <c r="F131" i="6"/>
  <c r="F229" i="6"/>
  <c r="F145" i="6"/>
  <c r="F243" i="6"/>
  <c r="F159" i="6"/>
  <c r="F173" i="6"/>
  <c r="Y16" i="2"/>
  <c r="X17" i="2"/>
  <c r="F227" i="5"/>
  <c r="F277" i="5"/>
  <c r="F152" i="5"/>
  <c r="F327" i="5"/>
  <c r="F202" i="5"/>
  <c r="F252" i="5"/>
  <c r="F127" i="5"/>
  <c r="F177" i="5"/>
  <c r="F302" i="5"/>
  <c r="F143" i="4"/>
  <c r="F107" i="4"/>
  <c r="F126" i="4"/>
  <c r="F157" i="4"/>
  <c r="F116" i="4"/>
  <c r="F169" i="4"/>
  <c r="F135" i="4"/>
  <c r="F183" i="4"/>
  <c r="F195" i="4"/>
  <c r="AG16" i="2"/>
  <c r="AF17" i="2"/>
  <c r="L18" i="2"/>
  <c r="M17" i="2"/>
  <c r="F355" i="3" l="1"/>
  <c r="F9" i="3"/>
  <c r="F38" i="3"/>
  <c r="F601" i="3"/>
  <c r="F471" i="3"/>
  <c r="F384" i="3"/>
  <c r="F241" i="3"/>
  <c r="F67" i="3"/>
  <c r="F500" i="3"/>
  <c r="F442" i="3"/>
  <c r="F328" i="3"/>
  <c r="F96" i="3"/>
  <c r="F183" i="3"/>
  <c r="F125" i="3"/>
  <c r="F270" i="3"/>
  <c r="F154" i="3"/>
  <c r="F529" i="3"/>
  <c r="F413" i="3"/>
  <c r="F572" i="3"/>
  <c r="F299" i="3"/>
  <c r="F212" i="3"/>
  <c r="M18" i="2"/>
  <c r="L19" i="2"/>
  <c r="AG17" i="2"/>
  <c r="AF18" i="2"/>
  <c r="Y17" i="2"/>
  <c r="X18" i="2"/>
  <c r="F109" i="4"/>
  <c r="F128" i="4"/>
  <c r="F118" i="4"/>
  <c r="F137" i="4"/>
  <c r="F203" i="5"/>
  <c r="F253" i="5"/>
  <c r="F128" i="5"/>
  <c r="F303" i="5"/>
  <c r="F178" i="5"/>
  <c r="F228" i="5"/>
  <c r="F153" i="5"/>
  <c r="F328" i="5"/>
  <c r="F278" i="5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L20" i="2" l="1"/>
  <c r="M19" i="2"/>
  <c r="F586" i="3"/>
  <c r="F562" i="3"/>
  <c r="F538" i="3"/>
  <c r="F514" i="3"/>
  <c r="F502" i="3"/>
  <c r="F478" i="3"/>
  <c r="F454" i="3"/>
  <c r="F593" i="3"/>
  <c r="F557" i="3"/>
  <c r="F533" i="3"/>
  <c r="F509" i="3"/>
  <c r="F485" i="3"/>
  <c r="F588" i="3"/>
  <c r="F564" i="3"/>
  <c r="F540" i="3"/>
  <c r="F504" i="3"/>
  <c r="F595" i="3"/>
  <c r="F583" i="3"/>
  <c r="F559" i="3"/>
  <c r="F535" i="3"/>
  <c r="F511" i="3"/>
  <c r="F475" i="3"/>
  <c r="F451" i="3"/>
  <c r="F427" i="3"/>
  <c r="F415" i="3"/>
  <c r="F391" i="3"/>
  <c r="F367" i="3"/>
  <c r="F331" i="3"/>
  <c r="F307" i="3"/>
  <c r="F590" i="3"/>
  <c r="F566" i="3"/>
  <c r="F554" i="3"/>
  <c r="F542" i="3"/>
  <c r="F530" i="3"/>
  <c r="F506" i="3"/>
  <c r="F482" i="3"/>
  <c r="F446" i="3"/>
  <c r="F422" i="3"/>
  <c r="F398" i="3"/>
  <c r="F386" i="3"/>
  <c r="F362" i="3"/>
  <c r="F338" i="3"/>
  <c r="F302" i="3"/>
  <c r="F278" i="3"/>
  <c r="F254" i="3"/>
  <c r="F242" i="3"/>
  <c r="F218" i="3"/>
  <c r="F585" i="3"/>
  <c r="F561" i="3"/>
  <c r="F537" i="3"/>
  <c r="F513" i="3"/>
  <c r="F501" i="3"/>
  <c r="F477" i="3"/>
  <c r="F453" i="3"/>
  <c r="F417" i="3"/>
  <c r="F393" i="3"/>
  <c r="F369" i="3"/>
  <c r="F357" i="3"/>
  <c r="F333" i="3"/>
  <c r="F309" i="3"/>
  <c r="F273" i="3"/>
  <c r="F249" i="3"/>
  <c r="F225" i="3"/>
  <c r="F213" i="3"/>
  <c r="F189" i="3"/>
  <c r="F165" i="3"/>
  <c r="F129" i="3"/>
  <c r="F105" i="3"/>
  <c r="F69" i="3"/>
  <c r="F45" i="3"/>
  <c r="F21" i="3"/>
  <c r="F592" i="3"/>
  <c r="F556" i="3"/>
  <c r="F532" i="3"/>
  <c r="F508" i="3"/>
  <c r="F484" i="3"/>
  <c r="F472" i="3"/>
  <c r="F448" i="3"/>
  <c r="F531" i="3"/>
  <c r="F512" i="3"/>
  <c r="F456" i="3"/>
  <c r="F443" i="3"/>
  <c r="F425" i="3"/>
  <c r="F420" i="3"/>
  <c r="F329" i="3"/>
  <c r="F279" i="3"/>
  <c r="F274" i="3"/>
  <c r="F158" i="3"/>
  <c r="F136" i="3"/>
  <c r="F97" i="3"/>
  <c r="F75" i="3"/>
  <c r="F14" i="3"/>
  <c r="F22" i="3"/>
  <c r="F558" i="3"/>
  <c r="F539" i="3"/>
  <c r="F474" i="3"/>
  <c r="F397" i="3"/>
  <c r="F392" i="3"/>
  <c r="F387" i="3"/>
  <c r="F339" i="3"/>
  <c r="F334" i="3"/>
  <c r="F306" i="3"/>
  <c r="F301" i="3"/>
  <c r="F244" i="3"/>
  <c r="F224" i="3"/>
  <c r="F192" i="3"/>
  <c r="F187" i="3"/>
  <c r="F131" i="3"/>
  <c r="F126" i="3"/>
  <c r="F109" i="3"/>
  <c r="F104" i="3"/>
  <c r="F70" i="3"/>
  <c r="F48" i="3"/>
  <c r="F43" i="3"/>
  <c r="F77" i="3"/>
  <c r="F555" i="3"/>
  <c r="F536" i="3"/>
  <c r="F445" i="3"/>
  <c r="F364" i="3"/>
  <c r="F359" i="3"/>
  <c r="F311" i="3"/>
  <c r="F281" i="3"/>
  <c r="F276" i="3"/>
  <c r="F271" i="3"/>
  <c r="F219" i="3"/>
  <c r="F214" i="3"/>
  <c r="F160" i="3"/>
  <c r="F138" i="3"/>
  <c r="F99" i="3"/>
  <c r="F16" i="3"/>
  <c r="F17" i="3"/>
  <c r="F582" i="3"/>
  <c r="F563" i="3"/>
  <c r="F479" i="3"/>
  <c r="F450" i="3"/>
  <c r="F389" i="3"/>
  <c r="F341" i="3"/>
  <c r="F336" i="3"/>
  <c r="F251" i="3"/>
  <c r="F246" i="3"/>
  <c r="F194" i="3"/>
  <c r="F155" i="3"/>
  <c r="F133" i="3"/>
  <c r="F128" i="3"/>
  <c r="F72" i="3"/>
  <c r="F50" i="3"/>
  <c r="F11" i="3"/>
  <c r="F40" i="3"/>
  <c r="F18" i="3"/>
  <c r="F272" i="3"/>
  <c r="F161" i="3"/>
  <c r="F100" i="3"/>
  <c r="F560" i="3"/>
  <c r="F541" i="3"/>
  <c r="F503" i="3"/>
  <c r="F476" i="3"/>
  <c r="F414" i="3"/>
  <c r="F394" i="3"/>
  <c r="F366" i="3"/>
  <c r="F361" i="3"/>
  <c r="F356" i="3"/>
  <c r="F308" i="3"/>
  <c r="F303" i="3"/>
  <c r="F283" i="3"/>
  <c r="F221" i="3"/>
  <c r="F216" i="3"/>
  <c r="F184" i="3"/>
  <c r="F167" i="3"/>
  <c r="F162" i="3"/>
  <c r="F106" i="3"/>
  <c r="F101" i="3"/>
  <c r="F79" i="3"/>
  <c r="F277" i="3"/>
  <c r="F78" i="3"/>
  <c r="F39" i="3"/>
  <c r="F587" i="3"/>
  <c r="F481" i="3"/>
  <c r="F455" i="3"/>
  <c r="F447" i="3"/>
  <c r="F424" i="3"/>
  <c r="F419" i="3"/>
  <c r="F253" i="3"/>
  <c r="F248" i="3"/>
  <c r="F196" i="3"/>
  <c r="F157" i="3"/>
  <c r="F135" i="3"/>
  <c r="F74" i="3"/>
  <c r="F13" i="3"/>
  <c r="F47" i="3"/>
  <c r="F42" i="3"/>
  <c r="F250" i="3"/>
  <c r="F245" i="3"/>
  <c r="F193" i="3"/>
  <c r="F188" i="3"/>
  <c r="F127" i="3"/>
  <c r="F71" i="3"/>
  <c r="F49" i="3"/>
  <c r="F10" i="3"/>
  <c r="F220" i="3"/>
  <c r="F166" i="3"/>
  <c r="F584" i="3"/>
  <c r="F565" i="3"/>
  <c r="F473" i="3"/>
  <c r="F452" i="3"/>
  <c r="F396" i="3"/>
  <c r="F305" i="3"/>
  <c r="F300" i="3"/>
  <c r="F243" i="3"/>
  <c r="F223" i="3"/>
  <c r="F191" i="3"/>
  <c r="F186" i="3"/>
  <c r="F164" i="3"/>
  <c r="F130" i="3"/>
  <c r="F108" i="3"/>
  <c r="F103" i="3"/>
  <c r="F20" i="3"/>
  <c r="F543" i="3"/>
  <c r="F505" i="3"/>
  <c r="F444" i="3"/>
  <c r="F426" i="3"/>
  <c r="F421" i="3"/>
  <c r="F416" i="3"/>
  <c r="F368" i="3"/>
  <c r="F363" i="3"/>
  <c r="F358" i="3"/>
  <c r="F330" i="3"/>
  <c r="F310" i="3"/>
  <c r="F280" i="3"/>
  <c r="F275" i="3"/>
  <c r="F159" i="3"/>
  <c r="F137" i="3"/>
  <c r="F98" i="3"/>
  <c r="F76" i="3"/>
  <c r="F15" i="3"/>
  <c r="F589" i="3"/>
  <c r="F388" i="3"/>
  <c r="F340" i="3"/>
  <c r="F335" i="3"/>
  <c r="F132" i="3"/>
  <c r="F483" i="3"/>
  <c r="F449" i="3"/>
  <c r="F44" i="3"/>
  <c r="F215" i="3"/>
  <c r="F510" i="3"/>
  <c r="F365" i="3"/>
  <c r="F360" i="3"/>
  <c r="F312" i="3"/>
  <c r="F282" i="3"/>
  <c r="F591" i="3"/>
  <c r="F553" i="3"/>
  <c r="F534" i="3"/>
  <c r="F395" i="3"/>
  <c r="F304" i="3"/>
  <c r="F222" i="3"/>
  <c r="F217" i="3"/>
  <c r="F190" i="3"/>
  <c r="F185" i="3"/>
  <c r="F163" i="3"/>
  <c r="F423" i="3"/>
  <c r="F247" i="3"/>
  <c r="F332" i="3"/>
  <c r="F102" i="3"/>
  <c r="F390" i="3"/>
  <c r="F134" i="3"/>
  <c r="F73" i="3"/>
  <c r="F252" i="3"/>
  <c r="F41" i="3"/>
  <c r="F594" i="3"/>
  <c r="F337" i="3"/>
  <c r="F107" i="3"/>
  <c r="F12" i="3"/>
  <c r="F195" i="3"/>
  <c r="F156" i="3"/>
  <c r="F507" i="3"/>
  <c r="F46" i="3"/>
  <c r="F480" i="3"/>
  <c r="F418" i="3"/>
  <c r="F80" i="3"/>
  <c r="F51" i="3"/>
  <c r="F385" i="3"/>
  <c r="F68" i="3"/>
  <c r="F19" i="3"/>
  <c r="F179" i="5"/>
  <c r="F229" i="5"/>
  <c r="F279" i="5"/>
  <c r="F154" i="5"/>
  <c r="F329" i="5"/>
  <c r="F204" i="5"/>
  <c r="F304" i="5"/>
  <c r="F254" i="5"/>
  <c r="F129" i="5"/>
  <c r="Y18" i="2"/>
  <c r="X19" i="2"/>
  <c r="F172" i="4"/>
  <c r="F160" i="4"/>
  <c r="F187" i="4"/>
  <c r="F200" i="4"/>
  <c r="F146" i="4"/>
  <c r="AG18" i="2"/>
  <c r="AF19" i="2"/>
  <c r="Y19" i="2" l="1"/>
  <c r="X20" i="2"/>
  <c r="Y20" i="2" s="1"/>
  <c r="F148" i="4"/>
  <c r="F199" i="4"/>
  <c r="F174" i="4"/>
  <c r="F186" i="4"/>
  <c r="F161" i="4"/>
  <c r="AF20" i="2"/>
  <c r="AG19" i="2"/>
  <c r="F81" i="3"/>
  <c r="F544" i="3"/>
  <c r="F197" i="3"/>
  <c r="F596" i="3"/>
  <c r="F23" i="3"/>
  <c r="F139" i="3"/>
  <c r="F399" i="3"/>
  <c r="F313" i="3"/>
  <c r="F226" i="3"/>
  <c r="F52" i="3"/>
  <c r="F255" i="3"/>
  <c r="F486" i="3"/>
  <c r="F457" i="3"/>
  <c r="F110" i="3"/>
  <c r="F567" i="3"/>
  <c r="F515" i="3"/>
  <c r="F284" i="3"/>
  <c r="F168" i="3"/>
  <c r="F370" i="3"/>
  <c r="F428" i="3"/>
  <c r="F342" i="3"/>
  <c r="F155" i="5"/>
  <c r="F330" i="5"/>
  <c r="F205" i="5"/>
  <c r="F255" i="5"/>
  <c r="F130" i="5"/>
  <c r="F305" i="5"/>
  <c r="F180" i="5"/>
  <c r="F280" i="5"/>
  <c r="F230" i="5"/>
  <c r="L21" i="2"/>
  <c r="M20" i="2"/>
  <c r="AG20" i="2" l="1"/>
  <c r="AF21" i="2"/>
  <c r="F545" i="3"/>
  <c r="F516" i="3"/>
  <c r="F487" i="3"/>
  <c r="F343" i="3"/>
  <c r="F458" i="3"/>
  <c r="F314" i="3"/>
  <c r="F597" i="3"/>
  <c r="F429" i="3"/>
  <c r="F285" i="3"/>
  <c r="F568" i="3"/>
  <c r="F53" i="3"/>
  <c r="F82" i="3"/>
  <c r="F256" i="3"/>
  <c r="F111" i="3"/>
  <c r="F140" i="3"/>
  <c r="F371" i="3"/>
  <c r="F169" i="3"/>
  <c r="F198" i="3"/>
  <c r="F400" i="3"/>
  <c r="F227" i="3"/>
  <c r="F24" i="3"/>
  <c r="L22" i="2"/>
  <c r="M21" i="2"/>
  <c r="F131" i="5"/>
  <c r="F306" i="5"/>
  <c r="F181" i="5"/>
  <c r="F231" i="5"/>
  <c r="F281" i="5"/>
  <c r="F156" i="5"/>
  <c r="F331" i="5"/>
  <c r="F256" i="5"/>
  <c r="F206" i="5"/>
  <c r="F201" i="4"/>
  <c r="F189" i="4"/>
  <c r="F149" i="4"/>
  <c r="F163" i="4"/>
  <c r="F175" i="4"/>
  <c r="F150" i="4"/>
  <c r="F162" i="4"/>
  <c r="F176" i="4"/>
  <c r="F188" i="4"/>
  <c r="F202" i="4"/>
  <c r="M22" i="2" l="1"/>
  <c r="L23" i="2"/>
  <c r="AG21" i="2"/>
  <c r="AF22" i="2"/>
  <c r="F607" i="3"/>
  <c r="F578" i="3"/>
  <c r="F141" i="3"/>
  <c r="F372" i="3"/>
  <c r="F430" i="3"/>
  <c r="F344" i="3"/>
  <c r="F170" i="3"/>
  <c r="F517" i="3"/>
  <c r="F286" i="3"/>
  <c r="F199" i="3"/>
  <c r="F83" i="3"/>
  <c r="F546" i="3"/>
  <c r="F401" i="3"/>
  <c r="F228" i="3"/>
  <c r="F25" i="3"/>
  <c r="F315" i="3"/>
  <c r="F54" i="3"/>
  <c r="F257" i="3"/>
  <c r="F112" i="3"/>
  <c r="F459" i="3"/>
  <c r="F488" i="3"/>
  <c r="F258" i="5"/>
  <c r="F133" i="5"/>
  <c r="F308" i="5"/>
  <c r="F183" i="5"/>
  <c r="F233" i="5"/>
  <c r="F283" i="5"/>
  <c r="F333" i="5"/>
  <c r="F208" i="5"/>
  <c r="F158" i="5"/>
  <c r="AF23" i="2" l="1"/>
  <c r="AG22" i="2"/>
  <c r="F335" i="5"/>
  <c r="F210" i="5"/>
  <c r="F260" i="5"/>
  <c r="F135" i="5"/>
  <c r="F310" i="5"/>
  <c r="F185" i="5"/>
  <c r="F235" i="5"/>
  <c r="F285" i="5"/>
  <c r="F160" i="5"/>
  <c r="L24" i="2"/>
  <c r="M23" i="2"/>
  <c r="F547" i="3"/>
  <c r="F602" i="3"/>
  <c r="F518" i="3"/>
  <c r="F573" i="3"/>
  <c r="F489" i="3"/>
  <c r="F460" i="3"/>
  <c r="F402" i="3"/>
  <c r="F373" i="3"/>
  <c r="F431" i="3"/>
  <c r="M24" i="2" l="1"/>
  <c r="L25" i="2"/>
  <c r="F311" i="5"/>
  <c r="F186" i="5"/>
  <c r="F236" i="5"/>
  <c r="F286" i="5"/>
  <c r="F161" i="5"/>
  <c r="F336" i="5"/>
  <c r="F211" i="5"/>
  <c r="F261" i="5"/>
  <c r="F136" i="5"/>
  <c r="F574" i="3"/>
  <c r="F490" i="3"/>
  <c r="F403" i="3"/>
  <c r="F374" i="3"/>
  <c r="F345" i="3"/>
  <c r="F461" i="3"/>
  <c r="F229" i="3"/>
  <c r="F26" i="3"/>
  <c r="F316" i="3"/>
  <c r="F55" i="3"/>
  <c r="F432" i="3"/>
  <c r="F200" i="3"/>
  <c r="F84" i="3"/>
  <c r="F519" i="3"/>
  <c r="F258" i="3"/>
  <c r="F113" i="3"/>
  <c r="F603" i="3"/>
  <c r="F142" i="3"/>
  <c r="F171" i="3"/>
  <c r="F287" i="3"/>
  <c r="F548" i="3"/>
  <c r="AG23" i="2"/>
  <c r="AF24" i="2"/>
  <c r="AG24" i="2" l="1"/>
  <c r="AF25" i="2"/>
  <c r="F263" i="5"/>
  <c r="F138" i="5"/>
  <c r="F313" i="5"/>
  <c r="F188" i="5"/>
  <c r="F238" i="5"/>
  <c r="F288" i="5"/>
  <c r="F163" i="5"/>
  <c r="F213" i="5"/>
  <c r="F338" i="5"/>
  <c r="M25" i="2"/>
  <c r="L26" i="2"/>
  <c r="F230" i="3"/>
  <c r="F549" i="3"/>
  <c r="F201" i="3"/>
  <c r="F604" i="3"/>
  <c r="F520" i="3"/>
  <c r="F259" i="3"/>
  <c r="F114" i="3"/>
  <c r="F143" i="3"/>
  <c r="F172" i="3"/>
  <c r="F404" i="3"/>
  <c r="F346" i="3"/>
  <c r="F288" i="3"/>
  <c r="F317" i="3"/>
  <c r="F27" i="3"/>
  <c r="F56" i="3"/>
  <c r="F462" i="3"/>
  <c r="F491" i="3"/>
  <c r="F575" i="3"/>
  <c r="F85" i="3"/>
  <c r="F375" i="3"/>
  <c r="F433" i="3"/>
  <c r="F550" i="3" l="1"/>
  <c r="F521" i="3"/>
  <c r="F492" i="3"/>
  <c r="F463" i="3"/>
  <c r="F434" i="3"/>
  <c r="F405" i="3"/>
  <c r="F579" i="3"/>
  <c r="F376" i="3"/>
  <c r="F608" i="3"/>
  <c r="AF26" i="2"/>
  <c r="AG25" i="2"/>
  <c r="L27" i="2"/>
  <c r="M26" i="2"/>
  <c r="F239" i="5"/>
  <c r="F289" i="5"/>
  <c r="F164" i="5"/>
  <c r="F339" i="5"/>
  <c r="F214" i="5"/>
  <c r="F264" i="5"/>
  <c r="F139" i="5"/>
  <c r="F189" i="5"/>
  <c r="F314" i="5"/>
  <c r="AF27" i="2" l="1"/>
  <c r="AG26" i="2"/>
  <c r="M27" i="2"/>
  <c r="L28" i="2"/>
  <c r="M28" i="2" s="1"/>
  <c r="F215" i="5"/>
  <c r="F265" i="5"/>
  <c r="F140" i="5"/>
  <c r="F315" i="5"/>
  <c r="F190" i="5"/>
  <c r="F240" i="5"/>
  <c r="F165" i="5"/>
  <c r="F340" i="5"/>
  <c r="F290" i="5"/>
  <c r="F609" i="3"/>
  <c r="F580" i="3"/>
  <c r="F493" i="3"/>
  <c r="F377" i="3"/>
  <c r="F435" i="3"/>
  <c r="F522" i="3"/>
  <c r="F406" i="3"/>
  <c r="F551" i="3"/>
  <c r="F464" i="3"/>
  <c r="F610" i="3" l="1"/>
  <c r="F581" i="3"/>
  <c r="F552" i="3"/>
  <c r="F523" i="3"/>
  <c r="F494" i="3"/>
  <c r="F465" i="3"/>
  <c r="F436" i="3"/>
  <c r="F407" i="3"/>
  <c r="F378" i="3"/>
  <c r="F191" i="5"/>
  <c r="F241" i="5"/>
  <c r="F291" i="5"/>
  <c r="F166" i="5"/>
  <c r="F341" i="5"/>
  <c r="F216" i="5"/>
  <c r="F316" i="5"/>
  <c r="F141" i="5"/>
  <c r="F266" i="5"/>
  <c r="AG27" i="2"/>
  <c r="AF28" i="2"/>
  <c r="F167" i="5" l="1"/>
  <c r="F342" i="5"/>
  <c r="F217" i="5"/>
  <c r="F267" i="5"/>
  <c r="F142" i="5"/>
  <c r="F317" i="5"/>
  <c r="F192" i="5"/>
  <c r="F292" i="5"/>
  <c r="F242" i="5"/>
  <c r="AF29" i="2"/>
  <c r="AG28" i="2"/>
  <c r="F143" i="5" l="1"/>
  <c r="F318" i="5"/>
  <c r="F193" i="5"/>
  <c r="F243" i="5"/>
  <c r="F293" i="5"/>
  <c r="F168" i="5"/>
  <c r="F343" i="5"/>
  <c r="F268" i="5"/>
  <c r="F218" i="5"/>
  <c r="AF30" i="2"/>
  <c r="AG29" i="2"/>
  <c r="AF31" i="2" l="1"/>
  <c r="AG31" i="2" s="1"/>
  <c r="AG30" i="2"/>
  <c r="F294" i="5"/>
  <c r="F169" i="5"/>
  <c r="F344" i="5"/>
  <c r="F219" i="5"/>
  <c r="F269" i="5"/>
  <c r="F144" i="5"/>
  <c r="F319" i="5"/>
  <c r="F244" i="5"/>
  <c r="F194" i="5"/>
  <c r="F270" i="5" l="1"/>
  <c r="F145" i="5"/>
  <c r="F320" i="5"/>
  <c r="F195" i="5"/>
  <c r="F245" i="5"/>
  <c r="F295" i="5"/>
  <c r="F345" i="5"/>
  <c r="F220" i="5"/>
  <c r="F170" i="5"/>
  <c r="F246" i="5"/>
  <c r="F296" i="5"/>
  <c r="F171" i="5"/>
  <c r="F346" i="5"/>
  <c r="F221" i="5"/>
  <c r="F271" i="5"/>
  <c r="F321" i="5"/>
  <c r="F196" i="5"/>
  <c r="F146" i="5"/>
</calcChain>
</file>

<file path=xl/sharedStrings.xml><?xml version="1.0" encoding="utf-8"?>
<sst xmlns="http://schemas.openxmlformats.org/spreadsheetml/2006/main" count="9074" uniqueCount="418">
  <si>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</si>
  <si>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</si>
  <si>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</si>
  <si>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</si>
  <si>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</si>
  <si>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</si>
  <si>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</si>
  <si>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</si>
  <si>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</si>
  <si>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</si>
  <si>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</si>
  <si>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</si>
  <si>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</si>
  <si>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</si>
  <si>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</si>
  <si>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</si>
  <si>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</si>
  <si>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</si>
  <si>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</si>
  <si>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</si>
  <si>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</si>
  <si>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</si>
  <si>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</si>
  <si>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</si>
  <si>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</si>
  <si>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</si>
  <si>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</si>
  <si>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</si>
  <si>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</si>
  <si>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</si>
  <si>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</si>
  <si>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</si>
  <si>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</si>
  <si>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</si>
  <si>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</si>
  <si>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</si>
  <si>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</si>
  <si>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</si>
  <si>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</si>
  <si>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</si>
  <si>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</si>
  <si>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</si>
  <si>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</si>
  <si>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</si>
  <si>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</si>
  <si>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</si>
  <si>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</si>
  <si>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</si>
  <si>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</si>
  <si>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</si>
  <si>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</si>
  <si>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</si>
  <si>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</si>
  <si>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</si>
  <si>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</si>
  <si>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</si>
  <si>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</si>
  <si>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</si>
  <si>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</si>
  <si>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</si>
  <si>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</si>
  <si>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</si>
  <si>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</si>
  <si>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</si>
  <si>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</si>
  <si>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</si>
  <si>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</si>
  <si>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</si>
  <si>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</si>
  <si>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</si>
  <si>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</si>
  <si>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</si>
  <si>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</si>
  <si>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</si>
  <si>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</si>
  <si>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</si>
  <si>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</si>
  <si>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</si>
  <si>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</si>
  <si>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</si>
  <si>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</si>
  <si>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</si>
  <si>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color theme="1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</si>
  <si>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</si>
  <si>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</si>
  <si>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</si>
  <si>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</si>
  <si>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</si>
  <si>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</si>
  <si>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color theme="1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</si>
  <si>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</si>
  <si>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</si>
  <si>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</si>
  <si>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</si>
  <si>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</si>
  <si>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</si>
  <si>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</si>
  <si>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</si>
  <si>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</si>
  <si>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</si>
  <si>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</si>
  <si>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</si>
  <si>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</si>
  <si>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</si>
  <si>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</si>
  <si>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</si>
  <si>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</si>
  <si>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</si>
  <si>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color theme="1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</si>
  <si>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</si>
  <si>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</si>
  <si>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</si>
  <si>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#REF!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</si>
  <si>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</si>
  <si>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</si>
  <si>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</si>
  <si>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</si>
  <si>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</si>
  <si>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</si>
  <si>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</si>
  <si>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</si>
  <si>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</si>
  <si>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</si>
  <si>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</si>
  <si>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</si>
  <si>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</si>
  <si>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</si>
  <si>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</si>
  <si>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</si>
  <si>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</si>
  <si>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</si>
  <si>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</si>
  <si>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</si>
  <si>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</si>
  <si>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</si>
  <si>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</si>
  <si>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</si>
  <si>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</si>
  <si>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</si>
  <si>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</si>
  <si>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</si>
  <si>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</si>
  <si>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</si>
  <si>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</si>
  <si>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</si>
  <si>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</si>
  <si>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</si>
  <si>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</si>
  <si>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</si>
  <si>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</si>
  <si>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</si>
  <si>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</si>
  <si>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</si>
  <si>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</si>
  <si>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</si>
  <si>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</si>
  <si>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</si>
  <si>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</si>
  <si>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</si>
  <si>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</si>
  <si>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</si>
  <si>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Registro Clientes Mayoristas​</t>
  </si>
  <si>
    <t>Registro Clientes Mayoristas​ (Franquicias, Acces, Outlets)</t>
  </si>
  <si>
    <t>Total general</t>
  </si>
  <si>
    <t>Mes</t>
  </si>
  <si>
    <t>Ultimodía_mes</t>
  </si>
  <si>
    <t>Concepto Anterior</t>
  </si>
  <si>
    <t>Concepto Nuevo</t>
  </si>
  <si>
    <t>id_concepto</t>
  </si>
  <si>
    <t>Ciudad</t>
  </si>
  <si>
    <t>Valor</t>
  </si>
  <si>
    <t>enero</t>
  </si>
  <si>
    <t>No aplica</t>
  </si>
  <si>
    <t>Público Capacitado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</si>
  <si>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</si>
  <si>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</si>
  <si>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</si>
  <si>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</si>
  <si>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</si>
  <si>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</si>
  <si>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</si>
  <si>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</si>
  <si>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</si>
  <si>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</si>
  <si>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</si>
  <si>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Devolución saldos a favor en renta</t>
  </si>
  <si>
    <t>Arqueos​</t>
  </si>
  <si>
    <t>Capacitaciones</t>
  </si>
  <si>
    <t>Inventarios fisicos​ GS Falabella</t>
  </si>
  <si>
    <t>Inventarios fisicos​ tiendas propias y franquicias</t>
  </si>
  <si>
    <t>Paz y Salvo Retiros​</t>
  </si>
  <si>
    <t>Cantidad de Inventarios cíclicos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</si>
  <si>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</si>
  <si>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</si>
  <si>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</si>
  <si>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</si>
  <si>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</si>
  <si>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</si>
  <si>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</si>
  <si>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Facturas contabilizadas Triplematch</t>
  </si>
  <si>
    <t>Facturas contabilizadas Script</t>
  </si>
  <si>
    <t>Arauca</t>
  </si>
  <si>
    <t>Ajustes Inventarios Cíclico</t>
  </si>
  <si>
    <t>Presentación Resultados Inventarios a Dirección Comercial</t>
  </si>
  <si>
    <t>Cierres de tienda</t>
  </si>
  <si>
    <t>Cambios de Razón Social</t>
  </si>
  <si>
    <t>Inventarios Maestra</t>
  </si>
  <si>
    <t>Automatizaciones</t>
  </si>
  <si>
    <t>Emisiones de co2</t>
  </si>
  <si>
    <t>Tickets proceso</t>
  </si>
  <si>
    <t>Noches de hospedaje de hoteles</t>
  </si>
  <si>
    <t>Total tickets recibidos</t>
  </si>
  <si>
    <t>Tickets Cerrados con ANS</t>
  </si>
  <si>
    <t>Tickets Vencidos</t>
  </si>
  <si>
    <t>Riesgos y Cumplimiento</t>
  </si>
  <si>
    <t>Areas</t>
  </si>
  <si>
    <t>fecha actual</t>
  </si>
  <si>
    <t>año actual</t>
  </si>
  <si>
    <t>Meses</t>
  </si>
  <si>
    <t>Tipo informe</t>
  </si>
  <si>
    <t>consecutivo_concepto</t>
  </si>
  <si>
    <t>Marca_Empresa</t>
  </si>
  <si>
    <t>Ciudad Centro</t>
  </si>
  <si>
    <t>id_area</t>
  </si>
  <si>
    <t>Nombre_area</t>
  </si>
  <si>
    <t>Responsable</t>
  </si>
  <si>
    <t>Acumulativo</t>
  </si>
  <si>
    <t>Acacías</t>
  </si>
  <si>
    <t>Mes actual</t>
  </si>
  <si>
    <t>Cuentas Contables Conciliadas</t>
  </si>
  <si>
    <t xml:space="preserve">Fiscalizaciones DIAN - Municipios </t>
  </si>
  <si>
    <t>Oscar Yepes</t>
  </si>
  <si>
    <t>Aguachica</t>
  </si>
  <si>
    <t>Facturas Contabilizada</t>
  </si>
  <si>
    <t>Analítica de Contraloría</t>
  </si>
  <si>
    <t>Jorge Herrera</t>
  </si>
  <si>
    <t>Agustín Codazzi</t>
  </si>
  <si>
    <t>declaraciones tributarias</t>
  </si>
  <si>
    <t xml:space="preserve">Ana Romero </t>
  </si>
  <si>
    <t>Apartadó</t>
  </si>
  <si>
    <t>información exógena</t>
  </si>
  <si>
    <t>Control de Operaciones</t>
  </si>
  <si>
    <t>Alberto Cortes</t>
  </si>
  <si>
    <t>% Tickets Cumplimiento</t>
  </si>
  <si>
    <t>Zaneida Restrepo</t>
  </si>
  <si>
    <t>Total Tickets</t>
  </si>
  <si>
    <t>Arjona</t>
  </si>
  <si>
    <t>el 95 % del cumplimiento (sale del promedio de la fila)</t>
  </si>
  <si>
    <t>Dora Gomez</t>
  </si>
  <si>
    <t>Armenia</t>
  </si>
  <si>
    <t>Gerencia Contraloría</t>
  </si>
  <si>
    <t>Paola Chica</t>
  </si>
  <si>
    <t>Baranoa</t>
  </si>
  <si>
    <t>Otros</t>
  </si>
  <si>
    <t>Na</t>
  </si>
  <si>
    <t>Barbosa</t>
  </si>
  <si>
    <t>Informes Contables</t>
  </si>
  <si>
    <t>Ahorro energía</t>
  </si>
  <si>
    <t>Barrancabermeja</t>
  </si>
  <si>
    <t>Gestión Gastos No deducibles + recuperación de embargos</t>
  </si>
  <si>
    <t>Trámites, Aperturas y Cierres de Tiendas</t>
  </si>
  <si>
    <t xml:space="preserve">Cant. reformas tiendas </t>
  </si>
  <si>
    <t>Barranquilla</t>
  </si>
  <si>
    <t xml:space="preserve">Contratos de arrendamientos </t>
  </si>
  <si>
    <t>Bello</t>
  </si>
  <si>
    <t>Control Ingresos cede Dogama</t>
  </si>
  <si>
    <t>Bogotá, D.C.</t>
  </si>
  <si>
    <t>Emisiones CO²</t>
  </si>
  <si>
    <t>Bosconia</t>
  </si>
  <si>
    <t>Bucaramanga</t>
  </si>
  <si>
    <t>Facturas Procesadas por Marca</t>
  </si>
  <si>
    <t>Buenaventura</t>
  </si>
  <si>
    <t>Caicedonia</t>
  </si>
  <si>
    <t>Cajicá</t>
  </si>
  <si>
    <t xml:space="preserve">Ahorro reformas tiendas </t>
  </si>
  <si>
    <t>Caldas</t>
  </si>
  <si>
    <t>Noches hospedaje</t>
  </si>
  <si>
    <t>Cali</t>
  </si>
  <si>
    <t>Recuperaciones Siniestros</t>
  </si>
  <si>
    <t>California</t>
  </si>
  <si>
    <t>Gestión de Polizas</t>
  </si>
  <si>
    <t>Campoalegre</t>
  </si>
  <si>
    <t>Carepa</t>
  </si>
  <si>
    <t>Cartagena De Indias</t>
  </si>
  <si>
    <t>Cartago</t>
  </si>
  <si>
    <t>% Cumplimiento tickets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</si>
  <si>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</si>
  <si>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</si>
  <si>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</si>
  <si>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</si>
  <si>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</si>
  <si>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</si>
  <si>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</si>
  <si>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</si>
  <si>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</si>
  <si>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</si>
  <si>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</si>
  <si>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</si>
  <si>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</si>
  <si>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</si>
  <si>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</si>
  <si>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</si>
  <si>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</si>
  <si>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</si>
  <si>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</si>
  <si>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</si>
  <si>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</si>
  <si>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</si>
  <si>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</si>
  <si>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</si>
  <si>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</si>
  <si>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</si>
  <si>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</si>
  <si>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</si>
  <si>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</si>
  <si>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</si>
  <si>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</si>
  <si>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</si>
  <si>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</si>
  <si>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</si>
  <si>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</si>
  <si>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</si>
  <si>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</si>
  <si>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</si>
  <si>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</si>
  <si>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</si>
  <si>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</si>
  <si>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</si>
  <si>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</si>
  <si>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</si>
  <si>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</si>
  <si>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</si>
  <si>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</si>
  <si>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</si>
  <si>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</si>
  <si>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</si>
  <si>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</si>
  <si>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</si>
  <si>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</si>
  <si>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</si>
  <si>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</si>
  <si>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</si>
  <si>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</si>
  <si>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</si>
  <si>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</si>
  <si>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</si>
  <si>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</si>
  <si>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</si>
  <si>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</si>
  <si>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</si>
  <si>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</si>
  <si>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</si>
  <si>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</si>
  <si>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</si>
  <si>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</si>
  <si>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</si>
  <si>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</si>
  <si>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</si>
  <si>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</si>
  <si>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</si>
  <si>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</si>
  <si>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</si>
  <si>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</si>
  <si>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</si>
  <si>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</si>
  <si>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</si>
  <si>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</si>
  <si>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</si>
  <si>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</si>
  <si>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</si>
  <si>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</si>
  <si>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</si>
  <si>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</si>
  <si>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</si>
  <si>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</si>
  <si>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</si>
  <si>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</si>
  <si>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</si>
  <si>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</si>
  <si>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</si>
  <si>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</si>
  <si>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</si>
  <si>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</si>
  <si>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</si>
  <si>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</si>
  <si>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</si>
  <si>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</si>
  <si>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</si>
  <si>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</si>
  <si>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</si>
  <si>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</si>
  <si>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</si>
  <si>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</si>
  <si>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</si>
  <si>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</si>
  <si>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</si>
  <si>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</si>
  <si>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</si>
  <si>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</si>
  <si>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</si>
  <si>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</si>
  <si>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</si>
  <si>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</si>
  <si>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</si>
  <si>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</si>
  <si>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</si>
  <si>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Capacitaciones​</t>
  </si>
  <si>
    <t xml:space="preserve">Cierre Tiendas </t>
  </si>
  <si>
    <t>Descuadres Caja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</si>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</sst>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2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rgb="FF242424"/>
      <name val="Aptos Narrow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right"/>
    </xf>
    <xf numFmtId="3" fontId="3" fillId="4" borderId="3" xfId="0" applyNumberFormat="1" applyFont="1" applyFill="1" applyBorder="1" applyAlignment="1">
      <alignment horizontal="right"/>
    </xf>
    <xf numFmtId="3" fontId="3" fillId="4" borderId="4" xfId="0" applyNumberFormat="1" applyFont="1" applyFill="1" applyBorder="1" applyAlignment="1">
      <alignment horizontal="right"/>
    </xf>
    <xf numFmtId="3" fontId="3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3" fillId="0" borderId="6" xfId="0" applyFont="1" applyBorder="1" applyAlignment="1">
      <alignment horizontal="center"/>
    </xf>
    <xf numFmtId="164" fontId="3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3" fontId="3" fillId="0" borderId="6" xfId="0" applyNumberFormat="1" applyFont="1" applyBorder="1" applyAlignment="1">
      <alignment horizontal="right"/>
    </xf>
    <xf numFmtId="3" fontId="3" fillId="3" borderId="2" xfId="0" applyNumberFormat="1" applyFont="1" applyFill="1" applyBorder="1" applyAlignment="1">
      <alignment horizontal="righ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3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3" fillId="5" borderId="2" xfId="0" applyNumberFormat="1" applyFont="1" applyFill="1" applyBorder="1" applyAlignment="1">
      <alignment horizontal="left"/>
    </xf>
    <xf numFmtId="3" fontId="3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64" fontId="5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 wrapText="1"/>
    </xf>
    <xf numFmtId="165" fontId="5" fillId="5" borderId="2" xfId="0" applyNumberFormat="1" applyFont="1" applyFill="1" applyBorder="1" applyAlignment="1">
      <alignment horizontal="right"/>
    </xf>
    <xf numFmtId="164" fontId="5" fillId="3" borderId="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3" fontId="6" fillId="0" borderId="6" xfId="0" applyNumberFormat="1" applyFont="1" applyBorder="1" applyAlignment="1">
      <alignment horizontal="right"/>
    </xf>
    <xf numFmtId="3" fontId="6" fillId="0" borderId="6" xfId="0" applyNumberFormat="1" applyFont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7" fillId="3" borderId="2" xfId="0" applyNumberFormat="1" applyFont="1" applyFill="1" applyBorder="1" applyAlignment="1">
      <alignment horizontal="right" wrapText="1"/>
    </xf>
    <xf numFmtId="3" fontId="7" fillId="0" borderId="6" xfId="0" applyNumberFormat="1" applyFont="1" applyBorder="1" applyAlignment="1">
      <alignment horizontal="right" wrapText="1"/>
    </xf>
    <xf numFmtId="164" fontId="8" fillId="3" borderId="2" xfId="0" applyNumberFormat="1" applyFont="1" applyFill="1" applyBorder="1" applyAlignment="1">
      <alignment horizontal="right"/>
    </xf>
    <xf numFmtId="164" fontId="9" fillId="3" borderId="2" xfId="0" applyNumberFormat="1" applyFont="1" applyFill="1" applyBorder="1" applyAlignment="1">
      <alignment horizontal="right"/>
    </xf>
    <xf numFmtId="164" fontId="2" fillId="0" borderId="6" xfId="0" applyNumberFormat="1" applyFont="1" applyBorder="1" applyAlignment="1">
      <alignment horizontal="right"/>
    </xf>
    <xf numFmtId="164" fontId="8" fillId="0" borderId="6" xfId="0" applyNumberFormat="1" applyFont="1" applyBorder="1" applyAlignment="1">
      <alignment horizontal="right"/>
    </xf>
    <xf numFmtId="164" fontId="9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8" fillId="3" borderId="2" xfId="0" applyNumberFormat="1" applyFont="1" applyFill="1" applyBorder="1" applyAlignment="1">
      <alignment horizontal="left"/>
    </xf>
    <xf numFmtId="3" fontId="3" fillId="0" borderId="6" xfId="0" applyNumberFormat="1" applyFont="1" applyBorder="1" applyAlignment="1">
      <alignment horizontal="left"/>
    </xf>
    <xf numFmtId="4" fontId="3" fillId="0" borderId="6" xfId="0" applyNumberFormat="1" applyFont="1" applyBorder="1" applyAlignment="1">
      <alignment horizontal="right"/>
    </xf>
    <xf numFmtId="3" fontId="9" fillId="3" borderId="2" xfId="0" applyNumberFormat="1" applyFont="1" applyFill="1" applyBorder="1" applyAlignment="1">
      <alignment horizontal="left"/>
    </xf>
    <xf numFmtId="3" fontId="8" fillId="0" borderId="6" xfId="0" applyNumberFormat="1" applyFont="1" applyBorder="1" applyAlignment="1">
      <alignment horizontal="right"/>
    </xf>
    <xf numFmtId="3" fontId="8" fillId="0" borderId="6" xfId="0" applyNumberFormat="1" applyFont="1" applyBorder="1" applyAlignment="1">
      <alignment horizontal="left"/>
    </xf>
    <xf numFmtId="3" fontId="8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3" fontId="3" fillId="3" borderId="2" xfId="0" applyNumberFormat="1" applyFont="1" applyFill="1" applyBorder="1" applyAlignment="1">
      <alignment horizontal="left"/>
    </xf>
    <xf numFmtId="7" fontId="2" fillId="3" borderId="2" xfId="0" applyNumberFormat="1" applyFont="1" applyFill="1" applyBorder="1" applyAlignment="1">
      <alignment horizontal="right"/>
    </xf>
    <xf numFmtId="3" fontId="3" fillId="3" borderId="2" xfId="0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0" fontId="9" fillId="3" borderId="1" xfId="0" applyFont="1" applyFill="1" applyBorder="1" applyAlignment="1">
      <alignment horizontal="left"/>
    </xf>
    <xf numFmtId="0" fontId="9" fillId="3" borderId="2" xfId="0" applyFont="1" applyFill="1" applyBorder="1" applyAlignment="1">
      <alignment horizontal="left"/>
    </xf>
    <xf numFmtId="0" fontId="9" fillId="3" borderId="2" xfId="0" applyFont="1" applyFill="1" applyBorder="1" applyAlignment="1">
      <alignment horizontal="center"/>
    </xf>
    <xf numFmtId="3" fontId="9" fillId="3" borderId="2" xfId="0" applyNumberFormat="1" applyFont="1" applyFill="1" applyBorder="1" applyAlignment="1">
      <alignment horizontal="right"/>
    </xf>
    <xf numFmtId="3" fontId="3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4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right" wrapText="1"/>
    </xf>
    <xf numFmtId="3" fontId="5" fillId="0" borderId="6" xfId="0" applyNumberFormat="1" applyFont="1" applyBorder="1" applyAlignment="1">
      <alignment horizontal="right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9" fillId="0" borderId="6" xfId="0" applyFont="1" applyBorder="1" applyAlignment="1">
      <alignment horizontal="center"/>
    </xf>
    <xf numFmtId="3" fontId="9" fillId="0" borderId="6" xfId="0" applyNumberFormat="1" applyFont="1" applyBorder="1" applyAlignment="1">
      <alignment horizontal="right"/>
    </xf>
    <xf numFmtId="3" fontId="9" fillId="0" borderId="6" xfId="0" applyNumberFormat="1" applyFont="1" applyBorder="1" applyAlignment="1">
      <alignment horizontal="lef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10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3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/>
    <xf numFmtId="3" fontId="2" fillId="0" borderId="7" xfId="0" applyNumberFormat="1" applyFont="1" applyBorder="1" applyAlignment="1">
      <alignment horizontal="right"/>
    </xf>
    <xf numFmtId="1" fontId="2" fillId="0" borderId="7" xfId="0" applyNumberFormat="1" applyFont="1" applyBorder="1" applyAlignment="1">
      <alignment horizontal="right"/>
    </xf>
    <xf numFmtId="4" fontId="2" fillId="0" borderId="7" xfId="0" applyNumberFormat="1" applyFont="1" applyBorder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Border="1" applyAlignment="1">
      <alignment horizontal="left"/>
    </xf>
    <xf numFmtId="14" fontId="0" fillId="0" borderId="0" xfId="0" applyNumberFormat="1"/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4" fontId="2" fillId="5" borderId="9" xfId="0" applyNumberFormat="1" applyFont="1" applyFill="1" applyBorder="1" applyAlignment="1">
      <alignment horizontal="right"/>
    </xf>
    <xf numFmtId="3" fontId="3" fillId="0" borderId="7" xfId="0" applyNumberFormat="1" applyFont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0" fontId="11" fillId="0" borderId="7" xfId="0" applyFont="1" applyBorder="1" applyAlignment="1">
      <alignment horizontal="left"/>
    </xf>
    <xf numFmtId="3" fontId="11" fillId="0" borderId="7" xfId="0" applyNumberFormat="1" applyFont="1" applyBorder="1" applyAlignment="1">
      <alignment horizontal="left"/>
    </xf>
    <xf numFmtId="14" fontId="11" fillId="0" borderId="7" xfId="0" applyNumberFormat="1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3" fontId="11" fillId="0" borderId="10" xfId="0" applyNumberFormat="1" applyFont="1" applyBorder="1" applyAlignment="1">
      <alignment horizontal="left"/>
    </xf>
    <xf numFmtId="0" fontId="11" fillId="0" borderId="10" xfId="0" applyFont="1" applyBorder="1" applyAlignment="1">
      <alignment horizontal="left"/>
    </xf>
    <xf numFmtId="3" fontId="13" fillId="13" borderId="9" xfId="0" applyNumberFormat="1" applyFont="1" applyFill="1" applyBorder="1" applyAlignment="1">
      <alignment horizontal="left"/>
    </xf>
    <xf numFmtId="0" fontId="13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4" fillId="0" borderId="7" xfId="0" applyFont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3" fontId="15" fillId="15" borderId="9" xfId="0" applyNumberFormat="1" applyFont="1" applyFill="1" applyBorder="1" applyAlignment="1">
      <alignment horizontal="right"/>
    </xf>
    <xf numFmtId="0" fontId="15" fillId="15" borderId="9" xfId="0" applyFont="1" applyFill="1" applyBorder="1" applyAlignment="1">
      <alignment horizontal="left"/>
    </xf>
    <xf numFmtId="3" fontId="15" fillId="0" borderId="7" xfId="0" applyNumberFormat="1" applyFont="1" applyBorder="1" applyAlignment="1">
      <alignment horizontal="right"/>
    </xf>
    <xf numFmtId="0" fontId="15" fillId="0" borderId="7" xfId="0" applyFont="1" applyBorder="1" applyAlignment="1">
      <alignment horizontal="left"/>
    </xf>
    <xf numFmtId="0" fontId="2" fillId="0" borderId="7" xfId="0" applyFont="1" applyBorder="1" applyAlignment="1">
      <alignment horizontal="left" wrapText="1"/>
    </xf>
    <xf numFmtId="0" fontId="2" fillId="3" borderId="11" xfId="0" applyFont="1" applyFill="1" applyBorder="1" applyAlignment="1">
      <alignment horizontal="left"/>
    </xf>
    <xf numFmtId="0" fontId="16" fillId="0" borderId="7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Conceptos_Cumplimiento" displayName="Conceptos_Cumplimiento" ref="AY2:BE11" totalsRowShown="0">
  <autoFilter ref="AY2:BE11" xr:uid="{00000000-0009-0000-0100-000007000000}"/>
  <tableColumns count="7">
    <tableColumn id="1" xr3:uid="{00000000-0010-0000-0000-000001000000}" name="Concepto Anterior"/>
    <tableColumn id="2" xr3:uid="{00000000-0010-0000-0000-000002000000}" name="Tipo"/>
    <tableColumn id="3" xr3:uid="{00000000-0010-0000-0000-000003000000}" name="Unidad"/>
    <tableColumn id="4" xr3:uid="{00000000-0010-0000-0000-000004000000}" name="Tipo informe"/>
    <tableColumn id="5" xr3:uid="{00000000-0010-0000-0000-000005000000}" name="Concepto Nuevo"/>
    <tableColumn id="6" xr3:uid="{00000000-0010-0000-0000-000006000000}" name="consecutivo_concepto"/>
    <tableColumn id="7" xr3:uid="{00000000-0010-0000-0000-000007000000}" name="id_concept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Dim_ciudades" displayName="Dim_ciudades" ref="Q2:Q125" totalsRowShown="0">
  <autoFilter ref="Q2:Q125" xr:uid="{00000000-0009-0000-0100-000008000000}"/>
  <tableColumns count="1">
    <tableColumn id="1" xr3:uid="{00000000-0010-0000-0100-000001000000}" name="Ciudad Centr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Dim_Areas" displayName="Dim_Areas" ref="BG2:BI10" totalsRowShown="0">
  <autoFilter ref="BG2:BI10" xr:uid="{00000000-0009-0000-0100-000009000000}"/>
  <tableColumns count="3">
    <tableColumn id="1" xr3:uid="{00000000-0010-0000-0200-000001000000}" name="id_area"/>
    <tableColumn id="2" xr3:uid="{00000000-0010-0000-0200-000002000000}" name="Nombre_area"/>
    <tableColumn id="3" xr3:uid="{00000000-0010-0000-0200-000003000000}" name="Responsabl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Conceptos_Analítica_contraloría" displayName="Conceptos_Analítica_contraloría" ref="S2:Y20" totalsRowShown="0">
  <autoFilter ref="S2:Y20" xr:uid="{00000000-0009-0000-0100-00000A000000}"/>
  <tableColumns count="7">
    <tableColumn id="1" xr3:uid="{00000000-0010-0000-0300-000001000000}" name="Concepto Anterior"/>
    <tableColumn id="2" xr3:uid="{00000000-0010-0000-0300-000002000000}" name="Tipo"/>
    <tableColumn id="3" xr3:uid="{00000000-0010-0000-0300-000003000000}" name="Unidad"/>
    <tableColumn id="4" xr3:uid="{00000000-0010-0000-0300-000004000000}" name="Tipo informe"/>
    <tableColumn id="5" xr3:uid="{00000000-0010-0000-0300-000005000000}" name="Concepto Nuevo"/>
    <tableColumn id="6" xr3:uid="{00000000-0010-0000-0300-000006000000}" name="consecutivo_concepto"/>
    <tableColumn id="7" xr3:uid="{00000000-0010-0000-0300-000007000000}" name="id_concept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Conceptos_Contabilidad" displayName="Conceptos_Contabilidad" ref="AA2:AG31" totalsRowShown="0">
  <autoFilter ref="AA2:AG31" xr:uid="{00000000-0009-0000-0100-00000B000000}"/>
  <tableColumns count="7">
    <tableColumn id="1" xr3:uid="{00000000-0010-0000-0400-000001000000}" name="Concepto Anterior"/>
    <tableColumn id="2" xr3:uid="{00000000-0010-0000-0400-000002000000}" name="Tipo"/>
    <tableColumn id="3" xr3:uid="{00000000-0010-0000-0400-000003000000}" name="Unidad"/>
    <tableColumn id="4" xr3:uid="{00000000-0010-0000-0400-000004000000}" name="Tipo informe"/>
    <tableColumn id="5" xr3:uid="{00000000-0010-0000-0400-000005000000}" name="Concepto Nuevo"/>
    <tableColumn id="6" xr3:uid="{00000000-0010-0000-0400-000006000000}" name="consecutivo_concepto"/>
    <tableColumn id="7" xr3:uid="{00000000-0010-0000-0400-000007000000}" name="id_concept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ceptos_Administrativa" displayName="Conceptos_Administrativa" ref="G2:M28" totalsRowShown="0">
  <autoFilter ref="G2:M28" xr:uid="{00000000-0009-0000-0100-00000C000000}"/>
  <tableColumns count="7">
    <tableColumn id="1" xr3:uid="{00000000-0010-0000-0500-000001000000}" name="Concepto Anterior"/>
    <tableColumn id="2" xr3:uid="{00000000-0010-0000-0500-000002000000}" name="Tipo"/>
    <tableColumn id="3" xr3:uid="{00000000-0010-0000-0500-000003000000}" name="Unidad"/>
    <tableColumn id="4" xr3:uid="{00000000-0010-0000-0500-000004000000}" name="Tipo informe"/>
    <tableColumn id="5" xr3:uid="{00000000-0010-0000-0500-000005000000}" name="Concepto Nuevo"/>
    <tableColumn id="6" xr3:uid="{00000000-0010-0000-0500-000006000000}" name="consecutivo_concepto"/>
    <tableColumn id="7" xr3:uid="{00000000-0010-0000-0500-000007000000}" name="id_concept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nceptos_Control_Operaciones" displayName="Conceptos_Control_Operaciones" ref="AI2:AO17" totalsRowShown="0">
  <autoFilter ref="AI2:AO17" xr:uid="{00000000-0009-0000-0100-00000D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Marca_Empresa" displayName="Marca_Empresa" ref="O2:O19" totalsRowShown="0">
  <autoFilter ref="O2:O19" xr:uid="{00000000-0009-0000-0100-00000E000000}"/>
  <tableColumns count="1">
    <tableColumn id="1" xr3:uid="{00000000-0010-0000-0700-000001000000}" name="Marca_Empresa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Conceptos_Impuestos" displayName="Conceptos_Impuestos" ref="AQ2:AW14" totalsRowShown="0">
  <autoFilter ref="AQ2:AW14" xr:uid="{00000000-0009-0000-0100-00000F000000}"/>
  <tableColumns count="7">
    <tableColumn id="1" xr3:uid="{00000000-0010-0000-0800-000001000000}" name="Concepto Anterior"/>
    <tableColumn id="2" xr3:uid="{00000000-0010-0000-0800-000002000000}" name="Tipo"/>
    <tableColumn id="3" xr3:uid="{00000000-0010-0000-0800-000003000000}" name="Unidad"/>
    <tableColumn id="4" xr3:uid="{00000000-0010-0000-0800-000004000000}" name="Tipo informe"/>
    <tableColumn id="5" xr3:uid="{00000000-0010-0000-0800-000005000000}" name="Concepto Nuevo"/>
    <tableColumn id="6" xr3:uid="{00000000-0010-0000-0800-000006000000}" name="consecutivo_concepto"/>
    <tableColumn id="7" xr3:uid="{00000000-0010-0000-0800-000007000000}" name="id_concepto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Fact_Administrativa" displayName="Fact_Administrativa" ref="A1:K3000" totalsRowShown="0">
  <autoFilter ref="A1:K3000" xr:uid="{00000000-0009-0000-0100-000006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Fact_Analitica" displayName="Fact_Analitica" ref="A1:K3000" totalsRowShown="0">
  <autoFilter ref="A1:K3000" xr:uid="{00000000-0009-0000-0100-000005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Fact_Contabilidad" displayName="Fact_Contabilidad" ref="A1:K3000" totalsRowShown="0">
  <autoFilter ref="A1:K3000" xr:uid="{00000000-0009-0000-0100-000004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C000000}" name="Fact_Control_Operaciones" displayName="Fact_Control_Operaciones" ref="A1:K3000" totalsRowShown="0">
  <autoFilter ref="A1:K3000" xr:uid="{00000000-0009-0000-0100-000003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Fact_Impuestos" displayName="Fact_Impuestos" ref="A1:K3000" totalsRowShown="0">
  <autoFilter ref="A1:K3000" xr:uid="{00000000-0009-0000-0100-000002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Fact_Cumplimiento" displayName="Fact_Cumplimiento" ref="A1:K3000" totalsRowShown="0">
  <autoFilter ref="A1:K3000" xr:uid="{00000000-0009-0000-0100-000001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110" bestFit="1" customWidth="1"/>
    <col min="2" max="2" width="60" bestFit="1" customWidth="1"/>
    <col min="3" max="4" width="13.54296875" bestFit="1" customWidth="1"/>
    <col min="5" max="5" width="13.54296875" style="110" bestFit="1" customWidth="1"/>
  </cols>
  <sheetData>
    <row r="1" spans="1:5" ht="18.75" customHeight="1" x14ac:dyDescent="0.35">
      <c r="A1" s="139" t="s">
        <v>168</v>
      </c>
      <c r="B1" s="140" t="s">
        <v>2</v>
      </c>
      <c r="C1" s="140" t="s">
        <v>4</v>
      </c>
      <c r="D1" s="140" t="s">
        <v>5</v>
      </c>
      <c r="E1" s="139" t="s">
        <v>223</v>
      </c>
    </row>
    <row r="2" spans="1:5" ht="18.75" customHeight="1" x14ac:dyDescent="0.35">
      <c r="A2" s="144">
        <v>1</v>
      </c>
      <c r="B2" s="145" t="s">
        <v>19</v>
      </c>
      <c r="C2" s="145" t="s">
        <v>20</v>
      </c>
      <c r="D2" s="145" t="s">
        <v>21</v>
      </c>
      <c r="E2" s="144">
        <v>1</v>
      </c>
    </row>
    <row r="3" spans="1:5" ht="18.75" hidden="1" customHeight="1" x14ac:dyDescent="0.35">
      <c r="A3" s="146">
        <v>2</v>
      </c>
      <c r="B3" s="147" t="s">
        <v>22</v>
      </c>
      <c r="C3" s="147" t="s">
        <v>23</v>
      </c>
      <c r="D3" s="147" t="s">
        <v>24</v>
      </c>
      <c r="E3" s="146">
        <v>1</v>
      </c>
    </row>
    <row r="4" spans="1:5" ht="18.75" hidden="1" customHeight="1" x14ac:dyDescent="0.35">
      <c r="A4" s="144">
        <v>3</v>
      </c>
      <c r="B4" s="145" t="s">
        <v>25</v>
      </c>
      <c r="C4" s="145" t="s">
        <v>23</v>
      </c>
      <c r="D4" s="145" t="s">
        <v>26</v>
      </c>
      <c r="E4" s="144">
        <v>1</v>
      </c>
    </row>
    <row r="5" spans="1:5" ht="18.75" customHeight="1" x14ac:dyDescent="0.35">
      <c r="A5" s="146">
        <v>4</v>
      </c>
      <c r="B5" s="147" t="s">
        <v>383</v>
      </c>
      <c r="C5" s="147" t="s">
        <v>20</v>
      </c>
      <c r="D5" s="147" t="s">
        <v>21</v>
      </c>
      <c r="E5" s="146">
        <v>1</v>
      </c>
    </row>
    <row r="6" spans="1:5" ht="18.75" customHeight="1" x14ac:dyDescent="0.35">
      <c r="A6" s="144">
        <v>5</v>
      </c>
      <c r="B6" s="145" t="s">
        <v>28</v>
      </c>
      <c r="C6" s="145" t="s">
        <v>20</v>
      </c>
      <c r="D6" s="145" t="s">
        <v>21</v>
      </c>
      <c r="E6" s="144">
        <v>1</v>
      </c>
    </row>
    <row r="7" spans="1:5" ht="18.75" customHeight="1" x14ac:dyDescent="0.35">
      <c r="A7" s="146">
        <v>6</v>
      </c>
      <c r="B7" s="147" t="s">
        <v>29</v>
      </c>
      <c r="C7" s="147" t="s">
        <v>20</v>
      </c>
      <c r="D7" s="147" t="s">
        <v>21</v>
      </c>
      <c r="E7" s="146">
        <v>1</v>
      </c>
    </row>
    <row r="8" spans="1:5" ht="18.75" customHeight="1" x14ac:dyDescent="0.35">
      <c r="A8" s="144">
        <v>7</v>
      </c>
      <c r="B8" s="145" t="s">
        <v>30</v>
      </c>
      <c r="C8" s="145" t="s">
        <v>20</v>
      </c>
      <c r="D8" s="145" t="s">
        <v>21</v>
      </c>
      <c r="E8" s="144">
        <v>1</v>
      </c>
    </row>
    <row r="9" spans="1:5" ht="18.75" hidden="1" customHeight="1" x14ac:dyDescent="0.35">
      <c r="A9" s="146">
        <v>8</v>
      </c>
      <c r="B9" s="147" t="s">
        <v>31</v>
      </c>
      <c r="C9" s="147" t="s">
        <v>23</v>
      </c>
      <c r="D9" s="147" t="s">
        <v>26</v>
      </c>
      <c r="E9" s="146">
        <v>1</v>
      </c>
    </row>
    <row r="10" spans="1:5" ht="18.75" hidden="1" customHeight="1" x14ac:dyDescent="0.35">
      <c r="A10" s="144">
        <v>9</v>
      </c>
      <c r="B10" s="145" t="s">
        <v>32</v>
      </c>
      <c r="C10" s="145" t="s">
        <v>23</v>
      </c>
      <c r="D10" s="145" t="s">
        <v>26</v>
      </c>
      <c r="E10" s="144">
        <v>1</v>
      </c>
    </row>
    <row r="11" spans="1:5" ht="18.75" hidden="1" customHeight="1" x14ac:dyDescent="0.35">
      <c r="A11" s="146">
        <v>10</v>
      </c>
      <c r="B11" s="147" t="s">
        <v>33</v>
      </c>
      <c r="C11" s="147" t="s">
        <v>23</v>
      </c>
      <c r="D11" s="147" t="s">
        <v>26</v>
      </c>
      <c r="E11" s="146">
        <v>1</v>
      </c>
    </row>
    <row r="12" spans="1:5" ht="18.75" hidden="1" customHeight="1" x14ac:dyDescent="0.35">
      <c r="A12" s="144">
        <v>11</v>
      </c>
      <c r="B12" s="145" t="s">
        <v>384</v>
      </c>
      <c r="C12" s="145" t="s">
        <v>23</v>
      </c>
      <c r="D12" s="145" t="s">
        <v>26</v>
      </c>
      <c r="E12" s="144">
        <v>1</v>
      </c>
    </row>
    <row r="13" spans="1:5" ht="18.75" hidden="1" customHeight="1" x14ac:dyDescent="0.35">
      <c r="A13" s="146">
        <v>12</v>
      </c>
      <c r="B13" s="147" t="s">
        <v>385</v>
      </c>
      <c r="C13" s="147" t="s">
        <v>23</v>
      </c>
      <c r="D13" s="147" t="s">
        <v>26</v>
      </c>
      <c r="E13" s="146">
        <v>1</v>
      </c>
    </row>
    <row r="14" spans="1:5" ht="18.75" hidden="1" customHeight="1" x14ac:dyDescent="0.35">
      <c r="A14" s="144">
        <v>13</v>
      </c>
      <c r="B14" s="145" t="s">
        <v>386</v>
      </c>
      <c r="C14" s="145" t="s">
        <v>23</v>
      </c>
      <c r="D14" s="145" t="s">
        <v>26</v>
      </c>
      <c r="E14" s="144">
        <v>1</v>
      </c>
    </row>
    <row r="15" spans="1:5" ht="18.75" hidden="1" customHeight="1" x14ac:dyDescent="0.35">
      <c r="A15" s="146">
        <v>14</v>
      </c>
      <c r="B15" s="147" t="s">
        <v>387</v>
      </c>
      <c r="C15" s="147" t="s">
        <v>23</v>
      </c>
      <c r="D15" s="147" t="s">
        <v>26</v>
      </c>
      <c r="E15" s="146">
        <v>1</v>
      </c>
    </row>
    <row r="16" spans="1:5" ht="18.75" hidden="1" customHeight="1" x14ac:dyDescent="0.35">
      <c r="A16" s="144">
        <v>15</v>
      </c>
      <c r="B16" s="145" t="s">
        <v>388</v>
      </c>
      <c r="C16" s="145" t="s">
        <v>23</v>
      </c>
      <c r="D16" s="145" t="s">
        <v>26</v>
      </c>
      <c r="E16" s="144">
        <v>1</v>
      </c>
    </row>
    <row r="17" spans="1:5" ht="18.75" hidden="1" customHeight="1" x14ac:dyDescent="0.35">
      <c r="A17" s="146">
        <v>16</v>
      </c>
      <c r="B17" s="147" t="s">
        <v>389</v>
      </c>
      <c r="C17" s="147" t="s">
        <v>23</v>
      </c>
      <c r="D17" s="147" t="s">
        <v>26</v>
      </c>
      <c r="E17" s="146">
        <v>1</v>
      </c>
    </row>
    <row r="18" spans="1:5" ht="18.75" hidden="1" customHeight="1" x14ac:dyDescent="0.35">
      <c r="A18" s="144">
        <v>17</v>
      </c>
      <c r="B18" s="145" t="s">
        <v>390</v>
      </c>
      <c r="C18" s="145" t="s">
        <v>23</v>
      </c>
      <c r="D18" s="145" t="s">
        <v>26</v>
      </c>
      <c r="E18" s="144">
        <v>1</v>
      </c>
    </row>
    <row r="19" spans="1:5" ht="18.75" hidden="1" customHeight="1" x14ac:dyDescent="0.35">
      <c r="A19" s="146">
        <v>18</v>
      </c>
      <c r="B19" s="147" t="s">
        <v>391</v>
      </c>
      <c r="C19" s="147" t="s">
        <v>23</v>
      </c>
      <c r="D19" s="147" t="s">
        <v>26</v>
      </c>
      <c r="E19" s="146">
        <v>1</v>
      </c>
    </row>
    <row r="20" spans="1:5" ht="18.75" hidden="1" customHeight="1" x14ac:dyDescent="0.35">
      <c r="A20" s="144">
        <v>19</v>
      </c>
      <c r="B20" s="145" t="s">
        <v>392</v>
      </c>
      <c r="C20" s="145" t="s">
        <v>23</v>
      </c>
      <c r="D20" s="145" t="s">
        <v>26</v>
      </c>
      <c r="E20" s="144">
        <v>1</v>
      </c>
    </row>
    <row r="21" spans="1:5" ht="18.75" hidden="1" customHeight="1" x14ac:dyDescent="0.35">
      <c r="A21" s="146">
        <v>20</v>
      </c>
      <c r="B21" s="147" t="s">
        <v>393</v>
      </c>
      <c r="C21" s="147" t="s">
        <v>23</v>
      </c>
      <c r="D21" s="147" t="s">
        <v>26</v>
      </c>
      <c r="E21" s="146">
        <v>1</v>
      </c>
    </row>
    <row r="22" spans="1:5" ht="18.75" hidden="1" customHeight="1" x14ac:dyDescent="0.35">
      <c r="A22" s="144">
        <v>21</v>
      </c>
      <c r="B22" s="145" t="s">
        <v>394</v>
      </c>
      <c r="C22" s="145" t="s">
        <v>23</v>
      </c>
      <c r="D22" s="145" t="s">
        <v>26</v>
      </c>
      <c r="E22" s="144">
        <v>1</v>
      </c>
    </row>
    <row r="23" spans="1:5" ht="18.75" hidden="1" customHeight="1" x14ac:dyDescent="0.35">
      <c r="A23" s="146">
        <v>22</v>
      </c>
      <c r="B23" s="147" t="s">
        <v>395</v>
      </c>
      <c r="C23" s="147" t="s">
        <v>23</v>
      </c>
      <c r="D23" s="147" t="s">
        <v>26</v>
      </c>
      <c r="E23" s="146">
        <v>1</v>
      </c>
    </row>
    <row r="24" spans="1:5" ht="18.75" hidden="1" customHeight="1" x14ac:dyDescent="0.35">
      <c r="A24" s="144">
        <v>23</v>
      </c>
      <c r="B24" s="145" t="s">
        <v>396</v>
      </c>
      <c r="C24" s="145" t="s">
        <v>23</v>
      </c>
      <c r="D24" s="145" t="s">
        <v>26</v>
      </c>
      <c r="E24" s="144">
        <v>1</v>
      </c>
    </row>
    <row r="25" spans="1:5" ht="18.75" hidden="1" customHeight="1" x14ac:dyDescent="0.35">
      <c r="A25" s="146">
        <v>24</v>
      </c>
      <c r="B25" s="147" t="s">
        <v>397</v>
      </c>
      <c r="C25" s="147" t="s">
        <v>23</v>
      </c>
      <c r="D25" s="147" t="s">
        <v>26</v>
      </c>
      <c r="E25" s="146">
        <v>1</v>
      </c>
    </row>
    <row r="26" spans="1:5" ht="18.75" hidden="1" customHeight="1" x14ac:dyDescent="0.35">
      <c r="A26" s="144">
        <v>25</v>
      </c>
      <c r="B26" s="145" t="s">
        <v>398</v>
      </c>
      <c r="C26" s="145" t="s">
        <v>23</v>
      </c>
      <c r="D26" s="145" t="s">
        <v>26</v>
      </c>
      <c r="E26" s="144">
        <v>1</v>
      </c>
    </row>
    <row r="27" spans="1:5" ht="18.75" hidden="1" customHeight="1" x14ac:dyDescent="0.35">
      <c r="A27" s="146">
        <v>26</v>
      </c>
      <c r="B27" s="147" t="s">
        <v>60</v>
      </c>
      <c r="C27" s="147"/>
      <c r="D27" s="147" t="s">
        <v>61</v>
      </c>
      <c r="E27" s="146">
        <v>2</v>
      </c>
    </row>
    <row r="28" spans="1:5" ht="18.75" hidden="1" customHeight="1" x14ac:dyDescent="0.35">
      <c r="A28" s="144">
        <v>27</v>
      </c>
      <c r="B28" s="145" t="s">
        <v>62</v>
      </c>
      <c r="C28" s="145"/>
      <c r="D28" s="145" t="s">
        <v>63</v>
      </c>
      <c r="E28" s="144">
        <v>2</v>
      </c>
    </row>
    <row r="29" spans="1:5" ht="18.75" hidden="1" customHeight="1" x14ac:dyDescent="0.35">
      <c r="A29" s="146">
        <v>28</v>
      </c>
      <c r="B29" s="147" t="s">
        <v>399</v>
      </c>
      <c r="C29" s="147"/>
      <c r="D29" s="147" t="s">
        <v>400</v>
      </c>
      <c r="E29" s="146">
        <v>2</v>
      </c>
    </row>
    <row r="30" spans="1:5" ht="18.75" hidden="1" customHeight="1" x14ac:dyDescent="0.35">
      <c r="A30" s="144">
        <v>29</v>
      </c>
      <c r="B30" s="145" t="s">
        <v>401</v>
      </c>
      <c r="C30" s="145"/>
      <c r="D30" s="145" t="s">
        <v>400</v>
      </c>
      <c r="E30" s="144">
        <v>2</v>
      </c>
    </row>
    <row r="31" spans="1:5" ht="18.75" hidden="1" customHeight="1" x14ac:dyDescent="0.35">
      <c r="A31" s="146">
        <v>30</v>
      </c>
      <c r="B31" s="147" t="s">
        <v>402</v>
      </c>
      <c r="C31" s="147"/>
      <c r="D31" s="147" t="s">
        <v>400</v>
      </c>
      <c r="E31" s="146">
        <v>2</v>
      </c>
    </row>
    <row r="32" spans="1:5" ht="18.75" hidden="1" customHeight="1" x14ac:dyDescent="0.35">
      <c r="A32" s="144">
        <v>31</v>
      </c>
      <c r="B32" s="145" t="s">
        <v>403</v>
      </c>
      <c r="C32" s="145"/>
      <c r="D32" s="145" t="s">
        <v>400</v>
      </c>
      <c r="E32" s="144">
        <v>2</v>
      </c>
    </row>
    <row r="33" spans="1:5" ht="18.75" hidden="1" customHeight="1" x14ac:dyDescent="0.35">
      <c r="A33" s="146">
        <v>32</v>
      </c>
      <c r="B33" s="147" t="s">
        <v>404</v>
      </c>
      <c r="C33" s="147"/>
      <c r="D33" s="147" t="s">
        <v>400</v>
      </c>
      <c r="E33" s="146">
        <v>2</v>
      </c>
    </row>
    <row r="34" spans="1:5" ht="18.75" hidden="1" customHeight="1" x14ac:dyDescent="0.35">
      <c r="A34" s="144">
        <v>33</v>
      </c>
      <c r="B34" s="145" t="s">
        <v>70</v>
      </c>
      <c r="C34" s="145" t="s">
        <v>23</v>
      </c>
      <c r="D34" s="145" t="s">
        <v>26</v>
      </c>
      <c r="E34" s="144">
        <v>3</v>
      </c>
    </row>
    <row r="35" spans="1:5" ht="18.75" hidden="1" customHeight="1" x14ac:dyDescent="0.35">
      <c r="A35" s="146">
        <v>34</v>
      </c>
      <c r="B35" s="147" t="s">
        <v>71</v>
      </c>
      <c r="C35" s="147" t="s">
        <v>23</v>
      </c>
      <c r="D35" s="147" t="s">
        <v>26</v>
      </c>
      <c r="E35" s="146">
        <v>3</v>
      </c>
    </row>
    <row r="36" spans="1:5" ht="18.75" hidden="1" customHeight="1" x14ac:dyDescent="0.35">
      <c r="A36" s="144">
        <v>35</v>
      </c>
      <c r="B36" s="145" t="s">
        <v>72</v>
      </c>
      <c r="C36" s="145" t="s">
        <v>23</v>
      </c>
      <c r="D36" s="145" t="s">
        <v>26</v>
      </c>
      <c r="E36" s="144">
        <v>3</v>
      </c>
    </row>
    <row r="37" spans="1:5" ht="18.75" hidden="1" customHeight="1" x14ac:dyDescent="0.35">
      <c r="A37" s="146">
        <v>36</v>
      </c>
      <c r="B37" s="147" t="s">
        <v>73</v>
      </c>
      <c r="C37" s="147" t="s">
        <v>23</v>
      </c>
      <c r="D37" s="147" t="s">
        <v>26</v>
      </c>
      <c r="E37" s="146">
        <v>3</v>
      </c>
    </row>
    <row r="38" spans="1:5" ht="18.75" hidden="1" customHeight="1" x14ac:dyDescent="0.35">
      <c r="A38" s="144">
        <v>37</v>
      </c>
      <c r="B38" s="145" t="s">
        <v>74</v>
      </c>
      <c r="C38" s="145" t="s">
        <v>20</v>
      </c>
      <c r="D38" s="145" t="s">
        <v>21</v>
      </c>
      <c r="E38" s="144">
        <v>3</v>
      </c>
    </row>
    <row r="39" spans="1:5" ht="18.75" hidden="1" customHeight="1" x14ac:dyDescent="0.35">
      <c r="A39" s="146">
        <v>38</v>
      </c>
      <c r="B39" s="147" t="s">
        <v>77</v>
      </c>
      <c r="C39" s="147" t="s">
        <v>23</v>
      </c>
      <c r="D39" s="147" t="s">
        <v>26</v>
      </c>
      <c r="E39" s="146">
        <v>3</v>
      </c>
    </row>
    <row r="40" spans="1:5" ht="18.75" hidden="1" customHeight="1" x14ac:dyDescent="0.35">
      <c r="A40" s="144">
        <v>39</v>
      </c>
      <c r="B40" s="145" t="s">
        <v>78</v>
      </c>
      <c r="C40" s="145" t="s">
        <v>20</v>
      </c>
      <c r="D40" s="145" t="s">
        <v>21</v>
      </c>
      <c r="E40" s="144">
        <v>3</v>
      </c>
    </row>
    <row r="41" spans="1:5" ht="18.75" hidden="1" customHeight="1" x14ac:dyDescent="0.35">
      <c r="A41" s="146">
        <v>40</v>
      </c>
      <c r="B41" s="147" t="s">
        <v>79</v>
      </c>
      <c r="C41" s="147" t="s">
        <v>23</v>
      </c>
      <c r="D41" s="147" t="s">
        <v>26</v>
      </c>
      <c r="E41" s="146">
        <v>3</v>
      </c>
    </row>
    <row r="42" spans="1:5" ht="18.75" hidden="1" customHeight="1" x14ac:dyDescent="0.35">
      <c r="A42" s="144">
        <v>41</v>
      </c>
      <c r="B42" s="145" t="s">
        <v>405</v>
      </c>
      <c r="C42" s="145" t="s">
        <v>23</v>
      </c>
      <c r="D42" s="145" t="s">
        <v>26</v>
      </c>
      <c r="E42" s="144">
        <v>4</v>
      </c>
    </row>
    <row r="43" spans="1:5" ht="18.75" hidden="1" customHeight="1" x14ac:dyDescent="0.35">
      <c r="A43" s="146">
        <v>42</v>
      </c>
      <c r="B43" s="147" t="s">
        <v>186</v>
      </c>
      <c r="C43" s="147" t="s">
        <v>23</v>
      </c>
      <c r="D43" s="147" t="s">
        <v>26</v>
      </c>
      <c r="E43" s="146">
        <v>4</v>
      </c>
    </row>
    <row r="44" spans="1:5" ht="18.75" hidden="1" customHeight="1" x14ac:dyDescent="0.35">
      <c r="A44" s="144">
        <v>43</v>
      </c>
      <c r="B44" s="145" t="s">
        <v>406</v>
      </c>
      <c r="C44" s="145" t="s">
        <v>23</v>
      </c>
      <c r="D44" s="145" t="s">
        <v>26</v>
      </c>
      <c r="E44" s="144">
        <v>4</v>
      </c>
    </row>
    <row r="45" spans="1:5" ht="18.75" hidden="1" customHeight="1" x14ac:dyDescent="0.35">
      <c r="A45" s="146">
        <v>44</v>
      </c>
      <c r="B45" s="147" t="s">
        <v>85</v>
      </c>
      <c r="C45" s="147" t="s">
        <v>23</v>
      </c>
      <c r="D45" s="147" t="s">
        <v>26</v>
      </c>
      <c r="E45" s="146">
        <v>4</v>
      </c>
    </row>
    <row r="46" spans="1:5" ht="18.75" hidden="1" customHeight="1" x14ac:dyDescent="0.35">
      <c r="A46" s="144">
        <v>45</v>
      </c>
      <c r="B46" s="145" t="s">
        <v>407</v>
      </c>
      <c r="C46" s="145" t="s">
        <v>23</v>
      </c>
      <c r="D46" s="145" t="s">
        <v>26</v>
      </c>
      <c r="E46" s="144">
        <v>4</v>
      </c>
    </row>
    <row r="47" spans="1:5" ht="18.75" hidden="1" customHeight="1" x14ac:dyDescent="0.35">
      <c r="A47" s="146">
        <v>46</v>
      </c>
      <c r="B47" s="147" t="s">
        <v>408</v>
      </c>
      <c r="C47" s="147" t="s">
        <v>23</v>
      </c>
      <c r="D47" s="147" t="s">
        <v>26</v>
      </c>
      <c r="E47" s="146">
        <v>4</v>
      </c>
    </row>
    <row r="48" spans="1:5" ht="18.75" hidden="1" customHeight="1" x14ac:dyDescent="0.35">
      <c r="A48" s="144">
        <v>47</v>
      </c>
      <c r="B48" s="145" t="s">
        <v>189</v>
      </c>
      <c r="C48" s="145" t="s">
        <v>23</v>
      </c>
      <c r="D48" s="145" t="s">
        <v>26</v>
      </c>
      <c r="E48" s="144">
        <v>4</v>
      </c>
    </row>
    <row r="49" spans="1:5" ht="18.75" hidden="1" customHeight="1" x14ac:dyDescent="0.35">
      <c r="A49" s="146">
        <v>48</v>
      </c>
      <c r="B49" s="147" t="s">
        <v>188</v>
      </c>
      <c r="C49" s="147" t="s">
        <v>23</v>
      </c>
      <c r="D49" s="147" t="s">
        <v>26</v>
      </c>
      <c r="E49" s="146">
        <v>4</v>
      </c>
    </row>
    <row r="50" spans="1:5" ht="18.75" hidden="1" customHeight="1" x14ac:dyDescent="0.35">
      <c r="A50" s="144">
        <v>49</v>
      </c>
      <c r="B50" s="145" t="s">
        <v>190</v>
      </c>
      <c r="C50" s="145" t="s">
        <v>23</v>
      </c>
      <c r="D50" s="145" t="s">
        <v>26</v>
      </c>
      <c r="E50" s="144">
        <v>4</v>
      </c>
    </row>
    <row r="51" spans="1:5" ht="18.75" hidden="1" customHeight="1" x14ac:dyDescent="0.35">
      <c r="A51" s="146">
        <v>50</v>
      </c>
      <c r="B51" s="147" t="s">
        <v>409</v>
      </c>
      <c r="C51" s="147" t="s">
        <v>23</v>
      </c>
      <c r="D51" s="147" t="s">
        <v>26</v>
      </c>
      <c r="E51" s="146">
        <v>4</v>
      </c>
    </row>
    <row r="52" spans="1:5" ht="18.75" hidden="1" customHeight="1" x14ac:dyDescent="0.35">
      <c r="A52" s="144">
        <v>51</v>
      </c>
      <c r="B52" s="145" t="s">
        <v>90</v>
      </c>
      <c r="C52" s="145" t="s">
        <v>20</v>
      </c>
      <c r="D52" s="145" t="s">
        <v>21</v>
      </c>
      <c r="E52" s="144">
        <v>4</v>
      </c>
    </row>
    <row r="53" spans="1:5" ht="18.75" hidden="1" customHeight="1" x14ac:dyDescent="0.35">
      <c r="A53" s="146">
        <v>52</v>
      </c>
      <c r="B53" s="147" t="s">
        <v>410</v>
      </c>
      <c r="C53" s="147" t="s">
        <v>23</v>
      </c>
      <c r="D53" s="147" t="s">
        <v>26</v>
      </c>
      <c r="E53" s="146">
        <v>5</v>
      </c>
    </row>
    <row r="54" spans="1:5" ht="18.75" hidden="1" customHeight="1" x14ac:dyDescent="0.35">
      <c r="A54" s="144">
        <v>53</v>
      </c>
      <c r="B54" s="145" t="s">
        <v>411</v>
      </c>
      <c r="C54" s="145" t="s">
        <v>23</v>
      </c>
      <c r="D54" s="145" t="s">
        <v>26</v>
      </c>
      <c r="E54" s="144">
        <v>5</v>
      </c>
    </row>
    <row r="55" spans="1:5" ht="18.75" hidden="1" customHeight="1" x14ac:dyDescent="0.35">
      <c r="A55" s="146">
        <v>54</v>
      </c>
      <c r="B55" s="147" t="s">
        <v>412</v>
      </c>
      <c r="C55" s="147" t="s">
        <v>23</v>
      </c>
      <c r="D55" s="147" t="s">
        <v>26</v>
      </c>
      <c r="E55" s="146">
        <v>5</v>
      </c>
    </row>
    <row r="56" spans="1:5" ht="18.75" hidden="1" customHeight="1" x14ac:dyDescent="0.35">
      <c r="A56" s="144">
        <v>55</v>
      </c>
      <c r="B56" s="145" t="s">
        <v>413</v>
      </c>
      <c r="C56" s="145" t="s">
        <v>23</v>
      </c>
      <c r="D56" s="145" t="s">
        <v>26</v>
      </c>
      <c r="E56" s="144">
        <v>5</v>
      </c>
    </row>
    <row r="57" spans="1:5" ht="18.75" hidden="1" customHeight="1" x14ac:dyDescent="0.35">
      <c r="A57" s="146">
        <v>56</v>
      </c>
      <c r="B57" s="147" t="s">
        <v>94</v>
      </c>
      <c r="C57" s="147" t="s">
        <v>23</v>
      </c>
      <c r="D57" s="147" t="s">
        <v>26</v>
      </c>
      <c r="E57" s="146">
        <v>5</v>
      </c>
    </row>
    <row r="58" spans="1:5" ht="18.75" hidden="1" customHeight="1" x14ac:dyDescent="0.35">
      <c r="A58" s="144">
        <v>57</v>
      </c>
      <c r="B58" s="145" t="s">
        <v>95</v>
      </c>
      <c r="C58" s="145" t="s">
        <v>23</v>
      </c>
      <c r="D58" s="145" t="s">
        <v>26</v>
      </c>
      <c r="E58" s="144">
        <v>5</v>
      </c>
    </row>
    <row r="59" spans="1:5" ht="18.75" hidden="1" customHeight="1" x14ac:dyDescent="0.35">
      <c r="A59" s="146">
        <v>58</v>
      </c>
      <c r="B59" s="147" t="s">
        <v>96</v>
      </c>
      <c r="C59" s="147" t="s">
        <v>23</v>
      </c>
      <c r="D59" s="147" t="s">
        <v>26</v>
      </c>
      <c r="E59" s="146">
        <v>5</v>
      </c>
    </row>
    <row r="60" spans="1:5" ht="18.75" hidden="1" customHeight="1" x14ac:dyDescent="0.35">
      <c r="A60" s="144">
        <v>59</v>
      </c>
      <c r="B60" s="145" t="s">
        <v>97</v>
      </c>
      <c r="C60" s="145" t="s">
        <v>20</v>
      </c>
      <c r="D60" s="145" t="s">
        <v>21</v>
      </c>
      <c r="E60" s="144">
        <v>5</v>
      </c>
    </row>
    <row r="61" spans="1:5" ht="18.75" hidden="1" customHeight="1" x14ac:dyDescent="0.35">
      <c r="A61" s="146">
        <v>60</v>
      </c>
      <c r="B61" s="147" t="s">
        <v>98</v>
      </c>
      <c r="C61" s="147" t="s">
        <v>20</v>
      </c>
      <c r="D61" s="147" t="s">
        <v>21</v>
      </c>
      <c r="E61" s="146">
        <v>5</v>
      </c>
    </row>
    <row r="62" spans="1:5" ht="18.75" hidden="1" customHeight="1" x14ac:dyDescent="0.35">
      <c r="A62" s="144">
        <v>61</v>
      </c>
      <c r="B62" s="145" t="s">
        <v>77</v>
      </c>
      <c r="C62" s="145" t="s">
        <v>23</v>
      </c>
      <c r="D62" s="145" t="s">
        <v>26</v>
      </c>
      <c r="E62" s="144">
        <v>5</v>
      </c>
    </row>
    <row r="63" spans="1:5" ht="18.75" hidden="1" customHeight="1" x14ac:dyDescent="0.35">
      <c r="A63" s="146">
        <v>62</v>
      </c>
      <c r="B63" s="147" t="s">
        <v>414</v>
      </c>
      <c r="C63" s="147" t="s">
        <v>23</v>
      </c>
      <c r="D63" s="147" t="s">
        <v>26</v>
      </c>
      <c r="E63" s="146">
        <v>5</v>
      </c>
    </row>
    <row r="64" spans="1:5" ht="18.75" hidden="1" customHeight="1" x14ac:dyDescent="0.35">
      <c r="A64" s="144">
        <v>63</v>
      </c>
      <c r="B64" s="145" t="s">
        <v>99</v>
      </c>
      <c r="C64" s="145" t="s">
        <v>23</v>
      </c>
      <c r="D64" s="145" t="s">
        <v>26</v>
      </c>
      <c r="E64" s="144">
        <v>5</v>
      </c>
    </row>
    <row r="65" spans="1:5" ht="18.75" hidden="1" customHeight="1" x14ac:dyDescent="0.35">
      <c r="A65" s="146">
        <v>64</v>
      </c>
      <c r="B65" s="147" t="s">
        <v>415</v>
      </c>
      <c r="C65" s="147" t="s">
        <v>23</v>
      </c>
      <c r="D65" s="147" t="s">
        <v>26</v>
      </c>
      <c r="E65" s="146">
        <v>5</v>
      </c>
    </row>
    <row r="66" spans="1:5" ht="18.75" hidden="1" customHeight="1" x14ac:dyDescent="0.35">
      <c r="A66" s="144">
        <v>65</v>
      </c>
      <c r="B66" s="145" t="s">
        <v>416</v>
      </c>
      <c r="C66" s="145" t="s">
        <v>23</v>
      </c>
      <c r="D66" s="145" t="s">
        <v>26</v>
      </c>
      <c r="E66" s="144">
        <v>5</v>
      </c>
    </row>
    <row r="67" spans="1:5" ht="18.75" hidden="1" customHeight="1" x14ac:dyDescent="0.35">
      <c r="A67" s="146">
        <v>66</v>
      </c>
      <c r="B67" s="147" t="s">
        <v>100</v>
      </c>
      <c r="C67" s="147" t="s">
        <v>20</v>
      </c>
      <c r="D67" s="147" t="s">
        <v>21</v>
      </c>
      <c r="E67" s="146">
        <v>5</v>
      </c>
    </row>
    <row r="68" spans="1:5" ht="18.75" hidden="1" customHeight="1" x14ac:dyDescent="0.35">
      <c r="A68" s="144">
        <v>67</v>
      </c>
      <c r="B68" s="145" t="s">
        <v>417</v>
      </c>
      <c r="C68" s="145" t="s">
        <v>20</v>
      </c>
      <c r="D68" s="145" t="s">
        <v>21</v>
      </c>
      <c r="E68" s="144">
        <v>5</v>
      </c>
    </row>
    <row r="69" spans="1:5" ht="18.75" hidden="1" customHeight="1" x14ac:dyDescent="0.35">
      <c r="A69" s="146">
        <v>68</v>
      </c>
      <c r="B69" s="147" t="s">
        <v>102</v>
      </c>
      <c r="C69" s="147" t="s">
        <v>23</v>
      </c>
      <c r="D69" s="147" t="s">
        <v>26</v>
      </c>
      <c r="E69" s="146">
        <v>6</v>
      </c>
    </row>
    <row r="70" spans="1:5" ht="18.75" hidden="1" customHeight="1" x14ac:dyDescent="0.35">
      <c r="A70" s="144">
        <v>69</v>
      </c>
      <c r="B70" s="145" t="s">
        <v>103</v>
      </c>
      <c r="C70" s="145" t="s">
        <v>23</v>
      </c>
      <c r="D70" s="145" t="s">
        <v>26</v>
      </c>
      <c r="E70" s="144">
        <v>6</v>
      </c>
    </row>
    <row r="71" spans="1:5" ht="18.75" hidden="1" customHeight="1" x14ac:dyDescent="0.35">
      <c r="A71" s="146">
        <v>70</v>
      </c>
      <c r="B71" s="147" t="s">
        <v>104</v>
      </c>
      <c r="C71" s="147" t="s">
        <v>23</v>
      </c>
      <c r="D71" s="147" t="s">
        <v>26</v>
      </c>
      <c r="E71" s="146">
        <v>6</v>
      </c>
    </row>
    <row r="72" spans="1:5" ht="18.75" hidden="1" customHeight="1" x14ac:dyDescent="0.35">
      <c r="A72" s="144">
        <v>71</v>
      </c>
      <c r="B72" s="145" t="s">
        <v>106</v>
      </c>
      <c r="C72" s="145" t="s">
        <v>23</v>
      </c>
      <c r="D72" s="145" t="s">
        <v>26</v>
      </c>
      <c r="E72" s="144">
        <v>6</v>
      </c>
    </row>
    <row r="73" spans="1:5" ht="18.75" hidden="1" customHeight="1" x14ac:dyDescent="0.35">
      <c r="A73" s="146">
        <v>72</v>
      </c>
      <c r="B73" s="147" t="s">
        <v>107</v>
      </c>
      <c r="C73" s="147" t="s">
        <v>23</v>
      </c>
      <c r="D73" s="147" t="s">
        <v>26</v>
      </c>
      <c r="E73" s="146">
        <v>6</v>
      </c>
    </row>
    <row r="74" spans="1:5" ht="18.75" hidden="1" customHeight="1" x14ac:dyDescent="0.35">
      <c r="A74" s="144">
        <v>73</v>
      </c>
      <c r="B74" s="145" t="s">
        <v>161</v>
      </c>
      <c r="C74" s="145" t="s">
        <v>23</v>
      </c>
      <c r="D74" s="145" t="s">
        <v>26</v>
      </c>
      <c r="E74" s="144">
        <v>6</v>
      </c>
    </row>
    <row r="75" spans="1:5" ht="18.75" hidden="1" customHeight="1" x14ac:dyDescent="0.35">
      <c r="A75" s="146">
        <v>74</v>
      </c>
      <c r="B75" s="147" t="s">
        <v>109</v>
      </c>
      <c r="C75" s="147" t="s">
        <v>20</v>
      </c>
      <c r="D75" s="147" t="s">
        <v>21</v>
      </c>
      <c r="E75" s="146">
        <v>4</v>
      </c>
    </row>
    <row r="76" spans="1:5" ht="18.75" hidden="1" customHeight="1" x14ac:dyDescent="0.35">
      <c r="A76" s="144">
        <v>75</v>
      </c>
      <c r="B76" s="145" t="s">
        <v>110</v>
      </c>
      <c r="C76" s="145" t="s">
        <v>20</v>
      </c>
      <c r="D76" s="145" t="s">
        <v>21</v>
      </c>
      <c r="E76" s="144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25" bestFit="1" customWidth="1"/>
    <col min="2" max="2" width="2.1796875" bestFit="1" customWidth="1"/>
    <col min="3" max="3" width="13.54296875" style="112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112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112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112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112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112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112" bestFit="1" customWidth="1"/>
    <col min="57" max="57" width="16.1796875" bestFit="1" customWidth="1"/>
    <col min="58" max="58" width="3.453125" bestFit="1" customWidth="1"/>
    <col min="59" max="59" width="13.54296875" style="112" bestFit="1" customWidth="1"/>
    <col min="60" max="60" width="19.81640625" bestFit="1" customWidth="1"/>
    <col min="61" max="61" width="14.81640625" bestFit="1" customWidth="1"/>
  </cols>
  <sheetData>
    <row r="1" spans="1:61" ht="18.75" customHeight="1" x14ac:dyDescent="0.35">
      <c r="G1" s="133" t="s">
        <v>18</v>
      </c>
      <c r="S1" s="133" t="s">
        <v>59</v>
      </c>
      <c r="AA1" s="133" t="s">
        <v>69</v>
      </c>
      <c r="AI1" s="133" t="s">
        <v>80</v>
      </c>
      <c r="AQ1" s="133" t="s">
        <v>91</v>
      </c>
      <c r="AY1" s="133" t="s">
        <v>214</v>
      </c>
      <c r="BG1" s="134" t="s">
        <v>215</v>
      </c>
    </row>
    <row r="2" spans="1:61" ht="18.75" customHeight="1" x14ac:dyDescent="0.45">
      <c r="A2" s="135" t="s">
        <v>216</v>
      </c>
      <c r="C2" s="134" t="s">
        <v>217</v>
      </c>
      <c r="E2" s="133" t="s">
        <v>218</v>
      </c>
      <c r="G2" s="133" t="s">
        <v>166</v>
      </c>
      <c r="H2" s="133" t="s">
        <v>4</v>
      </c>
      <c r="I2" s="133" t="s">
        <v>5</v>
      </c>
      <c r="J2" s="133" t="s">
        <v>219</v>
      </c>
      <c r="K2" s="133" t="s">
        <v>167</v>
      </c>
      <c r="L2" s="134" t="s">
        <v>220</v>
      </c>
      <c r="M2" s="133" t="s">
        <v>168</v>
      </c>
      <c r="O2" t="s">
        <v>221</v>
      </c>
      <c r="Q2" s="136" t="s">
        <v>222</v>
      </c>
      <c r="S2" s="133" t="s">
        <v>166</v>
      </c>
      <c r="T2" s="133" t="s">
        <v>4</v>
      </c>
      <c r="U2" s="133" t="s">
        <v>5</v>
      </c>
      <c r="V2" s="133" t="s">
        <v>219</v>
      </c>
      <c r="W2" s="133" t="s">
        <v>167</v>
      </c>
      <c r="X2" s="137" t="s">
        <v>220</v>
      </c>
      <c r="Y2" s="138" t="s">
        <v>168</v>
      </c>
      <c r="AA2" s="133" t="s">
        <v>166</v>
      </c>
      <c r="AB2" s="133" t="s">
        <v>4</v>
      </c>
      <c r="AC2" s="133" t="s">
        <v>5</v>
      </c>
      <c r="AD2" s="133" t="s">
        <v>219</v>
      </c>
      <c r="AE2" s="133" t="s">
        <v>167</v>
      </c>
      <c r="AF2" s="137" t="s">
        <v>220</v>
      </c>
      <c r="AG2" s="138" t="s">
        <v>168</v>
      </c>
      <c r="AI2" s="133" t="s">
        <v>166</v>
      </c>
      <c r="AJ2" s="133" t="s">
        <v>4</v>
      </c>
      <c r="AK2" s="133" t="s">
        <v>5</v>
      </c>
      <c r="AL2" s="133" t="s">
        <v>219</v>
      </c>
      <c r="AM2" s="133" t="s">
        <v>167</v>
      </c>
      <c r="AN2" s="137" t="s">
        <v>220</v>
      </c>
      <c r="AO2" s="138" t="s">
        <v>168</v>
      </c>
      <c r="AQ2" s="133" t="s">
        <v>166</v>
      </c>
      <c r="AR2" s="133" t="s">
        <v>4</v>
      </c>
      <c r="AS2" s="133" t="s">
        <v>5</v>
      </c>
      <c r="AT2" s="133" t="s">
        <v>219</v>
      </c>
      <c r="AU2" s="133" t="s">
        <v>167</v>
      </c>
      <c r="AV2" s="137" t="s">
        <v>220</v>
      </c>
      <c r="AW2" s="138" t="s">
        <v>168</v>
      </c>
      <c r="AY2" s="133" t="s">
        <v>166</v>
      </c>
      <c r="AZ2" s="133" t="s">
        <v>4</v>
      </c>
      <c r="BA2" s="133" t="s">
        <v>5</v>
      </c>
      <c r="BB2" s="133" t="s">
        <v>219</v>
      </c>
      <c r="BC2" s="133" t="s">
        <v>167</v>
      </c>
      <c r="BD2" s="137" t="s">
        <v>220</v>
      </c>
      <c r="BE2" s="138" t="s">
        <v>168</v>
      </c>
      <c r="BG2" s="139" t="s">
        <v>223</v>
      </c>
      <c r="BH2" s="140" t="s">
        <v>224</v>
      </c>
      <c r="BI2" s="140" t="s">
        <v>225</v>
      </c>
    </row>
    <row r="3" spans="1:61" ht="18.75" customHeight="1" x14ac:dyDescent="0.45">
      <c r="A3" s="124">
        <f ca="1">+TODAY()</f>
        <v>46020</v>
      </c>
      <c r="C3" s="116">
        <f ca="1">+YEAR(TODAY())</f>
        <v>2025</v>
      </c>
      <c r="E3" t="s">
        <v>171</v>
      </c>
      <c r="G3" s="21" t="s">
        <v>39</v>
      </c>
      <c r="H3" t="s">
        <v>23</v>
      </c>
      <c r="I3" t="s">
        <v>26</v>
      </c>
      <c r="J3" s="141" t="s">
        <v>226</v>
      </c>
      <c r="K3" s="21" t="s">
        <v>39</v>
      </c>
      <c r="L3" s="116">
        <v>1</v>
      </c>
      <c r="M3" t="e">
        <f ca="1">+_xlfn.CONCAT("1_",TEXT(Conceptos_Administrativa[[#This Row], [consecutivo_concepto]],"00"))</f>
        <v>#NAME?</v>
      </c>
      <c r="O3" t="s">
        <v>42</v>
      </c>
      <c r="Q3" s="142" t="s">
        <v>227</v>
      </c>
      <c r="S3" t="s">
        <v>202</v>
      </c>
      <c r="T3" t="s">
        <v>23</v>
      </c>
      <c r="U3" t="s">
        <v>26</v>
      </c>
      <c r="V3" s="141" t="s">
        <v>226</v>
      </c>
      <c r="W3" t="s">
        <v>202</v>
      </c>
      <c r="X3" s="116">
        <v>1</v>
      </c>
      <c r="Y3" t="e">
        <f ca="1">+_xlfn.CONCAT("2_",TEXT(Conceptos_Analítica_contraloría[[#This Row], [consecutivo_concepto]],"00"))</f>
        <v>#NAME?</v>
      </c>
      <c r="AA3" s="141" t="s">
        <v>79</v>
      </c>
      <c r="AB3" t="s">
        <v>23</v>
      </c>
      <c r="AC3" t="s">
        <v>26</v>
      </c>
      <c r="AD3" t="s">
        <v>228</v>
      </c>
      <c r="AE3" t="s">
        <v>229</v>
      </c>
      <c r="AF3" s="116">
        <v>1</v>
      </c>
      <c r="AG3" t="e">
        <f ca="1">+_xlfn.CONCAT("3_",TEXT(Conceptos_Contabilidad[[#This Row], [consecutivo_concepto]],"00"))</f>
        <v>#NAME?</v>
      </c>
      <c r="AI3" t="s">
        <v>81</v>
      </c>
      <c r="AJ3" t="s">
        <v>23</v>
      </c>
      <c r="AK3" t="s">
        <v>26</v>
      </c>
      <c r="AL3" t="s">
        <v>226</v>
      </c>
      <c r="AM3" s="143" t="s">
        <v>81</v>
      </c>
      <c r="AN3" s="116">
        <v>1</v>
      </c>
      <c r="AO3" t="e">
        <f ca="1">+_xlfn.CONCAT("4_",TEXT(Conceptos_Control_Operaciones[[#This Row], [consecutivo_concepto]],"00"))</f>
        <v>#NAME?</v>
      </c>
      <c r="AQ3" t="s">
        <v>92</v>
      </c>
      <c r="AR3" t="s">
        <v>23</v>
      </c>
      <c r="AS3" t="s">
        <v>26</v>
      </c>
      <c r="AT3" t="s">
        <v>226</v>
      </c>
      <c r="AU3" t="s">
        <v>230</v>
      </c>
      <c r="AV3" s="116">
        <v>1</v>
      </c>
      <c r="AW3" t="e">
        <f ca="1">+_xlfn.CONCAT("5_",TEXT(Conceptos_Impuestos[[#This Row], [consecutivo_concepto]],"00"))</f>
        <v>#NAME?</v>
      </c>
      <c r="AY3" t="s">
        <v>106</v>
      </c>
      <c r="AZ3" t="s">
        <v>23</v>
      </c>
      <c r="BA3" t="s">
        <v>26</v>
      </c>
      <c r="BB3" t="s">
        <v>226</v>
      </c>
      <c r="BC3" t="s">
        <v>106</v>
      </c>
      <c r="BD3" s="116">
        <v>1</v>
      </c>
      <c r="BE3" t="e">
        <f ca="1">+_xlfn.CONCAT("6_",TEXT(Conceptos_Cumplimiento[[#This Row], [consecutivo_concepto]],"00"))</f>
        <v>#NAME?</v>
      </c>
      <c r="BG3" s="144">
        <v>1</v>
      </c>
      <c r="BH3" s="145" t="s">
        <v>18</v>
      </c>
      <c r="BI3" s="145" t="s">
        <v>231</v>
      </c>
    </row>
    <row r="4" spans="1:61" ht="18.75" customHeight="1" x14ac:dyDescent="0.45">
      <c r="E4" t="s">
        <v>174</v>
      </c>
      <c r="G4" s="21" t="s">
        <v>32</v>
      </c>
      <c r="H4" t="s">
        <v>23</v>
      </c>
      <c r="I4" t="s">
        <v>26</v>
      </c>
      <c r="J4" s="141" t="s">
        <v>226</v>
      </c>
      <c r="K4" s="21" t="s">
        <v>32</v>
      </c>
      <c r="L4" s="116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43</v>
      </c>
      <c r="Q4" s="142" t="s">
        <v>232</v>
      </c>
      <c r="S4" t="s">
        <v>60</v>
      </c>
      <c r="T4" t="s">
        <v>20</v>
      </c>
      <c r="U4" t="s">
        <v>21</v>
      </c>
      <c r="V4" s="141" t="s">
        <v>226</v>
      </c>
      <c r="W4" t="s">
        <v>60</v>
      </c>
      <c r="X4" s="116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70</v>
      </c>
      <c r="AB4" t="s">
        <v>23</v>
      </c>
      <c r="AC4" t="s">
        <v>26</v>
      </c>
      <c r="AD4" t="s">
        <v>226</v>
      </c>
      <c r="AE4" t="s">
        <v>233</v>
      </c>
      <c r="AF4" s="116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186</v>
      </c>
      <c r="AJ4" t="s">
        <v>23</v>
      </c>
      <c r="AK4" t="s">
        <v>26</v>
      </c>
      <c r="AL4" t="s">
        <v>226</v>
      </c>
      <c r="AM4" s="143" t="s">
        <v>186</v>
      </c>
      <c r="AN4" s="116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99</v>
      </c>
      <c r="AR4" t="s">
        <v>23</v>
      </c>
      <c r="AS4" t="s">
        <v>26</v>
      </c>
      <c r="AT4" t="s">
        <v>226</v>
      </c>
      <c r="AU4" t="s">
        <v>99</v>
      </c>
      <c r="AV4" s="116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104</v>
      </c>
      <c r="AZ4" t="s">
        <v>23</v>
      </c>
      <c r="BA4" t="s">
        <v>26</v>
      </c>
      <c r="BB4" t="s">
        <v>226</v>
      </c>
      <c r="BC4" t="s">
        <v>104</v>
      </c>
      <c r="BD4" s="116">
        <f t="shared" ref="BD4:BD11" si="5">+BD3+1</f>
        <v>2</v>
      </c>
      <c r="BE4" t="e">
        <f ca="1">+_xlfn.CONCAT("6_",TEXT(Conceptos_Cumplimiento[[#This Row], [consecutivo_concepto]],"00"))</f>
        <v>#NAME?</v>
      </c>
      <c r="BG4" s="146">
        <v>2</v>
      </c>
      <c r="BH4" s="147" t="s">
        <v>234</v>
      </c>
      <c r="BI4" s="147" t="s">
        <v>235</v>
      </c>
    </row>
    <row r="5" spans="1:61" ht="18.75" customHeight="1" x14ac:dyDescent="0.45">
      <c r="E5" t="s">
        <v>175</v>
      </c>
      <c r="G5" s="21" t="s">
        <v>209</v>
      </c>
      <c r="H5" t="s">
        <v>23</v>
      </c>
      <c r="I5" t="s">
        <v>26</v>
      </c>
      <c r="J5" s="141" t="s">
        <v>226</v>
      </c>
      <c r="K5" s="21" t="s">
        <v>209</v>
      </c>
      <c r="L5" s="116">
        <f t="shared" si="0"/>
        <v>3</v>
      </c>
      <c r="M5" t="e">
        <f ca="1">+_xlfn.CONCAT("1_",TEXT(Conceptos_Administrativa[[#This Row], [consecutivo_concepto]],"00"))</f>
        <v>#NAME?</v>
      </c>
      <c r="O5" t="s">
        <v>44</v>
      </c>
      <c r="Q5" s="142" t="s">
        <v>236</v>
      </c>
      <c r="S5" t="s">
        <v>62</v>
      </c>
      <c r="T5" t="s">
        <v>23</v>
      </c>
      <c r="U5" t="s">
        <v>26</v>
      </c>
      <c r="V5" s="141" t="s">
        <v>226</v>
      </c>
      <c r="W5" t="s">
        <v>62</v>
      </c>
      <c r="X5" s="116">
        <f t="shared" si="1"/>
        <v>3</v>
      </c>
      <c r="Y5" t="e">
        <f ca="1">+_xlfn.CONCAT("2_",TEXT(Conceptos_Analítica_contraloría[[#This Row], [consecutivo_concepto]],"00"))</f>
        <v>#NAME?</v>
      </c>
      <c r="AA5" t="s">
        <v>71</v>
      </c>
      <c r="AB5" t="s">
        <v>23</v>
      </c>
      <c r="AC5" t="s">
        <v>26</v>
      </c>
      <c r="AD5" t="s">
        <v>226</v>
      </c>
      <c r="AE5" t="s">
        <v>233</v>
      </c>
      <c r="AF5" s="116">
        <f t="shared" si="2"/>
        <v>3</v>
      </c>
      <c r="AG5" t="e">
        <f ca="1">+_xlfn.CONCAT("3_",TEXT(Conceptos_Contabilidad[[#This Row], [consecutivo_concepto]],"00"))</f>
        <v>#NAME?</v>
      </c>
      <c r="AI5" t="s">
        <v>187</v>
      </c>
      <c r="AJ5" t="s">
        <v>23</v>
      </c>
      <c r="AK5" t="s">
        <v>26</v>
      </c>
      <c r="AL5" t="s">
        <v>226</v>
      </c>
      <c r="AM5" s="143" t="s">
        <v>187</v>
      </c>
      <c r="AN5" s="116">
        <f t="shared" si="3"/>
        <v>3</v>
      </c>
      <c r="AO5" t="e">
        <f ca="1">+_xlfn.CONCAT("4_",TEXT(Conceptos_Control_Operaciones[[#This Row], [consecutivo_concepto]],"00"))</f>
        <v>#NAME?</v>
      </c>
      <c r="AQ5" t="s">
        <v>95</v>
      </c>
      <c r="AR5" t="s">
        <v>23</v>
      </c>
      <c r="AS5" t="s">
        <v>26</v>
      </c>
      <c r="AT5" t="s">
        <v>226</v>
      </c>
      <c r="AU5" t="s">
        <v>237</v>
      </c>
      <c r="AV5" s="116">
        <f t="shared" si="4"/>
        <v>3</v>
      </c>
      <c r="AW5" t="e">
        <f ca="1">+_xlfn.CONCAT("5_",TEXT(Conceptos_Impuestos[[#This Row], [consecutivo_concepto]],"00"))</f>
        <v>#NAME?</v>
      </c>
      <c r="AY5" t="s">
        <v>102</v>
      </c>
      <c r="AZ5" t="s">
        <v>23</v>
      </c>
      <c r="BA5" t="s">
        <v>26</v>
      </c>
      <c r="BB5" t="s">
        <v>226</v>
      </c>
      <c r="BC5" t="s">
        <v>102</v>
      </c>
      <c r="BD5" s="116">
        <f t="shared" si="5"/>
        <v>3</v>
      </c>
      <c r="BE5" t="e">
        <f ca="1">+_xlfn.CONCAT("6_",TEXT(Conceptos_Cumplimiento[[#This Row], [consecutivo_concepto]],"00"))</f>
        <v>#NAME?</v>
      </c>
      <c r="BG5" s="144">
        <v>3</v>
      </c>
      <c r="BH5" s="145" t="s">
        <v>69</v>
      </c>
      <c r="BI5" s="145" t="s">
        <v>238</v>
      </c>
    </row>
    <row r="6" spans="1:61" ht="18.75" customHeight="1" x14ac:dyDescent="0.45">
      <c r="E6" t="s">
        <v>176</v>
      </c>
      <c r="G6" s="21" t="s">
        <v>31</v>
      </c>
      <c r="H6" t="s">
        <v>23</v>
      </c>
      <c r="I6" t="s">
        <v>26</v>
      </c>
      <c r="J6" s="141" t="s">
        <v>226</v>
      </c>
      <c r="K6" s="21" t="s">
        <v>31</v>
      </c>
      <c r="L6" s="116">
        <f t="shared" si="0"/>
        <v>4</v>
      </c>
      <c r="M6" t="e">
        <f ca="1">+_xlfn.CONCAT("1_",TEXT(Conceptos_Administrativa[[#This Row], [consecutivo_concepto]],"00"))</f>
        <v>#NAME?</v>
      </c>
      <c r="O6" t="s">
        <v>45</v>
      </c>
      <c r="Q6" s="142" t="s">
        <v>239</v>
      </c>
      <c r="S6" t="s">
        <v>66</v>
      </c>
      <c r="T6" t="s">
        <v>23</v>
      </c>
      <c r="U6" t="s">
        <v>26</v>
      </c>
      <c r="V6" s="141" t="s">
        <v>226</v>
      </c>
      <c r="W6" t="s">
        <v>66</v>
      </c>
      <c r="X6" s="116">
        <f t="shared" si="1"/>
        <v>4</v>
      </c>
      <c r="Y6" t="e">
        <f ca="1">+_xlfn.CONCAT("2_",TEXT(Conceptos_Analítica_contraloría[[#This Row], [consecutivo_concepto]],"00"))</f>
        <v>#NAME?</v>
      </c>
      <c r="AA6" s="143" t="s">
        <v>72</v>
      </c>
      <c r="AB6" t="s">
        <v>23</v>
      </c>
      <c r="AC6" t="s">
        <v>26</v>
      </c>
      <c r="AD6" t="s">
        <v>226</v>
      </c>
      <c r="AE6" s="143" t="s">
        <v>72</v>
      </c>
      <c r="AF6" s="116">
        <f t="shared" si="2"/>
        <v>4</v>
      </c>
      <c r="AG6" t="e">
        <f ca="1">+_xlfn.CONCAT("3_",TEXT(Conceptos_Contabilidad[[#This Row], [consecutivo_concepto]],"00"))</f>
        <v>#NAME?</v>
      </c>
      <c r="AI6" t="s">
        <v>85</v>
      </c>
      <c r="AJ6" t="s">
        <v>23</v>
      </c>
      <c r="AK6" t="s">
        <v>26</v>
      </c>
      <c r="AL6" t="s">
        <v>226</v>
      </c>
      <c r="AM6" s="143" t="s">
        <v>85</v>
      </c>
      <c r="AN6" s="116">
        <f t="shared" si="3"/>
        <v>4</v>
      </c>
      <c r="AO6" t="e">
        <f ca="1">+_xlfn.CONCAT("4_",TEXT(Conceptos_Control_Operaciones[[#This Row], [consecutivo_concepto]],"00"))</f>
        <v>#NAME?</v>
      </c>
      <c r="AQ6" t="s">
        <v>96</v>
      </c>
      <c r="AR6" t="s">
        <v>23</v>
      </c>
      <c r="AS6" t="s">
        <v>26</v>
      </c>
      <c r="AT6" t="s">
        <v>226</v>
      </c>
      <c r="AU6" t="s">
        <v>240</v>
      </c>
      <c r="AV6" s="116">
        <f t="shared" si="4"/>
        <v>4</v>
      </c>
      <c r="AW6" t="e">
        <f ca="1">+_xlfn.CONCAT("5_",TEXT(Conceptos_Impuestos[[#This Row], [consecutivo_concepto]],"00"))</f>
        <v>#NAME?</v>
      </c>
      <c r="AY6" t="s">
        <v>103</v>
      </c>
      <c r="AZ6" t="s">
        <v>23</v>
      </c>
      <c r="BA6" t="s">
        <v>26</v>
      </c>
      <c r="BB6" t="s">
        <v>226</v>
      </c>
      <c r="BC6" t="s">
        <v>103</v>
      </c>
      <c r="BD6" s="116">
        <f t="shared" si="5"/>
        <v>4</v>
      </c>
      <c r="BE6" t="e">
        <f ca="1">+_xlfn.CONCAT("6_",TEXT(Conceptos_Cumplimiento[[#This Row], [consecutivo_concepto]],"00"))</f>
        <v>#NAME?</v>
      </c>
      <c r="BG6" s="146">
        <v>4</v>
      </c>
      <c r="BH6" s="147" t="s">
        <v>241</v>
      </c>
      <c r="BI6" s="147" t="s">
        <v>242</v>
      </c>
    </row>
    <row r="7" spans="1:61" ht="18.75" customHeight="1" x14ac:dyDescent="0.45">
      <c r="E7" t="s">
        <v>177</v>
      </c>
      <c r="G7" s="21" t="s">
        <v>34</v>
      </c>
      <c r="H7" t="s">
        <v>23</v>
      </c>
      <c r="I7" t="s">
        <v>35</v>
      </c>
      <c r="J7" s="141" t="s">
        <v>226</v>
      </c>
      <c r="K7" t="s">
        <v>243</v>
      </c>
      <c r="L7" s="116">
        <f t="shared" si="0"/>
        <v>5</v>
      </c>
      <c r="M7" t="e">
        <f ca="1">+_xlfn.CONCAT("1_",TEXT(Conceptos_Administrativa[[#This Row], [consecutivo_concepto]],"00"))</f>
        <v>#NAME?</v>
      </c>
      <c r="O7" t="s">
        <v>46</v>
      </c>
      <c r="Q7" s="142" t="s">
        <v>201</v>
      </c>
      <c r="S7" t="s">
        <v>67</v>
      </c>
      <c r="T7" t="s">
        <v>23</v>
      </c>
      <c r="U7" t="s">
        <v>26</v>
      </c>
      <c r="V7" s="141" t="s">
        <v>226</v>
      </c>
      <c r="W7" t="s">
        <v>67</v>
      </c>
      <c r="X7" s="116">
        <f t="shared" si="1"/>
        <v>5</v>
      </c>
      <c r="Y7" t="e">
        <f ca="1">+_xlfn.CONCAT("2_",TEXT(Conceptos_Analítica_contraloría[[#This Row], [consecutivo_concepto]],"00"))</f>
        <v>#NAME?</v>
      </c>
      <c r="AA7" s="143" t="s">
        <v>73</v>
      </c>
      <c r="AB7" t="s">
        <v>23</v>
      </c>
      <c r="AC7" t="s">
        <v>26</v>
      </c>
      <c r="AD7" t="s">
        <v>226</v>
      </c>
      <c r="AE7" s="143" t="s">
        <v>73</v>
      </c>
      <c r="AF7" s="116">
        <f t="shared" si="2"/>
        <v>5</v>
      </c>
      <c r="AG7" t="e">
        <f ca="1">+_xlfn.CONCAT("3_",TEXT(Conceptos_Contabilidad[[#This Row], [consecutivo_concepto]],"00"))</f>
        <v>#NAME?</v>
      </c>
      <c r="AI7" t="s">
        <v>110</v>
      </c>
      <c r="AJ7" t="s">
        <v>20</v>
      </c>
      <c r="AK7" t="s">
        <v>21</v>
      </c>
      <c r="AL7" t="s">
        <v>226</v>
      </c>
      <c r="AM7" s="143" t="s">
        <v>110</v>
      </c>
      <c r="AN7" s="116">
        <f t="shared" si="3"/>
        <v>5</v>
      </c>
      <c r="AO7" t="e">
        <f ca="1">+_xlfn.CONCAT("4_",TEXT(Conceptos_Control_Operaciones[[#This Row], [consecutivo_concepto]],"00"))</f>
        <v>#NAME?</v>
      </c>
      <c r="AQ7" t="s">
        <v>185</v>
      </c>
      <c r="AR7" t="s">
        <v>20</v>
      </c>
      <c r="AS7" t="s">
        <v>21</v>
      </c>
      <c r="AT7" t="s">
        <v>226</v>
      </c>
      <c r="AU7" t="s">
        <v>185</v>
      </c>
      <c r="AV7" s="116">
        <f t="shared" si="4"/>
        <v>5</v>
      </c>
      <c r="AW7" t="e">
        <f ca="1">+_xlfn.CONCAT("5_",TEXT(Conceptos_Impuestos[[#This Row], [consecutivo_concepto]],"00"))</f>
        <v>#NAME?</v>
      </c>
      <c r="AY7" t="s">
        <v>105</v>
      </c>
      <c r="AZ7" t="s">
        <v>23</v>
      </c>
      <c r="BA7" t="s">
        <v>26</v>
      </c>
      <c r="BB7" t="s">
        <v>226</v>
      </c>
      <c r="BC7" t="s">
        <v>105</v>
      </c>
      <c r="BD7" s="116">
        <f t="shared" si="5"/>
        <v>5</v>
      </c>
      <c r="BE7" t="e">
        <f ca="1">+_xlfn.CONCAT("6_",TEXT(Conceptos_Cumplimiento[[#This Row], [consecutivo_concepto]],"00"))</f>
        <v>#NAME?</v>
      </c>
      <c r="BG7" s="144">
        <v>5</v>
      </c>
      <c r="BH7" s="145" t="s">
        <v>91</v>
      </c>
      <c r="BI7" s="145" t="s">
        <v>244</v>
      </c>
    </row>
    <row r="8" spans="1:61" ht="18.75" customHeight="1" x14ac:dyDescent="0.45">
      <c r="E8" t="s">
        <v>178</v>
      </c>
      <c r="G8" s="12" t="s">
        <v>114</v>
      </c>
      <c r="H8" t="s">
        <v>23</v>
      </c>
      <c r="I8" t="s">
        <v>26</v>
      </c>
      <c r="J8" s="141" t="s">
        <v>226</v>
      </c>
      <c r="K8" t="s">
        <v>245</v>
      </c>
      <c r="L8" s="116">
        <f t="shared" si="0"/>
        <v>6</v>
      </c>
      <c r="M8" t="e">
        <f ca="1">+_xlfn.CONCAT("1_",TEXT(Conceptos_Administrativa[[#This Row], [consecutivo_concepto]],"00"))</f>
        <v>#NAME?</v>
      </c>
      <c r="O8" t="s">
        <v>47</v>
      </c>
      <c r="Q8" s="142" t="s">
        <v>246</v>
      </c>
      <c r="S8" t="s">
        <v>68</v>
      </c>
      <c r="T8" t="s">
        <v>20</v>
      </c>
      <c r="U8" t="s">
        <v>21</v>
      </c>
      <c r="V8" s="141" t="s">
        <v>226</v>
      </c>
      <c r="W8" t="s">
        <v>68</v>
      </c>
      <c r="X8" s="116">
        <f t="shared" si="1"/>
        <v>6</v>
      </c>
      <c r="Y8" t="e">
        <f ca="1">+_xlfn.CONCAT("2_",TEXT(Conceptos_Analítica_contraloría[[#This Row], [consecutivo_concepto]],"00"))</f>
        <v>#NAME?</v>
      </c>
      <c r="AA8" t="s">
        <v>136</v>
      </c>
      <c r="AB8" t="s">
        <v>23</v>
      </c>
      <c r="AC8" t="s">
        <v>35</v>
      </c>
      <c r="AD8" t="s">
        <v>228</v>
      </c>
      <c r="AE8" t="s">
        <v>247</v>
      </c>
      <c r="AF8" s="116">
        <f t="shared" si="2"/>
        <v>6</v>
      </c>
      <c r="AG8" t="e">
        <f ca="1">+_xlfn.CONCAT("3_",TEXT(Conceptos_Contabilidad[[#This Row], [consecutivo_concepto]],"00"))</f>
        <v>#NAME?</v>
      </c>
      <c r="AI8" t="s">
        <v>109</v>
      </c>
      <c r="AJ8" t="s">
        <v>20</v>
      </c>
      <c r="AK8" t="s">
        <v>21</v>
      </c>
      <c r="AL8" t="s">
        <v>226</v>
      </c>
      <c r="AM8" s="143" t="s">
        <v>109</v>
      </c>
      <c r="AN8" s="116">
        <f t="shared" si="3"/>
        <v>6</v>
      </c>
      <c r="AO8" t="e">
        <f ca="1">+_xlfn.CONCAT("4_",TEXT(Conceptos_Control_Operaciones[[#This Row], [consecutivo_concepto]],"00"))</f>
        <v>#NAME?</v>
      </c>
      <c r="AQ8" t="s">
        <v>98</v>
      </c>
      <c r="AR8" t="s">
        <v>20</v>
      </c>
      <c r="AS8" t="s">
        <v>21</v>
      </c>
      <c r="AT8" t="s">
        <v>226</v>
      </c>
      <c r="AU8" t="s">
        <v>98</v>
      </c>
      <c r="AV8" s="116">
        <f t="shared" si="4"/>
        <v>6</v>
      </c>
      <c r="AW8" t="e">
        <f ca="1">+_xlfn.CONCAT("5_",TEXT(Conceptos_Impuestos[[#This Row], [consecutivo_concepto]],"00"))</f>
        <v>#NAME?</v>
      </c>
      <c r="AY8" t="s">
        <v>173</v>
      </c>
      <c r="AZ8" t="s">
        <v>23</v>
      </c>
      <c r="BA8" t="s">
        <v>26</v>
      </c>
      <c r="BB8" t="s">
        <v>226</v>
      </c>
      <c r="BC8" t="s">
        <v>173</v>
      </c>
      <c r="BD8" s="116">
        <f t="shared" si="5"/>
        <v>6</v>
      </c>
      <c r="BE8" t="e">
        <f ca="1">+_xlfn.CONCAT("6_",TEXT(Conceptos_Cumplimiento[[#This Row], [consecutivo_concepto]],"00"))</f>
        <v>#NAME?</v>
      </c>
      <c r="BG8" s="146">
        <v>6</v>
      </c>
      <c r="BH8" s="147" t="s">
        <v>214</v>
      </c>
      <c r="BI8" s="147" t="s">
        <v>248</v>
      </c>
    </row>
    <row r="9" spans="1:61" ht="18.75" customHeight="1" x14ac:dyDescent="0.45">
      <c r="E9" t="s">
        <v>179</v>
      </c>
      <c r="G9" s="4" t="s">
        <v>115</v>
      </c>
      <c r="H9" t="s">
        <v>23</v>
      </c>
      <c r="I9" t="s">
        <v>26</v>
      </c>
      <c r="J9" s="141" t="s">
        <v>226</v>
      </c>
      <c r="K9" t="s">
        <v>245</v>
      </c>
      <c r="L9" s="116">
        <f t="shared" si="0"/>
        <v>7</v>
      </c>
      <c r="M9" t="e">
        <f ca="1">+_xlfn.CONCAT("1_",TEXT(Conceptos_Administrativa[[#This Row], [consecutivo_concepto]],"00"))</f>
        <v>#NAME?</v>
      </c>
      <c r="O9" t="s">
        <v>48</v>
      </c>
      <c r="Q9" s="142" t="s">
        <v>249</v>
      </c>
      <c r="S9" t="s">
        <v>64</v>
      </c>
      <c r="T9" t="s">
        <v>23</v>
      </c>
      <c r="U9" t="s">
        <v>26</v>
      </c>
      <c r="V9" s="141" t="s">
        <v>226</v>
      </c>
      <c r="W9" t="s">
        <v>64</v>
      </c>
      <c r="X9" s="116">
        <f t="shared" si="1"/>
        <v>7</v>
      </c>
      <c r="Y9" t="e">
        <f ca="1">+_xlfn.CONCAT("2_",TEXT(Conceptos_Analítica_contraloría[[#This Row], [consecutivo_concepto]],"00"))</f>
        <v>#NAME?</v>
      </c>
      <c r="AA9" s="143" t="s">
        <v>74</v>
      </c>
      <c r="AB9" t="s">
        <v>20</v>
      </c>
      <c r="AC9" t="s">
        <v>21</v>
      </c>
      <c r="AD9" t="s">
        <v>226</v>
      </c>
      <c r="AE9" s="143" t="s">
        <v>74</v>
      </c>
      <c r="AF9" s="116">
        <f t="shared" si="2"/>
        <v>7</v>
      </c>
      <c r="AG9" t="e">
        <f ca="1">+_xlfn.CONCAT("3_",TEXT(Conceptos_Contabilidad[[#This Row], [consecutivo_concepto]],"00"))</f>
        <v>#NAME?</v>
      </c>
      <c r="AI9" t="s">
        <v>86</v>
      </c>
      <c r="AJ9" t="s">
        <v>23</v>
      </c>
      <c r="AK9" t="s">
        <v>26</v>
      </c>
      <c r="AL9" t="s">
        <v>226</v>
      </c>
      <c r="AM9" s="143" t="s">
        <v>86</v>
      </c>
      <c r="AN9" s="116">
        <f t="shared" si="3"/>
        <v>7</v>
      </c>
      <c r="AO9" t="e">
        <f ca="1">+_xlfn.CONCAT("4_",TEXT(Conceptos_Control_Operaciones[[#This Row], [consecutivo_concepto]],"00"))</f>
        <v>#NAME?</v>
      </c>
      <c r="AQ9" t="s">
        <v>77</v>
      </c>
      <c r="AR9" t="s">
        <v>23</v>
      </c>
      <c r="AS9" t="s">
        <v>26</v>
      </c>
      <c r="AT9" t="s">
        <v>226</v>
      </c>
      <c r="AU9" t="s">
        <v>77</v>
      </c>
      <c r="AV9" s="116">
        <f t="shared" si="4"/>
        <v>7</v>
      </c>
      <c r="AW9" t="e">
        <f ca="1">+_xlfn.CONCAT("5_",TEXT(Conceptos_Impuestos[[#This Row], [consecutivo_concepto]],"00"))</f>
        <v>#NAME?</v>
      </c>
      <c r="AY9" t="s">
        <v>161</v>
      </c>
      <c r="AZ9" t="s">
        <v>23</v>
      </c>
      <c r="BA9" t="s">
        <v>26</v>
      </c>
      <c r="BB9" t="s">
        <v>226</v>
      </c>
      <c r="BC9" t="s">
        <v>161</v>
      </c>
      <c r="BD9" s="116">
        <f t="shared" si="5"/>
        <v>7</v>
      </c>
      <c r="BE9" t="e">
        <f ca="1">+_xlfn.CONCAT("6_",TEXT(Conceptos_Cumplimiento[[#This Row], [consecutivo_concepto]],"00"))</f>
        <v>#NAME?</v>
      </c>
      <c r="BG9" s="144">
        <v>7</v>
      </c>
      <c r="BH9" s="145" t="s">
        <v>250</v>
      </c>
      <c r="BI9" s="145" t="s">
        <v>251</v>
      </c>
    </row>
    <row r="10" spans="1:61" ht="18.75" customHeight="1" x14ac:dyDescent="0.45">
      <c r="E10" t="s">
        <v>180</v>
      </c>
      <c r="G10" s="12" t="s">
        <v>116</v>
      </c>
      <c r="H10" t="s">
        <v>23</v>
      </c>
      <c r="I10" t="s">
        <v>26</v>
      </c>
      <c r="J10" s="141" t="s">
        <v>226</v>
      </c>
      <c r="K10" t="s">
        <v>245</v>
      </c>
      <c r="L10" s="116">
        <f t="shared" si="0"/>
        <v>8</v>
      </c>
      <c r="M10" t="e">
        <f ca="1">+_xlfn.CONCAT("1_",TEXT(Conceptos_Administrativa[[#This Row], [consecutivo_concepto]],"00"))</f>
        <v>#NAME?</v>
      </c>
      <c r="O10" t="s">
        <v>49</v>
      </c>
      <c r="Q10" s="142" t="s">
        <v>252</v>
      </c>
      <c r="S10" t="s">
        <v>65</v>
      </c>
      <c r="T10" t="s">
        <v>23</v>
      </c>
      <c r="U10" t="s">
        <v>26</v>
      </c>
      <c r="V10" s="141" t="s">
        <v>226</v>
      </c>
      <c r="W10" t="s">
        <v>65</v>
      </c>
      <c r="X10" s="116">
        <f t="shared" si="1"/>
        <v>8</v>
      </c>
      <c r="Y10" t="e">
        <f ca="1">+_xlfn.CONCAT("2_",TEXT(Conceptos_Analítica_contraloría[[#This Row], [consecutivo_concepto]],"00"))</f>
        <v>#NAME?</v>
      </c>
      <c r="AA10" s="143" t="s">
        <v>77</v>
      </c>
      <c r="AB10" t="s">
        <v>23</v>
      </c>
      <c r="AC10" t="s">
        <v>26</v>
      </c>
      <c r="AD10" t="s">
        <v>226</v>
      </c>
      <c r="AE10" s="143" t="s">
        <v>77</v>
      </c>
      <c r="AF10" s="116">
        <f t="shared" si="2"/>
        <v>8</v>
      </c>
      <c r="AG10" t="e">
        <f ca="1">+_xlfn.CONCAT("3_",TEXT(Conceptos_Contabilidad[[#This Row], [consecutivo_concepto]],"00"))</f>
        <v>#NAME?</v>
      </c>
      <c r="AI10" t="s">
        <v>188</v>
      </c>
      <c r="AJ10" t="s">
        <v>23</v>
      </c>
      <c r="AK10" t="s">
        <v>26</v>
      </c>
      <c r="AL10" t="s">
        <v>226</v>
      </c>
      <c r="AM10" s="143" t="s">
        <v>188</v>
      </c>
      <c r="AN10" s="116">
        <f t="shared" si="3"/>
        <v>8</v>
      </c>
      <c r="AO10" t="e">
        <f ca="1">+_xlfn.CONCAT("4_",TEXT(Conceptos_Control_Operaciones[[#This Row], [consecutivo_concepto]],"00"))</f>
        <v>#NAME?</v>
      </c>
      <c r="AQ10" t="s">
        <v>100</v>
      </c>
      <c r="AR10" t="s">
        <v>20</v>
      </c>
      <c r="AS10" t="s">
        <v>21</v>
      </c>
      <c r="AT10" t="s">
        <v>226</v>
      </c>
      <c r="AU10" t="s">
        <v>100</v>
      </c>
      <c r="AV10" s="116">
        <f t="shared" si="4"/>
        <v>8</v>
      </c>
      <c r="AW10" t="e">
        <f ca="1">+_xlfn.CONCAT("5_",TEXT(Conceptos_Impuestos[[#This Row], [consecutivo_concepto]],"00"))</f>
        <v>#NAME?</v>
      </c>
      <c r="AY10" t="s">
        <v>76</v>
      </c>
      <c r="AZ10" t="s">
        <v>23</v>
      </c>
      <c r="BA10" t="s">
        <v>26</v>
      </c>
      <c r="BB10" t="s">
        <v>226</v>
      </c>
      <c r="BC10" t="s">
        <v>76</v>
      </c>
      <c r="BD10" s="116">
        <f t="shared" si="5"/>
        <v>8</v>
      </c>
      <c r="BE10" t="e">
        <f ca="1">+_xlfn.CONCAT("6_",TEXT(Conceptos_Cumplimiento[[#This Row], [consecutivo_concepto]],"00"))</f>
        <v>#NAME?</v>
      </c>
      <c r="BG10" s="146">
        <v>8</v>
      </c>
      <c r="BH10" s="147" t="s">
        <v>253</v>
      </c>
      <c r="BI10" s="147" t="s">
        <v>254</v>
      </c>
    </row>
    <row r="11" spans="1:61" ht="18.75" customHeight="1" x14ac:dyDescent="0.45">
      <c r="E11" t="s">
        <v>181</v>
      </c>
      <c r="G11" s="12" t="s">
        <v>19</v>
      </c>
      <c r="H11" t="s">
        <v>20</v>
      </c>
      <c r="I11" t="s">
        <v>21</v>
      </c>
      <c r="J11" s="141" t="s">
        <v>226</v>
      </c>
      <c r="K11" t="s">
        <v>19</v>
      </c>
      <c r="L11" s="116">
        <f t="shared" si="0"/>
        <v>9</v>
      </c>
      <c r="M11" t="e">
        <f ca="1">+_xlfn.CONCAT("1_",TEXT(Conceptos_Administrativa[[#This Row], [consecutivo_concepto]],"00"))</f>
        <v>#NAME?</v>
      </c>
      <c r="O11" t="s">
        <v>50</v>
      </c>
      <c r="Q11" s="142" t="s">
        <v>255</v>
      </c>
      <c r="S11" t="s">
        <v>128</v>
      </c>
      <c r="T11" t="s">
        <v>23</v>
      </c>
      <c r="U11" t="s">
        <v>26</v>
      </c>
      <c r="V11" s="141" t="s">
        <v>226</v>
      </c>
      <c r="W11" t="s">
        <v>128</v>
      </c>
      <c r="X11" s="116">
        <f t="shared" si="1"/>
        <v>9</v>
      </c>
      <c r="Y11" t="e">
        <f ca="1">+_xlfn.CONCAT("2_",TEXT(Conceptos_Analítica_contraloría[[#This Row], [consecutivo_concepto]],"00"))</f>
        <v>#NAME?</v>
      </c>
      <c r="AA11" t="s">
        <v>76</v>
      </c>
      <c r="AB11" t="s">
        <v>23</v>
      </c>
      <c r="AC11" t="s">
        <v>26</v>
      </c>
      <c r="AD11" t="s">
        <v>226</v>
      </c>
      <c r="AE11" t="s">
        <v>256</v>
      </c>
      <c r="AF11" s="116">
        <f t="shared" si="2"/>
        <v>9</v>
      </c>
      <c r="AG11" t="e">
        <f ca="1">+_xlfn.CONCAT("3_",TEXT(Conceptos_Contabilidad[[#This Row], [consecutivo_concepto]],"00"))</f>
        <v>#NAME?</v>
      </c>
      <c r="AI11" t="s">
        <v>189</v>
      </c>
      <c r="AJ11" t="s">
        <v>23</v>
      </c>
      <c r="AK11" t="s">
        <v>26</v>
      </c>
      <c r="AL11" t="s">
        <v>226</v>
      </c>
      <c r="AM11" s="143" t="s">
        <v>189</v>
      </c>
      <c r="AN11" s="116">
        <f t="shared" si="3"/>
        <v>9</v>
      </c>
      <c r="AO11" t="e">
        <f ca="1">+_xlfn.CONCAT("4_",TEXT(Conceptos_Control_Operaciones[[#This Row], [consecutivo_concepto]],"00"))</f>
        <v>#NAME?</v>
      </c>
      <c r="AQ11" t="s">
        <v>94</v>
      </c>
      <c r="AR11" t="s">
        <v>23</v>
      </c>
      <c r="AS11" t="s">
        <v>26</v>
      </c>
      <c r="AT11" t="s">
        <v>226</v>
      </c>
      <c r="AU11" t="s">
        <v>94</v>
      </c>
      <c r="AV11" s="116">
        <f t="shared" si="4"/>
        <v>9</v>
      </c>
      <c r="AW11" t="e">
        <f ca="1">+_xlfn.CONCAT("5_",TEXT(Conceptos_Impuestos[[#This Row], [consecutivo_concepto]],"00"))</f>
        <v>#NAME?</v>
      </c>
      <c r="AY11" t="s">
        <v>162</v>
      </c>
      <c r="AZ11" t="s">
        <v>23</v>
      </c>
      <c r="BA11" t="s">
        <v>26</v>
      </c>
      <c r="BB11" t="s">
        <v>226</v>
      </c>
      <c r="BC11" t="s">
        <v>162</v>
      </c>
      <c r="BD11" s="116">
        <f t="shared" si="5"/>
        <v>9</v>
      </c>
      <c r="BE11" t="e">
        <f ca="1">+_xlfn.CONCAT("6_",TEXT(Conceptos_Cumplimiento[[#This Row], [consecutivo_concepto]],"00"))</f>
        <v>#NAME?</v>
      </c>
    </row>
    <row r="12" spans="1:61" ht="18.75" customHeight="1" x14ac:dyDescent="0.45">
      <c r="E12" t="s">
        <v>182</v>
      </c>
      <c r="G12" s="6" t="s">
        <v>27</v>
      </c>
      <c r="H12" t="s">
        <v>20</v>
      </c>
      <c r="I12" t="s">
        <v>21</v>
      </c>
      <c r="J12" s="141" t="s">
        <v>226</v>
      </c>
      <c r="K12" t="s">
        <v>257</v>
      </c>
      <c r="L12" s="116">
        <f t="shared" si="0"/>
        <v>10</v>
      </c>
      <c r="M12" t="e">
        <f ca="1">+_xlfn.CONCAT("1_",TEXT(Conceptos_Administrativa[[#This Row], [consecutivo_concepto]],"00"))</f>
        <v>#NAME?</v>
      </c>
      <c r="O12" t="s">
        <v>121</v>
      </c>
      <c r="Q12" s="142" t="s">
        <v>258</v>
      </c>
      <c r="S12" t="s">
        <v>127</v>
      </c>
      <c r="T12" t="s">
        <v>23</v>
      </c>
      <c r="U12" t="s">
        <v>26</v>
      </c>
      <c r="V12" s="141" t="s">
        <v>226</v>
      </c>
      <c r="W12" t="s">
        <v>127</v>
      </c>
      <c r="X12" s="116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78</v>
      </c>
      <c r="AB12" t="s">
        <v>20</v>
      </c>
      <c r="AC12" t="s">
        <v>21</v>
      </c>
      <c r="AD12" t="s">
        <v>226</v>
      </c>
      <c r="AE12" t="s">
        <v>259</v>
      </c>
      <c r="AF12" s="116">
        <f t="shared" si="2"/>
        <v>10</v>
      </c>
      <c r="AG12" t="e">
        <f ca="1">+_xlfn.CONCAT("3_",TEXT(Conceptos_Contabilidad[[#This Row], [consecutivo_concepto]],"00"))</f>
        <v>#NAME?</v>
      </c>
      <c r="AI12" t="s">
        <v>190</v>
      </c>
      <c r="AJ12" t="s">
        <v>23</v>
      </c>
      <c r="AK12" t="s">
        <v>26</v>
      </c>
      <c r="AL12" t="s">
        <v>226</v>
      </c>
      <c r="AM12" s="143" t="s">
        <v>190</v>
      </c>
      <c r="AN12" s="116">
        <f t="shared" si="3"/>
        <v>10</v>
      </c>
      <c r="AO12" t="e">
        <f ca="1">+_xlfn.CONCAT("4_",TEXT(Conceptos_Control_Operaciones[[#This Row], [consecutivo_concepto]],"00"))</f>
        <v>#NAME?</v>
      </c>
      <c r="AQ12" t="s">
        <v>144</v>
      </c>
      <c r="AR12" t="s">
        <v>23</v>
      </c>
      <c r="AS12" t="s">
        <v>26</v>
      </c>
      <c r="AT12" t="s">
        <v>226</v>
      </c>
      <c r="AU12" s="143" t="s">
        <v>260</v>
      </c>
      <c r="AV12" s="116">
        <f t="shared" si="4"/>
        <v>10</v>
      </c>
      <c r="AW12" t="e">
        <f ca="1">+_xlfn.CONCAT("5_",TEXT(Conceptos_Impuestos[[#This Row], [consecutivo_concepto]],"00"))</f>
        <v>#NAME?</v>
      </c>
    </row>
    <row r="13" spans="1:61" ht="18.75" customHeight="1" x14ac:dyDescent="0.45">
      <c r="E13" t="s">
        <v>183</v>
      </c>
      <c r="G13" s="14" t="s">
        <v>118</v>
      </c>
      <c r="H13" t="s">
        <v>23</v>
      </c>
      <c r="I13" t="s">
        <v>26</v>
      </c>
      <c r="J13" s="141" t="s">
        <v>226</v>
      </c>
      <c r="K13" t="s">
        <v>261</v>
      </c>
      <c r="L13" s="116">
        <f t="shared" si="0"/>
        <v>11</v>
      </c>
      <c r="M13" t="e">
        <f ca="1">+_xlfn.CONCAT("1_",TEXT(Conceptos_Administrativa[[#This Row], [consecutivo_concepto]],"00"))</f>
        <v>#NAME?</v>
      </c>
      <c r="O13" t="s">
        <v>51</v>
      </c>
      <c r="Q13" s="142" t="s">
        <v>262</v>
      </c>
      <c r="S13" t="s">
        <v>125</v>
      </c>
      <c r="T13" t="s">
        <v>23</v>
      </c>
      <c r="U13" t="s">
        <v>26</v>
      </c>
      <c r="V13" s="141" t="s">
        <v>226</v>
      </c>
      <c r="W13" t="s">
        <v>125</v>
      </c>
      <c r="X13" s="116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130</v>
      </c>
      <c r="AB13" t="s">
        <v>23</v>
      </c>
      <c r="AC13" t="s">
        <v>26</v>
      </c>
      <c r="AD13" t="s">
        <v>226</v>
      </c>
      <c r="AE13" t="s">
        <v>233</v>
      </c>
      <c r="AF13" s="116">
        <f t="shared" si="2"/>
        <v>11</v>
      </c>
      <c r="AG13" t="e">
        <f ca="1">+_xlfn.CONCAT("3_",TEXT(Conceptos_Contabilidad[[#This Row], [consecutivo_concepto]],"00"))</f>
        <v>#NAME?</v>
      </c>
      <c r="AI13" t="s">
        <v>90</v>
      </c>
      <c r="AJ13" t="s">
        <v>20</v>
      </c>
      <c r="AK13" t="s">
        <v>21</v>
      </c>
      <c r="AL13" t="s">
        <v>226</v>
      </c>
      <c r="AM13" s="143" t="s">
        <v>90</v>
      </c>
      <c r="AN13" s="116">
        <f t="shared" si="3"/>
        <v>11</v>
      </c>
      <c r="AO13" t="e">
        <f ca="1">+_xlfn.CONCAT("4_",TEXT(Conceptos_Control_Operaciones[[#This Row], [consecutivo_concepto]],"00"))</f>
        <v>#NAME?</v>
      </c>
      <c r="AQ13" s="141" t="s">
        <v>143</v>
      </c>
      <c r="AR13" t="s">
        <v>23</v>
      </c>
      <c r="AS13" t="s">
        <v>26</v>
      </c>
      <c r="AT13" t="s">
        <v>228</v>
      </c>
      <c r="AU13" t="s">
        <v>143</v>
      </c>
      <c r="AV13" s="116">
        <f t="shared" si="4"/>
        <v>11</v>
      </c>
      <c r="AW13" t="e">
        <f ca="1">+_xlfn.CONCAT("5_",TEXT(Conceptos_Impuestos[[#This Row], [consecutivo_concepto]],"00"))</f>
        <v>#NAME?</v>
      </c>
    </row>
    <row r="14" spans="1:61" ht="18.75" customHeight="1" x14ac:dyDescent="0.45">
      <c r="E14" t="s">
        <v>184</v>
      </c>
      <c r="G14" s="6" t="s">
        <v>40</v>
      </c>
      <c r="H14" t="s">
        <v>23</v>
      </c>
      <c r="I14" t="s">
        <v>26</v>
      </c>
      <c r="J14" s="141" t="s">
        <v>226</v>
      </c>
      <c r="K14" t="s">
        <v>263</v>
      </c>
      <c r="L14" s="116">
        <f t="shared" si="0"/>
        <v>12</v>
      </c>
      <c r="M14" t="e">
        <f ca="1">+_xlfn.CONCAT("1_",TEXT(Conceptos_Administrativa[[#This Row], [consecutivo_concepto]],"00"))</f>
        <v>#NAME?</v>
      </c>
      <c r="O14" t="s">
        <v>52</v>
      </c>
      <c r="Q14" s="142" t="s">
        <v>264</v>
      </c>
      <c r="S14" t="s">
        <v>203</v>
      </c>
      <c r="T14" t="s">
        <v>23</v>
      </c>
      <c r="U14" t="s">
        <v>26</v>
      </c>
      <c r="V14" s="141" t="s">
        <v>226</v>
      </c>
      <c r="W14" t="s">
        <v>203</v>
      </c>
      <c r="X14" s="116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134</v>
      </c>
      <c r="AB14" t="s">
        <v>23</v>
      </c>
      <c r="AC14" t="s">
        <v>26</v>
      </c>
      <c r="AD14" t="s">
        <v>226</v>
      </c>
      <c r="AE14" t="s">
        <v>233</v>
      </c>
      <c r="AF14" s="116">
        <f t="shared" si="2"/>
        <v>12</v>
      </c>
      <c r="AG14" t="e">
        <f ca="1">+_xlfn.CONCAT("3_",TEXT(Conceptos_Contabilidad[[#This Row], [consecutivo_concepto]],"00"))</f>
        <v>#NAME?</v>
      </c>
      <c r="AI14" t="s">
        <v>84</v>
      </c>
      <c r="AJ14" t="s">
        <v>23</v>
      </c>
      <c r="AK14" t="s">
        <v>26</v>
      </c>
      <c r="AL14" t="s">
        <v>226</v>
      </c>
      <c r="AM14" s="143" t="s">
        <v>84</v>
      </c>
      <c r="AN14" s="116">
        <f t="shared" si="3"/>
        <v>12</v>
      </c>
      <c r="AO14" t="e">
        <f ca="1">+_xlfn.CONCAT("4_",TEXT(Conceptos_Control_Operaciones[[#This Row], [consecutivo_concepto]],"00"))</f>
        <v>#NAME?</v>
      </c>
      <c r="AQ14" s="141" t="s">
        <v>102</v>
      </c>
      <c r="AR14" t="s">
        <v>23</v>
      </c>
      <c r="AS14" t="s">
        <v>26</v>
      </c>
      <c r="AT14" t="s">
        <v>228</v>
      </c>
      <c r="AU14" t="s">
        <v>102</v>
      </c>
      <c r="AV14" s="116">
        <f t="shared" si="4"/>
        <v>12</v>
      </c>
      <c r="AW14" t="e">
        <f ca="1">+_xlfn.CONCAT("5_",TEXT(Conceptos_Impuestos[[#This Row], [consecutivo_concepto]],"00"))</f>
        <v>#NAME?</v>
      </c>
    </row>
    <row r="15" spans="1:61" ht="18.75" customHeight="1" x14ac:dyDescent="0.45">
      <c r="G15" s="14" t="s">
        <v>25</v>
      </c>
      <c r="H15" t="s">
        <v>23</v>
      </c>
      <c r="I15" t="s">
        <v>26</v>
      </c>
      <c r="J15" s="141" t="s">
        <v>226</v>
      </c>
      <c r="K15" t="s">
        <v>265</v>
      </c>
      <c r="L15" s="116">
        <f t="shared" si="0"/>
        <v>13</v>
      </c>
      <c r="M15" t="e">
        <f ca="1">+_xlfn.CONCAT("1_",TEXT(Conceptos_Administrativa[[#This Row], [consecutivo_concepto]],"00"))</f>
        <v>#NAME?</v>
      </c>
      <c r="O15" t="s">
        <v>53</v>
      </c>
      <c r="Q15" s="142" t="s">
        <v>266</v>
      </c>
      <c r="S15" t="s">
        <v>124</v>
      </c>
      <c r="T15" t="s">
        <v>23</v>
      </c>
      <c r="U15" t="s">
        <v>26</v>
      </c>
      <c r="V15" s="141" t="s">
        <v>226</v>
      </c>
      <c r="W15" t="s">
        <v>124</v>
      </c>
      <c r="X15" s="116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131</v>
      </c>
      <c r="AB15" t="s">
        <v>23</v>
      </c>
      <c r="AC15" t="s">
        <v>26</v>
      </c>
      <c r="AD15" t="s">
        <v>226</v>
      </c>
      <c r="AE15" t="s">
        <v>233</v>
      </c>
      <c r="AF15" s="116">
        <f t="shared" si="2"/>
        <v>13</v>
      </c>
      <c r="AG15" t="e">
        <f ca="1">+_xlfn.CONCAT("3_",TEXT(Conceptos_Contabilidad[[#This Row], [consecutivo_concepto]],"00"))</f>
        <v>#NAME?</v>
      </c>
      <c r="AI15" t="s">
        <v>191</v>
      </c>
      <c r="AJ15" t="s">
        <v>23</v>
      </c>
      <c r="AK15" t="s">
        <v>26</v>
      </c>
      <c r="AL15" t="s">
        <v>226</v>
      </c>
      <c r="AM15" s="143" t="s">
        <v>191</v>
      </c>
      <c r="AN15" s="116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18.75" customHeight="1" x14ac:dyDescent="0.45">
      <c r="G16" s="6" t="s">
        <v>208</v>
      </c>
      <c r="H16" t="s">
        <v>23</v>
      </c>
      <c r="I16" t="s">
        <v>24</v>
      </c>
      <c r="J16" s="141" t="s">
        <v>226</v>
      </c>
      <c r="K16" t="s">
        <v>267</v>
      </c>
      <c r="L16" s="116">
        <f t="shared" si="0"/>
        <v>14</v>
      </c>
      <c r="M16" t="e">
        <f ca="1">+_xlfn.CONCAT("1_",TEXT(Conceptos_Administrativa[[#This Row], [consecutivo_concepto]],"00"))</f>
        <v>#NAME?</v>
      </c>
      <c r="O16" t="s">
        <v>54</v>
      </c>
      <c r="Q16" s="142" t="s">
        <v>268</v>
      </c>
      <c r="S16" t="s">
        <v>126</v>
      </c>
      <c r="T16" t="s">
        <v>20</v>
      </c>
      <c r="U16" t="s">
        <v>21</v>
      </c>
      <c r="V16" s="141" t="s">
        <v>226</v>
      </c>
      <c r="W16" t="s">
        <v>126</v>
      </c>
      <c r="X16" s="116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133</v>
      </c>
      <c r="AB16" t="s">
        <v>23</v>
      </c>
      <c r="AC16" t="s">
        <v>26</v>
      </c>
      <c r="AD16" t="s">
        <v>226</v>
      </c>
      <c r="AE16" t="s">
        <v>233</v>
      </c>
      <c r="AF16" s="116">
        <f t="shared" si="2"/>
        <v>14</v>
      </c>
      <c r="AG16" t="e">
        <f ca="1">+_xlfn.CONCAT("3_",TEXT(Conceptos_Contabilidad[[#This Row], [consecutivo_concepto]],"00"))</f>
        <v>#NAME?</v>
      </c>
      <c r="AI16" t="s">
        <v>139</v>
      </c>
      <c r="AJ16" t="s">
        <v>20</v>
      </c>
      <c r="AK16" t="s">
        <v>21</v>
      </c>
      <c r="AL16" t="s">
        <v>226</v>
      </c>
      <c r="AM16" s="143" t="s">
        <v>139</v>
      </c>
      <c r="AN16" s="116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18.75" customHeight="1" x14ac:dyDescent="0.45">
      <c r="G17" s="14" t="s">
        <v>38</v>
      </c>
      <c r="H17" t="s">
        <v>23</v>
      </c>
      <c r="I17" t="s">
        <v>26</v>
      </c>
      <c r="J17" s="141" t="s">
        <v>226</v>
      </c>
      <c r="K17" t="s">
        <v>38</v>
      </c>
      <c r="L17" s="116">
        <f t="shared" si="0"/>
        <v>15</v>
      </c>
      <c r="M17" t="e">
        <f ca="1">+_xlfn.CONCAT("1_",TEXT(Conceptos_Administrativa[[#This Row], [consecutivo_concepto]],"00"))</f>
        <v>#NAME?</v>
      </c>
      <c r="O17" t="s">
        <v>56</v>
      </c>
      <c r="Q17" s="142" t="s">
        <v>269</v>
      </c>
      <c r="S17" s="148" t="s">
        <v>204</v>
      </c>
      <c r="T17" t="s">
        <v>23</v>
      </c>
      <c r="U17" t="s">
        <v>26</v>
      </c>
      <c r="V17" s="141" t="s">
        <v>226</v>
      </c>
      <c r="W17" s="128" t="s">
        <v>204</v>
      </c>
      <c r="X17" s="116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132</v>
      </c>
      <c r="AB17" t="s">
        <v>23</v>
      </c>
      <c r="AC17" t="s">
        <v>26</v>
      </c>
      <c r="AD17" t="s">
        <v>226</v>
      </c>
      <c r="AE17" t="s">
        <v>233</v>
      </c>
      <c r="AF17" s="116">
        <f t="shared" si="2"/>
        <v>15</v>
      </c>
      <c r="AG17" t="e">
        <f ca="1">+_xlfn.CONCAT("3_",TEXT(Conceptos_Contabilidad[[#This Row], [consecutivo_concepto]],"00"))</f>
        <v>#NAME?</v>
      </c>
      <c r="AI17" t="s">
        <v>142</v>
      </c>
      <c r="AJ17" t="s">
        <v>20</v>
      </c>
      <c r="AK17" t="s">
        <v>21</v>
      </c>
      <c r="AL17" t="s">
        <v>226</v>
      </c>
      <c r="AM17" s="143" t="s">
        <v>142</v>
      </c>
      <c r="AN17" s="116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18.75" customHeight="1" x14ac:dyDescent="0.45">
      <c r="G18" s="6" t="s">
        <v>41</v>
      </c>
      <c r="H18" t="s">
        <v>23</v>
      </c>
      <c r="I18" t="s">
        <v>26</v>
      </c>
      <c r="J18" s="141" t="s">
        <v>226</v>
      </c>
      <c r="K18" t="s">
        <v>270</v>
      </c>
      <c r="L18" s="116">
        <f t="shared" si="0"/>
        <v>16</v>
      </c>
      <c r="M18" t="e">
        <f ca="1">+_xlfn.CONCAT("1_",TEXT(Conceptos_Administrativa[[#This Row], [consecutivo_concepto]],"00"))</f>
        <v>#NAME?</v>
      </c>
      <c r="O18" t="s">
        <v>58</v>
      </c>
      <c r="Q18" s="142" t="s">
        <v>271</v>
      </c>
      <c r="S18" s="148" t="s">
        <v>205</v>
      </c>
      <c r="T18" t="s">
        <v>23</v>
      </c>
      <c r="U18" t="s">
        <v>26</v>
      </c>
      <c r="V18" s="141" t="s">
        <v>226</v>
      </c>
      <c r="W18" s="128" t="s">
        <v>205</v>
      </c>
      <c r="X18" s="116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147</v>
      </c>
      <c r="AB18" t="s">
        <v>20</v>
      </c>
      <c r="AC18" t="s">
        <v>21</v>
      </c>
      <c r="AD18" t="s">
        <v>226</v>
      </c>
      <c r="AE18" t="s">
        <v>259</v>
      </c>
      <c r="AF18" s="116">
        <f t="shared" si="2"/>
        <v>16</v>
      </c>
      <c r="AG18" t="e">
        <f ca="1">+_xlfn.CONCAT("3_",TEXT(Conceptos_Contabilidad[[#This Row], [consecutivo_concepto]],"00"))</f>
        <v>#NAME?</v>
      </c>
    </row>
    <row r="19" spans="7:41" ht="18.75" customHeight="1" x14ac:dyDescent="0.45">
      <c r="G19" s="6" t="s">
        <v>55</v>
      </c>
      <c r="H19" t="s">
        <v>23</v>
      </c>
      <c r="I19" t="s">
        <v>26</v>
      </c>
      <c r="J19" s="141" t="s">
        <v>226</v>
      </c>
      <c r="K19" t="s">
        <v>270</v>
      </c>
      <c r="L19" s="116">
        <f t="shared" si="0"/>
        <v>17</v>
      </c>
      <c r="M19" t="e">
        <f ca="1">+_xlfn.CONCAT("1_",TEXT(Conceptos_Administrativa[[#This Row], [consecutivo_concepto]],"00"))</f>
        <v>#NAME?</v>
      </c>
      <c r="O19" t="s">
        <v>172</v>
      </c>
      <c r="Q19" s="142" t="s">
        <v>272</v>
      </c>
      <c r="S19" s="148" t="s">
        <v>207</v>
      </c>
      <c r="T19" t="s">
        <v>23</v>
      </c>
      <c r="U19" t="s">
        <v>26</v>
      </c>
      <c r="V19" s="141" t="s">
        <v>226</v>
      </c>
      <c r="W19" s="128" t="s">
        <v>207</v>
      </c>
      <c r="X19" s="116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146</v>
      </c>
      <c r="AB19" t="s">
        <v>20</v>
      </c>
      <c r="AC19" t="s">
        <v>21</v>
      </c>
      <c r="AD19" t="s">
        <v>226</v>
      </c>
      <c r="AE19" t="s">
        <v>259</v>
      </c>
      <c r="AF19" s="116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57</v>
      </c>
      <c r="H20" t="s">
        <v>23</v>
      </c>
      <c r="I20" t="s">
        <v>26</v>
      </c>
      <c r="J20" s="141" t="s">
        <v>226</v>
      </c>
      <c r="K20" t="s">
        <v>270</v>
      </c>
      <c r="L20" s="116">
        <f t="shared" si="0"/>
        <v>18</v>
      </c>
      <c r="M20" t="e">
        <f ca="1">+_xlfn.CONCAT("1_",TEXT(Conceptos_Administrativa[[#This Row], [consecutivo_concepto]],"00"))</f>
        <v>#NAME?</v>
      </c>
      <c r="Q20" s="142" t="s">
        <v>273</v>
      </c>
      <c r="S20" s="148" t="s">
        <v>206</v>
      </c>
      <c r="T20" t="s">
        <v>23</v>
      </c>
      <c r="U20" t="s">
        <v>26</v>
      </c>
      <c r="V20" s="141" t="s">
        <v>226</v>
      </c>
      <c r="W20" s="128" t="s">
        <v>206</v>
      </c>
      <c r="X20" s="116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135</v>
      </c>
      <c r="AB20" t="s">
        <v>20</v>
      </c>
      <c r="AC20" t="s">
        <v>21</v>
      </c>
      <c r="AD20" t="s">
        <v>226</v>
      </c>
      <c r="AE20" t="s">
        <v>259</v>
      </c>
      <c r="AF20" s="116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28</v>
      </c>
      <c r="H21" t="s">
        <v>20</v>
      </c>
      <c r="I21" t="s">
        <v>21</v>
      </c>
      <c r="J21" s="141" t="s">
        <v>226</v>
      </c>
      <c r="K21" t="s">
        <v>274</v>
      </c>
      <c r="L21" s="116">
        <f t="shared" si="0"/>
        <v>19</v>
      </c>
      <c r="M21" t="e">
        <f ca="1">+_xlfn.CONCAT("1_",TEXT(Conceptos_Administrativa[[#This Row], [consecutivo_concepto]],"00"))</f>
        <v>#NAME?</v>
      </c>
      <c r="Q21" s="142" t="s">
        <v>275</v>
      </c>
      <c r="AA21" s="141" t="s">
        <v>102</v>
      </c>
      <c r="AB21" t="s">
        <v>23</v>
      </c>
      <c r="AC21" t="s">
        <v>26</v>
      </c>
      <c r="AD21" t="s">
        <v>228</v>
      </c>
      <c r="AE21" s="143" t="s">
        <v>102</v>
      </c>
      <c r="AF21" s="116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210</v>
      </c>
      <c r="H22" t="s">
        <v>23</v>
      </c>
      <c r="I22" t="s">
        <v>26</v>
      </c>
      <c r="J22" s="141" t="s">
        <v>226</v>
      </c>
      <c r="K22" t="s">
        <v>276</v>
      </c>
      <c r="L22" s="116">
        <f t="shared" si="0"/>
        <v>20</v>
      </c>
      <c r="M22" t="e">
        <f ca="1">+_xlfn.CONCAT("1_",TEXT(Conceptos_Administrativa[[#This Row], [consecutivo_concepto]],"00"))</f>
        <v>#NAME?</v>
      </c>
      <c r="Q22" s="142" t="s">
        <v>277</v>
      </c>
      <c r="AA22" s="141" t="s">
        <v>137</v>
      </c>
      <c r="AB22" t="s">
        <v>23</v>
      </c>
      <c r="AC22" t="s">
        <v>26</v>
      </c>
      <c r="AD22" t="s">
        <v>228</v>
      </c>
      <c r="AE22" s="143" t="s">
        <v>137</v>
      </c>
      <c r="AF22" s="116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29</v>
      </c>
      <c r="H23" t="s">
        <v>20</v>
      </c>
      <c r="I23" t="s">
        <v>21</v>
      </c>
      <c r="J23" s="141" t="s">
        <v>226</v>
      </c>
      <c r="K23" t="s">
        <v>278</v>
      </c>
      <c r="L23" s="116">
        <f t="shared" si="0"/>
        <v>21</v>
      </c>
      <c r="M23" t="e">
        <f ca="1">+_xlfn.CONCAT("1_",TEXT(Conceptos_Administrativa[[#This Row], [consecutivo_concepto]],"00"))</f>
        <v>#NAME?</v>
      </c>
      <c r="Q23" s="142" t="s">
        <v>279</v>
      </c>
      <c r="AA23" t="s">
        <v>192</v>
      </c>
      <c r="AB23" t="s">
        <v>23</v>
      </c>
      <c r="AC23" t="s">
        <v>26</v>
      </c>
      <c r="AD23" t="s">
        <v>226</v>
      </c>
      <c r="AE23" t="s">
        <v>192</v>
      </c>
      <c r="AF23" s="116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30</v>
      </c>
      <c r="H24" t="s">
        <v>20</v>
      </c>
      <c r="I24" t="s">
        <v>21</v>
      </c>
      <c r="J24" s="141" t="s">
        <v>226</v>
      </c>
      <c r="K24" t="s">
        <v>280</v>
      </c>
      <c r="L24" s="116">
        <f t="shared" si="0"/>
        <v>22</v>
      </c>
      <c r="M24" t="e">
        <f ca="1">+_xlfn.CONCAT("1_",TEXT(Conceptos_Administrativa[[#This Row], [consecutivo_concepto]],"00"))</f>
        <v>#NAME?</v>
      </c>
      <c r="Q24" s="142" t="s">
        <v>281</v>
      </c>
      <c r="AA24" t="s">
        <v>193</v>
      </c>
      <c r="AB24" t="s">
        <v>23</v>
      </c>
      <c r="AC24" t="s">
        <v>26</v>
      </c>
      <c r="AD24" t="s">
        <v>226</v>
      </c>
      <c r="AE24" t="s">
        <v>193</v>
      </c>
      <c r="AF24" s="116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211</v>
      </c>
      <c r="H25" t="s">
        <v>23</v>
      </c>
      <c r="I25" t="s">
        <v>26</v>
      </c>
      <c r="J25" s="141" t="s">
        <v>226</v>
      </c>
      <c r="K25" t="s">
        <v>211</v>
      </c>
      <c r="L25" s="116">
        <f t="shared" si="0"/>
        <v>23</v>
      </c>
      <c r="M25" t="e">
        <f ca="1">+_xlfn.CONCAT("1_",TEXT(Conceptos_Administrativa[[#This Row], [consecutivo_concepto]],"00"))</f>
        <v>#NAME?</v>
      </c>
      <c r="Q25" s="142" t="s">
        <v>282</v>
      </c>
      <c r="AA25" t="s">
        <v>194</v>
      </c>
      <c r="AB25" t="s">
        <v>23</v>
      </c>
      <c r="AC25" t="s">
        <v>26</v>
      </c>
      <c r="AD25" t="s">
        <v>226</v>
      </c>
      <c r="AE25" t="s">
        <v>194</v>
      </c>
      <c r="AF25" s="116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212</v>
      </c>
      <c r="H26" t="s">
        <v>23</v>
      </c>
      <c r="I26" t="s">
        <v>26</v>
      </c>
      <c r="J26" s="141" t="s">
        <v>226</v>
      </c>
      <c r="K26" t="s">
        <v>212</v>
      </c>
      <c r="L26" s="116">
        <f t="shared" si="0"/>
        <v>24</v>
      </c>
      <c r="M26" t="e">
        <f ca="1">+_xlfn.CONCAT("1_",TEXT(Conceptos_Administrativa[[#This Row], [consecutivo_concepto]],"00"))</f>
        <v>#NAME?</v>
      </c>
      <c r="Q26" s="142" t="s">
        <v>283</v>
      </c>
      <c r="AA26" t="s">
        <v>195</v>
      </c>
      <c r="AB26" t="s">
        <v>23</v>
      </c>
      <c r="AC26" t="s">
        <v>26</v>
      </c>
      <c r="AD26" t="s">
        <v>226</v>
      </c>
      <c r="AE26" t="s">
        <v>195</v>
      </c>
      <c r="AF26" s="116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213</v>
      </c>
      <c r="H27" t="s">
        <v>23</v>
      </c>
      <c r="I27" t="s">
        <v>26</v>
      </c>
      <c r="J27" s="141" t="s">
        <v>226</v>
      </c>
      <c r="K27" t="s">
        <v>213</v>
      </c>
      <c r="L27" s="116">
        <f t="shared" si="0"/>
        <v>25</v>
      </c>
      <c r="M27" t="e">
        <f ca="1">+_xlfn.CONCAT("1_",TEXT(Conceptos_Administrativa[[#This Row], [consecutivo_concepto]],"00"))</f>
        <v>#NAME?</v>
      </c>
      <c r="Q27" s="142" t="s">
        <v>284</v>
      </c>
      <c r="AA27" t="s">
        <v>196</v>
      </c>
      <c r="AB27" t="s">
        <v>23</v>
      </c>
      <c r="AC27" t="s">
        <v>26</v>
      </c>
      <c r="AD27" t="s">
        <v>226</v>
      </c>
      <c r="AE27" t="s">
        <v>196</v>
      </c>
      <c r="AF27" s="116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49" t="s">
        <v>285</v>
      </c>
      <c r="H28" t="s">
        <v>23</v>
      </c>
      <c r="I28" t="s">
        <v>35</v>
      </c>
      <c r="J28" t="s">
        <v>228</v>
      </c>
      <c r="K28" s="149" t="s">
        <v>285</v>
      </c>
      <c r="L28" s="116">
        <f t="shared" si="0"/>
        <v>26</v>
      </c>
      <c r="M28" t="e">
        <f ca="1">+_xlfn.CONCAT("1_",TEXT(Conceptos_Administrativa[[#This Row], [consecutivo_concepto]],"00"))</f>
        <v>#NAME?</v>
      </c>
      <c r="Q28" s="142" t="s">
        <v>286</v>
      </c>
      <c r="AA28" t="s">
        <v>197</v>
      </c>
      <c r="AB28" t="s">
        <v>23</v>
      </c>
      <c r="AC28" t="s">
        <v>26</v>
      </c>
      <c r="AD28" t="s">
        <v>226</v>
      </c>
      <c r="AE28" t="s">
        <v>197</v>
      </c>
      <c r="AF28" s="116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42" t="s">
        <v>287</v>
      </c>
      <c r="AA29" t="s">
        <v>198</v>
      </c>
      <c r="AB29" t="s">
        <v>23</v>
      </c>
      <c r="AC29" t="s">
        <v>26</v>
      </c>
      <c r="AD29" t="s">
        <v>226</v>
      </c>
      <c r="AE29" t="s">
        <v>198</v>
      </c>
      <c r="AF29" s="116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42" t="s">
        <v>288</v>
      </c>
      <c r="AA30" t="s">
        <v>199</v>
      </c>
      <c r="AB30" t="s">
        <v>23</v>
      </c>
      <c r="AC30" t="s">
        <v>26</v>
      </c>
      <c r="AD30" t="s">
        <v>226</v>
      </c>
      <c r="AE30" t="s">
        <v>199</v>
      </c>
      <c r="AF30" s="116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42" t="s">
        <v>289</v>
      </c>
      <c r="AA31" t="s">
        <v>200</v>
      </c>
      <c r="AB31" t="s">
        <v>23</v>
      </c>
      <c r="AC31" t="s">
        <v>26</v>
      </c>
      <c r="AD31" t="s">
        <v>226</v>
      </c>
      <c r="AE31" t="s">
        <v>200</v>
      </c>
      <c r="AF31" s="116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42" t="s">
        <v>290</v>
      </c>
    </row>
    <row r="33" spans="17:17" ht="18.75" customHeight="1" x14ac:dyDescent="0.45">
      <c r="Q33" s="142" t="s">
        <v>291</v>
      </c>
    </row>
    <row r="34" spans="17:17" ht="18.75" customHeight="1" x14ac:dyDescent="0.45">
      <c r="Q34" s="142" t="s">
        <v>292</v>
      </c>
    </row>
    <row r="35" spans="17:17" ht="18.75" customHeight="1" x14ac:dyDescent="0.45">
      <c r="Q35" s="142" t="s">
        <v>293</v>
      </c>
    </row>
    <row r="36" spans="17:17" ht="18.75" customHeight="1" x14ac:dyDescent="0.45">
      <c r="Q36" s="142" t="s">
        <v>294</v>
      </c>
    </row>
    <row r="37" spans="17:17" ht="18.75" customHeight="1" x14ac:dyDescent="0.45">
      <c r="Q37" s="142" t="s">
        <v>295</v>
      </c>
    </row>
    <row r="38" spans="17:17" ht="18.75" customHeight="1" x14ac:dyDescent="0.45">
      <c r="Q38" s="142" t="s">
        <v>296</v>
      </c>
    </row>
    <row r="39" spans="17:17" ht="18.75" customHeight="1" x14ac:dyDescent="0.45">
      <c r="Q39" s="142" t="s">
        <v>297</v>
      </c>
    </row>
    <row r="40" spans="17:17" ht="18.75" customHeight="1" x14ac:dyDescent="0.45">
      <c r="Q40" s="142" t="s">
        <v>298</v>
      </c>
    </row>
    <row r="41" spans="17:17" ht="18.75" customHeight="1" x14ac:dyDescent="0.45">
      <c r="Q41" s="142" t="s">
        <v>299</v>
      </c>
    </row>
    <row r="42" spans="17:17" ht="18.75" customHeight="1" x14ac:dyDescent="0.45">
      <c r="Q42" s="142" t="s">
        <v>300</v>
      </c>
    </row>
    <row r="43" spans="17:17" ht="18.75" customHeight="1" x14ac:dyDescent="0.45">
      <c r="Q43" s="142" t="s">
        <v>301</v>
      </c>
    </row>
    <row r="44" spans="17:17" ht="18.75" customHeight="1" x14ac:dyDescent="0.45">
      <c r="Q44" s="142" t="s">
        <v>302</v>
      </c>
    </row>
    <row r="45" spans="17:17" ht="18.75" customHeight="1" x14ac:dyDescent="0.45">
      <c r="Q45" s="142" t="s">
        <v>303</v>
      </c>
    </row>
    <row r="46" spans="17:17" ht="18.75" customHeight="1" x14ac:dyDescent="0.45">
      <c r="Q46" s="142" t="s">
        <v>304</v>
      </c>
    </row>
    <row r="47" spans="17:17" ht="18.75" customHeight="1" x14ac:dyDescent="0.45">
      <c r="Q47" s="142" t="s">
        <v>305</v>
      </c>
    </row>
    <row r="48" spans="17:17" ht="18.75" customHeight="1" x14ac:dyDescent="0.45">
      <c r="Q48" s="142" t="s">
        <v>306</v>
      </c>
    </row>
    <row r="49" spans="17:17" ht="18.75" customHeight="1" x14ac:dyDescent="0.45">
      <c r="Q49" s="142" t="s">
        <v>307</v>
      </c>
    </row>
    <row r="50" spans="17:17" ht="18.75" customHeight="1" x14ac:dyDescent="0.45">
      <c r="Q50" s="142" t="s">
        <v>308</v>
      </c>
    </row>
    <row r="51" spans="17:17" ht="18.75" customHeight="1" x14ac:dyDescent="0.45">
      <c r="Q51" s="142" t="s">
        <v>309</v>
      </c>
    </row>
    <row r="52" spans="17:17" ht="18.75" customHeight="1" x14ac:dyDescent="0.45">
      <c r="Q52" s="142" t="s">
        <v>310</v>
      </c>
    </row>
    <row r="53" spans="17:17" ht="18.75" customHeight="1" x14ac:dyDescent="0.45">
      <c r="Q53" s="142" t="s">
        <v>311</v>
      </c>
    </row>
    <row r="54" spans="17:17" ht="18.75" customHeight="1" x14ac:dyDescent="0.45">
      <c r="Q54" s="142" t="s">
        <v>312</v>
      </c>
    </row>
    <row r="55" spans="17:17" ht="18.75" customHeight="1" x14ac:dyDescent="0.45">
      <c r="Q55" s="142" t="s">
        <v>313</v>
      </c>
    </row>
    <row r="56" spans="17:17" ht="18.75" customHeight="1" x14ac:dyDescent="0.45">
      <c r="Q56" s="142" t="s">
        <v>314</v>
      </c>
    </row>
    <row r="57" spans="17:17" ht="18.75" customHeight="1" x14ac:dyDescent="0.45">
      <c r="Q57" s="142" t="s">
        <v>315</v>
      </c>
    </row>
    <row r="58" spans="17:17" ht="18.75" customHeight="1" x14ac:dyDescent="0.45">
      <c r="Q58" s="142" t="s">
        <v>316</v>
      </c>
    </row>
    <row r="59" spans="17:17" ht="18.75" customHeight="1" x14ac:dyDescent="0.45">
      <c r="Q59" s="142" t="s">
        <v>317</v>
      </c>
    </row>
    <row r="60" spans="17:17" ht="18.75" customHeight="1" x14ac:dyDescent="0.45">
      <c r="Q60" s="142" t="s">
        <v>318</v>
      </c>
    </row>
    <row r="61" spans="17:17" ht="18.75" customHeight="1" x14ac:dyDescent="0.45">
      <c r="Q61" s="142" t="s">
        <v>319</v>
      </c>
    </row>
    <row r="62" spans="17:17" ht="18.75" customHeight="1" x14ac:dyDescent="0.45">
      <c r="Q62" s="142" t="s">
        <v>320</v>
      </c>
    </row>
    <row r="63" spans="17:17" ht="18.75" customHeight="1" x14ac:dyDescent="0.45">
      <c r="Q63" s="142" t="s">
        <v>321</v>
      </c>
    </row>
    <row r="64" spans="17:17" ht="18.75" customHeight="1" x14ac:dyDescent="0.45">
      <c r="Q64" s="142" t="s">
        <v>322</v>
      </c>
    </row>
    <row r="65" spans="17:17" ht="18.75" customHeight="1" x14ac:dyDescent="0.45">
      <c r="Q65" s="142" t="s">
        <v>323</v>
      </c>
    </row>
    <row r="66" spans="17:17" ht="18.75" customHeight="1" x14ac:dyDescent="0.45">
      <c r="Q66" s="142" t="s">
        <v>324</v>
      </c>
    </row>
    <row r="67" spans="17:17" ht="18.75" customHeight="1" x14ac:dyDescent="0.45">
      <c r="Q67" s="142" t="s">
        <v>325</v>
      </c>
    </row>
    <row r="68" spans="17:17" ht="18.75" customHeight="1" x14ac:dyDescent="0.45">
      <c r="Q68" s="142" t="s">
        <v>326</v>
      </c>
    </row>
    <row r="69" spans="17:17" ht="18.75" customHeight="1" x14ac:dyDescent="0.45">
      <c r="Q69" s="142" t="s">
        <v>327</v>
      </c>
    </row>
    <row r="70" spans="17:17" ht="18.75" customHeight="1" x14ac:dyDescent="0.45">
      <c r="Q70" s="142" t="s">
        <v>328</v>
      </c>
    </row>
    <row r="71" spans="17:17" ht="18.75" customHeight="1" x14ac:dyDescent="0.45">
      <c r="Q71" s="142" t="s">
        <v>329</v>
      </c>
    </row>
    <row r="72" spans="17:17" ht="18.75" customHeight="1" x14ac:dyDescent="0.45">
      <c r="Q72" s="142" t="s">
        <v>330</v>
      </c>
    </row>
    <row r="73" spans="17:17" ht="18.75" customHeight="1" x14ac:dyDescent="0.45">
      <c r="Q73" s="142" t="s">
        <v>331</v>
      </c>
    </row>
    <row r="74" spans="17:17" ht="18.75" customHeight="1" x14ac:dyDescent="0.45">
      <c r="Q74" s="142" t="s">
        <v>332</v>
      </c>
    </row>
    <row r="75" spans="17:17" ht="18.75" customHeight="1" x14ac:dyDescent="0.45">
      <c r="Q75" s="142" t="s">
        <v>333</v>
      </c>
    </row>
    <row r="76" spans="17:17" ht="18.75" customHeight="1" x14ac:dyDescent="0.45">
      <c r="Q76" s="142" t="s">
        <v>334</v>
      </c>
    </row>
    <row r="77" spans="17:17" ht="18.75" customHeight="1" x14ac:dyDescent="0.45">
      <c r="Q77" s="142" t="s">
        <v>335</v>
      </c>
    </row>
    <row r="78" spans="17:17" ht="18.75" customHeight="1" x14ac:dyDescent="0.45">
      <c r="Q78" s="142" t="s">
        <v>336</v>
      </c>
    </row>
    <row r="79" spans="17:17" ht="18.75" customHeight="1" x14ac:dyDescent="0.45">
      <c r="Q79" s="142" t="s">
        <v>337</v>
      </c>
    </row>
    <row r="80" spans="17:17" ht="18.75" customHeight="1" x14ac:dyDescent="0.45">
      <c r="Q80" s="142" t="s">
        <v>338</v>
      </c>
    </row>
    <row r="81" spans="17:17" ht="18.75" customHeight="1" x14ac:dyDescent="0.45">
      <c r="Q81" s="142" t="s">
        <v>339</v>
      </c>
    </row>
    <row r="82" spans="17:17" ht="18.75" customHeight="1" x14ac:dyDescent="0.45">
      <c r="Q82" s="142" t="s">
        <v>340</v>
      </c>
    </row>
    <row r="83" spans="17:17" ht="18.75" customHeight="1" x14ac:dyDescent="0.45">
      <c r="Q83" s="142" t="s">
        <v>341</v>
      </c>
    </row>
    <row r="84" spans="17:17" ht="18.75" customHeight="1" x14ac:dyDescent="0.45">
      <c r="Q84" s="142" t="s">
        <v>342</v>
      </c>
    </row>
    <row r="85" spans="17:17" ht="18.75" customHeight="1" x14ac:dyDescent="0.45">
      <c r="Q85" s="142" t="s">
        <v>343</v>
      </c>
    </row>
    <row r="86" spans="17:17" ht="18.75" customHeight="1" x14ac:dyDescent="0.45">
      <c r="Q86" s="142" t="s">
        <v>344</v>
      </c>
    </row>
    <row r="87" spans="17:17" ht="18.75" customHeight="1" x14ac:dyDescent="0.45">
      <c r="Q87" s="142" t="s">
        <v>345</v>
      </c>
    </row>
    <row r="88" spans="17:17" ht="18.75" customHeight="1" x14ac:dyDescent="0.45">
      <c r="Q88" s="142" t="s">
        <v>346</v>
      </c>
    </row>
    <row r="89" spans="17:17" ht="18.75" customHeight="1" x14ac:dyDescent="0.45">
      <c r="Q89" s="142" t="s">
        <v>347</v>
      </c>
    </row>
    <row r="90" spans="17:17" ht="18.75" customHeight="1" x14ac:dyDescent="0.45">
      <c r="Q90" s="142" t="s">
        <v>348</v>
      </c>
    </row>
    <row r="91" spans="17:17" ht="18.75" customHeight="1" x14ac:dyDescent="0.45">
      <c r="Q91" s="142" t="s">
        <v>349</v>
      </c>
    </row>
    <row r="92" spans="17:17" ht="18.75" customHeight="1" x14ac:dyDescent="0.45">
      <c r="Q92" s="142" t="s">
        <v>350</v>
      </c>
    </row>
    <row r="93" spans="17:17" ht="18.75" customHeight="1" x14ac:dyDescent="0.45">
      <c r="Q93" s="142" t="s">
        <v>351</v>
      </c>
    </row>
    <row r="94" spans="17:17" ht="18.75" customHeight="1" x14ac:dyDescent="0.45">
      <c r="Q94" s="142" t="s">
        <v>352</v>
      </c>
    </row>
    <row r="95" spans="17:17" ht="18.75" customHeight="1" x14ac:dyDescent="0.45">
      <c r="Q95" s="142" t="s">
        <v>353</v>
      </c>
    </row>
    <row r="96" spans="17:17" ht="18.75" customHeight="1" x14ac:dyDescent="0.45">
      <c r="Q96" s="142" t="s">
        <v>354</v>
      </c>
    </row>
    <row r="97" spans="17:17" ht="18.75" customHeight="1" x14ac:dyDescent="0.45">
      <c r="Q97" s="142" t="s">
        <v>355</v>
      </c>
    </row>
    <row r="98" spans="17:17" ht="18.75" customHeight="1" x14ac:dyDescent="0.45">
      <c r="Q98" s="142" t="s">
        <v>356</v>
      </c>
    </row>
    <row r="99" spans="17:17" ht="18.75" customHeight="1" x14ac:dyDescent="0.45">
      <c r="Q99" s="142" t="s">
        <v>357</v>
      </c>
    </row>
    <row r="100" spans="17:17" ht="18.75" customHeight="1" x14ac:dyDescent="0.45">
      <c r="Q100" s="142" t="s">
        <v>358</v>
      </c>
    </row>
    <row r="101" spans="17:17" ht="18.75" customHeight="1" x14ac:dyDescent="0.45">
      <c r="Q101" s="142" t="s">
        <v>359</v>
      </c>
    </row>
    <row r="102" spans="17:17" ht="18.75" customHeight="1" x14ac:dyDescent="0.45">
      <c r="Q102" s="142" t="s">
        <v>360</v>
      </c>
    </row>
    <row r="103" spans="17:17" ht="18.75" customHeight="1" x14ac:dyDescent="0.45">
      <c r="Q103" s="142" t="s">
        <v>361</v>
      </c>
    </row>
    <row r="104" spans="17:17" ht="18.75" customHeight="1" x14ac:dyDescent="0.45">
      <c r="Q104" s="142" t="s">
        <v>362</v>
      </c>
    </row>
    <row r="105" spans="17:17" ht="18.75" customHeight="1" x14ac:dyDescent="0.45">
      <c r="Q105" s="142" t="s">
        <v>363</v>
      </c>
    </row>
    <row r="106" spans="17:17" ht="18.75" customHeight="1" x14ac:dyDescent="0.45">
      <c r="Q106" s="142" t="s">
        <v>364</v>
      </c>
    </row>
    <row r="107" spans="17:17" ht="18.75" customHeight="1" x14ac:dyDescent="0.45">
      <c r="Q107" s="142" t="s">
        <v>365</v>
      </c>
    </row>
    <row r="108" spans="17:17" ht="18.75" customHeight="1" x14ac:dyDescent="0.45">
      <c r="Q108" s="142" t="s">
        <v>366</v>
      </c>
    </row>
    <row r="109" spans="17:17" ht="18.75" customHeight="1" x14ac:dyDescent="0.45">
      <c r="Q109" s="142" t="s">
        <v>367</v>
      </c>
    </row>
    <row r="110" spans="17:17" ht="18.75" customHeight="1" x14ac:dyDescent="0.45">
      <c r="Q110" s="142" t="s">
        <v>368</v>
      </c>
    </row>
    <row r="111" spans="17:17" ht="18.75" customHeight="1" x14ac:dyDescent="0.45">
      <c r="Q111" s="142" t="s">
        <v>369</v>
      </c>
    </row>
    <row r="112" spans="17:17" ht="18.75" customHeight="1" x14ac:dyDescent="0.45">
      <c r="Q112" s="142" t="s">
        <v>370</v>
      </c>
    </row>
    <row r="113" spans="17:17" ht="18.75" customHeight="1" x14ac:dyDescent="0.45">
      <c r="Q113" s="142" t="s">
        <v>371</v>
      </c>
    </row>
    <row r="114" spans="17:17" ht="18.75" customHeight="1" x14ac:dyDescent="0.45">
      <c r="Q114" s="142" t="s">
        <v>372</v>
      </c>
    </row>
    <row r="115" spans="17:17" ht="18.75" customHeight="1" x14ac:dyDescent="0.45">
      <c r="Q115" s="142" t="s">
        <v>373</v>
      </c>
    </row>
    <row r="116" spans="17:17" ht="18.75" customHeight="1" x14ac:dyDescent="0.45">
      <c r="Q116" s="142" t="s">
        <v>374</v>
      </c>
    </row>
    <row r="117" spans="17:17" ht="18.75" customHeight="1" x14ac:dyDescent="0.45">
      <c r="Q117" s="142" t="s">
        <v>375</v>
      </c>
    </row>
    <row r="118" spans="17:17" ht="18.75" customHeight="1" x14ac:dyDescent="0.45">
      <c r="Q118" s="142" t="s">
        <v>376</v>
      </c>
    </row>
    <row r="119" spans="17:17" ht="18.75" customHeight="1" x14ac:dyDescent="0.45">
      <c r="Q119" s="142" t="s">
        <v>377</v>
      </c>
    </row>
    <row r="120" spans="17:17" ht="18.75" customHeight="1" x14ac:dyDescent="0.45">
      <c r="Q120" s="142" t="s">
        <v>378</v>
      </c>
    </row>
    <row r="121" spans="17:17" ht="18.75" customHeight="1" x14ac:dyDescent="0.45">
      <c r="Q121" s="142" t="s">
        <v>379</v>
      </c>
    </row>
    <row r="122" spans="17:17" ht="18.75" customHeight="1" x14ac:dyDescent="0.45">
      <c r="Q122" s="142" t="s">
        <v>380</v>
      </c>
    </row>
    <row r="123" spans="17:17" ht="18.75" customHeight="1" x14ac:dyDescent="0.45">
      <c r="Q123" s="142" t="s">
        <v>381</v>
      </c>
    </row>
    <row r="124" spans="17:17" ht="18.75" customHeight="1" x14ac:dyDescent="0.45">
      <c r="Q124" s="142" t="s">
        <v>382</v>
      </c>
    </row>
    <row r="125" spans="17:17" ht="18.75" customHeight="1" x14ac:dyDescent="0.45">
      <c r="Q125" s="142" t="s">
        <v>172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50"/>
    </row>
    <row r="129" spans="17:17" ht="18.75" customHeight="1" x14ac:dyDescent="0.35">
      <c r="Q129" s="150"/>
    </row>
    <row r="130" spans="17:17" ht="18.75" customHeight="1" x14ac:dyDescent="0.35">
      <c r="Q130" s="150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112" bestFit="1" customWidth="1"/>
    <col min="2" max="2" width="10.453125" bestFit="1" customWidth="1"/>
    <col min="3" max="3" width="18" style="125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bestFit="1" customWidth="1"/>
    <col min="11" max="11" width="11.816406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t="s">
        <v>171</v>
      </c>
      <c r="C2" s="124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27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172</v>
      </c>
      <c r="H2" t="s">
        <v>172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16">
        <v>23858082</v>
      </c>
    </row>
    <row r="3" spans="1:11" ht="18.75" customHeight="1" x14ac:dyDescent="0.35">
      <c r="A3" s="116">
        <v>2024</v>
      </c>
      <c r="B3" t="s">
        <v>171</v>
      </c>
      <c r="C3" s="124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19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172</v>
      </c>
      <c r="H3" t="s">
        <v>172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16">
        <v>16083870</v>
      </c>
    </row>
    <row r="4" spans="1:11" ht="18.75" customHeight="1" x14ac:dyDescent="0.35">
      <c r="A4" s="116">
        <v>2024</v>
      </c>
      <c r="B4" t="s">
        <v>171</v>
      </c>
      <c r="C4" s="124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39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172</v>
      </c>
      <c r="H4" t="s">
        <v>172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16">
        <v>0</v>
      </c>
    </row>
    <row r="5" spans="1:11" ht="18.75" customHeight="1" x14ac:dyDescent="0.35">
      <c r="A5" s="116">
        <v>2024</v>
      </c>
      <c r="B5" t="s">
        <v>171</v>
      </c>
      <c r="C5" s="124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40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172</v>
      </c>
      <c r="H5" t="s">
        <v>172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16">
        <v>0</v>
      </c>
    </row>
    <row r="6" spans="1:11" ht="18.75" customHeight="1" x14ac:dyDescent="0.35">
      <c r="A6" s="116">
        <v>2024</v>
      </c>
      <c r="B6" t="s">
        <v>171</v>
      </c>
      <c r="C6" s="124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25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172</v>
      </c>
      <c r="H6" t="s">
        <v>172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16">
        <v>15371</v>
      </c>
    </row>
    <row r="7" spans="1:11" ht="18.75" customHeight="1" x14ac:dyDescent="0.35">
      <c r="A7" s="116">
        <v>2024</v>
      </c>
      <c r="B7" t="s">
        <v>171</v>
      </c>
      <c r="C7" s="124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34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172</v>
      </c>
      <c r="H7" t="s">
        <v>172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18">
        <v>0.68516129032258066</v>
      </c>
    </row>
    <row r="8" spans="1:11" ht="18.75" customHeight="1" x14ac:dyDescent="0.35">
      <c r="A8" s="116">
        <v>2024</v>
      </c>
      <c r="B8" t="s">
        <v>171</v>
      </c>
      <c r="C8" s="124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208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172</v>
      </c>
      <c r="H8" t="s">
        <v>172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18">
        <v>24.8</v>
      </c>
    </row>
    <row r="9" spans="1:11" ht="18.75" customHeight="1" x14ac:dyDescent="0.35">
      <c r="A9" s="116">
        <v>2024</v>
      </c>
      <c r="B9" t="s">
        <v>171</v>
      </c>
      <c r="C9" s="124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38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172</v>
      </c>
      <c r="H9" t="s">
        <v>172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16">
        <v>1077</v>
      </c>
    </row>
    <row r="10" spans="1:11" ht="18.75" customHeight="1" x14ac:dyDescent="0.35">
      <c r="A10" s="116">
        <v>2024</v>
      </c>
      <c r="B10" t="s">
        <v>171</v>
      </c>
      <c r="C10" s="124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41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42</v>
      </c>
      <c r="H10" t="s">
        <v>172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16">
        <v>507</v>
      </c>
    </row>
    <row r="11" spans="1:11" ht="18.75" customHeight="1" x14ac:dyDescent="0.35">
      <c r="A11" s="116">
        <v>2024</v>
      </c>
      <c r="B11" t="s">
        <v>171</v>
      </c>
      <c r="C11" s="124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41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43</v>
      </c>
      <c r="H11" t="s">
        <v>172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16">
        <v>9</v>
      </c>
    </row>
    <row r="12" spans="1:11" ht="18.75" customHeight="1" x14ac:dyDescent="0.35">
      <c r="A12" s="116">
        <v>2024</v>
      </c>
      <c r="B12" t="s">
        <v>171</v>
      </c>
      <c r="C12" s="124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41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44</v>
      </c>
      <c r="H12" t="s">
        <v>172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16">
        <v>869</v>
      </c>
    </row>
    <row r="13" spans="1:11" ht="18.75" customHeight="1" x14ac:dyDescent="0.35">
      <c r="A13" s="116">
        <v>2024</v>
      </c>
      <c r="B13" t="s">
        <v>171</v>
      </c>
      <c r="C13" s="124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41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45</v>
      </c>
      <c r="H13" t="s">
        <v>172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16">
        <v>518</v>
      </c>
    </row>
    <row r="14" spans="1:11" ht="18.75" customHeight="1" x14ac:dyDescent="0.35">
      <c r="A14" s="116">
        <v>2024</v>
      </c>
      <c r="B14" t="s">
        <v>171</v>
      </c>
      <c r="C14" s="124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41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46</v>
      </c>
      <c r="H14" t="s">
        <v>172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16">
        <v>4</v>
      </c>
    </row>
    <row r="15" spans="1:11" ht="18.75" customHeight="1" x14ac:dyDescent="0.35">
      <c r="A15" s="116">
        <v>2024</v>
      </c>
      <c r="B15" t="s">
        <v>171</v>
      </c>
      <c r="C15" s="124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41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47</v>
      </c>
      <c r="H15" t="s">
        <v>172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16">
        <v>0</v>
      </c>
    </row>
    <row r="16" spans="1:11" ht="18.75" customHeight="1" x14ac:dyDescent="0.35">
      <c r="A16" s="116">
        <v>2024</v>
      </c>
      <c r="B16" t="s">
        <v>171</v>
      </c>
      <c r="C16" s="124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41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48</v>
      </c>
      <c r="H16" t="s">
        <v>172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16">
        <v>0</v>
      </c>
    </row>
    <row r="17" spans="1:11" ht="18.75" customHeight="1" x14ac:dyDescent="0.35">
      <c r="A17" s="116">
        <v>2024</v>
      </c>
      <c r="B17" t="s">
        <v>171</v>
      </c>
      <c r="C17" s="124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41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49</v>
      </c>
      <c r="H17" t="s">
        <v>172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16">
        <v>769</v>
      </c>
    </row>
    <row r="18" spans="1:11" ht="18.75" customHeight="1" x14ac:dyDescent="0.35">
      <c r="A18" s="116">
        <v>2024</v>
      </c>
      <c r="B18" t="s">
        <v>171</v>
      </c>
      <c r="C18" s="124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41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50</v>
      </c>
      <c r="H18" t="s">
        <v>172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16">
        <v>1075</v>
      </c>
    </row>
    <row r="19" spans="1:11" ht="18.75" customHeight="1" x14ac:dyDescent="0.35">
      <c r="A19" s="116">
        <v>2024</v>
      </c>
      <c r="B19" t="s">
        <v>171</v>
      </c>
      <c r="C19" s="124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41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51</v>
      </c>
      <c r="H19" t="s">
        <v>172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16">
        <v>769</v>
      </c>
    </row>
    <row r="20" spans="1:11" ht="18.75" customHeight="1" x14ac:dyDescent="0.35">
      <c r="A20" s="116">
        <v>2024</v>
      </c>
      <c r="B20" t="s">
        <v>171</v>
      </c>
      <c r="C20" s="124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41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52</v>
      </c>
      <c r="H20" t="s">
        <v>172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16">
        <v>409</v>
      </c>
    </row>
    <row r="21" spans="1:11" ht="18.75" customHeight="1" x14ac:dyDescent="0.35">
      <c r="A21" s="116">
        <v>2024</v>
      </c>
      <c r="B21" t="s">
        <v>171</v>
      </c>
      <c r="C21" s="124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41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53</v>
      </c>
      <c r="H21" t="s">
        <v>172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16">
        <v>89</v>
      </c>
    </row>
    <row r="22" spans="1:11" ht="18.75" customHeight="1" x14ac:dyDescent="0.35">
      <c r="A22" s="116">
        <v>2024</v>
      </c>
      <c r="B22" t="s">
        <v>171</v>
      </c>
      <c r="C22" s="124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41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54</v>
      </c>
      <c r="H22" t="s">
        <v>172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16">
        <v>1</v>
      </c>
    </row>
    <row r="23" spans="1:11" ht="18.75" customHeight="1" x14ac:dyDescent="0.35">
      <c r="A23" s="116">
        <v>2024</v>
      </c>
      <c r="B23" t="s">
        <v>171</v>
      </c>
      <c r="C23" s="124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55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56</v>
      </c>
      <c r="H23" t="s">
        <v>172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16">
        <v>41</v>
      </c>
    </row>
    <row r="24" spans="1:11" ht="18.75" customHeight="1" x14ac:dyDescent="0.35">
      <c r="A24" s="116">
        <v>2024</v>
      </c>
      <c r="B24" t="s">
        <v>171</v>
      </c>
      <c r="C24" s="124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57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58</v>
      </c>
      <c r="H24" t="s">
        <v>172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16">
        <v>19</v>
      </c>
    </row>
    <row r="25" spans="1:11" ht="18.75" customHeight="1" x14ac:dyDescent="0.35">
      <c r="A25" s="116">
        <v>2024</v>
      </c>
      <c r="B25" t="s">
        <v>171</v>
      </c>
      <c r="C25" s="124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28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172</v>
      </c>
      <c r="H25" t="s">
        <v>172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16">
        <v>0</v>
      </c>
    </row>
    <row r="26" spans="1:11" ht="18.75" customHeight="1" x14ac:dyDescent="0.35">
      <c r="A26" s="116">
        <v>2024</v>
      </c>
      <c r="B26" t="s">
        <v>171</v>
      </c>
      <c r="C26" s="124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29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172</v>
      </c>
      <c r="H26" t="s">
        <v>172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16">
        <v>0</v>
      </c>
    </row>
    <row r="27" spans="1:11" ht="18.75" customHeight="1" x14ac:dyDescent="0.35">
      <c r="A27" s="116">
        <v>2024</v>
      </c>
      <c r="B27" t="s">
        <v>171</v>
      </c>
      <c r="C27" s="124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30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172</v>
      </c>
      <c r="H27" t="s">
        <v>172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16">
        <v>0</v>
      </c>
    </row>
    <row r="28" spans="1:11" ht="18.75" customHeight="1" x14ac:dyDescent="0.35">
      <c r="A28" s="116">
        <v>2024</v>
      </c>
      <c r="B28" t="s">
        <v>171</v>
      </c>
      <c r="C28" s="124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32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172</v>
      </c>
      <c r="H28" t="s">
        <v>172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16">
        <v>531</v>
      </c>
    </row>
    <row r="29" spans="1:11" ht="18.75" customHeight="1" x14ac:dyDescent="0.35">
      <c r="A29" s="116">
        <v>2024</v>
      </c>
      <c r="B29" t="s">
        <v>171</v>
      </c>
      <c r="C29" s="124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209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172</v>
      </c>
      <c r="H29" t="s">
        <v>172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16">
        <v>244</v>
      </c>
    </row>
    <row r="30" spans="1:11" ht="18.75" customHeight="1" x14ac:dyDescent="0.35">
      <c r="A30" s="126">
        <v>2024</v>
      </c>
      <c r="B30" t="s">
        <v>171</v>
      </c>
      <c r="C30" s="124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31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172</v>
      </c>
      <c r="H30" t="s">
        <v>172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16">
        <v>775</v>
      </c>
    </row>
    <row r="31" spans="1:11" ht="18.75" customHeight="1" x14ac:dyDescent="0.35">
      <c r="A31" s="116">
        <v>2024</v>
      </c>
      <c r="B31" t="s">
        <v>174</v>
      </c>
      <c r="C31" s="124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27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172</v>
      </c>
      <c r="H31" t="s">
        <v>172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16">
        <v>23858082</v>
      </c>
    </row>
    <row r="32" spans="1:11" ht="18.75" customHeight="1" x14ac:dyDescent="0.35">
      <c r="A32" s="116">
        <v>2024</v>
      </c>
      <c r="B32" t="s">
        <v>174</v>
      </c>
      <c r="C32" s="124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19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172</v>
      </c>
      <c r="H32" t="s">
        <v>172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16">
        <v>3003025</v>
      </c>
    </row>
    <row r="33" spans="1:11" ht="18.75" customHeight="1" x14ac:dyDescent="0.35">
      <c r="A33" s="116">
        <v>2024</v>
      </c>
      <c r="B33" t="s">
        <v>174</v>
      </c>
      <c r="C33" s="124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39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172</v>
      </c>
      <c r="H33" t="s">
        <v>172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16">
        <v>0</v>
      </c>
    </row>
    <row r="34" spans="1:11" ht="18.75" customHeight="1" x14ac:dyDescent="0.35">
      <c r="A34" s="116">
        <v>2024</v>
      </c>
      <c r="B34" t="s">
        <v>174</v>
      </c>
      <c r="C34" s="124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40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172</v>
      </c>
      <c r="H34" t="s">
        <v>172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16">
        <v>0</v>
      </c>
    </row>
    <row r="35" spans="1:11" ht="18.75" customHeight="1" x14ac:dyDescent="0.35">
      <c r="A35" s="116">
        <v>2024</v>
      </c>
      <c r="B35" t="s">
        <v>174</v>
      </c>
      <c r="C35" s="124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25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172</v>
      </c>
      <c r="H35" t="s">
        <v>172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16">
        <v>16958</v>
      </c>
    </row>
    <row r="36" spans="1:11" ht="18.75" customHeight="1" x14ac:dyDescent="0.35">
      <c r="A36" s="116">
        <v>2024</v>
      </c>
      <c r="B36" t="s">
        <v>174</v>
      </c>
      <c r="C36" s="124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34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172</v>
      </c>
      <c r="H36" t="s">
        <v>172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18">
        <v>0.51346499102333931</v>
      </c>
    </row>
    <row r="37" spans="1:11" ht="18.75" customHeight="1" x14ac:dyDescent="0.35">
      <c r="A37" s="116">
        <v>2024</v>
      </c>
      <c r="B37" t="s">
        <v>174</v>
      </c>
      <c r="C37" s="124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208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172</v>
      </c>
      <c r="H37" t="s">
        <v>172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18">
        <v>26.8</v>
      </c>
    </row>
    <row r="38" spans="1:11" ht="18.75" customHeight="1" x14ac:dyDescent="0.35">
      <c r="A38" s="116">
        <v>2024</v>
      </c>
      <c r="B38" t="s">
        <v>174</v>
      </c>
      <c r="C38" s="124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38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172</v>
      </c>
      <c r="H38" t="s">
        <v>172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16">
        <v>1007</v>
      </c>
    </row>
    <row r="39" spans="1:11" ht="18.75" customHeight="1" x14ac:dyDescent="0.35">
      <c r="A39" s="116">
        <v>2024</v>
      </c>
      <c r="B39" t="s">
        <v>174</v>
      </c>
      <c r="C39" s="124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41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42</v>
      </c>
      <c r="H39" t="s">
        <v>172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16">
        <v>622</v>
      </c>
    </row>
    <row r="40" spans="1:11" ht="18.75" customHeight="1" x14ac:dyDescent="0.35">
      <c r="A40" s="116">
        <v>2024</v>
      </c>
      <c r="B40" t="s">
        <v>174</v>
      </c>
      <c r="C40" s="124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41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43</v>
      </c>
      <c r="H40" t="s">
        <v>172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16">
        <v>950</v>
      </c>
    </row>
    <row r="41" spans="1:11" ht="18.75" customHeight="1" x14ac:dyDescent="0.35">
      <c r="A41" s="116">
        <v>2024</v>
      </c>
      <c r="B41" t="s">
        <v>174</v>
      </c>
      <c r="C41" s="124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41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44</v>
      </c>
      <c r="H41" t="s">
        <v>172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16">
        <v>765</v>
      </c>
    </row>
    <row r="42" spans="1:11" ht="18.75" customHeight="1" x14ac:dyDescent="0.35">
      <c r="A42" s="116">
        <v>2024</v>
      </c>
      <c r="B42" t="s">
        <v>174</v>
      </c>
      <c r="C42" s="124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41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45</v>
      </c>
      <c r="H42" t="s">
        <v>172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16">
        <v>758</v>
      </c>
    </row>
    <row r="43" spans="1:11" ht="18.75" customHeight="1" x14ac:dyDescent="0.35">
      <c r="A43" s="116">
        <v>2024</v>
      </c>
      <c r="B43" t="s">
        <v>174</v>
      </c>
      <c r="C43" s="124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41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46</v>
      </c>
      <c r="H43" t="s">
        <v>172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16">
        <v>647</v>
      </c>
    </row>
    <row r="44" spans="1:11" ht="18.75" customHeight="1" x14ac:dyDescent="0.35">
      <c r="A44" s="116">
        <v>2024</v>
      </c>
      <c r="B44" t="s">
        <v>174</v>
      </c>
      <c r="C44" s="124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41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47</v>
      </c>
      <c r="H44" t="s">
        <v>172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16">
        <v>31</v>
      </c>
    </row>
    <row r="45" spans="1:11" ht="18.75" customHeight="1" x14ac:dyDescent="0.35">
      <c r="A45" s="116">
        <v>2024</v>
      </c>
      <c r="B45" t="s">
        <v>174</v>
      </c>
      <c r="C45" s="124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41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48</v>
      </c>
      <c r="H45" t="s">
        <v>172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16">
        <v>1018</v>
      </c>
    </row>
    <row r="46" spans="1:11" ht="18.75" customHeight="1" x14ac:dyDescent="0.35">
      <c r="A46" s="116">
        <v>2024</v>
      </c>
      <c r="B46" t="s">
        <v>174</v>
      </c>
      <c r="C46" s="124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41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49</v>
      </c>
      <c r="H46" t="s">
        <v>172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16">
        <v>802</v>
      </c>
    </row>
    <row r="47" spans="1:11" ht="18.75" customHeight="1" x14ac:dyDescent="0.35">
      <c r="A47" s="116">
        <v>2024</v>
      </c>
      <c r="B47" t="s">
        <v>174</v>
      </c>
      <c r="C47" s="124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41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50</v>
      </c>
      <c r="H47" t="s">
        <v>172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16">
        <v>1121</v>
      </c>
    </row>
    <row r="48" spans="1:11" ht="18.75" customHeight="1" x14ac:dyDescent="0.35">
      <c r="A48" s="116">
        <v>2024</v>
      </c>
      <c r="B48" t="s">
        <v>174</v>
      </c>
      <c r="C48" s="124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41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51</v>
      </c>
      <c r="H48" t="s">
        <v>172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16">
        <v>894</v>
      </c>
    </row>
    <row r="49" spans="1:11" ht="18.75" customHeight="1" x14ac:dyDescent="0.35">
      <c r="A49" s="116">
        <v>2024</v>
      </c>
      <c r="B49" t="s">
        <v>174</v>
      </c>
      <c r="C49" s="124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41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52</v>
      </c>
      <c r="H49" t="s">
        <v>172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16">
        <v>477</v>
      </c>
    </row>
    <row r="50" spans="1:11" ht="18.75" customHeight="1" x14ac:dyDescent="0.35">
      <c r="A50" s="116">
        <v>2024</v>
      </c>
      <c r="B50" t="s">
        <v>174</v>
      </c>
      <c r="C50" s="124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41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53</v>
      </c>
      <c r="H50" t="s">
        <v>172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16">
        <v>359</v>
      </c>
    </row>
    <row r="51" spans="1:11" ht="18.75" customHeight="1" x14ac:dyDescent="0.35">
      <c r="A51" s="116">
        <v>2024</v>
      </c>
      <c r="B51" t="s">
        <v>174</v>
      </c>
      <c r="C51" s="124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41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54</v>
      </c>
      <c r="H51" t="s">
        <v>172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16">
        <v>1</v>
      </c>
    </row>
    <row r="52" spans="1:11" ht="18.75" customHeight="1" x14ac:dyDescent="0.35">
      <c r="A52" s="116">
        <v>2024</v>
      </c>
      <c r="B52" t="s">
        <v>174</v>
      </c>
      <c r="C52" s="124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55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56</v>
      </c>
      <c r="H52" t="s">
        <v>172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16">
        <v>71</v>
      </c>
    </row>
    <row r="53" spans="1:11" ht="18.75" customHeight="1" x14ac:dyDescent="0.35">
      <c r="A53" s="116">
        <v>2024</v>
      </c>
      <c r="B53" t="s">
        <v>174</v>
      </c>
      <c r="C53" s="124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57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58</v>
      </c>
      <c r="H53" t="s">
        <v>172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16">
        <v>45</v>
      </c>
    </row>
    <row r="54" spans="1:11" ht="18.75" customHeight="1" x14ac:dyDescent="0.35">
      <c r="A54" s="116">
        <v>2024</v>
      </c>
      <c r="B54" t="s">
        <v>174</v>
      </c>
      <c r="C54" s="124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28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172</v>
      </c>
      <c r="H54" t="s">
        <v>172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ht="18.75" customHeight="1" x14ac:dyDescent="0.35">
      <c r="A55" s="116">
        <v>2024</v>
      </c>
      <c r="B55" t="s">
        <v>174</v>
      </c>
      <c r="C55" s="124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29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172</v>
      </c>
      <c r="H55" t="s">
        <v>172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16">
        <v>0</v>
      </c>
    </row>
    <row r="56" spans="1:11" ht="18.75" customHeight="1" x14ac:dyDescent="0.35">
      <c r="A56" s="116">
        <v>2024</v>
      </c>
      <c r="B56" t="s">
        <v>174</v>
      </c>
      <c r="C56" s="124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30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172</v>
      </c>
      <c r="H56" t="s">
        <v>172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16">
        <v>0</v>
      </c>
    </row>
    <row r="57" spans="1:11" ht="18.75" customHeight="1" x14ac:dyDescent="0.35">
      <c r="A57" s="116">
        <v>2024</v>
      </c>
      <c r="B57" t="s">
        <v>174</v>
      </c>
      <c r="C57" s="124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32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172</v>
      </c>
      <c r="H57" t="s">
        <v>172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16">
        <v>286</v>
      </c>
    </row>
    <row r="58" spans="1:11" ht="18.75" customHeight="1" x14ac:dyDescent="0.35">
      <c r="A58" s="116">
        <v>2024</v>
      </c>
      <c r="B58" t="s">
        <v>174</v>
      </c>
      <c r="C58" s="124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209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172</v>
      </c>
      <c r="H58" t="s">
        <v>172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16">
        <v>271</v>
      </c>
    </row>
    <row r="59" spans="1:11" ht="18.75" customHeight="1" x14ac:dyDescent="0.35">
      <c r="A59" s="116">
        <v>2024</v>
      </c>
      <c r="B59" t="s">
        <v>174</v>
      </c>
      <c r="C59" s="124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31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172</v>
      </c>
      <c r="H59" t="s">
        <v>172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16">
        <v>557</v>
      </c>
    </row>
    <row r="60" spans="1:11" ht="18.75" customHeight="1" x14ac:dyDescent="0.35">
      <c r="A60" s="126">
        <v>2024</v>
      </c>
      <c r="B60" t="s">
        <v>175</v>
      </c>
      <c r="C60" s="124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27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172</v>
      </c>
      <c r="H60" t="s">
        <v>172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16">
        <v>23858082</v>
      </c>
    </row>
    <row r="61" spans="1:11" ht="18.75" customHeight="1" x14ac:dyDescent="0.35">
      <c r="A61" s="116">
        <v>2024</v>
      </c>
      <c r="B61" t="s">
        <v>175</v>
      </c>
      <c r="C61" s="124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19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172</v>
      </c>
      <c r="H61" t="s">
        <v>172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16">
        <v>7710320</v>
      </c>
    </row>
    <row r="62" spans="1:11" ht="18.75" customHeight="1" x14ac:dyDescent="0.35">
      <c r="A62" s="116">
        <v>2024</v>
      </c>
      <c r="B62" t="s">
        <v>175</v>
      </c>
      <c r="C62" s="124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39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172</v>
      </c>
      <c r="H62" t="s">
        <v>172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16">
        <v>0</v>
      </c>
    </row>
    <row r="63" spans="1:11" ht="18.75" customHeight="1" x14ac:dyDescent="0.35">
      <c r="A63" s="116">
        <v>2024</v>
      </c>
      <c r="B63" t="s">
        <v>175</v>
      </c>
      <c r="C63" s="124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40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172</v>
      </c>
      <c r="H63" t="s">
        <v>172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16">
        <v>0</v>
      </c>
    </row>
    <row r="64" spans="1:11" ht="18.75" customHeight="1" x14ac:dyDescent="0.35">
      <c r="A64" s="116">
        <v>2024</v>
      </c>
      <c r="B64" t="s">
        <v>175</v>
      </c>
      <c r="C64" s="124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25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172</v>
      </c>
      <c r="H64" t="s">
        <v>172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16">
        <v>13532</v>
      </c>
    </row>
    <row r="65" spans="1:11" ht="18.75" customHeight="1" x14ac:dyDescent="0.35">
      <c r="A65" s="116">
        <v>2024</v>
      </c>
      <c r="B65" t="s">
        <v>175</v>
      </c>
      <c r="C65" s="124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34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172</v>
      </c>
      <c r="H65" t="s">
        <v>172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18">
        <v>0.54693877551020409</v>
      </c>
    </row>
    <row r="66" spans="1:11" ht="18.75" customHeight="1" x14ac:dyDescent="0.35">
      <c r="A66" s="116">
        <v>2024</v>
      </c>
      <c r="B66" t="s">
        <v>175</v>
      </c>
      <c r="C66" s="124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208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172</v>
      </c>
      <c r="H66" t="s">
        <v>172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18">
        <v>25.4</v>
      </c>
    </row>
    <row r="67" spans="1:11" ht="18.75" customHeight="1" x14ac:dyDescent="0.35">
      <c r="A67" s="116">
        <v>2024</v>
      </c>
      <c r="B67" t="s">
        <v>175</v>
      </c>
      <c r="C67" s="124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38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172</v>
      </c>
      <c r="H67" t="s">
        <v>172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16">
        <v>1073</v>
      </c>
    </row>
    <row r="68" spans="1:11" ht="18.75" customHeight="1" x14ac:dyDescent="0.35">
      <c r="A68" s="116">
        <v>2024</v>
      </c>
      <c r="B68" t="s">
        <v>175</v>
      </c>
      <c r="C68" s="124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41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42</v>
      </c>
      <c r="H68" t="s">
        <v>172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16">
        <v>660</v>
      </c>
    </row>
    <row r="69" spans="1:11" ht="18.75" customHeight="1" x14ac:dyDescent="0.35">
      <c r="A69" s="116">
        <v>2024</v>
      </c>
      <c r="B69" t="s">
        <v>175</v>
      </c>
      <c r="C69" s="124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41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43</v>
      </c>
      <c r="H69" t="s">
        <v>172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16">
        <v>1001</v>
      </c>
    </row>
    <row r="70" spans="1:11" ht="18.75" customHeight="1" x14ac:dyDescent="0.35">
      <c r="A70" s="116">
        <v>2024</v>
      </c>
      <c r="B70" t="s">
        <v>175</v>
      </c>
      <c r="C70" s="124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41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44</v>
      </c>
      <c r="H70" t="s">
        <v>172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16">
        <v>937</v>
      </c>
    </row>
    <row r="71" spans="1:11" ht="18.75" customHeight="1" x14ac:dyDescent="0.35">
      <c r="A71" s="116">
        <v>2024</v>
      </c>
      <c r="B71" t="s">
        <v>175</v>
      </c>
      <c r="C71" s="124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41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45</v>
      </c>
      <c r="H71" t="s">
        <v>172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16">
        <v>569</v>
      </c>
    </row>
    <row r="72" spans="1:11" ht="18.75" customHeight="1" x14ac:dyDescent="0.35">
      <c r="A72" s="116">
        <v>2024</v>
      </c>
      <c r="B72" t="s">
        <v>175</v>
      </c>
      <c r="C72" s="124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41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46</v>
      </c>
      <c r="H72" t="s">
        <v>172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16">
        <v>0</v>
      </c>
    </row>
    <row r="73" spans="1:11" ht="18.75" customHeight="1" x14ac:dyDescent="0.35">
      <c r="A73" s="116">
        <v>2024</v>
      </c>
      <c r="B73" t="s">
        <v>175</v>
      </c>
      <c r="C73" s="124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41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47</v>
      </c>
      <c r="H73" t="s">
        <v>172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16">
        <v>0</v>
      </c>
    </row>
    <row r="74" spans="1:11" ht="18.75" customHeight="1" x14ac:dyDescent="0.35">
      <c r="A74" s="116">
        <v>2024</v>
      </c>
      <c r="B74" t="s">
        <v>175</v>
      </c>
      <c r="C74" s="124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41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48</v>
      </c>
      <c r="H74" t="s">
        <v>172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16">
        <v>1588</v>
      </c>
    </row>
    <row r="75" spans="1:11" ht="18.75" customHeight="1" x14ac:dyDescent="0.35">
      <c r="A75" s="116">
        <v>2024</v>
      </c>
      <c r="B75" t="s">
        <v>175</v>
      </c>
      <c r="C75" s="124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41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49</v>
      </c>
      <c r="H75" t="s">
        <v>172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16">
        <v>805</v>
      </c>
    </row>
    <row r="76" spans="1:11" ht="18.75" customHeight="1" x14ac:dyDescent="0.35">
      <c r="A76" s="116">
        <v>2024</v>
      </c>
      <c r="B76" t="s">
        <v>175</v>
      </c>
      <c r="C76" s="124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41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50</v>
      </c>
      <c r="H76" t="s">
        <v>172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16">
        <v>1022</v>
      </c>
    </row>
    <row r="77" spans="1:11" ht="18.75" customHeight="1" x14ac:dyDescent="0.35">
      <c r="A77" s="116">
        <v>2024</v>
      </c>
      <c r="B77" t="s">
        <v>175</v>
      </c>
      <c r="C77" s="124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41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51</v>
      </c>
      <c r="H77" t="s">
        <v>172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16">
        <v>2233</v>
      </c>
    </row>
    <row r="78" spans="1:11" ht="18.75" customHeight="1" x14ac:dyDescent="0.35">
      <c r="A78" s="116">
        <v>2024</v>
      </c>
      <c r="B78" t="s">
        <v>175</v>
      </c>
      <c r="C78" s="124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41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52</v>
      </c>
      <c r="H78" t="s">
        <v>172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16">
        <v>472</v>
      </c>
    </row>
    <row r="79" spans="1:11" ht="18.75" customHeight="1" x14ac:dyDescent="0.35">
      <c r="A79" s="116">
        <v>2024</v>
      </c>
      <c r="B79" t="s">
        <v>175</v>
      </c>
      <c r="C79" s="124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41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53</v>
      </c>
      <c r="H79" t="s">
        <v>172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16">
        <v>493</v>
      </c>
    </row>
    <row r="80" spans="1:11" ht="18.75" customHeight="1" x14ac:dyDescent="0.35">
      <c r="A80" s="116">
        <v>2024</v>
      </c>
      <c r="B80" t="s">
        <v>175</v>
      </c>
      <c r="C80" s="124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41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54</v>
      </c>
      <c r="H80" t="s">
        <v>172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16">
        <v>3</v>
      </c>
    </row>
    <row r="81" spans="1:11" ht="18.75" customHeight="1" x14ac:dyDescent="0.35">
      <c r="A81" s="116">
        <v>2024</v>
      </c>
      <c r="B81" t="s">
        <v>175</v>
      </c>
      <c r="C81" s="124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55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56</v>
      </c>
      <c r="H81" t="s">
        <v>172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16">
        <v>74</v>
      </c>
    </row>
    <row r="82" spans="1:11" ht="18.75" customHeight="1" x14ac:dyDescent="0.35">
      <c r="A82" s="116">
        <v>2024</v>
      </c>
      <c r="B82" t="s">
        <v>175</v>
      </c>
      <c r="C82" s="124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57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58</v>
      </c>
      <c r="H82" t="s">
        <v>172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16">
        <v>42</v>
      </c>
    </row>
    <row r="83" spans="1:11" ht="18.75" customHeight="1" x14ac:dyDescent="0.35">
      <c r="A83" s="116">
        <v>2024</v>
      </c>
      <c r="B83" t="s">
        <v>175</v>
      </c>
      <c r="C83" s="124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28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172</v>
      </c>
      <c r="H83" t="s">
        <v>172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16">
        <v>0</v>
      </c>
    </row>
    <row r="84" spans="1:11" ht="18.75" customHeight="1" x14ac:dyDescent="0.35">
      <c r="A84" s="116">
        <v>2024</v>
      </c>
      <c r="B84" t="s">
        <v>175</v>
      </c>
      <c r="C84" s="124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29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172</v>
      </c>
      <c r="H84" t="s">
        <v>172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16">
        <v>23314760</v>
      </c>
    </row>
    <row r="85" spans="1:11" ht="18.75" customHeight="1" x14ac:dyDescent="0.35">
      <c r="A85" s="116">
        <v>2024</v>
      </c>
      <c r="B85" t="s">
        <v>175</v>
      </c>
      <c r="C85" s="124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30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172</v>
      </c>
      <c r="H85" t="s">
        <v>172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16">
        <v>0</v>
      </c>
    </row>
    <row r="86" spans="1:11" ht="18.75" customHeight="1" x14ac:dyDescent="0.35">
      <c r="A86" s="116">
        <v>2024</v>
      </c>
      <c r="B86" t="s">
        <v>175</v>
      </c>
      <c r="C86" s="124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32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172</v>
      </c>
      <c r="H86" t="s">
        <v>172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16">
        <v>402</v>
      </c>
    </row>
    <row r="87" spans="1:11" ht="18.75" customHeight="1" x14ac:dyDescent="0.35">
      <c r="A87" s="116">
        <v>2024</v>
      </c>
      <c r="B87" t="s">
        <v>175</v>
      </c>
      <c r="C87" s="124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209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172</v>
      </c>
      <c r="H87" t="s">
        <v>172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16">
        <v>333</v>
      </c>
    </row>
    <row r="88" spans="1:11" ht="18.75" customHeight="1" x14ac:dyDescent="0.35">
      <c r="A88" s="116">
        <v>2024</v>
      </c>
      <c r="B88" t="s">
        <v>175</v>
      </c>
      <c r="C88" s="124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31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172</v>
      </c>
      <c r="H88" t="s">
        <v>172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16">
        <v>735</v>
      </c>
    </row>
    <row r="89" spans="1:11" ht="18.75" customHeight="1" x14ac:dyDescent="0.35">
      <c r="A89" s="126">
        <v>2024</v>
      </c>
      <c r="B89" t="s">
        <v>176</v>
      </c>
      <c r="C89" s="124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27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172</v>
      </c>
      <c r="H89" t="s">
        <v>172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16">
        <v>23858082</v>
      </c>
    </row>
    <row r="90" spans="1:11" ht="18.75" customHeight="1" x14ac:dyDescent="0.35">
      <c r="A90" s="116">
        <v>2024</v>
      </c>
      <c r="B90" t="s">
        <v>176</v>
      </c>
      <c r="C90" s="124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19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172</v>
      </c>
      <c r="H90" t="s">
        <v>172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16">
        <v>11647025</v>
      </c>
    </row>
    <row r="91" spans="1:11" ht="18.75" customHeight="1" x14ac:dyDescent="0.35">
      <c r="A91" s="116">
        <v>2024</v>
      </c>
      <c r="B91" t="s">
        <v>176</v>
      </c>
      <c r="C91" s="124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39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172</v>
      </c>
      <c r="H91" t="s">
        <v>172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16">
        <v>1</v>
      </c>
    </row>
    <row r="92" spans="1:11" ht="18.75" customHeight="1" x14ac:dyDescent="0.35">
      <c r="A92" s="116">
        <v>2024</v>
      </c>
      <c r="B92" t="s">
        <v>176</v>
      </c>
      <c r="C92" s="124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40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172</v>
      </c>
      <c r="H92" t="s">
        <v>172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16">
        <v>0</v>
      </c>
    </row>
    <row r="93" spans="1:11" ht="18.75" customHeight="1" x14ac:dyDescent="0.35">
      <c r="A93" s="116">
        <v>2024</v>
      </c>
      <c r="B93" t="s">
        <v>176</v>
      </c>
      <c r="C93" s="124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25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172</v>
      </c>
      <c r="H93" t="s">
        <v>172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16">
        <v>17838</v>
      </c>
    </row>
    <row r="94" spans="1:11" ht="18.75" customHeight="1" x14ac:dyDescent="0.35">
      <c r="A94" s="116">
        <v>2024</v>
      </c>
      <c r="B94" t="s">
        <v>176</v>
      </c>
      <c r="C94" s="124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34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172</v>
      </c>
      <c r="H94" t="s">
        <v>172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18">
        <v>0.85077343039126474</v>
      </c>
    </row>
    <row r="95" spans="1:11" ht="18.75" customHeight="1" x14ac:dyDescent="0.35">
      <c r="A95" s="116">
        <v>2024</v>
      </c>
      <c r="B95" t="s">
        <v>176</v>
      </c>
      <c r="C95" s="124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208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172</v>
      </c>
      <c r="H95" t="s">
        <v>172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18">
        <v>25.3</v>
      </c>
    </row>
    <row r="96" spans="1:11" ht="18.75" customHeight="1" x14ac:dyDescent="0.35">
      <c r="A96" s="116">
        <v>2024</v>
      </c>
      <c r="B96" t="s">
        <v>176</v>
      </c>
      <c r="C96" s="124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38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172</v>
      </c>
      <c r="H96" t="s">
        <v>172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16">
        <v>1197</v>
      </c>
    </row>
    <row r="97" spans="1:11" ht="18.75" customHeight="1" x14ac:dyDescent="0.35">
      <c r="A97" s="116">
        <v>2024</v>
      </c>
      <c r="B97" t="s">
        <v>176</v>
      </c>
      <c r="C97" s="124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41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42</v>
      </c>
      <c r="H97" t="s">
        <v>172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16">
        <v>992</v>
      </c>
    </row>
    <row r="98" spans="1:11" ht="18.75" customHeight="1" x14ac:dyDescent="0.35">
      <c r="A98" s="116">
        <v>2024</v>
      </c>
      <c r="B98" t="s">
        <v>176</v>
      </c>
      <c r="C98" s="124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41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43</v>
      </c>
      <c r="H98" t="s">
        <v>172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16">
        <v>2813</v>
      </c>
    </row>
    <row r="99" spans="1:11" ht="18.75" customHeight="1" x14ac:dyDescent="0.35">
      <c r="A99" s="116">
        <v>2024</v>
      </c>
      <c r="B99" t="s">
        <v>176</v>
      </c>
      <c r="C99" s="124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41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44</v>
      </c>
      <c r="H99" t="s">
        <v>172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16">
        <v>1335</v>
      </c>
    </row>
    <row r="100" spans="1:11" ht="18.75" customHeight="1" x14ac:dyDescent="0.35">
      <c r="A100" s="116">
        <v>2024</v>
      </c>
      <c r="B100" t="s">
        <v>176</v>
      </c>
      <c r="C100" s="124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41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45</v>
      </c>
      <c r="H100" t="s">
        <v>172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16">
        <v>1011</v>
      </c>
    </row>
    <row r="101" spans="1:11" ht="18.75" customHeight="1" x14ac:dyDescent="0.35">
      <c r="A101" s="116">
        <v>2024</v>
      </c>
      <c r="B101" t="s">
        <v>176</v>
      </c>
      <c r="C101" s="124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41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46</v>
      </c>
      <c r="H101" t="s">
        <v>172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16">
        <v>0</v>
      </c>
    </row>
    <row r="102" spans="1:11" ht="18.75" customHeight="1" x14ac:dyDescent="0.35">
      <c r="A102" s="116">
        <v>2024</v>
      </c>
      <c r="B102" t="s">
        <v>176</v>
      </c>
      <c r="C102" s="124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41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47</v>
      </c>
      <c r="H102" t="s">
        <v>172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16">
        <v>63</v>
      </c>
    </row>
    <row r="103" spans="1:11" ht="18.75" customHeight="1" x14ac:dyDescent="0.35">
      <c r="A103" s="116">
        <v>2024</v>
      </c>
      <c r="B103" t="s">
        <v>176</v>
      </c>
      <c r="C103" s="124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41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48</v>
      </c>
      <c r="H103" t="s">
        <v>172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16">
        <v>0</v>
      </c>
    </row>
    <row r="104" spans="1:11" ht="18.75" customHeight="1" x14ac:dyDescent="0.35">
      <c r="A104" s="116">
        <v>2024</v>
      </c>
      <c r="B104" t="s">
        <v>176</v>
      </c>
      <c r="C104" s="124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41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49</v>
      </c>
      <c r="H104" t="s">
        <v>172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16">
        <v>1222</v>
      </c>
    </row>
    <row r="105" spans="1:11" ht="18.75" customHeight="1" x14ac:dyDescent="0.35">
      <c r="A105" s="116">
        <v>2024</v>
      </c>
      <c r="B105" t="s">
        <v>176</v>
      </c>
      <c r="C105" s="124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41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50</v>
      </c>
      <c r="H105" t="s">
        <v>172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16">
        <v>1567</v>
      </c>
    </row>
    <row r="106" spans="1:11" ht="18.75" customHeight="1" x14ac:dyDescent="0.35">
      <c r="A106" s="116">
        <v>2024</v>
      </c>
      <c r="B106" t="s">
        <v>176</v>
      </c>
      <c r="C106" s="124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41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51</v>
      </c>
      <c r="H106" t="s">
        <v>172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16">
        <v>30</v>
      </c>
    </row>
    <row r="107" spans="1:11" ht="18.75" customHeight="1" x14ac:dyDescent="0.35">
      <c r="A107" s="116">
        <v>2024</v>
      </c>
      <c r="B107" t="s">
        <v>176</v>
      </c>
      <c r="C107" s="124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41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52</v>
      </c>
      <c r="H107" t="s">
        <v>172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16">
        <v>655</v>
      </c>
    </row>
    <row r="108" spans="1:11" ht="18.75" customHeight="1" x14ac:dyDescent="0.35">
      <c r="A108" s="116">
        <v>2024</v>
      </c>
      <c r="B108" t="s">
        <v>176</v>
      </c>
      <c r="C108" s="124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41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53</v>
      </c>
      <c r="H108" t="s">
        <v>172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16">
        <v>185</v>
      </c>
    </row>
    <row r="109" spans="1:11" ht="18.75" customHeight="1" x14ac:dyDescent="0.35">
      <c r="A109" s="116">
        <v>2024</v>
      </c>
      <c r="B109" t="s">
        <v>176</v>
      </c>
      <c r="C109" s="124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41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54</v>
      </c>
      <c r="H109" t="s">
        <v>172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16">
        <v>5</v>
      </c>
    </row>
    <row r="110" spans="1:11" ht="18.75" customHeight="1" x14ac:dyDescent="0.35">
      <c r="A110" s="116">
        <v>2024</v>
      </c>
      <c r="B110" t="s">
        <v>176</v>
      </c>
      <c r="C110" s="124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55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56</v>
      </c>
      <c r="H110" t="s">
        <v>172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16">
        <v>95</v>
      </c>
    </row>
    <row r="111" spans="1:11" ht="18.75" customHeight="1" x14ac:dyDescent="0.35">
      <c r="A111" s="116">
        <v>2024</v>
      </c>
      <c r="B111" t="s">
        <v>176</v>
      </c>
      <c r="C111" s="124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57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58</v>
      </c>
      <c r="H111" t="s">
        <v>172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16">
        <v>67</v>
      </c>
    </row>
    <row r="112" spans="1:11" ht="18.75" customHeight="1" x14ac:dyDescent="0.35">
      <c r="A112" s="116">
        <v>2024</v>
      </c>
      <c r="B112" t="s">
        <v>176</v>
      </c>
      <c r="C112" s="124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28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172</v>
      </c>
      <c r="H112" t="s">
        <v>172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16">
        <v>5501400</v>
      </c>
    </row>
    <row r="113" spans="1:11" ht="18.75" customHeight="1" x14ac:dyDescent="0.35">
      <c r="A113" s="116">
        <v>2024</v>
      </c>
      <c r="B113" t="s">
        <v>176</v>
      </c>
      <c r="C113" s="124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29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172</v>
      </c>
      <c r="H113" t="s">
        <v>172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16">
        <v>0</v>
      </c>
    </row>
    <row r="114" spans="1:11" ht="18.75" customHeight="1" x14ac:dyDescent="0.35">
      <c r="A114" s="116">
        <v>2024</v>
      </c>
      <c r="B114" t="s">
        <v>176</v>
      </c>
      <c r="C114" s="124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30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172</v>
      </c>
      <c r="H114" t="s">
        <v>172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16">
        <v>0</v>
      </c>
    </row>
    <row r="115" spans="1:11" ht="18.75" customHeight="1" x14ac:dyDescent="0.35">
      <c r="A115" s="116">
        <v>2024</v>
      </c>
      <c r="B115" t="s">
        <v>176</v>
      </c>
      <c r="C115" s="124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32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172</v>
      </c>
      <c r="H115" t="s">
        <v>172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16">
        <v>935</v>
      </c>
    </row>
    <row r="116" spans="1:11" ht="18.75" customHeight="1" x14ac:dyDescent="0.35">
      <c r="A116" s="116">
        <v>2024</v>
      </c>
      <c r="B116" t="s">
        <v>176</v>
      </c>
      <c r="C116" s="124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209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172</v>
      </c>
      <c r="H116" t="s">
        <v>172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16">
        <v>164</v>
      </c>
    </row>
    <row r="117" spans="1:11" ht="18.75" customHeight="1" x14ac:dyDescent="0.35">
      <c r="A117" s="116">
        <v>2024</v>
      </c>
      <c r="B117" t="s">
        <v>176</v>
      </c>
      <c r="C117" s="124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31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172</v>
      </c>
      <c r="H117" t="s">
        <v>172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16">
        <v>1099</v>
      </c>
    </row>
    <row r="118" spans="1:11" ht="18.75" customHeight="1" x14ac:dyDescent="0.35">
      <c r="A118" s="116">
        <v>2024</v>
      </c>
      <c r="B118" t="s">
        <v>177</v>
      </c>
      <c r="C118" s="124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27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172</v>
      </c>
      <c r="H118" t="s">
        <v>172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16">
        <v>23858082</v>
      </c>
    </row>
    <row r="119" spans="1:11" ht="18.75" customHeight="1" x14ac:dyDescent="0.35">
      <c r="A119" s="126">
        <v>2024</v>
      </c>
      <c r="B119" t="s">
        <v>177</v>
      </c>
      <c r="C119" s="124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19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172</v>
      </c>
      <c r="H119" t="s">
        <v>172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16">
        <v>13879480</v>
      </c>
    </row>
    <row r="120" spans="1:11" ht="18.75" customHeight="1" x14ac:dyDescent="0.35">
      <c r="A120" s="116">
        <v>2024</v>
      </c>
      <c r="B120" t="s">
        <v>177</v>
      </c>
      <c r="C120" s="124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39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172</v>
      </c>
      <c r="H120" t="s">
        <v>172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16">
        <v>0</v>
      </c>
    </row>
    <row r="121" spans="1:11" ht="18.75" customHeight="1" x14ac:dyDescent="0.35">
      <c r="A121" s="116">
        <v>2024</v>
      </c>
      <c r="B121" t="s">
        <v>177</v>
      </c>
      <c r="C121" s="124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40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172</v>
      </c>
      <c r="H121" t="s">
        <v>172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16">
        <v>0</v>
      </c>
    </row>
    <row r="122" spans="1:11" ht="18.75" customHeight="1" x14ac:dyDescent="0.35">
      <c r="A122" s="116">
        <v>2024</v>
      </c>
      <c r="B122" t="s">
        <v>177</v>
      </c>
      <c r="C122" s="124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25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172</v>
      </c>
      <c r="H122" t="s">
        <v>172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16">
        <v>16525</v>
      </c>
    </row>
    <row r="123" spans="1:11" ht="18.75" customHeight="1" x14ac:dyDescent="0.35">
      <c r="A123" s="116">
        <v>2024</v>
      </c>
      <c r="B123" t="s">
        <v>177</v>
      </c>
      <c r="C123" s="124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34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172</v>
      </c>
      <c r="H123" t="s">
        <v>172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18">
        <v>0.80882352941176472</v>
      </c>
    </row>
    <row r="124" spans="1:11" ht="18.75" customHeight="1" x14ac:dyDescent="0.35">
      <c r="A124" s="116">
        <v>2024</v>
      </c>
      <c r="B124" t="s">
        <v>177</v>
      </c>
      <c r="C124" s="124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208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172</v>
      </c>
      <c r="H124" t="s">
        <v>172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18">
        <v>24.9</v>
      </c>
    </row>
    <row r="125" spans="1:11" ht="18.75" customHeight="1" x14ac:dyDescent="0.35">
      <c r="A125" s="116">
        <v>2024</v>
      </c>
      <c r="B125" t="s">
        <v>177</v>
      </c>
      <c r="C125" s="124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38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172</v>
      </c>
      <c r="H125" t="s">
        <v>172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16">
        <v>1116</v>
      </c>
    </row>
    <row r="126" spans="1:11" ht="18.75" customHeight="1" x14ac:dyDescent="0.35">
      <c r="A126" s="116">
        <v>2024</v>
      </c>
      <c r="B126" t="s">
        <v>177</v>
      </c>
      <c r="C126" s="124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41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42</v>
      </c>
      <c r="H126" t="s">
        <v>172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16">
        <v>616</v>
      </c>
    </row>
    <row r="127" spans="1:11" ht="18.75" customHeight="1" x14ac:dyDescent="0.35">
      <c r="A127" s="116">
        <v>2024</v>
      </c>
      <c r="B127" t="s">
        <v>177</v>
      </c>
      <c r="C127" s="124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41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43</v>
      </c>
      <c r="H127" t="s">
        <v>172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16">
        <v>1084</v>
      </c>
    </row>
    <row r="128" spans="1:11" ht="18.75" customHeight="1" x14ac:dyDescent="0.35">
      <c r="A128" s="116">
        <v>2024</v>
      </c>
      <c r="B128" t="s">
        <v>177</v>
      </c>
      <c r="C128" s="124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41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44</v>
      </c>
      <c r="H128" t="s">
        <v>172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16">
        <v>824</v>
      </c>
    </row>
    <row r="129" spans="1:11" ht="18.75" customHeight="1" x14ac:dyDescent="0.35">
      <c r="A129" s="116">
        <v>2024</v>
      </c>
      <c r="B129" t="s">
        <v>177</v>
      </c>
      <c r="C129" s="124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41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45</v>
      </c>
      <c r="H129" t="s">
        <v>172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16">
        <v>843</v>
      </c>
    </row>
    <row r="130" spans="1:11" ht="18.75" customHeight="1" x14ac:dyDescent="0.35">
      <c r="A130" s="116">
        <v>2024</v>
      </c>
      <c r="B130" t="s">
        <v>177</v>
      </c>
      <c r="C130" s="124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41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46</v>
      </c>
      <c r="H130" t="s">
        <v>172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16">
        <v>240</v>
      </c>
    </row>
    <row r="131" spans="1:11" ht="18.75" customHeight="1" x14ac:dyDescent="0.35">
      <c r="A131" s="116">
        <v>2024</v>
      </c>
      <c r="B131" t="s">
        <v>177</v>
      </c>
      <c r="C131" s="124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41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47</v>
      </c>
      <c r="H131" t="s">
        <v>172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16">
        <v>34</v>
      </c>
    </row>
    <row r="132" spans="1:11" ht="18.75" customHeight="1" x14ac:dyDescent="0.35">
      <c r="A132" s="116">
        <v>2024</v>
      </c>
      <c r="B132" t="s">
        <v>177</v>
      </c>
      <c r="C132" s="124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41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48</v>
      </c>
      <c r="H132" t="s">
        <v>172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16">
        <v>2032</v>
      </c>
    </row>
    <row r="133" spans="1:11" ht="18.75" customHeight="1" x14ac:dyDescent="0.35">
      <c r="A133" s="116">
        <v>2024</v>
      </c>
      <c r="B133" t="s">
        <v>177</v>
      </c>
      <c r="C133" s="124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41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49</v>
      </c>
      <c r="H133" t="s">
        <v>172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16">
        <v>836</v>
      </c>
    </row>
    <row r="134" spans="1:11" ht="18.75" customHeight="1" x14ac:dyDescent="0.35">
      <c r="A134" s="116">
        <v>2024</v>
      </c>
      <c r="B134" t="s">
        <v>177</v>
      </c>
      <c r="C134" s="124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41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50</v>
      </c>
      <c r="H134" t="s">
        <v>172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16">
        <v>1081</v>
      </c>
    </row>
    <row r="135" spans="1:11" ht="18.75" customHeight="1" x14ac:dyDescent="0.35">
      <c r="A135" s="116">
        <v>2024</v>
      </c>
      <c r="B135" t="s">
        <v>177</v>
      </c>
      <c r="C135" s="124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41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51</v>
      </c>
      <c r="H135" t="s">
        <v>172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16">
        <v>1045</v>
      </c>
    </row>
    <row r="136" spans="1:11" ht="18.75" customHeight="1" x14ac:dyDescent="0.35">
      <c r="A136" s="116">
        <v>2024</v>
      </c>
      <c r="B136" t="s">
        <v>177</v>
      </c>
      <c r="C136" s="124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41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52</v>
      </c>
      <c r="H136" t="s">
        <v>172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16">
        <v>487</v>
      </c>
    </row>
    <row r="137" spans="1:11" ht="18.75" customHeight="1" x14ac:dyDescent="0.35">
      <c r="A137" s="116">
        <v>2024</v>
      </c>
      <c r="B137" t="s">
        <v>177</v>
      </c>
      <c r="C137" s="124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41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53</v>
      </c>
      <c r="H137" t="s">
        <v>172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16">
        <v>281</v>
      </c>
    </row>
    <row r="138" spans="1:11" ht="18.75" customHeight="1" x14ac:dyDescent="0.35">
      <c r="A138" s="116">
        <v>2024</v>
      </c>
      <c r="B138" t="s">
        <v>177</v>
      </c>
      <c r="C138" s="124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41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54</v>
      </c>
      <c r="H138" t="s">
        <v>172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16">
        <v>3</v>
      </c>
    </row>
    <row r="139" spans="1:11" ht="18.75" customHeight="1" x14ac:dyDescent="0.35">
      <c r="A139" s="116">
        <v>2024</v>
      </c>
      <c r="B139" t="s">
        <v>177</v>
      </c>
      <c r="C139" s="124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55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56</v>
      </c>
      <c r="H139" t="s">
        <v>172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16">
        <v>74</v>
      </c>
    </row>
    <row r="140" spans="1:11" ht="18.75" customHeight="1" x14ac:dyDescent="0.35">
      <c r="A140" s="116">
        <v>2024</v>
      </c>
      <c r="B140" t="s">
        <v>177</v>
      </c>
      <c r="C140" s="124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57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58</v>
      </c>
      <c r="H140" t="s">
        <v>172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16">
        <v>77</v>
      </c>
    </row>
    <row r="141" spans="1:11" ht="18.75" customHeight="1" x14ac:dyDescent="0.35">
      <c r="A141" s="116">
        <v>2024</v>
      </c>
      <c r="B141" t="s">
        <v>177</v>
      </c>
      <c r="C141" s="124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28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172</v>
      </c>
      <c r="H141" t="s">
        <v>172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16">
        <v>0</v>
      </c>
    </row>
    <row r="142" spans="1:11" ht="18.75" customHeight="1" x14ac:dyDescent="0.35">
      <c r="A142" s="116">
        <v>2024</v>
      </c>
      <c r="B142" t="s">
        <v>177</v>
      </c>
      <c r="C142" s="124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29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172</v>
      </c>
      <c r="H142" t="s">
        <v>172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16">
        <v>0</v>
      </c>
    </row>
    <row r="143" spans="1:11" ht="18.75" customHeight="1" x14ac:dyDescent="0.35">
      <c r="A143" s="116">
        <v>2024</v>
      </c>
      <c r="B143" t="s">
        <v>177</v>
      </c>
      <c r="C143" s="124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30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172</v>
      </c>
      <c r="H143" t="s">
        <v>172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16">
        <v>0</v>
      </c>
    </row>
    <row r="144" spans="1:11" ht="18.75" customHeight="1" x14ac:dyDescent="0.35">
      <c r="A144" s="116">
        <v>2024</v>
      </c>
      <c r="B144" t="s">
        <v>177</v>
      </c>
      <c r="C144" s="124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32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172</v>
      </c>
      <c r="H144" t="s">
        <v>172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16">
        <v>880</v>
      </c>
    </row>
    <row r="145" spans="1:11" ht="18.75" customHeight="1" x14ac:dyDescent="0.35">
      <c r="A145" s="116">
        <v>2024</v>
      </c>
      <c r="B145" t="s">
        <v>177</v>
      </c>
      <c r="C145" s="124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209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172</v>
      </c>
      <c r="H145" t="s">
        <v>172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16">
        <v>208</v>
      </c>
    </row>
    <row r="146" spans="1:11" ht="18.75" customHeight="1" x14ac:dyDescent="0.35">
      <c r="A146" s="116">
        <v>2024</v>
      </c>
      <c r="B146" t="s">
        <v>177</v>
      </c>
      <c r="C146" s="124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31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172</v>
      </c>
      <c r="H146" t="s">
        <v>172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16">
        <v>1088</v>
      </c>
    </row>
    <row r="147" spans="1:11" ht="18.75" customHeight="1" x14ac:dyDescent="0.35">
      <c r="A147" s="116">
        <v>2024</v>
      </c>
      <c r="B147" t="s">
        <v>178</v>
      </c>
      <c r="C147" s="124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27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172</v>
      </c>
      <c r="H147" t="s">
        <v>172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16">
        <v>23858082</v>
      </c>
    </row>
    <row r="148" spans="1:11" ht="18.75" customHeight="1" x14ac:dyDescent="0.35">
      <c r="A148" s="126">
        <v>2024</v>
      </c>
      <c r="B148" t="s">
        <v>178</v>
      </c>
      <c r="C148" s="124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19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172</v>
      </c>
      <c r="H148" t="s">
        <v>172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16">
        <v>18840520</v>
      </c>
    </row>
    <row r="149" spans="1:11" ht="18.75" customHeight="1" x14ac:dyDescent="0.35">
      <c r="A149" s="116">
        <v>2024</v>
      </c>
      <c r="B149" t="s">
        <v>178</v>
      </c>
      <c r="C149" s="124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39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172</v>
      </c>
      <c r="H149" t="s">
        <v>172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16">
        <v>0</v>
      </c>
    </row>
    <row r="150" spans="1:11" ht="18.75" customHeight="1" x14ac:dyDescent="0.35">
      <c r="A150" s="116">
        <v>2024</v>
      </c>
      <c r="B150" t="s">
        <v>178</v>
      </c>
      <c r="C150" s="124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40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172</v>
      </c>
      <c r="H150" t="s">
        <v>172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16">
        <v>0</v>
      </c>
    </row>
    <row r="151" spans="1:11" ht="18.75" customHeight="1" x14ac:dyDescent="0.35">
      <c r="A151" s="116">
        <v>2024</v>
      </c>
      <c r="B151" t="s">
        <v>178</v>
      </c>
      <c r="C151" s="124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25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172</v>
      </c>
      <c r="H151" t="s">
        <v>172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16">
        <v>16175</v>
      </c>
    </row>
    <row r="152" spans="1:11" ht="18.75" customHeight="1" x14ac:dyDescent="0.35">
      <c r="A152" s="116">
        <v>2024</v>
      </c>
      <c r="B152" t="s">
        <v>178</v>
      </c>
      <c r="C152" s="124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34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172</v>
      </c>
      <c r="H152" t="s">
        <v>172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18">
        <v>0.90909090909090906</v>
      </c>
    </row>
    <row r="153" spans="1:11" ht="18.75" customHeight="1" x14ac:dyDescent="0.35">
      <c r="A153" s="116">
        <v>2024</v>
      </c>
      <c r="B153" t="s">
        <v>178</v>
      </c>
      <c r="C153" s="124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208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172</v>
      </c>
      <c r="H153" t="s">
        <v>172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18">
        <v>28.1</v>
      </c>
    </row>
    <row r="154" spans="1:11" ht="18.75" customHeight="1" x14ac:dyDescent="0.35">
      <c r="A154" s="116">
        <v>2024</v>
      </c>
      <c r="B154" t="s">
        <v>178</v>
      </c>
      <c r="C154" s="124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38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172</v>
      </c>
      <c r="H154" t="s">
        <v>172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16">
        <v>1061</v>
      </c>
    </row>
    <row r="155" spans="1:11" ht="18.75" customHeight="1" x14ac:dyDescent="0.35">
      <c r="A155" s="116">
        <v>2024</v>
      </c>
      <c r="B155" t="s">
        <v>178</v>
      </c>
      <c r="C155" s="124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41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42</v>
      </c>
      <c r="H155" t="s">
        <v>172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16">
        <v>720</v>
      </c>
    </row>
    <row r="156" spans="1:11" ht="18.75" customHeight="1" x14ac:dyDescent="0.35">
      <c r="A156" s="116">
        <v>2024</v>
      </c>
      <c r="B156" t="s">
        <v>178</v>
      </c>
      <c r="C156" s="124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41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43</v>
      </c>
      <c r="H156" t="s">
        <v>172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16">
        <v>1012</v>
      </c>
    </row>
    <row r="157" spans="1:11" ht="18.75" customHeight="1" x14ac:dyDescent="0.35">
      <c r="A157" s="116">
        <v>2024</v>
      </c>
      <c r="B157" t="s">
        <v>178</v>
      </c>
      <c r="C157" s="124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41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44</v>
      </c>
      <c r="H157" t="s">
        <v>172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16">
        <v>800</v>
      </c>
    </row>
    <row r="158" spans="1:11" ht="18.75" customHeight="1" x14ac:dyDescent="0.35">
      <c r="A158" s="116">
        <v>2024</v>
      </c>
      <c r="B158" t="s">
        <v>178</v>
      </c>
      <c r="C158" s="124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41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45</v>
      </c>
      <c r="H158" t="s">
        <v>172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16">
        <v>789</v>
      </c>
    </row>
    <row r="159" spans="1:11" ht="18.75" customHeight="1" x14ac:dyDescent="0.35">
      <c r="A159" s="116">
        <v>2024</v>
      </c>
      <c r="B159" t="s">
        <v>178</v>
      </c>
      <c r="C159" s="124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41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46</v>
      </c>
      <c r="H159" t="s">
        <v>172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16">
        <v>39</v>
      </c>
    </row>
    <row r="160" spans="1:11" ht="18.75" customHeight="1" x14ac:dyDescent="0.35">
      <c r="A160" s="116">
        <v>2024</v>
      </c>
      <c r="B160" t="s">
        <v>178</v>
      </c>
      <c r="C160" s="124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41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47</v>
      </c>
      <c r="H160" t="s">
        <v>172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16">
        <v>37</v>
      </c>
    </row>
    <row r="161" spans="1:11" ht="18.75" customHeight="1" x14ac:dyDescent="0.35">
      <c r="A161" s="116">
        <v>2024</v>
      </c>
      <c r="B161" t="s">
        <v>178</v>
      </c>
      <c r="C161" s="124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41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48</v>
      </c>
      <c r="H161" t="s">
        <v>172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16">
        <v>2198</v>
      </c>
    </row>
    <row r="162" spans="1:11" ht="18.75" customHeight="1" x14ac:dyDescent="0.35">
      <c r="A162" s="116">
        <v>2024</v>
      </c>
      <c r="B162" t="s">
        <v>178</v>
      </c>
      <c r="C162" s="124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41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49</v>
      </c>
      <c r="H162" t="s">
        <v>172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16">
        <v>980</v>
      </c>
    </row>
    <row r="163" spans="1:11" ht="18.75" customHeight="1" x14ac:dyDescent="0.35">
      <c r="A163" s="116">
        <v>2024</v>
      </c>
      <c r="B163" t="s">
        <v>178</v>
      </c>
      <c r="C163" s="124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41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50</v>
      </c>
      <c r="H163" t="s">
        <v>172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16">
        <v>1180</v>
      </c>
    </row>
    <row r="164" spans="1:11" ht="18.75" customHeight="1" x14ac:dyDescent="0.35">
      <c r="A164" s="116">
        <v>2024</v>
      </c>
      <c r="B164" t="s">
        <v>178</v>
      </c>
      <c r="C164" s="124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41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51</v>
      </c>
      <c r="H164" t="s">
        <v>172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16">
        <v>1125</v>
      </c>
    </row>
    <row r="165" spans="1:11" ht="18.75" customHeight="1" x14ac:dyDescent="0.35">
      <c r="A165" s="116">
        <v>2024</v>
      </c>
      <c r="B165" t="s">
        <v>178</v>
      </c>
      <c r="C165" s="124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41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52</v>
      </c>
      <c r="H165" t="s">
        <v>172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16">
        <v>477</v>
      </c>
    </row>
    <row r="166" spans="1:11" ht="18.75" customHeight="1" x14ac:dyDescent="0.35">
      <c r="A166" s="116">
        <v>2024</v>
      </c>
      <c r="B166" t="s">
        <v>178</v>
      </c>
      <c r="C166" s="124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41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53</v>
      </c>
      <c r="H166" t="s">
        <v>172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16">
        <v>298</v>
      </c>
    </row>
    <row r="167" spans="1:11" ht="18.75" customHeight="1" x14ac:dyDescent="0.35">
      <c r="A167" s="116">
        <v>2024</v>
      </c>
      <c r="B167" t="s">
        <v>178</v>
      </c>
      <c r="C167" s="124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41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54</v>
      </c>
      <c r="H167" t="s">
        <v>172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16">
        <v>0</v>
      </c>
    </row>
    <row r="168" spans="1:11" ht="18.75" customHeight="1" x14ac:dyDescent="0.35">
      <c r="A168" s="116">
        <v>2024</v>
      </c>
      <c r="B168" t="s">
        <v>178</v>
      </c>
      <c r="C168" s="124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55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56</v>
      </c>
      <c r="H168" t="s">
        <v>172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16">
        <v>122</v>
      </c>
    </row>
    <row r="169" spans="1:11" ht="18.75" customHeight="1" x14ac:dyDescent="0.35">
      <c r="A169" s="116">
        <v>2024</v>
      </c>
      <c r="B169" t="s">
        <v>178</v>
      </c>
      <c r="C169" s="124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57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58</v>
      </c>
      <c r="H169" t="s">
        <v>172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16">
        <v>77</v>
      </c>
    </row>
    <row r="170" spans="1:11" ht="18.75" customHeight="1" x14ac:dyDescent="0.35">
      <c r="A170" s="116">
        <v>2024</v>
      </c>
      <c r="B170" t="s">
        <v>178</v>
      </c>
      <c r="C170" s="124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28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172</v>
      </c>
      <c r="H170" t="s">
        <v>172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16">
        <v>0</v>
      </c>
    </row>
    <row r="171" spans="1:11" ht="18.75" customHeight="1" x14ac:dyDescent="0.35">
      <c r="A171" s="116">
        <v>2024</v>
      </c>
      <c r="B171" t="s">
        <v>178</v>
      </c>
      <c r="C171" s="124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29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172</v>
      </c>
      <c r="H171" t="s">
        <v>172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16">
        <v>0</v>
      </c>
    </row>
    <row r="172" spans="1:11" ht="18.75" customHeight="1" x14ac:dyDescent="0.35">
      <c r="A172" s="116">
        <v>2024</v>
      </c>
      <c r="B172" t="s">
        <v>178</v>
      </c>
      <c r="C172" s="124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30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172</v>
      </c>
      <c r="H172" t="s">
        <v>172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16">
        <v>0</v>
      </c>
    </row>
    <row r="173" spans="1:11" ht="18.75" customHeight="1" x14ac:dyDescent="0.35">
      <c r="A173" s="116">
        <v>2024</v>
      </c>
      <c r="B173" t="s">
        <v>178</v>
      </c>
      <c r="C173" s="124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32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172</v>
      </c>
      <c r="H173" t="s">
        <v>172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16">
        <v>690</v>
      </c>
    </row>
    <row r="174" spans="1:11" ht="18.75" customHeight="1" x14ac:dyDescent="0.35">
      <c r="A174" s="116">
        <v>2024</v>
      </c>
      <c r="B174" t="s">
        <v>178</v>
      </c>
      <c r="C174" s="124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209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172</v>
      </c>
      <c r="H174" t="s">
        <v>172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16">
        <v>69</v>
      </c>
    </row>
    <row r="175" spans="1:11" ht="18.75" customHeight="1" x14ac:dyDescent="0.35">
      <c r="A175" s="116">
        <v>2024</v>
      </c>
      <c r="B175" t="s">
        <v>178</v>
      </c>
      <c r="C175" s="124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31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172</v>
      </c>
      <c r="H175" t="s">
        <v>172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16">
        <v>759</v>
      </c>
    </row>
    <row r="176" spans="1:11" ht="18.75" customHeight="1" x14ac:dyDescent="0.35">
      <c r="A176" s="116">
        <v>2024</v>
      </c>
      <c r="B176" t="s">
        <v>179</v>
      </c>
      <c r="C176" s="124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27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172</v>
      </c>
      <c r="H176" t="s">
        <v>172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16">
        <v>23858082</v>
      </c>
    </row>
    <row r="177" spans="1:11" ht="18.75" customHeight="1" x14ac:dyDescent="0.35">
      <c r="A177" s="116">
        <v>2024</v>
      </c>
      <c r="B177" t="s">
        <v>179</v>
      </c>
      <c r="C177" s="124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19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172</v>
      </c>
      <c r="H177" t="s">
        <v>172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16">
        <v>5771110</v>
      </c>
    </row>
    <row r="178" spans="1:11" ht="18.75" customHeight="1" x14ac:dyDescent="0.35">
      <c r="A178" s="126">
        <v>2024</v>
      </c>
      <c r="B178" t="s">
        <v>179</v>
      </c>
      <c r="C178" s="124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39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172</v>
      </c>
      <c r="H178" t="s">
        <v>172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16">
        <v>0</v>
      </c>
    </row>
    <row r="179" spans="1:11" ht="18.75" customHeight="1" x14ac:dyDescent="0.35">
      <c r="A179" s="116">
        <v>2024</v>
      </c>
      <c r="B179" t="s">
        <v>179</v>
      </c>
      <c r="C179" s="124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40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172</v>
      </c>
      <c r="H179" t="s">
        <v>172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16">
        <v>0</v>
      </c>
    </row>
    <row r="180" spans="1:11" ht="18.75" customHeight="1" x14ac:dyDescent="0.35">
      <c r="A180" s="116">
        <v>2024</v>
      </c>
      <c r="B180" t="s">
        <v>179</v>
      </c>
      <c r="C180" s="124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25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172</v>
      </c>
      <c r="H180" t="s">
        <v>172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16">
        <v>19350</v>
      </c>
    </row>
    <row r="181" spans="1:11" ht="18.75" customHeight="1" x14ac:dyDescent="0.35">
      <c r="A181" s="116">
        <v>2024</v>
      </c>
      <c r="B181" t="s">
        <v>179</v>
      </c>
      <c r="C181" s="124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34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172</v>
      </c>
      <c r="H181" t="s">
        <v>172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18">
        <v>0.80956521739130438</v>
      </c>
    </row>
    <row r="182" spans="1:11" ht="18.75" customHeight="1" x14ac:dyDescent="0.35">
      <c r="A182" s="116">
        <v>2024</v>
      </c>
      <c r="B182" t="s">
        <v>179</v>
      </c>
      <c r="C182" s="124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208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172</v>
      </c>
      <c r="H182" t="s">
        <v>172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18">
        <v>26.4</v>
      </c>
    </row>
    <row r="183" spans="1:11" ht="18.75" customHeight="1" x14ac:dyDescent="0.35">
      <c r="A183" s="116">
        <v>2024</v>
      </c>
      <c r="B183" t="s">
        <v>179</v>
      </c>
      <c r="C183" s="124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38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172</v>
      </c>
      <c r="H183" t="s">
        <v>172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16">
        <v>1111</v>
      </c>
    </row>
    <row r="184" spans="1:11" ht="18.75" customHeight="1" x14ac:dyDescent="0.35">
      <c r="A184" s="116">
        <v>2024</v>
      </c>
      <c r="B184" t="s">
        <v>179</v>
      </c>
      <c r="C184" s="124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41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42</v>
      </c>
      <c r="H184" t="s">
        <v>172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16">
        <v>619</v>
      </c>
    </row>
    <row r="185" spans="1:11" ht="18.75" customHeight="1" x14ac:dyDescent="0.35">
      <c r="A185" s="116">
        <v>2024</v>
      </c>
      <c r="B185" t="s">
        <v>179</v>
      </c>
      <c r="C185" s="124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41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43</v>
      </c>
      <c r="H185" t="s">
        <v>172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16">
        <v>963</v>
      </c>
    </row>
    <row r="186" spans="1:11" ht="18.75" customHeight="1" x14ac:dyDescent="0.35">
      <c r="A186" s="116">
        <v>2024</v>
      </c>
      <c r="B186" t="s">
        <v>179</v>
      </c>
      <c r="C186" s="124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41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44</v>
      </c>
      <c r="H186" t="s">
        <v>172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16">
        <v>941</v>
      </c>
    </row>
    <row r="187" spans="1:11" ht="18.75" customHeight="1" x14ac:dyDescent="0.35">
      <c r="A187" s="116">
        <v>2024</v>
      </c>
      <c r="B187" t="s">
        <v>179</v>
      </c>
      <c r="C187" s="124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41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45</v>
      </c>
      <c r="H187" t="s">
        <v>172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16">
        <v>781</v>
      </c>
    </row>
    <row r="188" spans="1:11" ht="18.75" customHeight="1" x14ac:dyDescent="0.35">
      <c r="A188" s="116">
        <v>2024</v>
      </c>
      <c r="B188" t="s">
        <v>179</v>
      </c>
      <c r="C188" s="124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41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46</v>
      </c>
      <c r="H188" t="s">
        <v>172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16">
        <v>1024</v>
      </c>
    </row>
    <row r="189" spans="1:11" ht="18.75" customHeight="1" x14ac:dyDescent="0.35">
      <c r="A189" s="116">
        <v>2024</v>
      </c>
      <c r="B189" t="s">
        <v>179</v>
      </c>
      <c r="C189" s="124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41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47</v>
      </c>
      <c r="H189" t="s">
        <v>172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16">
        <v>29</v>
      </c>
    </row>
    <row r="190" spans="1:11" ht="18.75" customHeight="1" x14ac:dyDescent="0.35">
      <c r="A190" s="116">
        <v>2024</v>
      </c>
      <c r="B190" t="s">
        <v>179</v>
      </c>
      <c r="C190" s="124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41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48</v>
      </c>
      <c r="H190" t="s">
        <v>172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16">
        <v>1735</v>
      </c>
    </row>
    <row r="191" spans="1:11" ht="18.75" customHeight="1" x14ac:dyDescent="0.35">
      <c r="A191" s="116">
        <v>2024</v>
      </c>
      <c r="B191" t="s">
        <v>179</v>
      </c>
      <c r="C191" s="124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41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49</v>
      </c>
      <c r="H191" t="s">
        <v>172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16">
        <v>1554</v>
      </c>
    </row>
    <row r="192" spans="1:11" ht="18.75" customHeight="1" x14ac:dyDescent="0.35">
      <c r="A192" s="116">
        <v>2024</v>
      </c>
      <c r="B192" t="s">
        <v>179</v>
      </c>
      <c r="C192" s="124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41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50</v>
      </c>
      <c r="H192" t="s">
        <v>172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16">
        <v>1051</v>
      </c>
    </row>
    <row r="193" spans="1:11" ht="18.75" customHeight="1" x14ac:dyDescent="0.35">
      <c r="A193" s="116">
        <v>2024</v>
      </c>
      <c r="B193" t="s">
        <v>179</v>
      </c>
      <c r="C193" s="124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41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51</v>
      </c>
      <c r="H193" t="s">
        <v>172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16">
        <v>992</v>
      </c>
    </row>
    <row r="194" spans="1:11" ht="18.75" customHeight="1" x14ac:dyDescent="0.35">
      <c r="A194" s="116">
        <v>2024</v>
      </c>
      <c r="B194" t="s">
        <v>179</v>
      </c>
      <c r="C194" s="124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41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52</v>
      </c>
      <c r="H194" t="s">
        <v>172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16">
        <v>623</v>
      </c>
    </row>
    <row r="195" spans="1:11" ht="18.75" customHeight="1" x14ac:dyDescent="0.35">
      <c r="A195" s="116">
        <v>2024</v>
      </c>
      <c r="B195" t="s">
        <v>179</v>
      </c>
      <c r="C195" s="124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41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53</v>
      </c>
      <c r="H195" t="s">
        <v>172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16">
        <v>224</v>
      </c>
    </row>
    <row r="196" spans="1:11" ht="18.75" customHeight="1" x14ac:dyDescent="0.35">
      <c r="A196" s="116">
        <v>2024</v>
      </c>
      <c r="B196" t="s">
        <v>179</v>
      </c>
      <c r="C196" s="124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41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54</v>
      </c>
      <c r="H196" t="s">
        <v>172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16">
        <v>21</v>
      </c>
    </row>
    <row r="197" spans="1:11" ht="18.75" customHeight="1" x14ac:dyDescent="0.35">
      <c r="A197" s="116">
        <v>2024</v>
      </c>
      <c r="B197" t="s">
        <v>179</v>
      </c>
      <c r="C197" s="124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55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56</v>
      </c>
      <c r="H197" t="s">
        <v>172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16">
        <v>128</v>
      </c>
    </row>
    <row r="198" spans="1:11" ht="18.75" customHeight="1" x14ac:dyDescent="0.35">
      <c r="A198" s="116">
        <v>2024</v>
      </c>
      <c r="B198" t="s">
        <v>179</v>
      </c>
      <c r="C198" s="124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57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58</v>
      </c>
      <c r="H198" t="s">
        <v>172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16">
        <v>59</v>
      </c>
    </row>
    <row r="199" spans="1:11" ht="18.75" customHeight="1" x14ac:dyDescent="0.35">
      <c r="A199" s="116">
        <v>2024</v>
      </c>
      <c r="B199" t="s">
        <v>179</v>
      </c>
      <c r="C199" s="124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28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172</v>
      </c>
      <c r="H199" t="s">
        <v>172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16">
        <v>0</v>
      </c>
    </row>
    <row r="200" spans="1:11" ht="18.75" customHeight="1" x14ac:dyDescent="0.35">
      <c r="A200" s="116">
        <v>2024</v>
      </c>
      <c r="B200" t="s">
        <v>179</v>
      </c>
      <c r="C200" s="124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29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172</v>
      </c>
      <c r="H200" t="s">
        <v>172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16">
        <v>11478272</v>
      </c>
    </row>
    <row r="201" spans="1:11" ht="18.75" customHeight="1" x14ac:dyDescent="0.35">
      <c r="A201" s="116">
        <v>2024</v>
      </c>
      <c r="B201" t="s">
        <v>179</v>
      </c>
      <c r="C201" s="124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30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172</v>
      </c>
      <c r="H201" t="s">
        <v>172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16">
        <v>24655019</v>
      </c>
    </row>
    <row r="202" spans="1:11" ht="18.75" customHeight="1" x14ac:dyDescent="0.35">
      <c r="A202" s="116">
        <v>2024</v>
      </c>
      <c r="B202" t="s">
        <v>179</v>
      </c>
      <c r="C202" s="124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32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172</v>
      </c>
      <c r="H202" t="s">
        <v>172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16">
        <v>931</v>
      </c>
    </row>
    <row r="203" spans="1:11" ht="18.75" customHeight="1" x14ac:dyDescent="0.35">
      <c r="A203" s="116">
        <v>2024</v>
      </c>
      <c r="B203" t="s">
        <v>179</v>
      </c>
      <c r="C203" s="124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209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172</v>
      </c>
      <c r="H203" t="s">
        <v>172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16">
        <v>219</v>
      </c>
    </row>
    <row r="204" spans="1:11" ht="18.75" customHeight="1" x14ac:dyDescent="0.35">
      <c r="A204" s="116">
        <v>2024</v>
      </c>
      <c r="B204" t="s">
        <v>179</v>
      </c>
      <c r="C204" s="124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31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172</v>
      </c>
      <c r="H204" t="s">
        <v>172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16">
        <v>1150</v>
      </c>
    </row>
    <row r="205" spans="1:11" ht="18.75" customHeight="1" x14ac:dyDescent="0.35">
      <c r="A205" s="116">
        <v>2024</v>
      </c>
      <c r="B205" t="s">
        <v>180</v>
      </c>
      <c r="C205" s="124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27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172</v>
      </c>
      <c r="H205" t="s">
        <v>172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16">
        <v>23858082</v>
      </c>
    </row>
    <row r="206" spans="1:11" ht="18.75" customHeight="1" x14ac:dyDescent="0.35">
      <c r="A206" s="116">
        <v>2024</v>
      </c>
      <c r="B206" t="s">
        <v>180</v>
      </c>
      <c r="C206" s="124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19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172</v>
      </c>
      <c r="H206" t="s">
        <v>172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16">
        <v>28288990</v>
      </c>
    </row>
    <row r="207" spans="1:11" ht="18.75" customHeight="1" x14ac:dyDescent="0.35">
      <c r="A207" s="126">
        <v>2024</v>
      </c>
      <c r="B207" t="s">
        <v>180</v>
      </c>
      <c r="C207" s="124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39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172</v>
      </c>
      <c r="H207" t="s">
        <v>172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16">
        <v>0</v>
      </c>
    </row>
    <row r="208" spans="1:11" ht="18.75" customHeight="1" x14ac:dyDescent="0.35">
      <c r="A208" s="116">
        <v>2024</v>
      </c>
      <c r="B208" t="s">
        <v>180</v>
      </c>
      <c r="C208" s="124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40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172</v>
      </c>
      <c r="H208" t="s">
        <v>172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16">
        <v>0</v>
      </c>
    </row>
    <row r="209" spans="1:11" ht="18.75" customHeight="1" x14ac:dyDescent="0.35">
      <c r="A209" s="116">
        <v>2024</v>
      </c>
      <c r="B209" t="s">
        <v>180</v>
      </c>
      <c r="C209" s="124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25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172</v>
      </c>
      <c r="H209" t="s">
        <v>172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16">
        <v>16849</v>
      </c>
    </row>
    <row r="210" spans="1:11" ht="18.75" customHeight="1" x14ac:dyDescent="0.35">
      <c r="A210" s="116">
        <v>2024</v>
      </c>
      <c r="B210" t="s">
        <v>180</v>
      </c>
      <c r="C210" s="124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34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172</v>
      </c>
      <c r="H210" t="s">
        <v>172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18">
        <v>0.702755905511811</v>
      </c>
    </row>
    <row r="211" spans="1:11" ht="18.75" customHeight="1" x14ac:dyDescent="0.35">
      <c r="A211" s="116">
        <v>2024</v>
      </c>
      <c r="B211" t="s">
        <v>180</v>
      </c>
      <c r="C211" s="124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208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172</v>
      </c>
      <c r="H211" t="s">
        <v>172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18">
        <v>26.1</v>
      </c>
    </row>
    <row r="212" spans="1:11" ht="18.75" customHeight="1" x14ac:dyDescent="0.35">
      <c r="A212" s="116">
        <v>2024</v>
      </c>
      <c r="B212" t="s">
        <v>180</v>
      </c>
      <c r="C212" s="124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38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172</v>
      </c>
      <c r="H212" t="s">
        <v>172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16">
        <v>1033</v>
      </c>
    </row>
    <row r="213" spans="1:11" ht="18.75" customHeight="1" x14ac:dyDescent="0.35">
      <c r="A213" s="116">
        <v>2024</v>
      </c>
      <c r="B213" t="s">
        <v>180</v>
      </c>
      <c r="C213" s="124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41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42</v>
      </c>
      <c r="H213" t="s">
        <v>172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16">
        <v>577</v>
      </c>
    </row>
    <row r="214" spans="1:11" ht="18.75" customHeight="1" x14ac:dyDescent="0.35">
      <c r="A214" s="116">
        <v>2024</v>
      </c>
      <c r="B214" t="s">
        <v>180</v>
      </c>
      <c r="C214" s="124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41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43</v>
      </c>
      <c r="H214" t="s">
        <v>172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16">
        <v>961</v>
      </c>
    </row>
    <row r="215" spans="1:11" ht="18.75" customHeight="1" x14ac:dyDescent="0.35">
      <c r="A215" s="116">
        <v>2024</v>
      </c>
      <c r="B215" t="s">
        <v>180</v>
      </c>
      <c r="C215" s="124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41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44</v>
      </c>
      <c r="H215" t="s">
        <v>172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16">
        <v>996</v>
      </c>
    </row>
    <row r="216" spans="1:11" ht="18.75" customHeight="1" x14ac:dyDescent="0.35">
      <c r="A216" s="116">
        <v>2024</v>
      </c>
      <c r="B216" t="s">
        <v>180</v>
      </c>
      <c r="C216" s="124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41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45</v>
      </c>
      <c r="H216" t="s">
        <v>172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16">
        <v>827</v>
      </c>
    </row>
    <row r="217" spans="1:11" ht="18.75" customHeight="1" x14ac:dyDescent="0.35">
      <c r="A217" s="116">
        <v>2024</v>
      </c>
      <c r="B217" t="s">
        <v>180</v>
      </c>
      <c r="C217" s="124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41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46</v>
      </c>
      <c r="H217" t="s">
        <v>172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16">
        <v>702</v>
      </c>
    </row>
    <row r="218" spans="1:11" ht="18.75" customHeight="1" x14ac:dyDescent="0.35">
      <c r="A218" s="116">
        <v>2024</v>
      </c>
      <c r="B218" t="s">
        <v>180</v>
      </c>
      <c r="C218" s="124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41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47</v>
      </c>
      <c r="H218" t="s">
        <v>172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16">
        <v>29</v>
      </c>
    </row>
    <row r="219" spans="1:11" ht="18.75" customHeight="1" x14ac:dyDescent="0.35">
      <c r="A219" s="116">
        <v>2024</v>
      </c>
      <c r="B219" t="s">
        <v>180</v>
      </c>
      <c r="C219" s="124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41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48</v>
      </c>
      <c r="H219" t="s">
        <v>172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16">
        <v>1337</v>
      </c>
    </row>
    <row r="220" spans="1:11" ht="18.75" customHeight="1" x14ac:dyDescent="0.35">
      <c r="A220" s="116">
        <v>2024</v>
      </c>
      <c r="B220" t="s">
        <v>180</v>
      </c>
      <c r="C220" s="124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41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49</v>
      </c>
      <c r="H220" t="s">
        <v>172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16">
        <v>861</v>
      </c>
    </row>
    <row r="221" spans="1:11" ht="18.75" customHeight="1" x14ac:dyDescent="0.35">
      <c r="A221" s="116">
        <v>2024</v>
      </c>
      <c r="B221" t="s">
        <v>180</v>
      </c>
      <c r="C221" s="124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41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50</v>
      </c>
      <c r="H221" t="s">
        <v>172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16">
        <v>1098</v>
      </c>
    </row>
    <row r="222" spans="1:11" ht="18.75" customHeight="1" x14ac:dyDescent="0.35">
      <c r="A222" s="116">
        <v>2024</v>
      </c>
      <c r="B222" t="s">
        <v>180</v>
      </c>
      <c r="C222" s="124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41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51</v>
      </c>
      <c r="H222" t="s">
        <v>172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16">
        <v>1045</v>
      </c>
    </row>
    <row r="223" spans="1:11" ht="18.75" customHeight="1" x14ac:dyDescent="0.35">
      <c r="A223" s="116">
        <v>2024</v>
      </c>
      <c r="B223" t="s">
        <v>180</v>
      </c>
      <c r="C223" s="124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41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52</v>
      </c>
      <c r="H223" t="s">
        <v>172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16">
        <v>486</v>
      </c>
    </row>
    <row r="224" spans="1:11" ht="18.75" customHeight="1" x14ac:dyDescent="0.35">
      <c r="A224" s="116">
        <v>2024</v>
      </c>
      <c r="B224" t="s">
        <v>180</v>
      </c>
      <c r="C224" s="124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41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53</v>
      </c>
      <c r="H224" t="s">
        <v>172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16">
        <v>239</v>
      </c>
    </row>
    <row r="225" spans="1:11" ht="18.75" customHeight="1" x14ac:dyDescent="0.35">
      <c r="A225" s="116">
        <v>2024</v>
      </c>
      <c r="B225" t="s">
        <v>180</v>
      </c>
      <c r="C225" s="124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41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54</v>
      </c>
      <c r="H225" t="s">
        <v>172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16">
        <v>43</v>
      </c>
    </row>
    <row r="226" spans="1:11" ht="18.75" customHeight="1" x14ac:dyDescent="0.35">
      <c r="A226" s="116">
        <v>2024</v>
      </c>
      <c r="B226" t="s">
        <v>180</v>
      </c>
      <c r="C226" s="124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55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56</v>
      </c>
      <c r="H226" t="s">
        <v>172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16">
        <v>126</v>
      </c>
    </row>
    <row r="227" spans="1:11" ht="18.75" customHeight="1" x14ac:dyDescent="0.35">
      <c r="A227" s="116">
        <v>2024</v>
      </c>
      <c r="B227" t="s">
        <v>180</v>
      </c>
      <c r="C227" s="124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57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58</v>
      </c>
      <c r="H227" t="s">
        <v>172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16">
        <v>81</v>
      </c>
    </row>
    <row r="228" spans="1:11" ht="18.75" customHeight="1" x14ac:dyDescent="0.35">
      <c r="A228" s="116">
        <v>2024</v>
      </c>
      <c r="B228" t="s">
        <v>180</v>
      </c>
      <c r="C228" s="124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28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172</v>
      </c>
      <c r="H228" t="s">
        <v>172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16">
        <v>0</v>
      </c>
    </row>
    <row r="229" spans="1:11" ht="18.75" customHeight="1" x14ac:dyDescent="0.35">
      <c r="A229" s="116">
        <v>2024</v>
      </c>
      <c r="B229" t="s">
        <v>180</v>
      </c>
      <c r="C229" s="124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29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172</v>
      </c>
      <c r="H229" t="s">
        <v>172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16">
        <v>0</v>
      </c>
    </row>
    <row r="230" spans="1:11" ht="18.75" customHeight="1" x14ac:dyDescent="0.35">
      <c r="A230" s="116">
        <v>2024</v>
      </c>
      <c r="B230" t="s">
        <v>180</v>
      </c>
      <c r="C230" s="124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30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172</v>
      </c>
      <c r="H230" t="s">
        <v>172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16">
        <v>0</v>
      </c>
    </row>
    <row r="231" spans="1:11" ht="18.75" customHeight="1" x14ac:dyDescent="0.35">
      <c r="A231" s="116">
        <v>2024</v>
      </c>
      <c r="B231" t="s">
        <v>180</v>
      </c>
      <c r="C231" s="124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32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172</v>
      </c>
      <c r="H231" t="s">
        <v>172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16">
        <v>714</v>
      </c>
    </row>
    <row r="232" spans="1:11" ht="18.75" customHeight="1" x14ac:dyDescent="0.35">
      <c r="A232" s="116">
        <v>2024</v>
      </c>
      <c r="B232" t="s">
        <v>180</v>
      </c>
      <c r="C232" s="124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209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172</v>
      </c>
      <c r="H232" t="s">
        <v>172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16">
        <v>302</v>
      </c>
    </row>
    <row r="233" spans="1:11" ht="18.75" customHeight="1" x14ac:dyDescent="0.35">
      <c r="A233" s="116">
        <v>2024</v>
      </c>
      <c r="B233" t="s">
        <v>180</v>
      </c>
      <c r="C233" s="124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31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172</v>
      </c>
      <c r="H233" t="s">
        <v>172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16">
        <v>1016</v>
      </c>
    </row>
    <row r="234" spans="1:11" ht="18.75" customHeight="1" x14ac:dyDescent="0.35">
      <c r="A234" s="116">
        <v>2024</v>
      </c>
      <c r="B234" t="s">
        <v>181</v>
      </c>
      <c r="C234" s="124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27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172</v>
      </c>
      <c r="H234" t="s">
        <v>172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16">
        <v>23858082</v>
      </c>
    </row>
    <row r="235" spans="1:11" ht="18.75" customHeight="1" x14ac:dyDescent="0.35">
      <c r="A235" s="116">
        <v>2024</v>
      </c>
      <c r="B235" t="s">
        <v>181</v>
      </c>
      <c r="C235" s="124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19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172</v>
      </c>
      <c r="H235" t="s">
        <v>172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16">
        <v>17692865</v>
      </c>
    </row>
    <row r="236" spans="1:11" ht="18.75" customHeight="1" x14ac:dyDescent="0.35">
      <c r="A236" s="116">
        <v>2024</v>
      </c>
      <c r="B236" t="s">
        <v>181</v>
      </c>
      <c r="C236" s="124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39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172</v>
      </c>
      <c r="H236" t="s">
        <v>172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16">
        <v>3</v>
      </c>
    </row>
    <row r="237" spans="1:11" ht="18.75" customHeight="1" x14ac:dyDescent="0.35">
      <c r="A237" s="126">
        <v>2024</v>
      </c>
      <c r="B237" t="s">
        <v>181</v>
      </c>
      <c r="C237" s="124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40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172</v>
      </c>
      <c r="H237" t="s">
        <v>172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16">
        <v>0</v>
      </c>
    </row>
    <row r="238" spans="1:11" ht="18.75" customHeight="1" x14ac:dyDescent="0.35">
      <c r="A238" s="116">
        <v>2024</v>
      </c>
      <c r="B238" t="s">
        <v>181</v>
      </c>
      <c r="C238" s="124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25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172</v>
      </c>
      <c r="H238" t="s">
        <v>172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16">
        <v>17498</v>
      </c>
    </row>
    <row r="239" spans="1:11" ht="18.75" customHeight="1" x14ac:dyDescent="0.35">
      <c r="A239" s="116">
        <v>2024</v>
      </c>
      <c r="B239" t="s">
        <v>181</v>
      </c>
      <c r="C239" s="124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34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172</v>
      </c>
      <c r="H239" t="s">
        <v>172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18">
        <v>0.72335329341317367</v>
      </c>
    </row>
    <row r="240" spans="1:11" ht="18.75" customHeight="1" x14ac:dyDescent="0.35">
      <c r="A240" s="116">
        <v>2024</v>
      </c>
      <c r="B240" t="s">
        <v>181</v>
      </c>
      <c r="C240" s="124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208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172</v>
      </c>
      <c r="H240" t="s">
        <v>172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18">
        <v>25.7</v>
      </c>
    </row>
    <row r="241" spans="1:11" ht="18.75" customHeight="1" x14ac:dyDescent="0.35">
      <c r="A241" s="116">
        <v>2024</v>
      </c>
      <c r="B241" t="s">
        <v>181</v>
      </c>
      <c r="C241" s="124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38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172</v>
      </c>
      <c r="H241" t="s">
        <v>172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16">
        <v>1069</v>
      </c>
    </row>
    <row r="242" spans="1:11" ht="18.75" customHeight="1" x14ac:dyDescent="0.35">
      <c r="A242" s="116">
        <v>2024</v>
      </c>
      <c r="B242" t="s">
        <v>181</v>
      </c>
      <c r="C242" s="124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41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42</v>
      </c>
      <c r="H242" t="s">
        <v>172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16">
        <v>640</v>
      </c>
    </row>
    <row r="243" spans="1:11" ht="18.75" customHeight="1" x14ac:dyDescent="0.35">
      <c r="A243" s="116">
        <v>2024</v>
      </c>
      <c r="B243" t="s">
        <v>181</v>
      </c>
      <c r="C243" s="124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41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43</v>
      </c>
      <c r="H243" t="s">
        <v>172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16">
        <v>1009</v>
      </c>
    </row>
    <row r="244" spans="1:11" ht="18.75" customHeight="1" x14ac:dyDescent="0.35">
      <c r="A244" s="116">
        <v>2024</v>
      </c>
      <c r="B244" t="s">
        <v>181</v>
      </c>
      <c r="C244" s="124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41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44</v>
      </c>
      <c r="H244" t="s">
        <v>172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16">
        <v>1020</v>
      </c>
    </row>
    <row r="245" spans="1:11" ht="18.75" customHeight="1" x14ac:dyDescent="0.35">
      <c r="A245" s="116">
        <v>2024</v>
      </c>
      <c r="B245" t="s">
        <v>181</v>
      </c>
      <c r="C245" s="124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41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45</v>
      </c>
      <c r="H245" t="s">
        <v>172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16">
        <v>811</v>
      </c>
    </row>
    <row r="246" spans="1:11" ht="18.75" customHeight="1" x14ac:dyDescent="0.35">
      <c r="A246" s="116">
        <v>2024</v>
      </c>
      <c r="B246" t="s">
        <v>181</v>
      </c>
      <c r="C246" s="124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41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46</v>
      </c>
      <c r="H246" t="s">
        <v>172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16">
        <v>135</v>
      </c>
    </row>
    <row r="247" spans="1:11" ht="18.75" customHeight="1" x14ac:dyDescent="0.35">
      <c r="A247" s="116">
        <v>2024</v>
      </c>
      <c r="B247" t="s">
        <v>181</v>
      </c>
      <c r="C247" s="124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41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47</v>
      </c>
      <c r="H247" t="s">
        <v>172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16">
        <v>38</v>
      </c>
    </row>
    <row r="248" spans="1:11" ht="18.75" customHeight="1" x14ac:dyDescent="0.35">
      <c r="A248" s="116">
        <v>2024</v>
      </c>
      <c r="B248" t="s">
        <v>181</v>
      </c>
      <c r="C248" s="124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41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48</v>
      </c>
      <c r="H248" t="s">
        <v>172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16">
        <v>2186</v>
      </c>
    </row>
    <row r="249" spans="1:11" ht="18.75" customHeight="1" x14ac:dyDescent="0.35">
      <c r="A249" s="116">
        <v>2024</v>
      </c>
      <c r="B249" t="s">
        <v>181</v>
      </c>
      <c r="C249" s="124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41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49</v>
      </c>
      <c r="H249" t="s">
        <v>172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16">
        <v>853</v>
      </c>
    </row>
    <row r="250" spans="1:11" ht="18.75" customHeight="1" x14ac:dyDescent="0.35">
      <c r="A250" s="116">
        <v>2024</v>
      </c>
      <c r="B250" t="s">
        <v>181</v>
      </c>
      <c r="C250" s="124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41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50</v>
      </c>
      <c r="H250" t="s">
        <v>172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16">
        <v>980</v>
      </c>
    </row>
    <row r="251" spans="1:11" ht="18.75" customHeight="1" x14ac:dyDescent="0.35">
      <c r="A251" s="116">
        <v>2024</v>
      </c>
      <c r="B251" t="s">
        <v>181</v>
      </c>
      <c r="C251" s="124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41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51</v>
      </c>
      <c r="H251" t="s">
        <v>172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16">
        <v>1058</v>
      </c>
    </row>
    <row r="252" spans="1:11" ht="18.75" customHeight="1" x14ac:dyDescent="0.35">
      <c r="A252" s="116">
        <v>2024</v>
      </c>
      <c r="B252" t="s">
        <v>181</v>
      </c>
      <c r="C252" s="124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41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52</v>
      </c>
      <c r="H252" t="s">
        <v>172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16">
        <v>519</v>
      </c>
    </row>
    <row r="253" spans="1:11" ht="18.75" customHeight="1" x14ac:dyDescent="0.35">
      <c r="A253" s="116">
        <v>2024</v>
      </c>
      <c r="B253" t="s">
        <v>181</v>
      </c>
      <c r="C253" s="124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41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53</v>
      </c>
      <c r="H253" t="s">
        <v>172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16">
        <v>241</v>
      </c>
    </row>
    <row r="254" spans="1:11" ht="18.75" customHeight="1" x14ac:dyDescent="0.35">
      <c r="A254" s="116">
        <v>2024</v>
      </c>
      <c r="B254" t="s">
        <v>181</v>
      </c>
      <c r="C254" s="124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41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54</v>
      </c>
      <c r="H254" t="s">
        <v>172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16">
        <v>16</v>
      </c>
    </row>
    <row r="255" spans="1:11" ht="18.75" customHeight="1" x14ac:dyDescent="0.35">
      <c r="A255" s="116">
        <v>2024</v>
      </c>
      <c r="B255" t="s">
        <v>181</v>
      </c>
      <c r="C255" s="124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55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56</v>
      </c>
      <c r="H255" t="s">
        <v>172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16">
        <v>114</v>
      </c>
    </row>
    <row r="256" spans="1:11" ht="18.75" customHeight="1" x14ac:dyDescent="0.35">
      <c r="A256" s="116">
        <v>2024</v>
      </c>
      <c r="B256" t="s">
        <v>181</v>
      </c>
      <c r="C256" s="124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57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58</v>
      </c>
      <c r="H256" t="s">
        <v>172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16">
        <v>71</v>
      </c>
    </row>
    <row r="257" spans="1:11" ht="18.75" customHeight="1" x14ac:dyDescent="0.35">
      <c r="A257" s="116">
        <v>2024</v>
      </c>
      <c r="B257" t="s">
        <v>181</v>
      </c>
      <c r="C257" s="124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28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172</v>
      </c>
      <c r="H257" t="s">
        <v>172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16">
        <v>8923150</v>
      </c>
    </row>
    <row r="258" spans="1:11" ht="18.75" customHeight="1" x14ac:dyDescent="0.35">
      <c r="A258" s="116">
        <v>2024</v>
      </c>
      <c r="B258" t="s">
        <v>181</v>
      </c>
      <c r="C258" s="124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29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172</v>
      </c>
      <c r="H258" t="s">
        <v>172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16">
        <v>11475568</v>
      </c>
    </row>
    <row r="259" spans="1:11" ht="18.75" customHeight="1" x14ac:dyDescent="0.35">
      <c r="A259" s="116">
        <v>2024</v>
      </c>
      <c r="B259" t="s">
        <v>181</v>
      </c>
      <c r="C259" s="124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30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172</v>
      </c>
      <c r="H259" t="s">
        <v>172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16">
        <v>0</v>
      </c>
    </row>
    <row r="260" spans="1:11" ht="18.75" customHeight="1" x14ac:dyDescent="0.35">
      <c r="A260" s="116">
        <v>2024</v>
      </c>
      <c r="B260" t="s">
        <v>181</v>
      </c>
      <c r="C260" s="124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32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172</v>
      </c>
      <c r="H260" t="s">
        <v>172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16">
        <v>604</v>
      </c>
    </row>
    <row r="261" spans="1:11" ht="18.75" customHeight="1" x14ac:dyDescent="0.35">
      <c r="A261" s="116">
        <v>2024</v>
      </c>
      <c r="B261" t="s">
        <v>181</v>
      </c>
      <c r="C261" s="124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209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172</v>
      </c>
      <c r="H261" t="s">
        <v>172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16">
        <v>231</v>
      </c>
    </row>
    <row r="262" spans="1:11" ht="18.75" customHeight="1" x14ac:dyDescent="0.35">
      <c r="A262" s="116">
        <v>2024</v>
      </c>
      <c r="B262" t="s">
        <v>181</v>
      </c>
      <c r="C262" s="124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31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172</v>
      </c>
      <c r="H262" t="s">
        <v>172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16">
        <v>835</v>
      </c>
    </row>
    <row r="263" spans="1:11" ht="18.75" customHeight="1" x14ac:dyDescent="0.35">
      <c r="A263" s="116">
        <v>2024</v>
      </c>
      <c r="B263" t="s">
        <v>182</v>
      </c>
      <c r="C263" s="124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27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172</v>
      </c>
      <c r="H263" t="s">
        <v>172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16">
        <v>23858082</v>
      </c>
    </row>
    <row r="264" spans="1:11" ht="18.75" customHeight="1" x14ac:dyDescent="0.35">
      <c r="A264" s="116">
        <v>2024</v>
      </c>
      <c r="B264" t="s">
        <v>182</v>
      </c>
      <c r="C264" s="124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19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172</v>
      </c>
      <c r="H264" t="s">
        <v>172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16">
        <v>15658215</v>
      </c>
    </row>
    <row r="265" spans="1:11" ht="18.75" customHeight="1" x14ac:dyDescent="0.35">
      <c r="A265" s="116">
        <v>2024</v>
      </c>
      <c r="B265" t="s">
        <v>182</v>
      </c>
      <c r="C265" s="124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39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172</v>
      </c>
      <c r="H265" t="s">
        <v>172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16">
        <v>1</v>
      </c>
    </row>
    <row r="266" spans="1:11" ht="18.75" customHeight="1" x14ac:dyDescent="0.35">
      <c r="A266" s="126">
        <v>2024</v>
      </c>
      <c r="B266" t="s">
        <v>182</v>
      </c>
      <c r="C266" s="124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40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172</v>
      </c>
      <c r="H266" t="s">
        <v>172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16">
        <v>0</v>
      </c>
    </row>
    <row r="267" spans="1:11" ht="18.75" customHeight="1" x14ac:dyDescent="0.35">
      <c r="A267" s="116">
        <v>2024</v>
      </c>
      <c r="B267" t="s">
        <v>182</v>
      </c>
      <c r="C267" s="124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25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172</v>
      </c>
      <c r="H267" t="s">
        <v>172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16">
        <v>18639</v>
      </c>
    </row>
    <row r="268" spans="1:11" ht="18.75" customHeight="1" x14ac:dyDescent="0.35">
      <c r="A268" s="116">
        <v>2024</v>
      </c>
      <c r="B268" t="s">
        <v>182</v>
      </c>
      <c r="C268" s="124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34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172</v>
      </c>
      <c r="H268" t="s">
        <v>172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18">
        <v>0.88648648648648654</v>
      </c>
    </row>
    <row r="269" spans="1:11" ht="18.75" customHeight="1" x14ac:dyDescent="0.35">
      <c r="A269" s="116">
        <v>2024</v>
      </c>
      <c r="B269" t="s">
        <v>182</v>
      </c>
      <c r="C269" s="124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208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172</v>
      </c>
      <c r="H269" t="s">
        <v>172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18">
        <v>25.5</v>
      </c>
    </row>
    <row r="270" spans="1:11" ht="18.75" customHeight="1" x14ac:dyDescent="0.35">
      <c r="A270" s="116">
        <v>2024</v>
      </c>
      <c r="B270" t="s">
        <v>182</v>
      </c>
      <c r="C270" s="124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38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172</v>
      </c>
      <c r="H270" t="s">
        <v>172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16">
        <v>1074</v>
      </c>
    </row>
    <row r="271" spans="1:11" ht="18.75" customHeight="1" x14ac:dyDescent="0.35">
      <c r="A271" s="116">
        <v>2024</v>
      </c>
      <c r="B271" t="s">
        <v>182</v>
      </c>
      <c r="C271" s="124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41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42</v>
      </c>
      <c r="H271" t="s">
        <v>172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16">
        <v>470</v>
      </c>
    </row>
    <row r="272" spans="1:11" ht="18.75" customHeight="1" x14ac:dyDescent="0.35">
      <c r="A272" s="116">
        <v>2024</v>
      </c>
      <c r="B272" t="s">
        <v>182</v>
      </c>
      <c r="C272" s="124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41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43</v>
      </c>
      <c r="H272" t="s">
        <v>172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16">
        <v>1227</v>
      </c>
    </row>
    <row r="273" spans="1:11" ht="18.75" customHeight="1" x14ac:dyDescent="0.35">
      <c r="A273" s="116">
        <v>2024</v>
      </c>
      <c r="B273" t="s">
        <v>182</v>
      </c>
      <c r="C273" s="124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41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44</v>
      </c>
      <c r="H273" t="s">
        <v>172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16">
        <v>1220</v>
      </c>
    </row>
    <row r="274" spans="1:11" ht="18.75" customHeight="1" x14ac:dyDescent="0.35">
      <c r="A274" s="116">
        <v>2024</v>
      </c>
      <c r="B274" t="s">
        <v>182</v>
      </c>
      <c r="C274" s="124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41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45</v>
      </c>
      <c r="H274" t="s">
        <v>172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16">
        <v>680</v>
      </c>
    </row>
    <row r="275" spans="1:11" ht="18.75" customHeight="1" x14ac:dyDescent="0.35">
      <c r="A275" s="116">
        <v>2024</v>
      </c>
      <c r="B275" t="s">
        <v>182</v>
      </c>
      <c r="C275" s="124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41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46</v>
      </c>
      <c r="H275" t="s">
        <v>172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16">
        <v>231</v>
      </c>
    </row>
    <row r="276" spans="1:11" ht="18.75" customHeight="1" x14ac:dyDescent="0.35">
      <c r="A276" s="116">
        <v>2024</v>
      </c>
      <c r="B276" t="s">
        <v>182</v>
      </c>
      <c r="C276" s="124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41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47</v>
      </c>
      <c r="H276" t="s">
        <v>172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16">
        <v>45</v>
      </c>
    </row>
    <row r="277" spans="1:11" ht="18.75" customHeight="1" x14ac:dyDescent="0.35">
      <c r="A277" s="116">
        <v>2024</v>
      </c>
      <c r="B277" t="s">
        <v>182</v>
      </c>
      <c r="C277" s="124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41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48</v>
      </c>
      <c r="H277" t="s">
        <v>172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16">
        <v>2512</v>
      </c>
    </row>
    <row r="278" spans="1:11" ht="18.75" customHeight="1" x14ac:dyDescent="0.35">
      <c r="A278" s="116">
        <v>2024</v>
      </c>
      <c r="B278" t="s">
        <v>182</v>
      </c>
      <c r="C278" s="124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41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49</v>
      </c>
      <c r="H278" t="s">
        <v>172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16">
        <v>1103</v>
      </c>
    </row>
    <row r="279" spans="1:11" ht="18.75" customHeight="1" x14ac:dyDescent="0.35">
      <c r="A279" s="116">
        <v>2024</v>
      </c>
      <c r="B279" t="s">
        <v>182</v>
      </c>
      <c r="C279" s="124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41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50</v>
      </c>
      <c r="H279" t="s">
        <v>172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16">
        <v>1532</v>
      </c>
    </row>
    <row r="280" spans="1:11" ht="18.75" customHeight="1" x14ac:dyDescent="0.35">
      <c r="A280" s="116">
        <v>2024</v>
      </c>
      <c r="B280" t="s">
        <v>182</v>
      </c>
      <c r="C280" s="124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41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51</v>
      </c>
      <c r="H280" t="s">
        <v>172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16">
        <v>998</v>
      </c>
    </row>
    <row r="281" spans="1:11" ht="18.75" customHeight="1" x14ac:dyDescent="0.35">
      <c r="A281" s="116">
        <v>2024</v>
      </c>
      <c r="B281" t="s">
        <v>182</v>
      </c>
      <c r="C281" s="124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41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52</v>
      </c>
      <c r="H281" t="s">
        <v>172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16">
        <v>637</v>
      </c>
    </row>
    <row r="282" spans="1:11" ht="18.75" customHeight="1" x14ac:dyDescent="0.35">
      <c r="A282" s="116">
        <v>2024</v>
      </c>
      <c r="B282" t="s">
        <v>182</v>
      </c>
      <c r="C282" s="124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41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53</v>
      </c>
      <c r="H282" t="s">
        <v>172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16">
        <v>378</v>
      </c>
    </row>
    <row r="283" spans="1:11" ht="18.75" customHeight="1" x14ac:dyDescent="0.35">
      <c r="A283" s="116">
        <v>2024</v>
      </c>
      <c r="B283" t="s">
        <v>182</v>
      </c>
      <c r="C283" s="124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41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54</v>
      </c>
      <c r="H283" t="s">
        <v>172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16">
        <v>9</v>
      </c>
    </row>
    <row r="284" spans="1:11" ht="18.75" customHeight="1" x14ac:dyDescent="0.35">
      <c r="A284" s="116">
        <v>2024</v>
      </c>
      <c r="B284" t="s">
        <v>182</v>
      </c>
      <c r="C284" s="124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55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56</v>
      </c>
      <c r="H284" t="s">
        <v>172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16">
        <v>102</v>
      </c>
    </row>
    <row r="285" spans="1:11" ht="18.75" customHeight="1" x14ac:dyDescent="0.35">
      <c r="A285" s="116">
        <v>2024</v>
      </c>
      <c r="B285" t="s">
        <v>182</v>
      </c>
      <c r="C285" s="124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57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58</v>
      </c>
      <c r="H285" t="s">
        <v>172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16">
        <v>106</v>
      </c>
    </row>
    <row r="286" spans="1:11" ht="18.75" customHeight="1" x14ac:dyDescent="0.35">
      <c r="A286" s="116">
        <v>2024</v>
      </c>
      <c r="B286" t="s">
        <v>182</v>
      </c>
      <c r="C286" s="124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28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172</v>
      </c>
      <c r="H286" t="s">
        <v>172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16">
        <v>2600000</v>
      </c>
    </row>
    <row r="287" spans="1:11" ht="18.75" customHeight="1" x14ac:dyDescent="0.35">
      <c r="A287" s="116">
        <v>2024</v>
      </c>
      <c r="B287" t="s">
        <v>182</v>
      </c>
      <c r="C287" s="124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29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172</v>
      </c>
      <c r="H287" t="s">
        <v>172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16">
        <v>0</v>
      </c>
    </row>
    <row r="288" spans="1:11" ht="18.75" customHeight="1" x14ac:dyDescent="0.35">
      <c r="A288" s="116">
        <v>2024</v>
      </c>
      <c r="B288" t="s">
        <v>182</v>
      </c>
      <c r="C288" s="124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30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172</v>
      </c>
      <c r="H288" t="s">
        <v>172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16">
        <v>0</v>
      </c>
    </row>
    <row r="289" spans="1:11" ht="18.75" customHeight="1" x14ac:dyDescent="0.35">
      <c r="A289" s="116">
        <v>2024</v>
      </c>
      <c r="B289" t="s">
        <v>182</v>
      </c>
      <c r="C289" s="124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32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172</v>
      </c>
      <c r="H289" t="s">
        <v>172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16">
        <v>1804</v>
      </c>
    </row>
    <row r="290" spans="1:11" ht="18.75" customHeight="1" x14ac:dyDescent="0.35">
      <c r="A290" s="116">
        <v>2024</v>
      </c>
      <c r="B290" t="s">
        <v>182</v>
      </c>
      <c r="C290" s="124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209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172</v>
      </c>
      <c r="H290" t="s">
        <v>172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16">
        <v>232</v>
      </c>
    </row>
    <row r="291" spans="1:11" ht="18.75" customHeight="1" x14ac:dyDescent="0.35">
      <c r="A291" s="116">
        <v>2024</v>
      </c>
      <c r="B291" t="s">
        <v>182</v>
      </c>
      <c r="C291" s="124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31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172</v>
      </c>
      <c r="H291" t="s">
        <v>172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16">
        <v>2035</v>
      </c>
    </row>
    <row r="292" spans="1:11" ht="18.75" customHeight="1" x14ac:dyDescent="0.35">
      <c r="A292" s="116">
        <v>2024</v>
      </c>
      <c r="B292" t="s">
        <v>183</v>
      </c>
      <c r="C292" s="124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27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172</v>
      </c>
      <c r="H292" t="s">
        <v>172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16">
        <v>23858082</v>
      </c>
    </row>
    <row r="293" spans="1:11" ht="18.75" customHeight="1" x14ac:dyDescent="0.35">
      <c r="A293" s="116">
        <v>2024</v>
      </c>
      <c r="B293" t="s">
        <v>183</v>
      </c>
      <c r="C293" s="124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19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172</v>
      </c>
      <c r="H293" t="s">
        <v>172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16">
        <v>63705335</v>
      </c>
    </row>
    <row r="294" spans="1:11" ht="18.75" customHeight="1" x14ac:dyDescent="0.35">
      <c r="A294" s="116">
        <v>2024</v>
      </c>
      <c r="B294" t="s">
        <v>183</v>
      </c>
      <c r="C294" s="124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39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172</v>
      </c>
      <c r="H294" t="s">
        <v>172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16">
        <v>4</v>
      </c>
    </row>
    <row r="295" spans="1:11" ht="18.75" customHeight="1" x14ac:dyDescent="0.35">
      <c r="A295" s="116">
        <v>2024</v>
      </c>
      <c r="B295" t="s">
        <v>183</v>
      </c>
      <c r="C295" s="124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40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172</v>
      </c>
      <c r="H295" t="s">
        <v>172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16">
        <v>373</v>
      </c>
    </row>
    <row r="296" spans="1:11" ht="18.75" customHeight="1" x14ac:dyDescent="0.35">
      <c r="A296" s="126">
        <v>2024</v>
      </c>
      <c r="B296" t="s">
        <v>183</v>
      </c>
      <c r="C296" s="124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25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172</v>
      </c>
      <c r="H296" t="s">
        <v>172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16">
        <v>15981</v>
      </c>
    </row>
    <row r="297" spans="1:11" ht="18.75" customHeight="1" x14ac:dyDescent="0.35">
      <c r="A297" s="116">
        <v>2024</v>
      </c>
      <c r="B297" t="s">
        <v>183</v>
      </c>
      <c r="C297" s="124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34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172</v>
      </c>
      <c r="H297" t="s">
        <v>172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18">
        <v>0.92324561403508776</v>
      </c>
    </row>
    <row r="298" spans="1:11" ht="18.75" customHeight="1" x14ac:dyDescent="0.35">
      <c r="A298" s="116">
        <v>2024</v>
      </c>
      <c r="B298" t="s">
        <v>183</v>
      </c>
      <c r="C298" s="124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208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172</v>
      </c>
      <c r="H298" t="s">
        <v>172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18">
        <v>26.4</v>
      </c>
    </row>
    <row r="299" spans="1:11" ht="18.75" customHeight="1" x14ac:dyDescent="0.35">
      <c r="A299" s="116">
        <v>2024</v>
      </c>
      <c r="B299" t="s">
        <v>183</v>
      </c>
      <c r="C299" s="124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38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172</v>
      </c>
      <c r="H299" t="s">
        <v>172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16">
        <v>1071</v>
      </c>
    </row>
    <row r="300" spans="1:11" ht="18.75" customHeight="1" x14ac:dyDescent="0.35">
      <c r="A300" s="116">
        <v>2024</v>
      </c>
      <c r="B300" t="s">
        <v>183</v>
      </c>
      <c r="C300" s="124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41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42</v>
      </c>
      <c r="H300" t="s">
        <v>172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16">
        <v>473</v>
      </c>
    </row>
    <row r="301" spans="1:11" ht="18.75" customHeight="1" x14ac:dyDescent="0.35">
      <c r="A301" s="116">
        <v>2024</v>
      </c>
      <c r="B301" t="s">
        <v>183</v>
      </c>
      <c r="C301" s="124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41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43</v>
      </c>
      <c r="H301" t="s">
        <v>172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16">
        <v>845</v>
      </c>
    </row>
    <row r="302" spans="1:11" ht="18.75" customHeight="1" x14ac:dyDescent="0.35">
      <c r="A302" s="116">
        <v>2024</v>
      </c>
      <c r="B302" t="s">
        <v>183</v>
      </c>
      <c r="C302" s="124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41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44</v>
      </c>
      <c r="H302" t="s">
        <v>172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16">
        <v>876</v>
      </c>
    </row>
    <row r="303" spans="1:11" ht="18.75" customHeight="1" x14ac:dyDescent="0.35">
      <c r="A303" s="116">
        <v>2024</v>
      </c>
      <c r="B303" t="s">
        <v>183</v>
      </c>
      <c r="C303" s="124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41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45</v>
      </c>
      <c r="H303" t="s">
        <v>172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16">
        <v>550</v>
      </c>
    </row>
    <row r="304" spans="1:11" ht="18.75" customHeight="1" x14ac:dyDescent="0.35">
      <c r="A304" s="116">
        <v>2024</v>
      </c>
      <c r="B304" t="s">
        <v>183</v>
      </c>
      <c r="C304" s="124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41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46</v>
      </c>
      <c r="H304" t="s">
        <v>172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16">
        <v>0</v>
      </c>
    </row>
    <row r="305" spans="1:11" ht="18.75" customHeight="1" x14ac:dyDescent="0.35">
      <c r="A305" s="116">
        <v>2024</v>
      </c>
      <c r="B305" t="s">
        <v>183</v>
      </c>
      <c r="C305" s="124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41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47</v>
      </c>
      <c r="H305" t="s">
        <v>172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16">
        <v>34</v>
      </c>
    </row>
    <row r="306" spans="1:11" ht="18.75" customHeight="1" x14ac:dyDescent="0.35">
      <c r="A306" s="116">
        <v>2024</v>
      </c>
      <c r="B306" t="s">
        <v>183</v>
      </c>
      <c r="C306" s="124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41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48</v>
      </c>
      <c r="H306" t="s">
        <v>172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18">
        <v>2.3380000000000001</v>
      </c>
    </row>
    <row r="307" spans="1:11" ht="18.75" customHeight="1" x14ac:dyDescent="0.35">
      <c r="A307" s="116">
        <v>2024</v>
      </c>
      <c r="B307" t="s">
        <v>183</v>
      </c>
      <c r="C307" s="124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41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49</v>
      </c>
      <c r="H307" t="s">
        <v>172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18">
        <v>1.353</v>
      </c>
    </row>
    <row r="308" spans="1:11" ht="18.75" customHeight="1" x14ac:dyDescent="0.35">
      <c r="A308" s="116">
        <v>2024</v>
      </c>
      <c r="B308" t="s">
        <v>183</v>
      </c>
      <c r="C308" s="124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41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50</v>
      </c>
      <c r="H308" t="s">
        <v>172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18">
        <v>1.58</v>
      </c>
    </row>
    <row r="309" spans="1:11" ht="18.75" customHeight="1" x14ac:dyDescent="0.35">
      <c r="A309" s="116">
        <v>2024</v>
      </c>
      <c r="B309" t="s">
        <v>183</v>
      </c>
      <c r="C309" s="124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41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51</v>
      </c>
      <c r="H309" t="s">
        <v>172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16">
        <v>792</v>
      </c>
    </row>
    <row r="310" spans="1:11" ht="18.75" customHeight="1" x14ac:dyDescent="0.35">
      <c r="A310" s="116">
        <v>2024</v>
      </c>
      <c r="B310" t="s">
        <v>183</v>
      </c>
      <c r="C310" s="124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41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52</v>
      </c>
      <c r="H310" t="s">
        <v>172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16">
        <v>557</v>
      </c>
    </row>
    <row r="311" spans="1:11" ht="18.75" customHeight="1" x14ac:dyDescent="0.35">
      <c r="A311" s="116">
        <v>2024</v>
      </c>
      <c r="B311" t="s">
        <v>183</v>
      </c>
      <c r="C311" s="124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41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53</v>
      </c>
      <c r="H311" t="s">
        <v>172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18">
        <v>1.609</v>
      </c>
    </row>
    <row r="312" spans="1:11" ht="18.75" customHeight="1" x14ac:dyDescent="0.35">
      <c r="A312" s="116">
        <v>2024</v>
      </c>
      <c r="B312" t="s">
        <v>183</v>
      </c>
      <c r="C312" s="124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41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54</v>
      </c>
      <c r="H312" t="s">
        <v>172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16">
        <v>7</v>
      </c>
    </row>
    <row r="313" spans="1:11" ht="18.75" customHeight="1" x14ac:dyDescent="0.35">
      <c r="A313" s="116">
        <v>2024</v>
      </c>
      <c r="B313" t="s">
        <v>183</v>
      </c>
      <c r="C313" s="124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55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56</v>
      </c>
      <c r="H313" t="s">
        <v>172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16">
        <v>111</v>
      </c>
    </row>
    <row r="314" spans="1:11" ht="18.75" customHeight="1" x14ac:dyDescent="0.35">
      <c r="A314" s="116">
        <v>2024</v>
      </c>
      <c r="B314" t="s">
        <v>183</v>
      </c>
      <c r="C314" s="124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57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58</v>
      </c>
      <c r="H314" t="s">
        <v>172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16">
        <v>88</v>
      </c>
    </row>
    <row r="315" spans="1:11" ht="18.75" customHeight="1" x14ac:dyDescent="0.35">
      <c r="A315" s="116">
        <v>2024</v>
      </c>
      <c r="B315" t="s">
        <v>183</v>
      </c>
      <c r="C315" s="124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28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172</v>
      </c>
      <c r="H315" t="s">
        <v>172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16">
        <v>10600000</v>
      </c>
    </row>
    <row r="316" spans="1:11" ht="18.75" customHeight="1" x14ac:dyDescent="0.35">
      <c r="A316" s="116">
        <v>2024</v>
      </c>
      <c r="B316" t="s">
        <v>183</v>
      </c>
      <c r="C316" s="124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29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172</v>
      </c>
      <c r="H316" t="s">
        <v>172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16">
        <v>0</v>
      </c>
    </row>
    <row r="317" spans="1:11" ht="18.75" customHeight="1" x14ac:dyDescent="0.35">
      <c r="A317" s="116">
        <v>2024</v>
      </c>
      <c r="B317" t="s">
        <v>183</v>
      </c>
      <c r="C317" s="124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30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172</v>
      </c>
      <c r="H317" t="s">
        <v>172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16">
        <v>0</v>
      </c>
    </row>
    <row r="318" spans="1:11" ht="18.75" customHeight="1" x14ac:dyDescent="0.35">
      <c r="A318" s="116">
        <v>2024</v>
      </c>
      <c r="B318" t="s">
        <v>183</v>
      </c>
      <c r="C318" s="124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32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172</v>
      </c>
      <c r="H318" t="s">
        <v>172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16">
        <v>1263</v>
      </c>
    </row>
    <row r="319" spans="1:11" ht="18.75" customHeight="1" x14ac:dyDescent="0.35">
      <c r="A319" s="116">
        <v>2024</v>
      </c>
      <c r="B319" t="s">
        <v>183</v>
      </c>
      <c r="C319" s="124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209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172</v>
      </c>
      <c r="H319" t="s">
        <v>172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16">
        <v>105</v>
      </c>
    </row>
    <row r="320" spans="1:11" ht="18.75" customHeight="1" x14ac:dyDescent="0.35">
      <c r="A320" s="116">
        <v>2024</v>
      </c>
      <c r="B320" t="s">
        <v>183</v>
      </c>
      <c r="C320" s="124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31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172</v>
      </c>
      <c r="H320" t="s">
        <v>172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16">
        <v>1368</v>
      </c>
    </row>
    <row r="321" spans="1:11" ht="18.75" customHeight="1" x14ac:dyDescent="0.35">
      <c r="A321" s="116">
        <v>2024</v>
      </c>
      <c r="B321" t="s">
        <v>184</v>
      </c>
      <c r="C321" s="124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27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172</v>
      </c>
      <c r="H321" t="s">
        <v>172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16">
        <v>0</v>
      </c>
    </row>
    <row r="322" spans="1:11" ht="18.75" customHeight="1" x14ac:dyDescent="0.35">
      <c r="A322" s="116">
        <v>2024</v>
      </c>
      <c r="B322" t="s">
        <v>184</v>
      </c>
      <c r="C322" s="124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19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172</v>
      </c>
      <c r="H322" t="s">
        <v>172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16">
        <v>0</v>
      </c>
    </row>
    <row r="323" spans="1:11" ht="18.75" customHeight="1" x14ac:dyDescent="0.35">
      <c r="A323" s="116">
        <v>2024</v>
      </c>
      <c r="B323" t="s">
        <v>184</v>
      </c>
      <c r="C323" s="124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39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172</v>
      </c>
      <c r="H323" t="s">
        <v>172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16">
        <v>0</v>
      </c>
    </row>
    <row r="324" spans="1:11" ht="18.75" customHeight="1" x14ac:dyDescent="0.35">
      <c r="A324" s="116">
        <v>2024</v>
      </c>
      <c r="B324" t="s">
        <v>184</v>
      </c>
      <c r="C324" s="124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40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172</v>
      </c>
      <c r="H324" t="s">
        <v>172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16">
        <v>7</v>
      </c>
    </row>
    <row r="325" spans="1:11" ht="18.75" customHeight="1" x14ac:dyDescent="0.35">
      <c r="A325" s="126">
        <v>2024</v>
      </c>
      <c r="B325" t="s">
        <v>184</v>
      </c>
      <c r="C325" s="124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25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172</v>
      </c>
      <c r="H325" t="s">
        <v>172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16">
        <v>0</v>
      </c>
    </row>
    <row r="326" spans="1:11" ht="18.75" customHeight="1" x14ac:dyDescent="0.35">
      <c r="A326" s="116">
        <v>2024</v>
      </c>
      <c r="B326" t="s">
        <v>184</v>
      </c>
      <c r="C326" s="124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34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172</v>
      </c>
      <c r="H326" t="s">
        <v>172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18">
        <v>0.91062039957939012</v>
      </c>
    </row>
    <row r="327" spans="1:11" ht="18.75" customHeight="1" x14ac:dyDescent="0.35">
      <c r="A327" s="116">
        <v>2024</v>
      </c>
      <c r="B327" t="s">
        <v>184</v>
      </c>
      <c r="C327" s="124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208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172</v>
      </c>
      <c r="H327" t="s">
        <v>172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18">
        <v>25.9</v>
      </c>
    </row>
    <row r="328" spans="1:11" ht="18.75" customHeight="1" x14ac:dyDescent="0.35">
      <c r="A328" s="116">
        <v>2024</v>
      </c>
      <c r="B328" t="s">
        <v>184</v>
      </c>
      <c r="C328" s="124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38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172</v>
      </c>
      <c r="H328" t="s">
        <v>172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16">
        <v>1109</v>
      </c>
    </row>
    <row r="329" spans="1:11" ht="18.75" customHeight="1" x14ac:dyDescent="0.35">
      <c r="A329" s="116">
        <v>2024</v>
      </c>
      <c r="B329" t="s">
        <v>184</v>
      </c>
      <c r="C329" s="124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41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42</v>
      </c>
      <c r="H329" t="s">
        <v>172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16">
        <v>1702</v>
      </c>
    </row>
    <row r="330" spans="1:11" ht="18.75" customHeight="1" x14ac:dyDescent="0.35">
      <c r="A330" s="116">
        <v>2024</v>
      </c>
      <c r="B330" t="s">
        <v>184</v>
      </c>
      <c r="C330" s="124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41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43</v>
      </c>
      <c r="H330" t="s">
        <v>172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16">
        <v>2336</v>
      </c>
    </row>
    <row r="331" spans="1:11" ht="18.75" customHeight="1" x14ac:dyDescent="0.35">
      <c r="A331" s="116">
        <v>2024</v>
      </c>
      <c r="B331" t="s">
        <v>184</v>
      </c>
      <c r="C331" s="124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41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44</v>
      </c>
      <c r="H331" t="s">
        <v>172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16">
        <v>1102</v>
      </c>
    </row>
    <row r="332" spans="1:11" ht="18.75" customHeight="1" x14ac:dyDescent="0.35">
      <c r="A332" s="116">
        <v>2024</v>
      </c>
      <c r="B332" t="s">
        <v>184</v>
      </c>
      <c r="C332" s="124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41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45</v>
      </c>
      <c r="H332" t="s">
        <v>172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16">
        <v>423</v>
      </c>
    </row>
    <row r="333" spans="1:11" ht="18.75" customHeight="1" x14ac:dyDescent="0.35">
      <c r="A333" s="116">
        <v>2024</v>
      </c>
      <c r="B333" t="s">
        <v>184</v>
      </c>
      <c r="C333" s="124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41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46</v>
      </c>
      <c r="H333" t="s">
        <v>172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16">
        <v>73</v>
      </c>
    </row>
    <row r="334" spans="1:11" ht="18.75" customHeight="1" x14ac:dyDescent="0.35">
      <c r="A334" s="116">
        <v>2024</v>
      </c>
      <c r="B334" t="s">
        <v>184</v>
      </c>
      <c r="C334" s="124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41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47</v>
      </c>
      <c r="H334" t="s">
        <v>172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16">
        <v>66</v>
      </c>
    </row>
    <row r="335" spans="1:11" ht="18.75" customHeight="1" x14ac:dyDescent="0.35">
      <c r="A335" s="116">
        <v>2024</v>
      </c>
      <c r="B335" t="s">
        <v>184</v>
      </c>
      <c r="C335" s="124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41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48</v>
      </c>
      <c r="H335" t="s">
        <v>172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16">
        <v>640</v>
      </c>
    </row>
    <row r="336" spans="1:11" ht="18.75" customHeight="1" x14ac:dyDescent="0.35">
      <c r="A336" s="116">
        <v>2024</v>
      </c>
      <c r="B336" t="s">
        <v>184</v>
      </c>
      <c r="C336" s="124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41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49</v>
      </c>
      <c r="H336" t="s">
        <v>172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16">
        <v>612</v>
      </c>
    </row>
    <row r="337" spans="1:11" ht="18.75" customHeight="1" x14ac:dyDescent="0.35">
      <c r="A337" s="116">
        <v>2024</v>
      </c>
      <c r="B337" t="s">
        <v>184</v>
      </c>
      <c r="C337" s="124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41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50</v>
      </c>
      <c r="H337" t="s">
        <v>172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16">
        <v>1515</v>
      </c>
    </row>
    <row r="338" spans="1:11" ht="18.75" customHeight="1" x14ac:dyDescent="0.35">
      <c r="A338" s="116">
        <v>2024</v>
      </c>
      <c r="B338" t="s">
        <v>184</v>
      </c>
      <c r="C338" s="124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41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51</v>
      </c>
      <c r="H338" t="s">
        <v>172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16">
        <v>723</v>
      </c>
    </row>
    <row r="339" spans="1:11" ht="18.75" customHeight="1" x14ac:dyDescent="0.35">
      <c r="A339" s="116">
        <v>2024</v>
      </c>
      <c r="B339" t="s">
        <v>184</v>
      </c>
      <c r="C339" s="124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41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52</v>
      </c>
      <c r="H339" t="s">
        <v>172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16">
        <v>459</v>
      </c>
    </row>
    <row r="340" spans="1:11" ht="18.75" customHeight="1" x14ac:dyDescent="0.35">
      <c r="A340" s="116">
        <v>2024</v>
      </c>
      <c r="B340" t="s">
        <v>184</v>
      </c>
      <c r="C340" s="124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41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53</v>
      </c>
      <c r="H340" t="s">
        <v>172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16">
        <v>229</v>
      </c>
    </row>
    <row r="341" spans="1:11" ht="18.75" customHeight="1" x14ac:dyDescent="0.35">
      <c r="A341" s="116">
        <v>2024</v>
      </c>
      <c r="B341" t="s">
        <v>184</v>
      </c>
      <c r="C341" s="124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41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54</v>
      </c>
      <c r="H341" t="s">
        <v>172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16">
        <v>15</v>
      </c>
    </row>
    <row r="342" spans="1:11" ht="18.75" customHeight="1" x14ac:dyDescent="0.35">
      <c r="A342" s="116">
        <v>2024</v>
      </c>
      <c r="B342" t="s">
        <v>184</v>
      </c>
      <c r="C342" s="124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55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56</v>
      </c>
      <c r="H342" t="s">
        <v>172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16">
        <v>108</v>
      </c>
    </row>
    <row r="343" spans="1:11" ht="18.75" customHeight="1" x14ac:dyDescent="0.35">
      <c r="A343" s="116">
        <v>2024</v>
      </c>
      <c r="B343" t="s">
        <v>184</v>
      </c>
      <c r="C343" s="124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57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58</v>
      </c>
      <c r="H343" t="s">
        <v>172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16">
        <v>93</v>
      </c>
    </row>
    <row r="344" spans="1:11" ht="18.75" customHeight="1" x14ac:dyDescent="0.35">
      <c r="A344" s="116">
        <v>2024</v>
      </c>
      <c r="B344" t="s">
        <v>184</v>
      </c>
      <c r="C344" s="124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28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172</v>
      </c>
      <c r="H344" t="s">
        <v>172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16">
        <v>0</v>
      </c>
    </row>
    <row r="345" spans="1:11" ht="18.75" customHeight="1" x14ac:dyDescent="0.35">
      <c r="A345" s="116">
        <v>2024</v>
      </c>
      <c r="B345" t="s">
        <v>184</v>
      </c>
      <c r="C345" s="124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29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172</v>
      </c>
      <c r="H345" t="s">
        <v>172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16">
        <v>0</v>
      </c>
    </row>
    <row r="346" spans="1:11" ht="18.75" customHeight="1" x14ac:dyDescent="0.35">
      <c r="A346" s="116">
        <v>2024</v>
      </c>
      <c r="B346" t="s">
        <v>184</v>
      </c>
      <c r="C346" s="124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30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172</v>
      </c>
      <c r="H346" t="s">
        <v>172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16">
        <v>0</v>
      </c>
    </row>
    <row r="347" spans="1:11" ht="18.75" customHeight="1" x14ac:dyDescent="0.35">
      <c r="A347" s="116">
        <v>2024</v>
      </c>
      <c r="B347" t="s">
        <v>184</v>
      </c>
      <c r="C347" s="124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32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172</v>
      </c>
      <c r="H347" t="s">
        <v>172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16">
        <v>866</v>
      </c>
    </row>
    <row r="348" spans="1:11" ht="18.75" customHeight="1" x14ac:dyDescent="0.35">
      <c r="A348" s="116">
        <v>2024</v>
      </c>
      <c r="B348" t="s">
        <v>184</v>
      </c>
      <c r="C348" s="124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209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172</v>
      </c>
      <c r="H348" t="s">
        <v>172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16">
        <v>85</v>
      </c>
    </row>
    <row r="349" spans="1:11" ht="18.75" customHeight="1" x14ac:dyDescent="0.35">
      <c r="A349" s="116">
        <v>2024</v>
      </c>
      <c r="B349" t="s">
        <v>184</v>
      </c>
      <c r="C349" s="124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31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172</v>
      </c>
      <c r="H349" t="s">
        <v>172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16">
        <v>951</v>
      </c>
    </row>
    <row r="350" spans="1:11" ht="18.75" customHeight="1" x14ac:dyDescent="0.35">
      <c r="A350" s="116">
        <v>2025</v>
      </c>
      <c r="B350" s="129" t="s">
        <v>171</v>
      </c>
      <c r="C350" s="124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27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172</v>
      </c>
      <c r="H350" t="s">
        <v>172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16">
        <v>23858082</v>
      </c>
    </row>
    <row r="351" spans="1:11" ht="18.75" customHeight="1" x14ac:dyDescent="0.35">
      <c r="A351" s="116">
        <v>2025</v>
      </c>
      <c r="B351" s="129" t="s">
        <v>171</v>
      </c>
      <c r="C351" s="124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118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172</v>
      </c>
      <c r="H351" t="s">
        <v>172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16">
        <v>1</v>
      </c>
    </row>
    <row r="352" spans="1:11" ht="18.75" customHeight="1" x14ac:dyDescent="0.35">
      <c r="A352" s="116">
        <v>2025</v>
      </c>
      <c r="B352" s="129" t="s">
        <v>171</v>
      </c>
      <c r="C352" s="124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40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172</v>
      </c>
      <c r="H352" t="s">
        <v>172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16">
        <v>416</v>
      </c>
    </row>
    <row r="353" spans="1:11" ht="18.75" customHeight="1" x14ac:dyDescent="0.35">
      <c r="A353" s="116">
        <v>2025</v>
      </c>
      <c r="B353" s="129" t="s">
        <v>171</v>
      </c>
      <c r="C353" s="124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25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172</v>
      </c>
      <c r="H353" t="s">
        <v>172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16">
        <v>15465</v>
      </c>
    </row>
    <row r="354" spans="1:11" ht="18.75" customHeight="1" x14ac:dyDescent="0.35">
      <c r="A354" s="126">
        <v>2025</v>
      </c>
      <c r="B354" s="129" t="s">
        <v>171</v>
      </c>
      <c r="C354" s="124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208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172</v>
      </c>
      <c r="H354" t="s">
        <v>172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30">
        <v>23.5</v>
      </c>
    </row>
    <row r="355" spans="1:11" ht="18.75" customHeight="1" x14ac:dyDescent="0.35">
      <c r="A355" s="116">
        <v>2025</v>
      </c>
      <c r="B355" s="129" t="s">
        <v>171</v>
      </c>
      <c r="C355" s="124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38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172</v>
      </c>
      <c r="H355" t="s">
        <v>172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16">
        <v>1052</v>
      </c>
    </row>
    <row r="356" spans="1:11" ht="18.75" customHeight="1" x14ac:dyDescent="0.35">
      <c r="A356" s="116">
        <v>2025</v>
      </c>
      <c r="B356" s="129" t="s">
        <v>171</v>
      </c>
      <c r="C356" s="124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41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42</v>
      </c>
      <c r="H356" t="s">
        <v>172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16">
        <v>716</v>
      </c>
    </row>
    <row r="357" spans="1:11" ht="18.75" customHeight="1" x14ac:dyDescent="0.35">
      <c r="A357" s="116">
        <v>2025</v>
      </c>
      <c r="B357" s="129" t="s">
        <v>171</v>
      </c>
      <c r="C357" s="124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41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43</v>
      </c>
      <c r="H357" t="s">
        <v>172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16">
        <v>927</v>
      </c>
    </row>
    <row r="358" spans="1:11" ht="18.75" customHeight="1" x14ac:dyDescent="0.35">
      <c r="A358" s="116">
        <v>2025</v>
      </c>
      <c r="B358" s="129" t="s">
        <v>171</v>
      </c>
      <c r="C358" s="124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41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44</v>
      </c>
      <c r="H358" t="s">
        <v>172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16">
        <v>1226</v>
      </c>
    </row>
    <row r="359" spans="1:11" ht="18.75" customHeight="1" x14ac:dyDescent="0.35">
      <c r="A359" s="116">
        <v>2025</v>
      </c>
      <c r="B359" s="129" t="s">
        <v>171</v>
      </c>
      <c r="C359" s="124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41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45</v>
      </c>
      <c r="H359" t="s">
        <v>172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16">
        <v>429</v>
      </c>
    </row>
    <row r="360" spans="1:11" ht="18.75" customHeight="1" x14ac:dyDescent="0.35">
      <c r="A360" s="116">
        <v>2025</v>
      </c>
      <c r="B360" s="129" t="s">
        <v>171</v>
      </c>
      <c r="C360" s="124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41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46</v>
      </c>
      <c r="H360" t="s">
        <v>172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16">
        <v>140</v>
      </c>
    </row>
    <row r="361" spans="1:11" ht="18.75" customHeight="1" x14ac:dyDescent="0.35">
      <c r="A361" s="116">
        <v>2025</v>
      </c>
      <c r="B361" s="129" t="s">
        <v>171</v>
      </c>
      <c r="C361" s="124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41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47</v>
      </c>
      <c r="H361" t="s">
        <v>172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16">
        <v>30</v>
      </c>
    </row>
    <row r="362" spans="1:11" ht="18.75" customHeight="1" x14ac:dyDescent="0.35">
      <c r="A362" s="116">
        <v>2025</v>
      </c>
      <c r="B362" s="129" t="s">
        <v>171</v>
      </c>
      <c r="C362" s="124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41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48</v>
      </c>
      <c r="H362" t="s">
        <v>172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16">
        <v>982</v>
      </c>
    </row>
    <row r="363" spans="1:11" ht="18.75" customHeight="1" x14ac:dyDescent="0.35">
      <c r="A363" s="116">
        <v>2025</v>
      </c>
      <c r="B363" s="129" t="s">
        <v>171</v>
      </c>
      <c r="C363" s="124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41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49</v>
      </c>
      <c r="H363" t="s">
        <v>172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16">
        <v>1150</v>
      </c>
    </row>
    <row r="364" spans="1:11" ht="18.75" customHeight="1" x14ac:dyDescent="0.35">
      <c r="A364" s="116">
        <v>2025</v>
      </c>
      <c r="B364" s="129" t="s">
        <v>171</v>
      </c>
      <c r="C364" s="124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41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50</v>
      </c>
      <c r="H364" t="s">
        <v>172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16">
        <v>1474</v>
      </c>
    </row>
    <row r="365" spans="1:11" ht="18.75" customHeight="1" x14ac:dyDescent="0.35">
      <c r="A365" s="116">
        <v>2025</v>
      </c>
      <c r="B365" s="129" t="s">
        <v>171</v>
      </c>
      <c r="C365" s="124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41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121</v>
      </c>
      <c r="H365" t="s">
        <v>172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16">
        <v>0</v>
      </c>
    </row>
    <row r="366" spans="1:11" ht="18.75" customHeight="1" x14ac:dyDescent="0.35">
      <c r="A366" s="116">
        <v>2025</v>
      </c>
      <c r="B366" s="129" t="s">
        <v>171</v>
      </c>
      <c r="C366" s="124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41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51</v>
      </c>
      <c r="H366" t="s">
        <v>172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16">
        <v>822</v>
      </c>
    </row>
    <row r="367" spans="1:11" ht="18.75" customHeight="1" x14ac:dyDescent="0.35">
      <c r="A367" s="116">
        <v>2025</v>
      </c>
      <c r="B367" s="129" t="s">
        <v>171</v>
      </c>
      <c r="C367" s="124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41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52</v>
      </c>
      <c r="H367" t="s">
        <v>172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16">
        <v>503</v>
      </c>
    </row>
    <row r="368" spans="1:11" ht="18.75" customHeight="1" x14ac:dyDescent="0.35">
      <c r="A368" s="116">
        <v>2025</v>
      </c>
      <c r="B368" s="129" t="s">
        <v>171</v>
      </c>
      <c r="C368" s="124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41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53</v>
      </c>
      <c r="H368" t="s">
        <v>172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16">
        <v>291</v>
      </c>
    </row>
    <row r="369" spans="1:11" ht="18.75" customHeight="1" x14ac:dyDescent="0.35">
      <c r="A369" s="116">
        <v>2025</v>
      </c>
      <c r="B369" s="129" t="s">
        <v>171</v>
      </c>
      <c r="C369" s="124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41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54</v>
      </c>
      <c r="H369" t="s">
        <v>172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16">
        <v>5</v>
      </c>
    </row>
    <row r="370" spans="1:11" ht="18.75" customHeight="1" x14ac:dyDescent="0.35">
      <c r="A370" s="116">
        <v>2025</v>
      </c>
      <c r="B370" s="129" t="s">
        <v>171</v>
      </c>
      <c r="C370" s="124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55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56</v>
      </c>
      <c r="H370" t="s">
        <v>172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16">
        <v>92</v>
      </c>
    </row>
    <row r="371" spans="1:11" ht="18.75" customHeight="1" x14ac:dyDescent="0.35">
      <c r="A371" s="116">
        <v>2025</v>
      </c>
      <c r="B371" s="129" t="s">
        <v>171</v>
      </c>
      <c r="C371" s="124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57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58</v>
      </c>
      <c r="H371" t="s">
        <v>172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16">
        <v>68</v>
      </c>
    </row>
    <row r="372" spans="1:11" ht="18.75" customHeight="1" x14ac:dyDescent="0.35">
      <c r="A372" s="116">
        <v>2025</v>
      </c>
      <c r="B372" s="129" t="s">
        <v>171</v>
      </c>
      <c r="C372" s="124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28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172</v>
      </c>
      <c r="H372" t="s">
        <v>172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16">
        <v>0</v>
      </c>
    </row>
    <row r="373" spans="1:11" ht="18.75" customHeight="1" x14ac:dyDescent="0.35">
      <c r="A373" s="116">
        <v>2025</v>
      </c>
      <c r="B373" s="129" t="s">
        <v>171</v>
      </c>
      <c r="C373" s="124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210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172</v>
      </c>
      <c r="H373" t="s">
        <v>172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16">
        <v>184</v>
      </c>
    </row>
    <row r="374" spans="1:11" ht="18.75" customHeight="1" x14ac:dyDescent="0.35">
      <c r="A374" s="116">
        <v>2025</v>
      </c>
      <c r="B374" s="129" t="s">
        <v>171</v>
      </c>
      <c r="C374" s="124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29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172</v>
      </c>
      <c r="H374" t="s">
        <v>172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16">
        <v>0</v>
      </c>
    </row>
    <row r="375" spans="1:11" ht="18.75" customHeight="1" x14ac:dyDescent="0.35">
      <c r="A375" s="116">
        <v>2025</v>
      </c>
      <c r="B375" s="129" t="s">
        <v>171</v>
      </c>
      <c r="C375" s="124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30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172</v>
      </c>
      <c r="H375" t="s">
        <v>172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16">
        <v>0</v>
      </c>
    </row>
    <row r="376" spans="1:11" ht="18.75" customHeight="1" x14ac:dyDescent="0.35">
      <c r="A376" s="116">
        <v>2025</v>
      </c>
      <c r="B376" s="129" t="s">
        <v>171</v>
      </c>
      <c r="C376" s="124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211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172</v>
      </c>
      <c r="H376" t="s">
        <v>172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16">
        <v>0</v>
      </c>
    </row>
    <row r="377" spans="1:11" ht="18.75" customHeight="1" x14ac:dyDescent="0.35">
      <c r="A377" s="116">
        <v>2025</v>
      </c>
      <c r="B377" s="129" t="s">
        <v>171</v>
      </c>
      <c r="C377" s="124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212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172</v>
      </c>
      <c r="H377" t="s">
        <v>172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16">
        <v>0</v>
      </c>
    </row>
    <row r="378" spans="1:11" ht="18.75" customHeight="1" x14ac:dyDescent="0.35">
      <c r="A378" s="116">
        <v>2025</v>
      </c>
      <c r="B378" s="129" t="s">
        <v>171</v>
      </c>
      <c r="C378" s="124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213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172</v>
      </c>
      <c r="H378" t="s">
        <v>172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16">
        <v>0</v>
      </c>
    </row>
    <row r="379" spans="1:11" ht="18.75" customHeight="1" x14ac:dyDescent="0.35">
      <c r="A379" s="116">
        <v>2025</v>
      </c>
      <c r="B379" s="129" t="s">
        <v>174</v>
      </c>
      <c r="C379" s="124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27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172</v>
      </c>
      <c r="H379" t="s">
        <v>172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16">
        <v>23858082</v>
      </c>
    </row>
    <row r="380" spans="1:11" ht="18.75" customHeight="1" x14ac:dyDescent="0.35">
      <c r="A380" s="116">
        <v>2025</v>
      </c>
      <c r="B380" s="129" t="s">
        <v>174</v>
      </c>
      <c r="C380" s="124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118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172</v>
      </c>
      <c r="H380" t="s">
        <v>172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16">
        <v>0</v>
      </c>
    </row>
    <row r="381" spans="1:11" ht="18.75" customHeight="1" x14ac:dyDescent="0.35">
      <c r="A381" s="116">
        <v>2025</v>
      </c>
      <c r="B381" s="129" t="s">
        <v>174</v>
      </c>
      <c r="C381" s="124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40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172</v>
      </c>
      <c r="H381" t="s">
        <v>172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16">
        <v>437</v>
      </c>
    </row>
    <row r="382" spans="1:11" ht="18.75" customHeight="1" x14ac:dyDescent="0.35">
      <c r="A382" s="116">
        <v>2025</v>
      </c>
      <c r="B382" s="129" t="s">
        <v>174</v>
      </c>
      <c r="C382" s="124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25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172</v>
      </c>
      <c r="H382" t="s">
        <v>172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16">
        <v>17710</v>
      </c>
    </row>
    <row r="383" spans="1:11" ht="18.75" customHeight="1" x14ac:dyDescent="0.35">
      <c r="A383" s="116">
        <v>2025</v>
      </c>
      <c r="B383" s="129" t="s">
        <v>174</v>
      </c>
      <c r="C383" s="124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208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172</v>
      </c>
      <c r="H383" t="s">
        <v>172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30">
        <v>28.6</v>
      </c>
    </row>
    <row r="384" spans="1:11" ht="18.75" customHeight="1" x14ac:dyDescent="0.35">
      <c r="A384" s="116">
        <v>2025</v>
      </c>
      <c r="B384" s="129" t="s">
        <v>174</v>
      </c>
      <c r="C384" s="124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38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172</v>
      </c>
      <c r="H384" t="s">
        <v>172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16">
        <v>983</v>
      </c>
    </row>
    <row r="385" spans="1:11" ht="18.75" customHeight="1" x14ac:dyDescent="0.35">
      <c r="A385" s="116">
        <v>2025</v>
      </c>
      <c r="B385" s="129" t="s">
        <v>174</v>
      </c>
      <c r="C385" s="124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41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42</v>
      </c>
      <c r="H385" t="s">
        <v>172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16">
        <v>525</v>
      </c>
    </row>
    <row r="386" spans="1:11" ht="18.75" customHeight="1" x14ac:dyDescent="0.35">
      <c r="A386" s="116">
        <v>2025</v>
      </c>
      <c r="B386" s="129" t="s">
        <v>174</v>
      </c>
      <c r="C386" s="124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41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43</v>
      </c>
      <c r="H386" t="s">
        <v>172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16">
        <v>1209</v>
      </c>
    </row>
    <row r="387" spans="1:11" ht="18.75" customHeight="1" x14ac:dyDescent="0.35">
      <c r="A387" s="116">
        <v>2025</v>
      </c>
      <c r="B387" s="129" t="s">
        <v>174</v>
      </c>
      <c r="C387" s="124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41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44</v>
      </c>
      <c r="H387" t="s">
        <v>172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16">
        <v>735</v>
      </c>
    </row>
    <row r="388" spans="1:11" ht="18.75" customHeight="1" x14ac:dyDescent="0.35">
      <c r="A388" s="116">
        <v>2025</v>
      </c>
      <c r="B388" s="129" t="s">
        <v>174</v>
      </c>
      <c r="C388" s="124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41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45</v>
      </c>
      <c r="H388" t="s">
        <v>172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16">
        <v>555</v>
      </c>
    </row>
    <row r="389" spans="1:11" ht="18.75" customHeight="1" x14ac:dyDescent="0.35">
      <c r="A389" s="116">
        <v>2025</v>
      </c>
      <c r="B389" s="129" t="s">
        <v>174</v>
      </c>
      <c r="C389" s="124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41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46</v>
      </c>
      <c r="H389" t="s">
        <v>172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16">
        <v>141</v>
      </c>
    </row>
    <row r="390" spans="1:11" ht="18.75" customHeight="1" x14ac:dyDescent="0.35">
      <c r="A390" s="116">
        <v>2025</v>
      </c>
      <c r="B390" s="129" t="s">
        <v>174</v>
      </c>
      <c r="C390" s="124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41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47</v>
      </c>
      <c r="H390" t="s">
        <v>172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16">
        <v>37</v>
      </c>
    </row>
    <row r="391" spans="1:11" ht="18.75" customHeight="1" x14ac:dyDescent="0.35">
      <c r="A391" s="116">
        <v>2025</v>
      </c>
      <c r="B391" s="129" t="s">
        <v>174</v>
      </c>
      <c r="C391" s="124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41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48</v>
      </c>
      <c r="H391" t="s">
        <v>172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16">
        <v>2598</v>
      </c>
    </row>
    <row r="392" spans="1:11" ht="18.75" customHeight="1" x14ac:dyDescent="0.35">
      <c r="A392" s="116">
        <v>2025</v>
      </c>
      <c r="B392" s="129" t="s">
        <v>174</v>
      </c>
      <c r="C392" s="124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41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49</v>
      </c>
      <c r="H392" t="s">
        <v>172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16">
        <v>879</v>
      </c>
    </row>
    <row r="393" spans="1:11" ht="18.75" customHeight="1" x14ac:dyDescent="0.35">
      <c r="A393" s="116">
        <v>2025</v>
      </c>
      <c r="B393" s="129" t="s">
        <v>174</v>
      </c>
      <c r="C393" s="124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41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50</v>
      </c>
      <c r="H393" t="s">
        <v>172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16">
        <v>951</v>
      </c>
    </row>
    <row r="394" spans="1:11" ht="18.75" customHeight="1" x14ac:dyDescent="0.35">
      <c r="A394" s="116">
        <v>2025</v>
      </c>
      <c r="B394" s="129" t="s">
        <v>174</v>
      </c>
      <c r="C394" s="124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41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121</v>
      </c>
      <c r="H394" t="s">
        <v>172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16">
        <v>0</v>
      </c>
    </row>
    <row r="395" spans="1:11" ht="18.75" customHeight="1" x14ac:dyDescent="0.35">
      <c r="A395" s="116">
        <v>2025</v>
      </c>
      <c r="B395" s="129" t="s">
        <v>174</v>
      </c>
      <c r="C395" s="124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41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51</v>
      </c>
      <c r="H395" t="s">
        <v>172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16">
        <v>817</v>
      </c>
    </row>
    <row r="396" spans="1:11" ht="18.75" customHeight="1" x14ac:dyDescent="0.35">
      <c r="A396" s="116">
        <v>2025</v>
      </c>
      <c r="B396" s="129" t="s">
        <v>174</v>
      </c>
      <c r="C396" s="124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41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52</v>
      </c>
      <c r="H396" t="s">
        <v>172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16">
        <v>377</v>
      </c>
    </row>
    <row r="397" spans="1:11" ht="18.75" customHeight="1" x14ac:dyDescent="0.35">
      <c r="A397" s="116">
        <v>2025</v>
      </c>
      <c r="B397" s="129" t="s">
        <v>174</v>
      </c>
      <c r="C397" s="124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41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53</v>
      </c>
      <c r="H397" t="s">
        <v>172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16">
        <v>458</v>
      </c>
    </row>
    <row r="398" spans="1:11" ht="18.75" customHeight="1" x14ac:dyDescent="0.35">
      <c r="A398" s="116">
        <v>2025</v>
      </c>
      <c r="B398" s="129" t="s">
        <v>174</v>
      </c>
      <c r="C398" s="124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41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54</v>
      </c>
      <c r="H398" t="s">
        <v>172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16">
        <v>53</v>
      </c>
    </row>
    <row r="399" spans="1:11" ht="18.75" customHeight="1" x14ac:dyDescent="0.35">
      <c r="A399" s="116">
        <v>2025</v>
      </c>
      <c r="B399" s="129" t="s">
        <v>174</v>
      </c>
      <c r="C399" s="124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55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56</v>
      </c>
      <c r="H399" t="s">
        <v>172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16">
        <v>109</v>
      </c>
    </row>
    <row r="400" spans="1:11" ht="18.75" customHeight="1" x14ac:dyDescent="0.35">
      <c r="A400" s="116">
        <v>2025</v>
      </c>
      <c r="B400" s="129" t="s">
        <v>174</v>
      </c>
      <c r="C400" s="124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57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58</v>
      </c>
      <c r="H400" t="s">
        <v>172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16">
        <v>71</v>
      </c>
    </row>
    <row r="401" spans="1:11" ht="18.75" customHeight="1" x14ac:dyDescent="0.35">
      <c r="A401" s="116">
        <v>2025</v>
      </c>
      <c r="B401" s="129" t="s">
        <v>174</v>
      </c>
      <c r="C401" s="124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28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172</v>
      </c>
      <c r="H401" t="s">
        <v>172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16">
        <v>1200000</v>
      </c>
    </row>
    <row r="402" spans="1:11" ht="18.75" customHeight="1" x14ac:dyDescent="0.35">
      <c r="A402" s="116">
        <v>2025</v>
      </c>
      <c r="B402" s="129" t="s">
        <v>174</v>
      </c>
      <c r="C402" s="124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210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172</v>
      </c>
      <c r="H402" t="s">
        <v>172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16">
        <v>370</v>
      </c>
    </row>
    <row r="403" spans="1:11" ht="18.75" customHeight="1" x14ac:dyDescent="0.35">
      <c r="A403" s="116">
        <v>2025</v>
      </c>
      <c r="B403" s="129" t="s">
        <v>174</v>
      </c>
      <c r="C403" s="124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29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172</v>
      </c>
      <c r="H403" t="s">
        <v>172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16">
        <v>0</v>
      </c>
    </row>
    <row r="404" spans="1:11" ht="18.75" customHeight="1" x14ac:dyDescent="0.35">
      <c r="A404" s="116">
        <v>2025</v>
      </c>
      <c r="B404" s="129" t="s">
        <v>174</v>
      </c>
      <c r="C404" s="124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30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172</v>
      </c>
      <c r="H404" t="s">
        <v>172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16">
        <v>0</v>
      </c>
    </row>
    <row r="405" spans="1:11" ht="18.75" customHeight="1" x14ac:dyDescent="0.35">
      <c r="A405" s="116">
        <v>2025</v>
      </c>
      <c r="B405" s="129" t="s">
        <v>174</v>
      </c>
      <c r="C405" s="124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211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172</v>
      </c>
      <c r="H405" t="s">
        <v>172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16">
        <v>1469</v>
      </c>
    </row>
    <row r="406" spans="1:11" ht="18.75" customHeight="1" x14ac:dyDescent="0.35">
      <c r="A406" s="116">
        <v>2025</v>
      </c>
      <c r="B406" s="129" t="s">
        <v>174</v>
      </c>
      <c r="C406" s="124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212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172</v>
      </c>
      <c r="H406" t="s">
        <v>172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16">
        <v>442</v>
      </c>
    </row>
    <row r="407" spans="1:11" ht="18.75" customHeight="1" x14ac:dyDescent="0.35">
      <c r="A407" s="116">
        <v>2025</v>
      </c>
      <c r="B407" s="129" t="s">
        <v>174</v>
      </c>
      <c r="C407" s="124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213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172</v>
      </c>
      <c r="H407" t="s">
        <v>172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16">
        <v>14</v>
      </c>
    </row>
    <row r="408" spans="1:11" ht="18.75" customHeight="1" x14ac:dyDescent="0.35">
      <c r="A408" s="116">
        <v>2025</v>
      </c>
      <c r="B408" s="129" t="s">
        <v>175</v>
      </c>
      <c r="C408" s="124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27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172</v>
      </c>
      <c r="H408" t="s">
        <v>172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16">
        <v>23858082</v>
      </c>
    </row>
    <row r="409" spans="1:11" ht="18.75" customHeight="1" x14ac:dyDescent="0.35">
      <c r="A409" s="116">
        <v>2025</v>
      </c>
      <c r="B409" s="129" t="s">
        <v>175</v>
      </c>
      <c r="C409" s="124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118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172</v>
      </c>
      <c r="H409" t="s">
        <v>172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16">
        <v>3</v>
      </c>
    </row>
    <row r="410" spans="1:11" ht="18.75" customHeight="1" x14ac:dyDescent="0.35">
      <c r="A410" s="116">
        <v>2025</v>
      </c>
      <c r="B410" s="129" t="s">
        <v>175</v>
      </c>
      <c r="C410" s="124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40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172</v>
      </c>
      <c r="H410" t="s">
        <v>172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16">
        <v>443</v>
      </c>
    </row>
    <row r="411" spans="1:11" ht="18.75" customHeight="1" x14ac:dyDescent="0.35">
      <c r="A411" s="116">
        <v>2025</v>
      </c>
      <c r="B411" s="129" t="s">
        <v>175</v>
      </c>
      <c r="C411" s="124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25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172</v>
      </c>
      <c r="H411" t="s">
        <v>172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16">
        <v>13471</v>
      </c>
    </row>
    <row r="412" spans="1:11" ht="18.75" customHeight="1" x14ac:dyDescent="0.35">
      <c r="A412" s="116">
        <v>2025</v>
      </c>
      <c r="B412" s="129" t="s">
        <v>175</v>
      </c>
      <c r="C412" s="124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208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172</v>
      </c>
      <c r="H412" t="s">
        <v>172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30">
        <v>31.2</v>
      </c>
    </row>
    <row r="413" spans="1:11" ht="18.75" customHeight="1" x14ac:dyDescent="0.35">
      <c r="A413" s="116">
        <v>2025</v>
      </c>
      <c r="B413" s="129" t="s">
        <v>175</v>
      </c>
      <c r="C413" s="124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38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172</v>
      </c>
      <c r="H413" t="s">
        <v>172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16">
        <v>997</v>
      </c>
    </row>
    <row r="414" spans="1:11" ht="18.75" customHeight="1" x14ac:dyDescent="0.35">
      <c r="A414" s="116">
        <v>2025</v>
      </c>
      <c r="B414" s="129" t="s">
        <v>175</v>
      </c>
      <c r="C414" s="124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41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42</v>
      </c>
      <c r="H414" t="s">
        <v>172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16">
        <v>628</v>
      </c>
    </row>
    <row r="415" spans="1:11" ht="18.75" customHeight="1" x14ac:dyDescent="0.35">
      <c r="A415" s="116">
        <v>2025</v>
      </c>
      <c r="B415" s="129" t="s">
        <v>175</v>
      </c>
      <c r="C415" s="124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41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43</v>
      </c>
      <c r="H415" t="s">
        <v>172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16">
        <v>981</v>
      </c>
    </row>
    <row r="416" spans="1:11" ht="18.75" customHeight="1" x14ac:dyDescent="0.35">
      <c r="A416" s="116">
        <v>2025</v>
      </c>
      <c r="B416" s="129" t="s">
        <v>175</v>
      </c>
      <c r="C416" s="124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41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44</v>
      </c>
      <c r="H416" t="s">
        <v>172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16">
        <v>819</v>
      </c>
    </row>
    <row r="417" spans="1:11" ht="18.75" customHeight="1" x14ac:dyDescent="0.35">
      <c r="A417" s="116">
        <v>2025</v>
      </c>
      <c r="B417" s="129" t="s">
        <v>175</v>
      </c>
      <c r="C417" s="124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41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45</v>
      </c>
      <c r="H417" t="s">
        <v>172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16">
        <v>609</v>
      </c>
    </row>
    <row r="418" spans="1:11" ht="18.75" customHeight="1" x14ac:dyDescent="0.35">
      <c r="A418" s="116">
        <v>2025</v>
      </c>
      <c r="B418" s="129" t="s">
        <v>175</v>
      </c>
      <c r="C418" s="124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41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46</v>
      </c>
      <c r="H418" t="s">
        <v>172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16">
        <v>314</v>
      </c>
    </row>
    <row r="419" spans="1:11" ht="18.75" customHeight="1" x14ac:dyDescent="0.35">
      <c r="A419" s="116">
        <v>2025</v>
      </c>
      <c r="B419" s="129" t="s">
        <v>175</v>
      </c>
      <c r="C419" s="124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41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47</v>
      </c>
      <c r="H419" t="s">
        <v>172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16">
        <v>38</v>
      </c>
    </row>
    <row r="420" spans="1:11" ht="18.75" customHeight="1" x14ac:dyDescent="0.35">
      <c r="A420" s="116">
        <v>2025</v>
      </c>
      <c r="B420" s="129" t="s">
        <v>175</v>
      </c>
      <c r="C420" s="124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41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48</v>
      </c>
      <c r="H420" t="s">
        <v>172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16">
        <v>2495</v>
      </c>
    </row>
    <row r="421" spans="1:11" ht="18.75" customHeight="1" x14ac:dyDescent="0.35">
      <c r="A421" s="116">
        <v>2025</v>
      </c>
      <c r="B421" s="129" t="s">
        <v>175</v>
      </c>
      <c r="C421" s="124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41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49</v>
      </c>
      <c r="H421" t="s">
        <v>172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16">
        <v>886</v>
      </c>
    </row>
    <row r="422" spans="1:11" ht="18.75" customHeight="1" x14ac:dyDescent="0.35">
      <c r="A422" s="116">
        <v>2025</v>
      </c>
      <c r="B422" s="129" t="s">
        <v>175</v>
      </c>
      <c r="C422" s="124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41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50</v>
      </c>
      <c r="H422" t="s">
        <v>172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16">
        <v>1124</v>
      </c>
    </row>
    <row r="423" spans="1:11" ht="18.75" customHeight="1" x14ac:dyDescent="0.35">
      <c r="A423" s="116">
        <v>2025</v>
      </c>
      <c r="B423" s="129" t="s">
        <v>175</v>
      </c>
      <c r="C423" s="124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41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121</v>
      </c>
      <c r="H423" t="s">
        <v>172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16">
        <v>0</v>
      </c>
    </row>
    <row r="424" spans="1:11" ht="18.75" customHeight="1" x14ac:dyDescent="0.35">
      <c r="A424" s="116">
        <v>2025</v>
      </c>
      <c r="B424" s="129" t="s">
        <v>175</v>
      </c>
      <c r="C424" s="124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41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51</v>
      </c>
      <c r="H424" t="s">
        <v>172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16">
        <v>838</v>
      </c>
    </row>
    <row r="425" spans="1:11" ht="18.75" customHeight="1" x14ac:dyDescent="0.35">
      <c r="A425" s="116">
        <v>2025</v>
      </c>
      <c r="B425" s="129" t="s">
        <v>175</v>
      </c>
      <c r="C425" s="124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41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52</v>
      </c>
      <c r="H425" t="s">
        <v>172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16">
        <v>400</v>
      </c>
    </row>
    <row r="426" spans="1:11" ht="18.75" customHeight="1" x14ac:dyDescent="0.35">
      <c r="A426" s="116">
        <v>2025</v>
      </c>
      <c r="B426" s="129" t="s">
        <v>175</v>
      </c>
      <c r="C426" s="124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41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53</v>
      </c>
      <c r="H426" t="s">
        <v>172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16">
        <v>352</v>
      </c>
    </row>
    <row r="427" spans="1:11" ht="18.75" customHeight="1" x14ac:dyDescent="0.35">
      <c r="A427" s="116">
        <v>2025</v>
      </c>
      <c r="B427" s="129" t="s">
        <v>175</v>
      </c>
      <c r="C427" s="124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41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54</v>
      </c>
      <c r="H427" t="s">
        <v>172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16">
        <v>38</v>
      </c>
    </row>
    <row r="428" spans="1:11" ht="18.75" customHeight="1" x14ac:dyDescent="0.35">
      <c r="A428" s="116">
        <v>2025</v>
      </c>
      <c r="B428" s="129" t="s">
        <v>175</v>
      </c>
      <c r="C428" s="124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55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56</v>
      </c>
      <c r="H428" t="s">
        <v>172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16">
        <v>105</v>
      </c>
    </row>
    <row r="429" spans="1:11" ht="18.75" customHeight="1" x14ac:dyDescent="0.35">
      <c r="A429" s="116">
        <v>2025</v>
      </c>
      <c r="B429" s="129" t="s">
        <v>175</v>
      </c>
      <c r="C429" s="124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57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58</v>
      </c>
      <c r="H429" t="s">
        <v>172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16">
        <v>77</v>
      </c>
    </row>
    <row r="430" spans="1:11" ht="18.75" customHeight="1" x14ac:dyDescent="0.35">
      <c r="A430" s="116">
        <v>2025</v>
      </c>
      <c r="B430" s="129" t="s">
        <v>175</v>
      </c>
      <c r="C430" s="124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28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172</v>
      </c>
      <c r="H430" t="s">
        <v>172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16">
        <v>2314516</v>
      </c>
    </row>
    <row r="431" spans="1:11" ht="18.75" customHeight="1" x14ac:dyDescent="0.35">
      <c r="A431" s="116">
        <v>2025</v>
      </c>
      <c r="B431" s="129" t="s">
        <v>175</v>
      </c>
      <c r="C431" s="124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210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172</v>
      </c>
      <c r="H431" t="s">
        <v>172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16">
        <v>338</v>
      </c>
    </row>
    <row r="432" spans="1:11" ht="18.75" customHeight="1" x14ac:dyDescent="0.35">
      <c r="A432" s="116">
        <v>2025</v>
      </c>
      <c r="B432" s="129" t="s">
        <v>175</v>
      </c>
      <c r="C432" s="124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29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172</v>
      </c>
      <c r="H432" t="s">
        <v>172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16">
        <v>0</v>
      </c>
    </row>
    <row r="433" spans="1:11" ht="18.75" customHeight="1" x14ac:dyDescent="0.35">
      <c r="A433" s="116">
        <v>2025</v>
      </c>
      <c r="B433" s="129" t="s">
        <v>175</v>
      </c>
      <c r="C433" s="124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30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172</v>
      </c>
      <c r="H433" t="s">
        <v>172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16">
        <v>0</v>
      </c>
    </row>
    <row r="434" spans="1:11" ht="18.75" customHeight="1" x14ac:dyDescent="0.35">
      <c r="A434" s="116">
        <v>2025</v>
      </c>
      <c r="B434" s="129" t="s">
        <v>175</v>
      </c>
      <c r="C434" s="124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211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172</v>
      </c>
      <c r="H434" t="s">
        <v>172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16">
        <v>1548</v>
      </c>
    </row>
    <row r="435" spans="1:11" ht="18.75" customHeight="1" x14ac:dyDescent="0.35">
      <c r="A435" s="116">
        <v>2025</v>
      </c>
      <c r="B435" s="129" t="s">
        <v>175</v>
      </c>
      <c r="C435" s="124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212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172</v>
      </c>
      <c r="H435" t="s">
        <v>172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16">
        <v>929</v>
      </c>
    </row>
    <row r="436" spans="1:11" ht="18.75" customHeight="1" x14ac:dyDescent="0.35">
      <c r="A436" s="116">
        <v>2025</v>
      </c>
      <c r="B436" s="129" t="s">
        <v>175</v>
      </c>
      <c r="C436" s="124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213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172</v>
      </c>
      <c r="H436" t="s">
        <v>172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16">
        <v>994</v>
      </c>
    </row>
    <row r="437" spans="1:11" ht="18.75" customHeight="1" x14ac:dyDescent="0.35">
      <c r="A437" s="116">
        <v>2025</v>
      </c>
      <c r="B437" s="129" t="s">
        <v>176</v>
      </c>
      <c r="C437" s="124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27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172</v>
      </c>
      <c r="H437" t="s">
        <v>172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16">
        <v>38410479</v>
      </c>
    </row>
    <row r="438" spans="1:11" ht="18.75" customHeight="1" x14ac:dyDescent="0.35">
      <c r="A438" s="116">
        <v>2025</v>
      </c>
      <c r="B438" s="129" t="s">
        <v>176</v>
      </c>
      <c r="C438" s="124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118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172</v>
      </c>
      <c r="H438" t="s">
        <v>172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16">
        <v>14</v>
      </c>
    </row>
    <row r="439" spans="1:11" ht="18.75" customHeight="1" x14ac:dyDescent="0.35">
      <c r="A439" s="116">
        <v>2025</v>
      </c>
      <c r="B439" s="129" t="s">
        <v>176</v>
      </c>
      <c r="C439" s="124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40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172</v>
      </c>
      <c r="H439" t="s">
        <v>172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16">
        <v>456</v>
      </c>
    </row>
    <row r="440" spans="1:11" ht="18.75" customHeight="1" x14ac:dyDescent="0.35">
      <c r="A440" s="116">
        <v>2025</v>
      </c>
      <c r="B440" s="129" t="s">
        <v>176</v>
      </c>
      <c r="C440" s="124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25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172</v>
      </c>
      <c r="H440" t="s">
        <v>172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16">
        <v>19092</v>
      </c>
    </row>
    <row r="441" spans="1:11" ht="18.75" customHeight="1" x14ac:dyDescent="0.35">
      <c r="A441" s="116">
        <v>2025</v>
      </c>
      <c r="B441" s="129" t="s">
        <v>176</v>
      </c>
      <c r="C441" s="124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208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172</v>
      </c>
      <c r="H441" t="s">
        <v>172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30">
        <v>28.9</v>
      </c>
    </row>
    <row r="442" spans="1:11" ht="18.75" customHeight="1" x14ac:dyDescent="0.35">
      <c r="A442" s="116">
        <v>2025</v>
      </c>
      <c r="B442" s="129" t="s">
        <v>176</v>
      </c>
      <c r="C442" s="124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38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172</v>
      </c>
      <c r="H442" t="s">
        <v>172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16">
        <v>1135</v>
      </c>
    </row>
    <row r="443" spans="1:11" ht="18.75" customHeight="1" x14ac:dyDescent="0.35">
      <c r="A443" s="116">
        <v>2025</v>
      </c>
      <c r="B443" s="129" t="s">
        <v>176</v>
      </c>
      <c r="C443" s="124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41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42</v>
      </c>
      <c r="H443" t="s">
        <v>172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16">
        <v>727</v>
      </c>
    </row>
    <row r="444" spans="1:11" ht="18.75" customHeight="1" x14ac:dyDescent="0.35">
      <c r="A444" s="116">
        <v>2025</v>
      </c>
      <c r="B444" s="129" t="s">
        <v>176</v>
      </c>
      <c r="C444" s="124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41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43</v>
      </c>
      <c r="H444" t="s">
        <v>172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16">
        <v>1607</v>
      </c>
    </row>
    <row r="445" spans="1:11" ht="18.75" customHeight="1" x14ac:dyDescent="0.35">
      <c r="A445" s="116">
        <v>2025</v>
      </c>
      <c r="B445" s="129" t="s">
        <v>176</v>
      </c>
      <c r="C445" s="124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41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44</v>
      </c>
      <c r="H445" t="s">
        <v>172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16">
        <v>1254</v>
      </c>
    </row>
    <row r="446" spans="1:11" ht="18.75" customHeight="1" x14ac:dyDescent="0.35">
      <c r="A446" s="116">
        <v>2025</v>
      </c>
      <c r="B446" s="129" t="s">
        <v>176</v>
      </c>
      <c r="C446" s="124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41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45</v>
      </c>
      <c r="H446" t="s">
        <v>172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16">
        <v>569</v>
      </c>
    </row>
    <row r="447" spans="1:11" ht="18.75" customHeight="1" x14ac:dyDescent="0.35">
      <c r="A447" s="116">
        <v>2025</v>
      </c>
      <c r="B447" s="129" t="s">
        <v>176</v>
      </c>
      <c r="C447" s="124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41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46</v>
      </c>
      <c r="H447" t="s">
        <v>172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16">
        <v>329</v>
      </c>
    </row>
    <row r="448" spans="1:11" ht="18.75" customHeight="1" x14ac:dyDescent="0.35">
      <c r="A448" s="116">
        <v>2025</v>
      </c>
      <c r="B448" s="129" t="s">
        <v>176</v>
      </c>
      <c r="C448" s="124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41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47</v>
      </c>
      <c r="H448" t="s">
        <v>172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16">
        <v>76</v>
      </c>
    </row>
    <row r="449" spans="1:11" ht="18.75" customHeight="1" x14ac:dyDescent="0.35">
      <c r="A449" s="116">
        <v>2025</v>
      </c>
      <c r="B449" s="129" t="s">
        <v>176</v>
      </c>
      <c r="C449" s="124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41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48</v>
      </c>
      <c r="H449" t="s">
        <v>172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16">
        <v>0</v>
      </c>
    </row>
    <row r="450" spans="1:11" ht="18.75" customHeight="1" x14ac:dyDescent="0.35">
      <c r="A450" s="116">
        <v>2025</v>
      </c>
      <c r="B450" s="129" t="s">
        <v>176</v>
      </c>
      <c r="C450" s="124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41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49</v>
      </c>
      <c r="H450" t="s">
        <v>172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16">
        <v>1398</v>
      </c>
    </row>
    <row r="451" spans="1:11" ht="18.75" customHeight="1" x14ac:dyDescent="0.35">
      <c r="A451" s="116">
        <v>2025</v>
      </c>
      <c r="B451" s="129" t="s">
        <v>176</v>
      </c>
      <c r="C451" s="124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41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50</v>
      </c>
      <c r="H451" t="s">
        <v>172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16">
        <v>1323</v>
      </c>
    </row>
    <row r="452" spans="1:11" ht="18.75" customHeight="1" x14ac:dyDescent="0.35">
      <c r="A452" s="116">
        <v>2025</v>
      </c>
      <c r="B452" s="129" t="s">
        <v>176</v>
      </c>
      <c r="C452" s="124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41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121</v>
      </c>
      <c r="H452" t="s">
        <v>172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16">
        <v>0</v>
      </c>
    </row>
    <row r="453" spans="1:11" ht="18.75" customHeight="1" x14ac:dyDescent="0.35">
      <c r="A453" s="116">
        <v>2025</v>
      </c>
      <c r="B453" s="129" t="s">
        <v>176</v>
      </c>
      <c r="C453" s="124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41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51</v>
      </c>
      <c r="H453" t="s">
        <v>172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16">
        <v>1172</v>
      </c>
    </row>
    <row r="454" spans="1:11" ht="18.75" customHeight="1" x14ac:dyDescent="0.35">
      <c r="A454" s="116">
        <v>2025</v>
      </c>
      <c r="B454" s="129" t="s">
        <v>176</v>
      </c>
      <c r="C454" s="124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41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52</v>
      </c>
      <c r="H454" t="s">
        <v>172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16">
        <v>498</v>
      </c>
    </row>
    <row r="455" spans="1:11" ht="18.75" customHeight="1" x14ac:dyDescent="0.35">
      <c r="A455" s="116">
        <v>2025</v>
      </c>
      <c r="B455" s="129" t="s">
        <v>176</v>
      </c>
      <c r="C455" s="124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41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53</v>
      </c>
      <c r="H455" t="s">
        <v>172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16">
        <v>227</v>
      </c>
    </row>
    <row r="456" spans="1:11" ht="18.75" customHeight="1" x14ac:dyDescent="0.35">
      <c r="A456" s="116">
        <v>2025</v>
      </c>
      <c r="B456" s="129" t="s">
        <v>176</v>
      </c>
      <c r="C456" s="124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41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54</v>
      </c>
      <c r="H456" t="s">
        <v>172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16">
        <v>29</v>
      </c>
    </row>
    <row r="457" spans="1:11" ht="18.75" customHeight="1" x14ac:dyDescent="0.35">
      <c r="A457" s="116">
        <v>2025</v>
      </c>
      <c r="B457" s="129" t="s">
        <v>176</v>
      </c>
      <c r="C457" s="124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55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56</v>
      </c>
      <c r="H457" t="s">
        <v>172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16">
        <v>100</v>
      </c>
    </row>
    <row r="458" spans="1:11" ht="18.75" customHeight="1" x14ac:dyDescent="0.35">
      <c r="A458" s="116">
        <v>2025</v>
      </c>
      <c r="B458" s="129" t="s">
        <v>176</v>
      </c>
      <c r="C458" s="124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57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58</v>
      </c>
      <c r="H458" t="s">
        <v>172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16">
        <v>65</v>
      </c>
    </row>
    <row r="459" spans="1:11" ht="18.75" customHeight="1" x14ac:dyDescent="0.35">
      <c r="A459" s="116">
        <v>2025</v>
      </c>
      <c r="B459" s="129" t="s">
        <v>176</v>
      </c>
      <c r="C459" s="124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28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172</v>
      </c>
      <c r="H459" t="s">
        <v>172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16">
        <v>1154400</v>
      </c>
    </row>
    <row r="460" spans="1:11" ht="18.75" customHeight="1" x14ac:dyDescent="0.35">
      <c r="A460" s="116">
        <v>2025</v>
      </c>
      <c r="B460" s="129" t="s">
        <v>176</v>
      </c>
      <c r="C460" s="124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210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172</v>
      </c>
      <c r="H460" t="s">
        <v>172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16">
        <v>241</v>
      </c>
    </row>
    <row r="461" spans="1:11" ht="18.75" customHeight="1" x14ac:dyDescent="0.35">
      <c r="A461" s="116">
        <v>2025</v>
      </c>
      <c r="B461" s="129" t="s">
        <v>176</v>
      </c>
      <c r="C461" s="124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29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172</v>
      </c>
      <c r="H461" t="s">
        <v>172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16">
        <v>22221345</v>
      </c>
    </row>
    <row r="462" spans="1:11" ht="18.75" customHeight="1" x14ac:dyDescent="0.35">
      <c r="A462" s="116">
        <v>2025</v>
      </c>
      <c r="B462" s="129" t="s">
        <v>176</v>
      </c>
      <c r="C462" s="124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30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172</v>
      </c>
      <c r="H462" t="s">
        <v>172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16">
        <v>0</v>
      </c>
    </row>
    <row r="463" spans="1:11" ht="18.75" customHeight="1" x14ac:dyDescent="0.35">
      <c r="A463" s="116">
        <v>2025</v>
      </c>
      <c r="B463" s="129" t="s">
        <v>176</v>
      </c>
      <c r="C463" s="124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211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172</v>
      </c>
      <c r="H463" t="s">
        <v>172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16">
        <v>1565</v>
      </c>
    </row>
    <row r="464" spans="1:11" ht="18.75" customHeight="1" x14ac:dyDescent="0.35">
      <c r="A464" s="116">
        <v>2025</v>
      </c>
      <c r="B464" s="129" t="s">
        <v>176</v>
      </c>
      <c r="C464" s="124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212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172</v>
      </c>
      <c r="H464" t="s">
        <v>172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16">
        <v>832</v>
      </c>
    </row>
    <row r="465" spans="1:11" ht="18.75" customHeight="1" x14ac:dyDescent="0.35">
      <c r="A465" s="116">
        <v>2025</v>
      </c>
      <c r="B465" s="129" t="s">
        <v>176</v>
      </c>
      <c r="C465" s="124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213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172</v>
      </c>
      <c r="H465" t="s">
        <v>172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16">
        <v>763</v>
      </c>
    </row>
    <row r="466" spans="1:11" ht="18.75" customHeight="1" x14ac:dyDescent="0.35">
      <c r="A466" s="116">
        <v>2025</v>
      </c>
      <c r="B466" s="129" t="s">
        <v>177</v>
      </c>
      <c r="C466" s="124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27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172</v>
      </c>
      <c r="H466" t="s">
        <v>172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16">
        <v>4564717</v>
      </c>
    </row>
    <row r="467" spans="1:11" ht="18.75" customHeight="1" x14ac:dyDescent="0.35">
      <c r="A467" s="116">
        <v>2025</v>
      </c>
      <c r="B467" s="129" t="s">
        <v>177</v>
      </c>
      <c r="C467" s="124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118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172</v>
      </c>
      <c r="H467" t="s">
        <v>172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16">
        <v>5</v>
      </c>
    </row>
    <row r="468" spans="1:11" ht="18.75" customHeight="1" x14ac:dyDescent="0.35">
      <c r="A468" s="116">
        <v>2025</v>
      </c>
      <c r="B468" s="129" t="s">
        <v>177</v>
      </c>
      <c r="C468" s="124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40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172</v>
      </c>
      <c r="H468" t="s">
        <v>172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16">
        <v>459</v>
      </c>
    </row>
    <row r="469" spans="1:11" ht="18.75" customHeight="1" x14ac:dyDescent="0.35">
      <c r="A469" s="116">
        <v>2025</v>
      </c>
      <c r="B469" s="129" t="s">
        <v>177</v>
      </c>
      <c r="C469" s="124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25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172</v>
      </c>
      <c r="H469" t="s">
        <v>172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16">
        <v>20034</v>
      </c>
    </row>
    <row r="470" spans="1:11" ht="18.75" customHeight="1" x14ac:dyDescent="0.35">
      <c r="A470" s="116">
        <v>2025</v>
      </c>
      <c r="B470" s="129" t="s">
        <v>177</v>
      </c>
      <c r="C470" s="124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208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172</v>
      </c>
      <c r="H470" t="s">
        <v>172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30">
        <v>24.6</v>
      </c>
    </row>
    <row r="471" spans="1:11" ht="18.75" customHeight="1" x14ac:dyDescent="0.35">
      <c r="A471" s="116">
        <v>2025</v>
      </c>
      <c r="B471" s="129" t="s">
        <v>177</v>
      </c>
      <c r="C471" s="124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38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172</v>
      </c>
      <c r="H471" t="s">
        <v>172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16">
        <v>1106</v>
      </c>
    </row>
    <row r="472" spans="1:11" ht="18.75" customHeight="1" x14ac:dyDescent="0.35">
      <c r="A472" s="116">
        <v>2025</v>
      </c>
      <c r="B472" s="129" t="s">
        <v>177</v>
      </c>
      <c r="C472" s="124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41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42</v>
      </c>
      <c r="H472" t="s">
        <v>172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16">
        <v>564</v>
      </c>
    </row>
    <row r="473" spans="1:11" ht="18.75" customHeight="1" x14ac:dyDescent="0.35">
      <c r="A473" s="116">
        <v>2025</v>
      </c>
      <c r="B473" s="129" t="s">
        <v>177</v>
      </c>
      <c r="C473" s="124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41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43</v>
      </c>
      <c r="H473" t="s">
        <v>172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16">
        <v>957</v>
      </c>
    </row>
    <row r="474" spans="1:11" ht="18.75" customHeight="1" x14ac:dyDescent="0.35">
      <c r="A474" s="116">
        <v>2025</v>
      </c>
      <c r="B474" s="129" t="s">
        <v>177</v>
      </c>
      <c r="C474" s="124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41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44</v>
      </c>
      <c r="H474" t="s">
        <v>172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16">
        <v>957</v>
      </c>
    </row>
    <row r="475" spans="1:11" ht="18.75" customHeight="1" x14ac:dyDescent="0.35">
      <c r="A475" s="116">
        <v>2025</v>
      </c>
      <c r="B475" s="129" t="s">
        <v>177</v>
      </c>
      <c r="C475" s="124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41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45</v>
      </c>
      <c r="H475" t="s">
        <v>172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16">
        <v>635</v>
      </c>
    </row>
    <row r="476" spans="1:11" ht="18.75" customHeight="1" x14ac:dyDescent="0.35">
      <c r="A476" s="116">
        <v>2025</v>
      </c>
      <c r="B476" s="129" t="s">
        <v>177</v>
      </c>
      <c r="C476" s="124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41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46</v>
      </c>
      <c r="H476" t="s">
        <v>172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16">
        <v>181</v>
      </c>
    </row>
    <row r="477" spans="1:11" ht="18.75" customHeight="1" x14ac:dyDescent="0.35">
      <c r="A477" s="116">
        <v>2025</v>
      </c>
      <c r="B477" s="129" t="s">
        <v>177</v>
      </c>
      <c r="C477" s="124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41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47</v>
      </c>
      <c r="H477" t="s">
        <v>172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16">
        <v>40</v>
      </c>
    </row>
    <row r="478" spans="1:11" ht="18.75" customHeight="1" x14ac:dyDescent="0.35">
      <c r="A478" s="116">
        <v>2025</v>
      </c>
      <c r="B478" s="129" t="s">
        <v>177</v>
      </c>
      <c r="C478" s="124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41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48</v>
      </c>
      <c r="H478" t="s">
        <v>172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16">
        <v>2479</v>
      </c>
    </row>
    <row r="479" spans="1:11" ht="18.75" customHeight="1" x14ac:dyDescent="0.35">
      <c r="A479" s="116">
        <v>2025</v>
      </c>
      <c r="B479" s="129" t="s">
        <v>177</v>
      </c>
      <c r="C479" s="124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41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49</v>
      </c>
      <c r="H479" t="s">
        <v>172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16">
        <v>828</v>
      </c>
    </row>
    <row r="480" spans="1:11" ht="18.75" customHeight="1" x14ac:dyDescent="0.35">
      <c r="A480" s="116">
        <v>2025</v>
      </c>
      <c r="B480" s="129" t="s">
        <v>177</v>
      </c>
      <c r="C480" s="124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41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50</v>
      </c>
      <c r="H480" t="s">
        <v>172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16">
        <v>1078</v>
      </c>
    </row>
    <row r="481" spans="1:11" ht="18.75" customHeight="1" x14ac:dyDescent="0.35">
      <c r="A481" s="116">
        <v>2025</v>
      </c>
      <c r="B481" s="129" t="s">
        <v>177</v>
      </c>
      <c r="C481" s="124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41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121</v>
      </c>
      <c r="H481" t="s">
        <v>172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16">
        <v>786</v>
      </c>
    </row>
    <row r="482" spans="1:11" ht="18.75" customHeight="1" x14ac:dyDescent="0.35">
      <c r="A482" s="116">
        <v>2025</v>
      </c>
      <c r="B482" s="129" t="s">
        <v>177</v>
      </c>
      <c r="C482" s="124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41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51</v>
      </c>
      <c r="H482" t="s">
        <v>172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16">
        <v>847</v>
      </c>
    </row>
    <row r="483" spans="1:11" ht="18.75" customHeight="1" x14ac:dyDescent="0.35">
      <c r="A483" s="116">
        <v>2025</v>
      </c>
      <c r="B483" s="129" t="s">
        <v>177</v>
      </c>
      <c r="C483" s="124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41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52</v>
      </c>
      <c r="H483" t="s">
        <v>172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16">
        <v>333</v>
      </c>
    </row>
    <row r="484" spans="1:11" ht="18.75" customHeight="1" x14ac:dyDescent="0.35">
      <c r="A484" s="116">
        <v>2025</v>
      </c>
      <c r="B484" s="129" t="s">
        <v>177</v>
      </c>
      <c r="C484" s="124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41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53</v>
      </c>
      <c r="H484" t="s">
        <v>172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16">
        <v>333</v>
      </c>
    </row>
    <row r="485" spans="1:11" ht="18.75" customHeight="1" x14ac:dyDescent="0.35">
      <c r="A485" s="116">
        <v>2025</v>
      </c>
      <c r="B485" s="129" t="s">
        <v>177</v>
      </c>
      <c r="C485" s="124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41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54</v>
      </c>
      <c r="H485" t="s">
        <v>172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16">
        <v>60</v>
      </c>
    </row>
    <row r="486" spans="1:11" ht="18.75" customHeight="1" x14ac:dyDescent="0.35">
      <c r="A486" s="116">
        <v>2025</v>
      </c>
      <c r="B486" s="129" t="s">
        <v>177</v>
      </c>
      <c r="C486" s="124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55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56</v>
      </c>
      <c r="H486" t="s">
        <v>172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16">
        <v>96</v>
      </c>
    </row>
    <row r="487" spans="1:11" ht="18.75" customHeight="1" x14ac:dyDescent="0.35">
      <c r="A487" s="116">
        <v>2025</v>
      </c>
      <c r="B487" s="129" t="s">
        <v>177</v>
      </c>
      <c r="C487" s="124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57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58</v>
      </c>
      <c r="H487" t="s">
        <v>172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16">
        <v>91</v>
      </c>
    </row>
    <row r="488" spans="1:11" ht="18.75" customHeight="1" x14ac:dyDescent="0.35">
      <c r="A488" s="116">
        <v>2025</v>
      </c>
      <c r="B488" s="129" t="s">
        <v>177</v>
      </c>
      <c r="C488" s="124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28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172</v>
      </c>
      <c r="H488" t="s">
        <v>172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16">
        <v>21786526</v>
      </c>
    </row>
    <row r="489" spans="1:11" ht="18.75" customHeight="1" x14ac:dyDescent="0.35">
      <c r="A489" s="116">
        <v>2025</v>
      </c>
      <c r="B489" s="129" t="s">
        <v>177</v>
      </c>
      <c r="C489" s="124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210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172</v>
      </c>
      <c r="H489" t="s">
        <v>172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16">
        <v>258</v>
      </c>
    </row>
    <row r="490" spans="1:11" ht="18.75" customHeight="1" x14ac:dyDescent="0.35">
      <c r="A490" s="116">
        <v>2025</v>
      </c>
      <c r="B490" s="129" t="s">
        <v>177</v>
      </c>
      <c r="C490" s="124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29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172</v>
      </c>
      <c r="H490" t="s">
        <v>172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16">
        <v>0</v>
      </c>
    </row>
    <row r="491" spans="1:11" ht="18.75" customHeight="1" x14ac:dyDescent="0.35">
      <c r="A491" s="116">
        <v>2025</v>
      </c>
      <c r="B491" s="129" t="s">
        <v>177</v>
      </c>
      <c r="C491" s="124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30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172</v>
      </c>
      <c r="H491" t="s">
        <v>172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16">
        <v>48265961</v>
      </c>
    </row>
    <row r="492" spans="1:11" ht="18.75" customHeight="1" x14ac:dyDescent="0.35">
      <c r="A492" s="116">
        <v>2025</v>
      </c>
      <c r="B492" s="129" t="s">
        <v>177</v>
      </c>
      <c r="C492" s="124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211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172</v>
      </c>
      <c r="H492" t="s">
        <v>172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16">
        <v>1750</v>
      </c>
    </row>
    <row r="493" spans="1:11" ht="18.75" customHeight="1" x14ac:dyDescent="0.35">
      <c r="A493" s="116">
        <v>2025</v>
      </c>
      <c r="B493" s="129" t="s">
        <v>177</v>
      </c>
      <c r="C493" s="124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212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172</v>
      </c>
      <c r="H493" t="s">
        <v>172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16">
        <v>1286</v>
      </c>
    </row>
    <row r="494" spans="1:11" ht="18.75" customHeight="1" x14ac:dyDescent="0.35">
      <c r="A494" s="116">
        <v>2025</v>
      </c>
      <c r="B494" s="129" t="s">
        <v>177</v>
      </c>
      <c r="C494" s="124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213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172</v>
      </c>
      <c r="H494" t="s">
        <v>172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16">
        <v>526</v>
      </c>
    </row>
    <row r="495" spans="1:11" ht="18.75" customHeight="1" x14ac:dyDescent="0.35">
      <c r="A495" s="116">
        <v>2025</v>
      </c>
      <c r="B495" s="129" t="s">
        <v>178</v>
      </c>
      <c r="C495" s="124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27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172</v>
      </c>
      <c r="H495" t="s">
        <v>172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16">
        <v>17817507</v>
      </c>
    </row>
    <row r="496" spans="1:11" ht="18.75" customHeight="1" x14ac:dyDescent="0.35">
      <c r="A496" s="116">
        <v>2025</v>
      </c>
      <c r="B496" s="129" t="s">
        <v>178</v>
      </c>
      <c r="C496" s="124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118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172</v>
      </c>
      <c r="H496" t="s">
        <v>172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16">
        <v>0</v>
      </c>
    </row>
    <row r="497" spans="1:11" ht="18.75" customHeight="1" x14ac:dyDescent="0.35">
      <c r="A497" s="116">
        <v>2025</v>
      </c>
      <c r="B497" s="129" t="s">
        <v>178</v>
      </c>
      <c r="C497" s="124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40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172</v>
      </c>
      <c r="H497" t="s">
        <v>172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16">
        <v>458</v>
      </c>
    </row>
    <row r="498" spans="1:11" ht="18.75" customHeight="1" x14ac:dyDescent="0.35">
      <c r="A498" s="116">
        <v>2025</v>
      </c>
      <c r="B498" s="129" t="s">
        <v>178</v>
      </c>
      <c r="C498" s="124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25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172</v>
      </c>
      <c r="H498" t="s">
        <v>172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16">
        <v>17318</v>
      </c>
    </row>
    <row r="499" spans="1:11" ht="18.75" customHeight="1" x14ac:dyDescent="0.35">
      <c r="A499" s="116">
        <v>2025</v>
      </c>
      <c r="B499" s="129" t="s">
        <v>178</v>
      </c>
      <c r="C499" s="124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208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172</v>
      </c>
      <c r="H499" t="s">
        <v>172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30">
        <v>26.7</v>
      </c>
    </row>
    <row r="500" spans="1:11" ht="18.75" customHeight="1" x14ac:dyDescent="0.35">
      <c r="A500" s="116">
        <v>2025</v>
      </c>
      <c r="B500" s="129" t="s">
        <v>178</v>
      </c>
      <c r="C500" s="124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38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172</v>
      </c>
      <c r="H500" t="s">
        <v>172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16">
        <v>1080</v>
      </c>
    </row>
    <row r="501" spans="1:11" ht="18.75" customHeight="1" x14ac:dyDescent="0.35">
      <c r="A501" s="116">
        <v>2025</v>
      </c>
      <c r="B501" s="129" t="s">
        <v>178</v>
      </c>
      <c r="C501" s="124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41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42</v>
      </c>
      <c r="H501" t="s">
        <v>172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16">
        <v>655</v>
      </c>
    </row>
    <row r="502" spans="1:11" ht="18.75" customHeight="1" x14ac:dyDescent="0.35">
      <c r="A502" s="116">
        <v>2025</v>
      </c>
      <c r="B502" s="129" t="s">
        <v>178</v>
      </c>
      <c r="C502" s="124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41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43</v>
      </c>
      <c r="H502" t="s">
        <v>172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16">
        <v>964</v>
      </c>
    </row>
    <row r="503" spans="1:11" ht="18.75" customHeight="1" x14ac:dyDescent="0.35">
      <c r="A503" s="116">
        <v>2025</v>
      </c>
      <c r="B503" s="129" t="s">
        <v>178</v>
      </c>
      <c r="C503" s="124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41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44</v>
      </c>
      <c r="H503" t="s">
        <v>172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16">
        <v>785</v>
      </c>
    </row>
    <row r="504" spans="1:11" ht="18.75" customHeight="1" x14ac:dyDescent="0.35">
      <c r="A504" s="116">
        <v>2025</v>
      </c>
      <c r="B504" s="129" t="s">
        <v>178</v>
      </c>
      <c r="C504" s="124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41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45</v>
      </c>
      <c r="H504" t="s">
        <v>172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16">
        <v>606</v>
      </c>
    </row>
    <row r="505" spans="1:11" ht="18.75" customHeight="1" x14ac:dyDescent="0.35">
      <c r="A505" s="116">
        <v>2025</v>
      </c>
      <c r="B505" s="129" t="s">
        <v>178</v>
      </c>
      <c r="C505" s="124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41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46</v>
      </c>
      <c r="H505" t="s">
        <v>172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16">
        <v>368</v>
      </c>
    </row>
    <row r="506" spans="1:11" ht="18.75" customHeight="1" x14ac:dyDescent="0.35">
      <c r="A506" s="116">
        <v>2025</v>
      </c>
      <c r="B506" s="129" t="s">
        <v>178</v>
      </c>
      <c r="C506" s="124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41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47</v>
      </c>
      <c r="H506" t="s">
        <v>172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16">
        <v>43</v>
      </c>
    </row>
    <row r="507" spans="1:11" ht="18.75" customHeight="1" x14ac:dyDescent="0.35">
      <c r="A507" s="116">
        <v>2025</v>
      </c>
      <c r="B507" s="129" t="s">
        <v>178</v>
      </c>
      <c r="C507" s="124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41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48</v>
      </c>
      <c r="H507" t="s">
        <v>172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16">
        <v>2529</v>
      </c>
    </row>
    <row r="508" spans="1:11" ht="18.75" customHeight="1" x14ac:dyDescent="0.35">
      <c r="A508" s="116">
        <v>2025</v>
      </c>
      <c r="B508" s="129" t="s">
        <v>178</v>
      </c>
      <c r="C508" s="124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41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49</v>
      </c>
      <c r="H508" t="s">
        <v>172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16">
        <v>931</v>
      </c>
    </row>
    <row r="509" spans="1:11" ht="18.75" customHeight="1" x14ac:dyDescent="0.35">
      <c r="A509" s="116">
        <v>2025</v>
      </c>
      <c r="B509" s="129" t="s">
        <v>178</v>
      </c>
      <c r="C509" s="124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41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50</v>
      </c>
      <c r="H509" t="s">
        <v>172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16">
        <v>1217</v>
      </c>
    </row>
    <row r="510" spans="1:11" ht="18.75" customHeight="1" x14ac:dyDescent="0.35">
      <c r="A510" s="116">
        <v>2025</v>
      </c>
      <c r="B510" s="129" t="s">
        <v>178</v>
      </c>
      <c r="C510" s="124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41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121</v>
      </c>
      <c r="H510" t="s">
        <v>172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16">
        <v>173</v>
      </c>
    </row>
    <row r="511" spans="1:11" ht="18.75" customHeight="1" x14ac:dyDescent="0.35">
      <c r="A511" s="116">
        <v>2025</v>
      </c>
      <c r="B511" s="129" t="s">
        <v>178</v>
      </c>
      <c r="C511" s="124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41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51</v>
      </c>
      <c r="H511" t="s">
        <v>172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16">
        <v>1194</v>
      </c>
    </row>
    <row r="512" spans="1:11" ht="18.75" customHeight="1" x14ac:dyDescent="0.35">
      <c r="A512" s="116">
        <v>2025</v>
      </c>
      <c r="B512" s="129" t="s">
        <v>178</v>
      </c>
      <c r="C512" s="124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41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52</v>
      </c>
      <c r="H512" t="s">
        <v>172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16">
        <v>413</v>
      </c>
    </row>
    <row r="513" spans="1:11" ht="18.75" customHeight="1" x14ac:dyDescent="0.35">
      <c r="A513" s="116">
        <v>2025</v>
      </c>
      <c r="B513" s="129" t="s">
        <v>178</v>
      </c>
      <c r="C513" s="124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41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53</v>
      </c>
      <c r="H513" t="s">
        <v>172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16">
        <v>431</v>
      </c>
    </row>
    <row r="514" spans="1:11" ht="18.75" customHeight="1" x14ac:dyDescent="0.35">
      <c r="A514" s="116">
        <v>2025</v>
      </c>
      <c r="B514" s="129" t="s">
        <v>178</v>
      </c>
      <c r="C514" s="124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41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54</v>
      </c>
      <c r="H514" t="s">
        <v>172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16">
        <v>54</v>
      </c>
    </row>
    <row r="515" spans="1:11" ht="18.75" customHeight="1" x14ac:dyDescent="0.35">
      <c r="A515" s="116">
        <v>2025</v>
      </c>
      <c r="B515" s="129" t="s">
        <v>178</v>
      </c>
      <c r="C515" s="124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55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56</v>
      </c>
      <c r="H515" t="s">
        <v>172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16">
        <v>158</v>
      </c>
    </row>
    <row r="516" spans="1:11" ht="18.75" customHeight="1" x14ac:dyDescent="0.35">
      <c r="A516" s="116">
        <v>2025</v>
      </c>
      <c r="B516" s="129" t="s">
        <v>178</v>
      </c>
      <c r="C516" s="124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57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58</v>
      </c>
      <c r="H516" t="s">
        <v>172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16">
        <v>65</v>
      </c>
    </row>
    <row r="517" spans="1:11" ht="18.75" customHeight="1" x14ac:dyDescent="0.35">
      <c r="A517" s="116">
        <v>2025</v>
      </c>
      <c r="B517" s="129" t="s">
        <v>178</v>
      </c>
      <c r="C517" s="124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28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172</v>
      </c>
      <c r="H517" t="s">
        <v>172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16">
        <v>0</v>
      </c>
    </row>
    <row r="518" spans="1:11" ht="18.75" customHeight="1" x14ac:dyDescent="0.35">
      <c r="A518" s="116">
        <v>2025</v>
      </c>
      <c r="B518" s="129" t="s">
        <v>178</v>
      </c>
      <c r="C518" s="124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210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172</v>
      </c>
      <c r="H518" t="s">
        <v>172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16">
        <v>305</v>
      </c>
    </row>
    <row r="519" spans="1:11" ht="18.75" customHeight="1" x14ac:dyDescent="0.35">
      <c r="A519" s="116">
        <v>2025</v>
      </c>
      <c r="B519" s="129" t="s">
        <v>178</v>
      </c>
      <c r="C519" s="124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29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172</v>
      </c>
      <c r="H519" t="s">
        <v>172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16">
        <v>0</v>
      </c>
    </row>
    <row r="520" spans="1:11" ht="18.75" customHeight="1" x14ac:dyDescent="0.35">
      <c r="A520" s="116">
        <v>2025</v>
      </c>
      <c r="B520" s="129" t="s">
        <v>178</v>
      </c>
      <c r="C520" s="124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30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172</v>
      </c>
      <c r="H520" t="s">
        <v>172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16">
        <v>0</v>
      </c>
    </row>
    <row r="521" spans="1:11" ht="18.75" customHeight="1" x14ac:dyDescent="0.35">
      <c r="A521" s="116">
        <v>2025</v>
      </c>
      <c r="B521" s="129" t="s">
        <v>178</v>
      </c>
      <c r="C521" s="124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211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172</v>
      </c>
      <c r="H521" t="s">
        <v>172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16">
        <v>1617</v>
      </c>
    </row>
    <row r="522" spans="1:11" ht="18.75" customHeight="1" x14ac:dyDescent="0.35">
      <c r="A522" s="116">
        <v>2025</v>
      </c>
      <c r="B522" s="129" t="s">
        <v>178</v>
      </c>
      <c r="C522" s="124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212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172</v>
      </c>
      <c r="H522" t="s">
        <v>172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16">
        <v>1324</v>
      </c>
    </row>
    <row r="523" spans="1:11" ht="18.75" customHeight="1" x14ac:dyDescent="0.35">
      <c r="A523" s="116">
        <v>2025</v>
      </c>
      <c r="B523" s="129" t="s">
        <v>178</v>
      </c>
      <c r="C523" s="124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213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172</v>
      </c>
      <c r="H523" t="s">
        <v>172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16">
        <v>409</v>
      </c>
    </row>
    <row r="524" spans="1:11" ht="18.75" customHeight="1" x14ac:dyDescent="0.35">
      <c r="A524" s="116">
        <v>2025</v>
      </c>
      <c r="B524" s="129" t="s">
        <v>179</v>
      </c>
      <c r="C524" s="124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27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172</v>
      </c>
      <c r="H524" t="s">
        <v>172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16">
        <v>0</v>
      </c>
    </row>
    <row r="525" spans="1:11" ht="18.75" customHeight="1" x14ac:dyDescent="0.35">
      <c r="A525" s="116">
        <v>2025</v>
      </c>
      <c r="B525" s="129" t="s">
        <v>179</v>
      </c>
      <c r="C525" s="124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118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172</v>
      </c>
      <c r="H525" t="s">
        <v>172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16">
        <v>0</v>
      </c>
    </row>
    <row r="526" spans="1:11" ht="18.75" customHeight="1" x14ac:dyDescent="0.35">
      <c r="A526" s="116">
        <v>2025</v>
      </c>
      <c r="B526" s="129" t="s">
        <v>179</v>
      </c>
      <c r="C526" s="124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40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172</v>
      </c>
      <c r="H526" t="s">
        <v>172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16">
        <v>458</v>
      </c>
    </row>
    <row r="527" spans="1:11" ht="18.75" customHeight="1" x14ac:dyDescent="0.35">
      <c r="A527" s="116">
        <v>2025</v>
      </c>
      <c r="B527" s="129" t="s">
        <v>179</v>
      </c>
      <c r="C527" s="124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25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172</v>
      </c>
      <c r="H527" t="s">
        <v>172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16">
        <v>28995</v>
      </c>
    </row>
    <row r="528" spans="1:11" ht="18.75" customHeight="1" x14ac:dyDescent="0.35">
      <c r="A528" s="116">
        <v>2025</v>
      </c>
      <c r="B528" s="129" t="s">
        <v>179</v>
      </c>
      <c r="C528" s="124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208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172</v>
      </c>
      <c r="H528" t="s">
        <v>172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30">
        <v>29.2</v>
      </c>
    </row>
    <row r="529" spans="1:11" ht="18.75" customHeight="1" x14ac:dyDescent="0.35">
      <c r="A529" s="116">
        <v>2025</v>
      </c>
      <c r="B529" s="129" t="s">
        <v>179</v>
      </c>
      <c r="C529" s="124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38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172</v>
      </c>
      <c r="H529" t="s">
        <v>172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16">
        <v>1095</v>
      </c>
    </row>
    <row r="530" spans="1:11" ht="18.75" customHeight="1" x14ac:dyDescent="0.35">
      <c r="A530" s="116">
        <v>2025</v>
      </c>
      <c r="B530" s="129" t="s">
        <v>179</v>
      </c>
      <c r="C530" s="124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41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42</v>
      </c>
      <c r="H530" t="s">
        <v>172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16">
        <v>436</v>
      </c>
    </row>
    <row r="531" spans="1:11" ht="18.75" customHeight="1" x14ac:dyDescent="0.35">
      <c r="A531" s="116">
        <v>2025</v>
      </c>
      <c r="B531" s="129" t="s">
        <v>179</v>
      </c>
      <c r="C531" s="124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41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43</v>
      </c>
      <c r="H531" t="s">
        <v>172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16">
        <v>1553</v>
      </c>
    </row>
    <row r="532" spans="1:11" ht="18.75" customHeight="1" x14ac:dyDescent="0.35">
      <c r="A532" s="116">
        <v>2025</v>
      </c>
      <c r="B532" s="129" t="s">
        <v>179</v>
      </c>
      <c r="C532" s="124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41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44</v>
      </c>
      <c r="H532" t="s">
        <v>172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16">
        <v>1220</v>
      </c>
    </row>
    <row r="533" spans="1:11" ht="18.75" customHeight="1" x14ac:dyDescent="0.35">
      <c r="A533" s="116">
        <v>2025</v>
      </c>
      <c r="B533" s="129" t="s">
        <v>179</v>
      </c>
      <c r="C533" s="124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41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45</v>
      </c>
      <c r="H533" t="s">
        <v>172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16">
        <v>811</v>
      </c>
    </row>
    <row r="534" spans="1:11" ht="18.75" customHeight="1" x14ac:dyDescent="0.35">
      <c r="A534" s="116">
        <v>2025</v>
      </c>
      <c r="B534" s="129" t="s">
        <v>179</v>
      </c>
      <c r="C534" s="124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41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46</v>
      </c>
      <c r="H534" t="s">
        <v>172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16">
        <v>419</v>
      </c>
    </row>
    <row r="535" spans="1:11" ht="18.75" customHeight="1" x14ac:dyDescent="0.35">
      <c r="A535" s="116">
        <v>2025</v>
      </c>
      <c r="B535" s="129" t="s">
        <v>179</v>
      </c>
      <c r="C535" s="124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41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47</v>
      </c>
      <c r="H535" t="s">
        <v>172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16">
        <v>43</v>
      </c>
    </row>
    <row r="536" spans="1:11" ht="18.75" customHeight="1" x14ac:dyDescent="0.35">
      <c r="A536" s="116">
        <v>2025</v>
      </c>
      <c r="B536" s="129" t="s">
        <v>179</v>
      </c>
      <c r="C536" s="124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41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48</v>
      </c>
      <c r="H536" t="s">
        <v>172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16">
        <v>1163</v>
      </c>
    </row>
    <row r="537" spans="1:11" ht="18.75" customHeight="1" x14ac:dyDescent="0.35">
      <c r="A537" s="116">
        <v>2025</v>
      </c>
      <c r="B537" s="129" t="s">
        <v>179</v>
      </c>
      <c r="C537" s="124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41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49</v>
      </c>
      <c r="H537" t="s">
        <v>172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16">
        <v>1581</v>
      </c>
    </row>
    <row r="538" spans="1:11" ht="18.75" customHeight="1" x14ac:dyDescent="0.35">
      <c r="A538" s="116">
        <v>2025</v>
      </c>
      <c r="B538" s="129" t="s">
        <v>179</v>
      </c>
      <c r="C538" s="124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41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50</v>
      </c>
      <c r="H538" t="s">
        <v>172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16">
        <v>1957</v>
      </c>
    </row>
    <row r="539" spans="1:11" ht="18.75" customHeight="1" x14ac:dyDescent="0.35">
      <c r="A539" s="116">
        <v>2025</v>
      </c>
      <c r="B539" s="129" t="s">
        <v>179</v>
      </c>
      <c r="C539" s="124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41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121</v>
      </c>
      <c r="H539" t="s">
        <v>172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16">
        <v>265</v>
      </c>
    </row>
    <row r="540" spans="1:11" ht="18.75" customHeight="1" x14ac:dyDescent="0.35">
      <c r="A540" s="116">
        <v>2025</v>
      </c>
      <c r="B540" s="129" t="s">
        <v>179</v>
      </c>
      <c r="C540" s="124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41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51</v>
      </c>
      <c r="H540" t="s">
        <v>172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16">
        <v>1285</v>
      </c>
    </row>
    <row r="541" spans="1:11" ht="18.75" customHeight="1" x14ac:dyDescent="0.35">
      <c r="A541" s="116">
        <v>2025</v>
      </c>
      <c r="B541" s="129" t="s">
        <v>179</v>
      </c>
      <c r="C541" s="124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41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52</v>
      </c>
      <c r="H541" t="s">
        <v>172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16">
        <v>586</v>
      </c>
    </row>
    <row r="542" spans="1:11" ht="18.75" customHeight="1" x14ac:dyDescent="0.35">
      <c r="A542" s="116">
        <v>2025</v>
      </c>
      <c r="B542" s="129" t="s">
        <v>179</v>
      </c>
      <c r="C542" s="124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41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53</v>
      </c>
      <c r="H542" t="s">
        <v>172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16">
        <v>346</v>
      </c>
    </row>
    <row r="543" spans="1:11" ht="18.75" customHeight="1" x14ac:dyDescent="0.35">
      <c r="A543" s="116">
        <v>2025</v>
      </c>
      <c r="B543" s="129" t="s">
        <v>179</v>
      </c>
      <c r="C543" s="124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41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54</v>
      </c>
      <c r="H543" t="s">
        <v>172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16">
        <v>76</v>
      </c>
    </row>
    <row r="544" spans="1:11" ht="18.75" customHeight="1" x14ac:dyDescent="0.35">
      <c r="A544" s="116">
        <v>2025</v>
      </c>
      <c r="B544" s="129" t="s">
        <v>179</v>
      </c>
      <c r="C544" s="124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55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56</v>
      </c>
      <c r="H544" t="s">
        <v>172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16">
        <v>130</v>
      </c>
    </row>
    <row r="545" spans="1:11" ht="18.75" customHeight="1" x14ac:dyDescent="0.35">
      <c r="A545" s="116">
        <v>2025</v>
      </c>
      <c r="B545" s="129" t="s">
        <v>179</v>
      </c>
      <c r="C545" s="124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57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58</v>
      </c>
      <c r="H545" t="s">
        <v>172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16">
        <v>97</v>
      </c>
    </row>
    <row r="546" spans="1:11" ht="18.75" customHeight="1" x14ac:dyDescent="0.35">
      <c r="A546" s="116">
        <v>2025</v>
      </c>
      <c r="B546" s="129" t="s">
        <v>179</v>
      </c>
      <c r="C546" s="124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28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172</v>
      </c>
      <c r="H546" t="s">
        <v>172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16">
        <v>6697468</v>
      </c>
    </row>
    <row r="547" spans="1:11" ht="18.75" customHeight="1" x14ac:dyDescent="0.35">
      <c r="A547" s="116">
        <v>2025</v>
      </c>
      <c r="B547" s="129" t="s">
        <v>179</v>
      </c>
      <c r="C547" s="124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210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172</v>
      </c>
      <c r="H547" t="s">
        <v>172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16">
        <v>243</v>
      </c>
    </row>
    <row r="548" spans="1:11" ht="18.75" customHeight="1" x14ac:dyDescent="0.35">
      <c r="A548" s="116">
        <v>2025</v>
      </c>
      <c r="B548" s="129" t="s">
        <v>179</v>
      </c>
      <c r="C548" s="124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29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172</v>
      </c>
      <c r="H548" t="s">
        <v>172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16">
        <v>0</v>
      </c>
    </row>
    <row r="549" spans="1:11" ht="18.75" customHeight="1" x14ac:dyDescent="0.35">
      <c r="A549" s="116">
        <v>2025</v>
      </c>
      <c r="B549" s="129" t="s">
        <v>179</v>
      </c>
      <c r="C549" s="124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30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172</v>
      </c>
      <c r="H549" t="s">
        <v>172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16">
        <v>0</v>
      </c>
    </row>
    <row r="550" spans="1:11" ht="18.75" customHeight="1" x14ac:dyDescent="0.35">
      <c r="A550" s="116">
        <v>2025</v>
      </c>
      <c r="B550" s="129" t="s">
        <v>179</v>
      </c>
      <c r="C550" s="124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211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172</v>
      </c>
      <c r="H550" t="s">
        <v>172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16">
        <v>1423</v>
      </c>
    </row>
    <row r="551" spans="1:11" ht="18.75" customHeight="1" x14ac:dyDescent="0.35">
      <c r="A551" s="116">
        <v>2025</v>
      </c>
      <c r="B551" s="129" t="s">
        <v>179</v>
      </c>
      <c r="C551" s="124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212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172</v>
      </c>
      <c r="H551" t="s">
        <v>172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16">
        <v>1093</v>
      </c>
    </row>
    <row r="552" spans="1:11" ht="18.75" customHeight="1" x14ac:dyDescent="0.35">
      <c r="A552" s="116">
        <v>2025</v>
      </c>
      <c r="B552" s="129" t="s">
        <v>179</v>
      </c>
      <c r="C552" s="124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213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172</v>
      </c>
      <c r="H552" t="s">
        <v>172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16">
        <v>200</v>
      </c>
    </row>
    <row r="553" spans="1:11" ht="18.75" customHeight="1" x14ac:dyDescent="0.35">
      <c r="A553" s="116">
        <v>2025</v>
      </c>
      <c r="B553" s="129" t="s">
        <v>180</v>
      </c>
      <c r="C553" s="124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41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42</v>
      </c>
      <c r="H553" t="s">
        <v>172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16">
        <v>857</v>
      </c>
    </row>
    <row r="554" spans="1:11" ht="18.75" customHeight="1" x14ac:dyDescent="0.35">
      <c r="A554" s="116">
        <v>2025</v>
      </c>
      <c r="B554" s="129" t="s">
        <v>180</v>
      </c>
      <c r="C554" s="124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41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43</v>
      </c>
      <c r="H554" t="s">
        <v>172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16">
        <v>1298</v>
      </c>
    </row>
    <row r="555" spans="1:11" ht="18.75" customHeight="1" x14ac:dyDescent="0.35">
      <c r="A555" s="116">
        <v>2025</v>
      </c>
      <c r="B555" s="129" t="s">
        <v>180</v>
      </c>
      <c r="C555" s="124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41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44</v>
      </c>
      <c r="H555" t="s">
        <v>172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16">
        <v>989</v>
      </c>
    </row>
    <row r="556" spans="1:11" ht="18.75" customHeight="1" x14ac:dyDescent="0.35">
      <c r="A556" s="116">
        <v>2025</v>
      </c>
      <c r="B556" s="129" t="s">
        <v>180</v>
      </c>
      <c r="C556" s="124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41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45</v>
      </c>
      <c r="H556" t="s">
        <v>172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16">
        <v>704</v>
      </c>
    </row>
    <row r="557" spans="1:11" ht="18.75" customHeight="1" x14ac:dyDescent="0.35">
      <c r="A557" s="116">
        <v>2025</v>
      </c>
      <c r="B557" s="129" t="s">
        <v>180</v>
      </c>
      <c r="C557" s="124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41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46</v>
      </c>
      <c r="H557" t="s">
        <v>172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16">
        <v>246</v>
      </c>
    </row>
    <row r="558" spans="1:11" ht="18.75" customHeight="1" x14ac:dyDescent="0.35">
      <c r="A558" s="116">
        <v>2025</v>
      </c>
      <c r="B558" s="129" t="s">
        <v>180</v>
      </c>
      <c r="C558" s="124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41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47</v>
      </c>
      <c r="H558" t="s">
        <v>172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16">
        <v>44</v>
      </c>
    </row>
    <row r="559" spans="1:11" ht="18.75" customHeight="1" x14ac:dyDescent="0.35">
      <c r="A559" s="116">
        <v>2025</v>
      </c>
      <c r="B559" s="129" t="s">
        <v>180</v>
      </c>
      <c r="C559" s="124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41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48</v>
      </c>
      <c r="H559" t="s">
        <v>172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16">
        <v>2020</v>
      </c>
    </row>
    <row r="560" spans="1:11" ht="18.75" customHeight="1" x14ac:dyDescent="0.35">
      <c r="A560" s="116">
        <v>2025</v>
      </c>
      <c r="B560" s="129" t="s">
        <v>180</v>
      </c>
      <c r="C560" s="124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41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49</v>
      </c>
      <c r="H560" t="s">
        <v>172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16">
        <v>1782</v>
      </c>
    </row>
    <row r="561" spans="1:11" ht="18.75" customHeight="1" x14ac:dyDescent="0.35">
      <c r="A561" s="116">
        <v>2025</v>
      </c>
      <c r="B561" s="129" t="s">
        <v>180</v>
      </c>
      <c r="C561" s="124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41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50</v>
      </c>
      <c r="H561" t="s">
        <v>172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16">
        <v>1504</v>
      </c>
    </row>
    <row r="562" spans="1:11" ht="18.75" customHeight="1" x14ac:dyDescent="0.35">
      <c r="A562" s="116">
        <v>2025</v>
      </c>
      <c r="B562" s="129" t="s">
        <v>180</v>
      </c>
      <c r="C562" s="124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41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121</v>
      </c>
      <c r="H562" t="s">
        <v>172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16">
        <v>274</v>
      </c>
    </row>
    <row r="563" spans="1:11" ht="18.75" customHeight="1" x14ac:dyDescent="0.35">
      <c r="A563" s="116">
        <v>2025</v>
      </c>
      <c r="B563" s="129" t="s">
        <v>180</v>
      </c>
      <c r="C563" s="124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41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51</v>
      </c>
      <c r="H563" t="s">
        <v>172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16">
        <v>1091</v>
      </c>
    </row>
    <row r="564" spans="1:11" ht="18.75" customHeight="1" x14ac:dyDescent="0.35">
      <c r="A564" s="116">
        <v>2025</v>
      </c>
      <c r="B564" s="129" t="s">
        <v>180</v>
      </c>
      <c r="C564" s="124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41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52</v>
      </c>
      <c r="H564" t="s">
        <v>172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16">
        <v>507</v>
      </c>
    </row>
    <row r="565" spans="1:11" ht="18.75" customHeight="1" x14ac:dyDescent="0.35">
      <c r="A565" s="116">
        <v>2025</v>
      </c>
      <c r="B565" s="129" t="s">
        <v>180</v>
      </c>
      <c r="C565" s="124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41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53</v>
      </c>
      <c r="H565" t="s">
        <v>172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16">
        <v>474</v>
      </c>
    </row>
    <row r="566" spans="1:11" ht="18.75" customHeight="1" x14ac:dyDescent="0.35">
      <c r="A566" s="116">
        <v>2025</v>
      </c>
      <c r="B566" s="129" t="s">
        <v>180</v>
      </c>
      <c r="C566" s="124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41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54</v>
      </c>
      <c r="H566" t="s">
        <v>172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16">
        <v>64</v>
      </c>
    </row>
    <row r="567" spans="1:11" ht="18.75" customHeight="1" x14ac:dyDescent="0.35">
      <c r="A567" s="116">
        <v>2025</v>
      </c>
      <c r="B567" s="129" t="s">
        <v>180</v>
      </c>
      <c r="C567" s="124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55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56</v>
      </c>
      <c r="H567" t="s">
        <v>172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16">
        <v>97</v>
      </c>
    </row>
    <row r="568" spans="1:11" ht="18.75" customHeight="1" x14ac:dyDescent="0.35">
      <c r="A568" s="116">
        <v>2025</v>
      </c>
      <c r="B568" s="129" t="s">
        <v>180</v>
      </c>
      <c r="C568" s="124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57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58</v>
      </c>
      <c r="H568" t="s">
        <v>172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16">
        <v>60</v>
      </c>
    </row>
    <row r="569" spans="1:11" ht="18.75" customHeight="1" x14ac:dyDescent="0.35">
      <c r="A569" s="116">
        <v>2025</v>
      </c>
      <c r="B569" s="129" t="s">
        <v>180</v>
      </c>
      <c r="C569" s="124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208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172</v>
      </c>
      <c r="H569" t="s">
        <v>172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30">
        <v>29.5</v>
      </c>
    </row>
    <row r="570" spans="1:11" ht="18.75" customHeight="1" x14ac:dyDescent="0.35">
      <c r="A570" s="116">
        <v>2025</v>
      </c>
      <c r="B570" s="129" t="s">
        <v>180</v>
      </c>
      <c r="C570" s="124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25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172</v>
      </c>
      <c r="H570" t="s">
        <v>172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16">
        <v>19089</v>
      </c>
    </row>
    <row r="571" spans="1:11" ht="18.75" customHeight="1" x14ac:dyDescent="0.35">
      <c r="A571" s="116">
        <v>2025</v>
      </c>
      <c r="B571" s="129" t="s">
        <v>180</v>
      </c>
      <c r="C571" s="124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120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172</v>
      </c>
      <c r="H571" t="s">
        <v>172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31">
        <v>459</v>
      </c>
    </row>
    <row r="572" spans="1:11" ht="18.75" customHeight="1" x14ac:dyDescent="0.35">
      <c r="A572" s="116">
        <v>2025</v>
      </c>
      <c r="B572" s="129" t="s">
        <v>180</v>
      </c>
      <c r="C572" s="124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38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172</v>
      </c>
      <c r="H572" t="s">
        <v>172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16">
        <v>1069</v>
      </c>
    </row>
    <row r="573" spans="1:11" ht="18.75" customHeight="1" x14ac:dyDescent="0.35">
      <c r="A573" s="116">
        <v>2025</v>
      </c>
      <c r="B573" s="129" t="s">
        <v>180</v>
      </c>
      <c r="C573" s="124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210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172</v>
      </c>
      <c r="H573" t="s">
        <v>172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31">
        <v>238</v>
      </c>
    </row>
    <row r="574" spans="1:11" ht="18.75" customHeight="1" x14ac:dyDescent="0.35">
      <c r="A574" s="116">
        <v>2025</v>
      </c>
      <c r="B574" s="129" t="s">
        <v>180</v>
      </c>
      <c r="C574" s="124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29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172</v>
      </c>
      <c r="H574" t="s">
        <v>172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16">
        <v>8187944</v>
      </c>
    </row>
    <row r="575" spans="1:11" ht="18.75" customHeight="1" x14ac:dyDescent="0.35">
      <c r="A575" s="116">
        <v>2025</v>
      </c>
      <c r="B575" s="129" t="s">
        <v>180</v>
      </c>
      <c r="C575" s="124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30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172</v>
      </c>
      <c r="H575" t="s">
        <v>172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16">
        <v>0</v>
      </c>
    </row>
    <row r="576" spans="1:11" ht="18.75" customHeight="1" x14ac:dyDescent="0.35">
      <c r="A576" s="116">
        <v>2025</v>
      </c>
      <c r="B576" s="129" t="s">
        <v>180</v>
      </c>
      <c r="C576" s="124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27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172</v>
      </c>
      <c r="H576" t="s">
        <v>172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16">
        <v>57092516</v>
      </c>
    </row>
    <row r="577" spans="1:11" ht="18.75" customHeight="1" x14ac:dyDescent="0.35">
      <c r="A577" s="116">
        <v>2025</v>
      </c>
      <c r="B577" s="129" t="s">
        <v>180</v>
      </c>
      <c r="C577" s="124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118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172</v>
      </c>
      <c r="H577" t="s">
        <v>172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16">
        <v>3</v>
      </c>
    </row>
    <row r="578" spans="1:11" ht="18.75" customHeight="1" x14ac:dyDescent="0.35">
      <c r="A578" s="116">
        <v>2025</v>
      </c>
      <c r="B578" s="129" t="s">
        <v>180</v>
      </c>
      <c r="C578" s="124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28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172</v>
      </c>
      <c r="H578" t="s">
        <v>172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32">
        <v>6558045</v>
      </c>
    </row>
    <row r="579" spans="1:11" ht="18.75" customHeight="1" x14ac:dyDescent="0.35">
      <c r="A579" s="116">
        <v>2025</v>
      </c>
      <c r="B579" s="129" t="s">
        <v>180</v>
      </c>
      <c r="C579" s="124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211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172</v>
      </c>
      <c r="H579" t="s">
        <v>172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16">
        <v>1423</v>
      </c>
    </row>
    <row r="580" spans="1:11" ht="18.75" customHeight="1" x14ac:dyDescent="0.35">
      <c r="A580" s="116">
        <v>2025</v>
      </c>
      <c r="B580" s="129" t="s">
        <v>180</v>
      </c>
      <c r="C580" s="124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212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172</v>
      </c>
      <c r="H580" t="s">
        <v>172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16">
        <v>1093</v>
      </c>
    </row>
    <row r="581" spans="1:11" ht="18.75" customHeight="1" x14ac:dyDescent="0.35">
      <c r="A581" s="116">
        <v>2025</v>
      </c>
      <c r="B581" s="129" t="s">
        <v>180</v>
      </c>
      <c r="C581" s="124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213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172</v>
      </c>
      <c r="H581" t="s">
        <v>172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16">
        <v>200</v>
      </c>
    </row>
    <row r="582" spans="1:11" ht="18.75" customHeight="1" x14ac:dyDescent="0.35">
      <c r="A582" s="116">
        <v>2025</v>
      </c>
      <c r="B582" s="129" t="s">
        <v>181</v>
      </c>
      <c r="C582" s="124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41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42</v>
      </c>
      <c r="H582" t="s">
        <v>172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16">
        <v>627</v>
      </c>
    </row>
    <row r="583" spans="1:11" ht="18.75" customHeight="1" x14ac:dyDescent="0.35">
      <c r="A583" s="116">
        <v>2025</v>
      </c>
      <c r="B583" s="129" t="s">
        <v>181</v>
      </c>
      <c r="C583" s="124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41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43</v>
      </c>
      <c r="H583" t="s">
        <v>172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16">
        <v>1060</v>
      </c>
    </row>
    <row r="584" spans="1:11" ht="18.75" customHeight="1" x14ac:dyDescent="0.35">
      <c r="A584" s="116">
        <v>2025</v>
      </c>
      <c r="B584" s="129" t="s">
        <v>181</v>
      </c>
      <c r="C584" s="124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41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44</v>
      </c>
      <c r="H584" t="s">
        <v>172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16">
        <v>906</v>
      </c>
    </row>
    <row r="585" spans="1:11" ht="18.75" customHeight="1" x14ac:dyDescent="0.35">
      <c r="A585" s="116">
        <v>2025</v>
      </c>
      <c r="B585" s="129" t="s">
        <v>181</v>
      </c>
      <c r="C585" s="124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41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45</v>
      </c>
      <c r="H585" t="s">
        <v>172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16">
        <v>585</v>
      </c>
    </row>
    <row r="586" spans="1:11" ht="18.75" customHeight="1" x14ac:dyDescent="0.35">
      <c r="A586" s="116">
        <v>2025</v>
      </c>
      <c r="B586" s="129" t="s">
        <v>181</v>
      </c>
      <c r="C586" s="124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41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46</v>
      </c>
      <c r="H586" t="s">
        <v>172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16">
        <v>233</v>
      </c>
    </row>
    <row r="587" spans="1:11" ht="18.75" customHeight="1" x14ac:dyDescent="0.35">
      <c r="A587" s="116">
        <v>2025</v>
      </c>
      <c r="B587" s="129" t="s">
        <v>181</v>
      </c>
      <c r="C587" s="124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41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47</v>
      </c>
      <c r="H587" t="s">
        <v>172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16">
        <v>46</v>
      </c>
    </row>
    <row r="588" spans="1:11" ht="18.75" customHeight="1" x14ac:dyDescent="0.35">
      <c r="A588" s="116">
        <v>2025</v>
      </c>
      <c r="B588" s="129" t="s">
        <v>181</v>
      </c>
      <c r="C588" s="124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41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48</v>
      </c>
      <c r="H588" t="s">
        <v>172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16">
        <v>2608</v>
      </c>
    </row>
    <row r="589" spans="1:11" ht="18.75" customHeight="1" x14ac:dyDescent="0.35">
      <c r="A589" s="116">
        <v>2025</v>
      </c>
      <c r="B589" s="129" t="s">
        <v>181</v>
      </c>
      <c r="C589" s="124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41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49</v>
      </c>
      <c r="H589" t="s">
        <v>172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16">
        <v>1471</v>
      </c>
    </row>
    <row r="590" spans="1:11" ht="18.75" customHeight="1" x14ac:dyDescent="0.35">
      <c r="A590" s="116">
        <v>2025</v>
      </c>
      <c r="B590" s="129" t="s">
        <v>181</v>
      </c>
      <c r="C590" s="124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41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50</v>
      </c>
      <c r="H590" t="s">
        <v>172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16">
        <v>1226</v>
      </c>
    </row>
    <row r="591" spans="1:11" ht="18.75" customHeight="1" x14ac:dyDescent="0.35">
      <c r="A591" s="116">
        <v>2025</v>
      </c>
      <c r="B591" s="129" t="s">
        <v>181</v>
      </c>
      <c r="C591" s="124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41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121</v>
      </c>
      <c r="H591" t="s">
        <v>172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16">
        <v>167</v>
      </c>
    </row>
    <row r="592" spans="1:11" ht="18.75" customHeight="1" x14ac:dyDescent="0.35">
      <c r="A592" s="116">
        <v>2025</v>
      </c>
      <c r="B592" s="129" t="s">
        <v>181</v>
      </c>
      <c r="C592" s="124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41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51</v>
      </c>
      <c r="H592" t="s">
        <v>172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16">
        <v>992</v>
      </c>
    </row>
    <row r="593" spans="1:11" ht="18.75" customHeight="1" x14ac:dyDescent="0.35">
      <c r="A593" s="116">
        <v>2025</v>
      </c>
      <c r="B593" s="129" t="s">
        <v>181</v>
      </c>
      <c r="C593" s="124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41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52</v>
      </c>
      <c r="H593" t="s">
        <v>172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16">
        <v>362</v>
      </c>
    </row>
    <row r="594" spans="1:11" ht="18.75" customHeight="1" x14ac:dyDescent="0.35">
      <c r="A594" s="116">
        <v>2025</v>
      </c>
      <c r="B594" s="129" t="s">
        <v>181</v>
      </c>
      <c r="C594" s="124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41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53</v>
      </c>
      <c r="H594" t="s">
        <v>172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16">
        <v>218</v>
      </c>
    </row>
    <row r="595" spans="1:11" ht="18.75" customHeight="1" x14ac:dyDescent="0.35">
      <c r="A595" s="116">
        <v>2025</v>
      </c>
      <c r="B595" s="129" t="s">
        <v>181</v>
      </c>
      <c r="C595" s="124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41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54</v>
      </c>
      <c r="H595" t="s">
        <v>172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16">
        <v>82</v>
      </c>
    </row>
    <row r="596" spans="1:11" ht="18.75" customHeight="1" x14ac:dyDescent="0.35">
      <c r="A596" s="116">
        <v>2025</v>
      </c>
      <c r="B596" s="129" t="s">
        <v>181</v>
      </c>
      <c r="C596" s="124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55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56</v>
      </c>
      <c r="H596" t="s">
        <v>172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16">
        <v>108</v>
      </c>
    </row>
    <row r="597" spans="1:11" ht="18.75" customHeight="1" x14ac:dyDescent="0.35">
      <c r="A597" s="116">
        <v>2025</v>
      </c>
      <c r="B597" s="129" t="s">
        <v>181</v>
      </c>
      <c r="C597" s="124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57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58</v>
      </c>
      <c r="H597" t="s">
        <v>172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16">
        <v>81</v>
      </c>
    </row>
    <row r="598" spans="1:11" ht="18.75" customHeight="1" x14ac:dyDescent="0.35">
      <c r="A598" s="116">
        <v>2025</v>
      </c>
      <c r="B598" s="129" t="s">
        <v>181</v>
      </c>
      <c r="C598" s="124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208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172</v>
      </c>
      <c r="H598" t="s">
        <v>172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30">
        <v>30.4</v>
      </c>
    </row>
    <row r="599" spans="1:11" ht="18.75" customHeight="1" x14ac:dyDescent="0.35">
      <c r="A599" s="116">
        <v>2025</v>
      </c>
      <c r="B599" s="129" t="s">
        <v>181</v>
      </c>
      <c r="C599" s="124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25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172</v>
      </c>
      <c r="H599" t="s">
        <v>172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16">
        <v>21755</v>
      </c>
    </row>
    <row r="600" spans="1:11" ht="18.75" customHeight="1" x14ac:dyDescent="0.35">
      <c r="A600" s="116">
        <v>2025</v>
      </c>
      <c r="B600" s="129" t="s">
        <v>181</v>
      </c>
      <c r="C600" s="124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120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172</v>
      </c>
      <c r="H600" t="s">
        <v>172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 s="116">
        <v>465</v>
      </c>
    </row>
    <row r="601" spans="1:11" ht="18.75" customHeight="1" x14ac:dyDescent="0.35">
      <c r="A601" s="116">
        <v>2025</v>
      </c>
      <c r="B601" s="129" t="s">
        <v>181</v>
      </c>
      <c r="C601" s="124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38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172</v>
      </c>
      <c r="H601" t="s">
        <v>172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16">
        <v>1048</v>
      </c>
    </row>
    <row r="602" spans="1:11" ht="18.75" customHeight="1" x14ac:dyDescent="0.35">
      <c r="A602" s="116">
        <v>2025</v>
      </c>
      <c r="B602" s="129" t="s">
        <v>181</v>
      </c>
      <c r="C602" s="124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210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172</v>
      </c>
      <c r="H602" t="s">
        <v>172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16">
        <v>127</v>
      </c>
    </row>
    <row r="603" spans="1:11" ht="18.75" customHeight="1" x14ac:dyDescent="0.35">
      <c r="A603" s="116">
        <v>2025</v>
      </c>
      <c r="B603" s="129" t="s">
        <v>181</v>
      </c>
      <c r="C603" s="124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29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172</v>
      </c>
      <c r="H603" t="s">
        <v>172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16">
        <v>0</v>
      </c>
    </row>
    <row r="604" spans="1:11" ht="18.75" customHeight="1" x14ac:dyDescent="0.35">
      <c r="A604" s="116">
        <v>2025</v>
      </c>
      <c r="B604" s="129" t="s">
        <v>181</v>
      </c>
      <c r="C604" s="124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30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172</v>
      </c>
      <c r="H604" t="s">
        <v>172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16">
        <v>0</v>
      </c>
    </row>
    <row r="605" spans="1:11" ht="18.75" customHeight="1" x14ac:dyDescent="0.35">
      <c r="A605" s="116">
        <v>2025</v>
      </c>
      <c r="B605" s="129" t="s">
        <v>181</v>
      </c>
      <c r="C605" s="124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27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172</v>
      </c>
      <c r="H605" t="s">
        <v>172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16">
        <v>70229113</v>
      </c>
    </row>
    <row r="606" spans="1:11" ht="18.75" customHeight="1" x14ac:dyDescent="0.35">
      <c r="A606" s="116">
        <v>2025</v>
      </c>
      <c r="B606" s="129" t="s">
        <v>181</v>
      </c>
      <c r="C606" s="124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118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172</v>
      </c>
      <c r="H606" t="s">
        <v>172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16">
        <v>2</v>
      </c>
    </row>
    <row r="607" spans="1:11" ht="18.75" customHeight="1" x14ac:dyDescent="0.35">
      <c r="A607" s="116">
        <v>2025</v>
      </c>
      <c r="B607" s="129" t="s">
        <v>181</v>
      </c>
      <c r="C607" s="124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28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172</v>
      </c>
      <c r="H607" t="s">
        <v>172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32">
        <v>6049269</v>
      </c>
    </row>
    <row r="608" spans="1:11" ht="18.75" customHeight="1" x14ac:dyDescent="0.35">
      <c r="A608" s="116">
        <v>2025</v>
      </c>
      <c r="B608" s="129" t="s">
        <v>181</v>
      </c>
      <c r="C608" s="124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211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172</v>
      </c>
      <c r="H608" t="s">
        <v>172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16">
        <v>1853</v>
      </c>
    </row>
    <row r="609" spans="1:11" ht="18.75" customHeight="1" x14ac:dyDescent="0.35">
      <c r="A609" s="116">
        <v>2025</v>
      </c>
      <c r="B609" s="129" t="s">
        <v>181</v>
      </c>
      <c r="C609" s="124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212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172</v>
      </c>
      <c r="H609" t="s">
        <v>172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16">
        <v>1633</v>
      </c>
    </row>
    <row r="610" spans="1:11" ht="18.75" customHeight="1" x14ac:dyDescent="0.35">
      <c r="A610" s="116">
        <v>2025</v>
      </c>
      <c r="B610" s="129" t="s">
        <v>181</v>
      </c>
      <c r="C610" s="124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213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172</v>
      </c>
      <c r="H610" t="s">
        <v>172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16">
        <v>149</v>
      </c>
    </row>
    <row r="611" spans="1:11" ht="18.75" customHeight="1" x14ac:dyDescent="0.35">
      <c r="C611" s="124" t="str">
        <f>IF(OR(Fact_Administrativa[[#This Row], [Año]]="",Fact_Administrativa[[#This Row], [Mes]]=""),"",DATE(A611,MATCH(B611,{"enero","febrero","marzo","abril","mayo","junio","julio","agosto","septiembre","octubre","noviembre","diciembre"},0)+1,0))</f>
        <v/>
      </c>
      <c r="E611" t="str">
        <f>+IFERROR(VLOOKUP(Fact_Administrativa[[#This Row], [Concepto Anterior]],Conceptos_Administrativa[#All],5,0),"")</f>
        <v/>
      </c>
      <c r="F611" t="str">
        <f>+IFERROR(VLOOKUP(Fact_Administrativa[[#This Row], 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ht="18.75" customHeight="1" x14ac:dyDescent="0.35">
      <c r="C612" s="124" t="str">
        <f>IF(OR(Fact_Administrativa[[#This Row], [Año]]="",Fact_Administrativa[[#This Row], [Mes]]=""),"",DATE(A612,MATCH(B612,{"enero","febrero","marzo","abril","mayo","junio","julio","agosto","septiembre","octubre","noviembre","diciembre"},0)+1,0))</f>
        <v/>
      </c>
      <c r="E612" t="str">
        <f>+IFERROR(VLOOKUP(Fact_Administrativa[[#This Row], [Concepto Anterior]],Conceptos_Administrativa[#All],5,0),"")</f>
        <v/>
      </c>
      <c r="F612" t="str">
        <f>+IFERROR(VLOOKUP(Fact_Administrativa[[#This Row], 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ht="18.75" customHeight="1" x14ac:dyDescent="0.35">
      <c r="C613" s="124" t="str">
        <f>IF(OR(Fact_Administrativa[[#This Row], [Año]]="",Fact_Administrativa[[#This Row], [Mes]]=""),"",DATE(A613,MATCH(B613,{"enero","febrero","marzo","abril","mayo","junio","julio","agosto","septiembre","octubre","noviembre","diciembre"},0)+1,0))</f>
        <v/>
      </c>
      <c r="E613" t="str">
        <f>+IFERROR(VLOOKUP(Fact_Administrativa[[#This Row], [Concepto Anterior]],Conceptos_Administrativa[#All],5,0),"")</f>
        <v/>
      </c>
      <c r="F613" t="str">
        <f>+IFERROR(VLOOKUP(Fact_Administrativa[[#This Row], 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ht="18.75" customHeight="1" x14ac:dyDescent="0.35">
      <c r="C614" s="124" t="str">
        <f>IF(OR(Fact_Administrativa[[#This Row], [Año]]="",Fact_Administrativa[[#This Row], [Mes]]=""),"",DATE(A614,MATCH(B614,{"enero","febrero","marzo","abril","mayo","junio","julio","agosto","septiembre","octubre","noviembre","diciembre"},0)+1,0))</f>
        <v/>
      </c>
      <c r="E614" t="str">
        <f>+IFERROR(VLOOKUP(Fact_Administrativa[[#This Row], [Concepto Anterior]],Conceptos_Administrativa[#All],5,0),"")</f>
        <v/>
      </c>
      <c r="F614" t="str">
        <f>+IFERROR(VLOOKUP(Fact_Administrativa[[#This Row], 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ht="18.75" customHeight="1" x14ac:dyDescent="0.35">
      <c r="C615" s="124" t="str">
        <f>IF(OR(Fact_Administrativa[[#This Row], [Año]]="",Fact_Administrativa[[#This Row], [Mes]]=""),"",DATE(A615,MATCH(B615,{"enero","febrero","marzo","abril","mayo","junio","julio","agosto","septiembre","octubre","noviembre","diciembre"},0)+1,0))</f>
        <v/>
      </c>
      <c r="E615" t="str">
        <f>+IFERROR(VLOOKUP(Fact_Administrativa[[#This Row], [Concepto Anterior]],Conceptos_Administrativa[#All],5,0),"")</f>
        <v/>
      </c>
      <c r="F615" t="str">
        <f>+IFERROR(VLOOKUP(Fact_Administrativa[[#This Row], 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ht="18.75" customHeight="1" x14ac:dyDescent="0.35">
      <c r="C616" s="124" t="str">
        <f>IF(OR(Fact_Administrativa[[#This Row], [Año]]="",Fact_Administrativa[[#This Row], [Mes]]=""),"",DATE(A616,MATCH(B616,{"enero","febrero","marzo","abril","mayo","junio","julio","agosto","septiembre","octubre","noviembre","diciembre"},0)+1,0))</f>
        <v/>
      </c>
      <c r="E616" t="str">
        <f>+IFERROR(VLOOKUP(Fact_Administrativa[[#This Row], [Concepto Anterior]],Conceptos_Administrativa[#All],5,0),"")</f>
        <v/>
      </c>
      <c r="F616" t="str">
        <f>+IFERROR(VLOOKUP(Fact_Administrativa[[#This Row], 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ht="18.75" customHeight="1" x14ac:dyDescent="0.35">
      <c r="C617" s="124" t="str">
        <f>IF(OR(Fact_Administrativa[[#This Row], [Año]]="",Fact_Administrativa[[#This Row], [Mes]]=""),"",DATE(A617,MATCH(B617,{"enero","febrero","marzo","abril","mayo","junio","julio","agosto","septiembre","octubre","noviembre","diciembre"},0)+1,0))</f>
        <v/>
      </c>
      <c r="E617" t="str">
        <f>+IFERROR(VLOOKUP(Fact_Administrativa[[#This Row], [Concepto Anterior]],Conceptos_Administrativa[#All],5,0),"")</f>
        <v/>
      </c>
      <c r="F617" t="str">
        <f>+IFERROR(VLOOKUP(Fact_Administrativa[[#This Row], 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ht="18.75" customHeight="1" x14ac:dyDescent="0.35">
      <c r="C618" s="124" t="str">
        <f>IF(OR(Fact_Administrativa[[#This Row], [Año]]="",Fact_Administrativa[[#This Row], [Mes]]=""),"",DATE(A618,MATCH(B618,{"enero","febrero","marzo","abril","mayo","junio","julio","agosto","septiembre","octubre","noviembre","diciembre"},0)+1,0))</f>
        <v/>
      </c>
      <c r="E618" t="str">
        <f>+IFERROR(VLOOKUP(Fact_Administrativa[[#This Row], [Concepto Anterior]],Conceptos_Administrativa[#All],5,0),"")</f>
        <v/>
      </c>
      <c r="F618" t="str">
        <f>+IFERROR(VLOOKUP(Fact_Administrativa[[#This Row], 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ht="18.75" customHeight="1" x14ac:dyDescent="0.35">
      <c r="C619" s="124" t="str">
        <f>IF(OR(Fact_Administrativa[[#This Row], [Año]]="",Fact_Administrativa[[#This Row], [Mes]]=""),"",DATE(A619,MATCH(B619,{"enero","febrero","marzo","abril","mayo","junio","julio","agosto","septiembre","octubre","noviembre","diciembre"},0)+1,0))</f>
        <v/>
      </c>
      <c r="E619" t="str">
        <f>+IFERROR(VLOOKUP(Fact_Administrativa[[#This Row], [Concepto Anterior]],Conceptos_Administrativa[#All],5,0),"")</f>
        <v/>
      </c>
      <c r="F619" t="str">
        <f>+IFERROR(VLOOKUP(Fact_Administrativa[[#This Row], 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ht="18.75" customHeight="1" x14ac:dyDescent="0.35">
      <c r="C620" s="124" t="str">
        <f>IF(OR(Fact_Administrativa[[#This Row], [Año]]="",Fact_Administrativa[[#This Row], [Mes]]=""),"",DATE(A620,MATCH(B620,{"enero","febrero","marzo","abril","mayo","junio","julio","agosto","septiembre","octubre","noviembre","diciembre"},0)+1,0))</f>
        <v/>
      </c>
      <c r="E620" t="str">
        <f>+IFERROR(VLOOKUP(Fact_Administrativa[[#This Row], [Concepto Anterior]],Conceptos_Administrativa[#All],5,0),"")</f>
        <v/>
      </c>
      <c r="F620" t="str">
        <f>+IFERROR(VLOOKUP(Fact_Administrativa[[#This Row], 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ht="18.75" customHeight="1" x14ac:dyDescent="0.35">
      <c r="C621" s="124" t="str">
        <f>IF(OR(Fact_Administrativa[[#This Row], [Año]]="",Fact_Administrativa[[#This Row], [Mes]]=""),"",DATE(A621,MATCH(B621,{"enero","febrero","marzo","abril","mayo","junio","julio","agosto","septiembre","octubre","noviembre","diciembre"},0)+1,0))</f>
        <v/>
      </c>
      <c r="E621" t="str">
        <f>+IFERROR(VLOOKUP(Fact_Administrativa[[#This Row], [Concepto Anterior]],Conceptos_Administrativa[#All],5,0),"")</f>
        <v/>
      </c>
      <c r="F621" t="str">
        <f>+IFERROR(VLOOKUP(Fact_Administrativa[[#This Row], 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ht="18.75" customHeight="1" x14ac:dyDescent="0.35">
      <c r="C622" s="124" t="str">
        <f>IF(OR(Fact_Administrativa[[#This Row], [Año]]="",Fact_Administrativa[[#This Row], [Mes]]=""),"",DATE(A622,MATCH(B622,{"enero","febrero","marzo","abril","mayo","junio","julio","agosto","septiembre","octubre","noviembre","diciembre"},0)+1,0))</f>
        <v/>
      </c>
      <c r="E622" t="str">
        <f>+IFERROR(VLOOKUP(Fact_Administrativa[[#This Row], [Concepto Anterior]],Conceptos_Administrativa[#All],5,0),"")</f>
        <v/>
      </c>
      <c r="F622" t="str">
        <f>+IFERROR(VLOOKUP(Fact_Administrativa[[#This Row], 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ht="18.75" customHeight="1" x14ac:dyDescent="0.35">
      <c r="C623" s="124" t="str">
        <f>IF(OR(Fact_Administrativa[[#This Row], [Año]]="",Fact_Administrativa[[#This Row], [Mes]]=""),"",DATE(A623,MATCH(B623,{"enero","febrero","marzo","abril","mayo","junio","julio","agosto","septiembre","octubre","noviembre","diciembre"},0)+1,0))</f>
        <v/>
      </c>
      <c r="E623" t="str">
        <f>+IFERROR(VLOOKUP(Fact_Administrativa[[#This Row], [Concepto Anterior]],Conceptos_Administrativa[#All],5,0),"")</f>
        <v/>
      </c>
      <c r="F623" t="str">
        <f>+IFERROR(VLOOKUP(Fact_Administrativa[[#This Row], 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ht="18.75" customHeight="1" x14ac:dyDescent="0.35">
      <c r="C624" s="124" t="str">
        <f>IF(OR(Fact_Administrativa[[#This Row], [Año]]="",Fact_Administrativa[[#This Row], [Mes]]=""),"",DATE(A624,MATCH(B624,{"enero","febrero","marzo","abril","mayo","junio","julio","agosto","septiembre","octubre","noviembre","diciembre"},0)+1,0))</f>
        <v/>
      </c>
      <c r="E624" t="str">
        <f>+IFERROR(VLOOKUP(Fact_Administrativa[[#This Row], [Concepto Anterior]],Conceptos_Administrativa[#All],5,0),"")</f>
        <v/>
      </c>
      <c r="F624" t="str">
        <f>+IFERROR(VLOOKUP(Fact_Administrativa[[#This Row], 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ht="18.75" customHeight="1" x14ac:dyDescent="0.35">
      <c r="C625" s="124" t="str">
        <f>IF(OR(Fact_Administrativa[[#This Row], [Año]]="",Fact_Administrativa[[#This Row], [Mes]]=""),"",DATE(A625,MATCH(B625,{"enero","febrero","marzo","abril","mayo","junio","julio","agosto","septiembre","octubre","noviembre","diciembre"},0)+1,0))</f>
        <v/>
      </c>
      <c r="E625" t="str">
        <f>+IFERROR(VLOOKUP(Fact_Administrativa[[#This Row], [Concepto Anterior]],Conceptos_Administrativa[#All],5,0),"")</f>
        <v/>
      </c>
      <c r="F625" t="str">
        <f>+IFERROR(VLOOKUP(Fact_Administrativa[[#This Row], 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ht="18.75" customHeight="1" x14ac:dyDescent="0.35">
      <c r="C626" s="124" t="str">
        <f>IF(OR(Fact_Administrativa[[#This Row], [Año]]="",Fact_Administrativa[[#This Row], [Mes]]=""),"",DATE(A626,MATCH(B626,{"enero","febrero","marzo","abril","mayo","junio","julio","agosto","septiembre","octubre","noviembre","diciembre"},0)+1,0))</f>
        <v/>
      </c>
      <c r="E626" t="str">
        <f>+IFERROR(VLOOKUP(Fact_Administrativa[[#This Row], [Concepto Anterior]],Conceptos_Administrativa[#All],5,0),"")</f>
        <v/>
      </c>
      <c r="F626" t="str">
        <f>+IFERROR(VLOOKUP(Fact_Administrativa[[#This Row], 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ht="18.75" customHeight="1" x14ac:dyDescent="0.35">
      <c r="C627" s="124" t="str">
        <f>IF(OR(Fact_Administrativa[[#This Row], [Año]]="",Fact_Administrativa[[#This Row], [Mes]]=""),"",DATE(A627,MATCH(B627,{"enero","febrero","marzo","abril","mayo","junio","julio","agosto","septiembre","octubre","noviembre","diciembre"},0)+1,0))</f>
        <v/>
      </c>
      <c r="E627" t="str">
        <f>+IFERROR(VLOOKUP(Fact_Administrativa[[#This Row], [Concepto Anterior]],Conceptos_Administrativa[#All],5,0),"")</f>
        <v/>
      </c>
      <c r="F627" t="str">
        <f>+IFERROR(VLOOKUP(Fact_Administrativa[[#This Row], 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ht="18.75" customHeight="1" x14ac:dyDescent="0.35">
      <c r="C628" s="124" t="str">
        <f>IF(OR(Fact_Administrativa[[#This Row], [Año]]="",Fact_Administrativa[[#This Row], [Mes]]=""),"",DATE(A628,MATCH(B628,{"enero","febrero","marzo","abril","mayo","junio","julio","agosto","septiembre","octubre","noviembre","diciembre"},0)+1,0))</f>
        <v/>
      </c>
      <c r="E628" t="str">
        <f>+IFERROR(VLOOKUP(Fact_Administrativa[[#This Row], [Concepto Anterior]],Conceptos_Administrativa[#All],5,0),"")</f>
        <v/>
      </c>
      <c r="F628" t="str">
        <f>+IFERROR(VLOOKUP(Fact_Administrativa[[#This Row], 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ht="18.75" customHeight="1" x14ac:dyDescent="0.35">
      <c r="C629" s="124" t="str">
        <f>IF(OR(Fact_Administrativa[[#This Row], [Año]]="",Fact_Administrativa[[#This Row], [Mes]]=""),"",DATE(A629,MATCH(B629,{"enero","febrero","marzo","abril","mayo","junio","julio","agosto","septiembre","octubre","noviembre","diciembre"},0)+1,0))</f>
        <v/>
      </c>
      <c r="E629" t="str">
        <f>+IFERROR(VLOOKUP(Fact_Administrativa[[#This Row], [Concepto Anterior]],Conceptos_Administrativa[#All],5,0),"")</f>
        <v/>
      </c>
      <c r="F629" t="str">
        <f>+IFERROR(VLOOKUP(Fact_Administrativa[[#This Row], 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ht="18.75" customHeight="1" x14ac:dyDescent="0.35">
      <c r="C630" s="124" t="str">
        <f>IF(OR(Fact_Administrativa[[#This Row], [Año]]="",Fact_Administrativa[[#This Row], [Mes]]=""),"",DATE(A630,MATCH(B630,{"enero","febrero","marzo","abril","mayo","junio","julio","agosto","septiembre","octubre","noviembre","diciembre"},0)+1,0))</f>
        <v/>
      </c>
      <c r="E630" t="str">
        <f>+IFERROR(VLOOKUP(Fact_Administrativa[[#This Row], [Concepto Anterior]],Conceptos_Administrativa[#All],5,0),"")</f>
        <v/>
      </c>
      <c r="F630" t="str">
        <f>+IFERROR(VLOOKUP(Fact_Administrativa[[#This Row], 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ht="18.75" customHeight="1" x14ac:dyDescent="0.35">
      <c r="C631" s="124" t="str">
        <f>IF(OR(Fact_Administrativa[[#This Row], [Año]]="",Fact_Administrativa[[#This Row], [Mes]]=""),"",DATE(A631,MATCH(B631,{"enero","febrero","marzo","abril","mayo","junio","julio","agosto","septiembre","octubre","noviembre","diciembre"},0)+1,0))</f>
        <v/>
      </c>
      <c r="E631" t="str">
        <f>+IFERROR(VLOOKUP(Fact_Administrativa[[#This Row], [Concepto Anterior]],Conceptos_Administrativa[#All],5,0),"")</f>
        <v/>
      </c>
      <c r="F631" t="str">
        <f>+IFERROR(VLOOKUP(Fact_Administrativa[[#This Row], 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ht="18.75" customHeight="1" x14ac:dyDescent="0.35">
      <c r="C632" s="124" t="str">
        <f>IF(OR(Fact_Administrativa[[#This Row], [Año]]="",Fact_Administrativa[[#This Row], [Mes]]=""),"",DATE(A632,MATCH(B632,{"enero","febrero","marzo","abril","mayo","junio","julio","agosto","septiembre","octubre","noviembre","diciembre"},0)+1,0))</f>
        <v/>
      </c>
      <c r="E632" t="str">
        <f>+IFERROR(VLOOKUP(Fact_Administrativa[[#This Row], [Concepto Anterior]],Conceptos_Administrativa[#All],5,0),"")</f>
        <v/>
      </c>
      <c r="F632" t="str">
        <f>+IFERROR(VLOOKUP(Fact_Administrativa[[#This Row], 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ht="18.75" customHeight="1" x14ac:dyDescent="0.35">
      <c r="C633" s="124" t="str">
        <f>IF(OR(Fact_Administrativa[[#This Row], [Año]]="",Fact_Administrativa[[#This Row], [Mes]]=""),"",DATE(A633,MATCH(B633,{"enero","febrero","marzo","abril","mayo","junio","julio","agosto","septiembre","octubre","noviembre","diciembre"},0)+1,0))</f>
        <v/>
      </c>
      <c r="E633" t="str">
        <f>+IFERROR(VLOOKUP(Fact_Administrativa[[#This Row], [Concepto Anterior]],Conceptos_Administrativa[#All],5,0),"")</f>
        <v/>
      </c>
      <c r="F633" t="str">
        <f>+IFERROR(VLOOKUP(Fact_Administrativa[[#This Row], 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ht="18.75" customHeight="1" x14ac:dyDescent="0.35">
      <c r="C634" s="124" t="str">
        <f>IF(OR(Fact_Administrativa[[#This Row], [Año]]="",Fact_Administrativa[[#This Row], [Mes]]=""),"",DATE(A634,MATCH(B634,{"enero","febrero","marzo","abril","mayo","junio","julio","agosto","septiembre","octubre","noviembre","diciembre"},0)+1,0))</f>
        <v/>
      </c>
      <c r="E634" t="str">
        <f>+IFERROR(VLOOKUP(Fact_Administrativa[[#This Row], [Concepto Anterior]],Conceptos_Administrativa[#All],5,0),"")</f>
        <v/>
      </c>
      <c r="F634" t="str">
        <f>+IFERROR(VLOOKUP(Fact_Administrativa[[#This Row], 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ht="18.75" customHeight="1" x14ac:dyDescent="0.35">
      <c r="C635" s="124" t="str">
        <f>IF(OR(Fact_Administrativa[[#This Row], [Año]]="",Fact_Administrativa[[#This Row], [Mes]]=""),"",DATE(A635,MATCH(B635,{"enero","febrero","marzo","abril","mayo","junio","julio","agosto","septiembre","octubre","noviembre","diciembre"},0)+1,0))</f>
        <v/>
      </c>
      <c r="E635" t="str">
        <f>+IFERROR(VLOOKUP(Fact_Administrativa[[#This Row], [Concepto Anterior]],Conceptos_Administrativa[#All],5,0),"")</f>
        <v/>
      </c>
      <c r="F635" t="str">
        <f>+IFERROR(VLOOKUP(Fact_Administrativa[[#This Row], 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ht="18.75" customHeight="1" x14ac:dyDescent="0.35">
      <c r="C636" s="124" t="str">
        <f>IF(OR(Fact_Administrativa[[#This Row], [Año]]="",Fact_Administrativa[[#This Row], [Mes]]=""),"",DATE(A636,MATCH(B636,{"enero","febrero","marzo","abril","mayo","junio","julio","agosto","septiembre","octubre","noviembre","diciembre"},0)+1,0))</f>
        <v/>
      </c>
      <c r="E636" t="str">
        <f>+IFERROR(VLOOKUP(Fact_Administrativa[[#This Row], [Concepto Anterior]],Conceptos_Administrativa[#All],5,0),"")</f>
        <v/>
      </c>
      <c r="F636" t="str">
        <f>+IFERROR(VLOOKUP(Fact_Administrativa[[#This Row], 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ht="18.75" customHeight="1" x14ac:dyDescent="0.35">
      <c r="C637" s="124" t="str">
        <f>IF(OR(Fact_Administrativa[[#This Row], [Año]]="",Fact_Administrativa[[#This Row], [Mes]]=""),"",DATE(A637,MATCH(B637,{"enero","febrero","marzo","abril","mayo","junio","julio","agosto","septiembre","octubre","noviembre","diciembre"},0)+1,0))</f>
        <v/>
      </c>
      <c r="E637" t="str">
        <f>+IFERROR(VLOOKUP(Fact_Administrativa[[#This Row], [Concepto Anterior]],Conceptos_Administrativa[#All],5,0),"")</f>
        <v/>
      </c>
      <c r="F637" t="str">
        <f>+IFERROR(VLOOKUP(Fact_Administrativa[[#This Row], 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ht="18.75" customHeight="1" x14ac:dyDescent="0.35">
      <c r="C638" s="124" t="str">
        <f>IF(OR(Fact_Administrativa[[#This Row], [Año]]="",Fact_Administrativa[[#This Row], [Mes]]=""),"",DATE(A638,MATCH(B638,{"enero","febrero","marzo","abril","mayo","junio","julio","agosto","septiembre","octubre","noviembre","diciembre"},0)+1,0))</f>
        <v/>
      </c>
      <c r="E638" t="str">
        <f>+IFERROR(VLOOKUP(Fact_Administrativa[[#This Row], [Concepto Anterior]],Conceptos_Administrativa[#All],5,0),"")</f>
        <v/>
      </c>
      <c r="F638" t="str">
        <f>+IFERROR(VLOOKUP(Fact_Administrativa[[#This Row], 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ht="18.75" customHeight="1" x14ac:dyDescent="0.35">
      <c r="C639" s="124" t="str">
        <f>IF(OR(Fact_Administrativa[[#This Row], [Año]]="",Fact_Administrativa[[#This Row], [Mes]]=""),"",DATE(A639,MATCH(B639,{"enero","febrero","marzo","abril","mayo","junio","julio","agosto","septiembre","octubre","noviembre","diciembre"},0)+1,0))</f>
        <v/>
      </c>
      <c r="E639" t="str">
        <f>+IFERROR(VLOOKUP(Fact_Administrativa[[#This Row], [Concepto Anterior]],Conceptos_Administrativa[#All],5,0),"")</f>
        <v/>
      </c>
      <c r="F639" t="str">
        <f>+IFERROR(VLOOKUP(Fact_Administrativa[[#This Row], 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ht="18.75" customHeight="1" x14ac:dyDescent="0.35">
      <c r="C640" s="124" t="str">
        <f>IF(OR(Fact_Administrativa[[#This Row], [Año]]="",Fact_Administrativa[[#This Row], [Mes]]=""),"",DATE(A640,MATCH(B640,{"enero","febrero","marzo","abril","mayo","junio","julio","agosto","septiembre","octubre","noviembre","diciembre"},0)+1,0))</f>
        <v/>
      </c>
      <c r="E640" t="str">
        <f>+IFERROR(VLOOKUP(Fact_Administrativa[[#This Row], [Concepto Anterior]],Conceptos_Administrativa[#All],5,0),"")</f>
        <v/>
      </c>
      <c r="F640" t="str">
        <f>+IFERROR(VLOOKUP(Fact_Administrativa[[#This Row], 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ht="18.75" customHeight="1" x14ac:dyDescent="0.35">
      <c r="C641" s="124" t="str">
        <f>IF(OR(Fact_Administrativa[[#This Row], [Año]]="",Fact_Administrativa[[#This Row], [Mes]]=""),"",DATE(A641,MATCH(B641,{"enero","febrero","marzo","abril","mayo","junio","julio","agosto","septiembre","octubre","noviembre","diciembre"},0)+1,0))</f>
        <v/>
      </c>
      <c r="E641" t="str">
        <f>+IFERROR(VLOOKUP(Fact_Administrativa[[#This Row], [Concepto Anterior]],Conceptos_Administrativa[#All],5,0),"")</f>
        <v/>
      </c>
      <c r="F641" t="str">
        <f>+IFERROR(VLOOKUP(Fact_Administrativa[[#This Row], 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ht="18.75" customHeight="1" x14ac:dyDescent="0.35">
      <c r="C642" s="124" t="str">
        <f>IF(OR(Fact_Administrativa[[#This Row], [Año]]="",Fact_Administrativa[[#This Row], [Mes]]=""),"",DATE(A642,MATCH(B642,{"enero","febrero","marzo","abril","mayo","junio","julio","agosto","septiembre","octubre","noviembre","diciembre"},0)+1,0))</f>
        <v/>
      </c>
      <c r="E642" t="str">
        <f>+IFERROR(VLOOKUP(Fact_Administrativa[[#This Row], [Concepto Anterior]],Conceptos_Administrativa[#All],5,0),"")</f>
        <v/>
      </c>
      <c r="F642" t="str">
        <f>+IFERROR(VLOOKUP(Fact_Administrativa[[#This Row], 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ht="18.75" customHeight="1" x14ac:dyDescent="0.35">
      <c r="C643" s="124" t="str">
        <f>IF(OR(Fact_Administrativa[[#This Row], [Año]]="",Fact_Administrativa[[#This Row], [Mes]]=""),"",DATE(A643,MATCH(B643,{"enero","febrero","marzo","abril","mayo","junio","julio","agosto","septiembre","octubre","noviembre","diciembre"},0)+1,0))</f>
        <v/>
      </c>
      <c r="E643" t="str">
        <f>+IFERROR(VLOOKUP(Fact_Administrativa[[#This Row], [Concepto Anterior]],Conceptos_Administrativa[#All],5,0),"")</f>
        <v/>
      </c>
      <c r="F643" t="str">
        <f>+IFERROR(VLOOKUP(Fact_Administrativa[[#This Row], 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ht="18.75" customHeight="1" x14ac:dyDescent="0.35">
      <c r="C644" s="124" t="str">
        <f>IF(OR(Fact_Administrativa[[#This Row], [Año]]="",Fact_Administrativa[[#This Row], [Mes]]=""),"",DATE(A644,MATCH(B644,{"enero","febrero","marzo","abril","mayo","junio","julio","agosto","septiembre","octubre","noviembre","diciembre"},0)+1,0))</f>
        <v/>
      </c>
      <c r="E644" t="str">
        <f>+IFERROR(VLOOKUP(Fact_Administrativa[[#This Row], [Concepto Anterior]],Conceptos_Administrativa[#All],5,0),"")</f>
        <v/>
      </c>
      <c r="F644" t="str">
        <f>+IFERROR(VLOOKUP(Fact_Administrativa[[#This Row], 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ht="18.75" customHeight="1" x14ac:dyDescent="0.35">
      <c r="C645" s="124" t="str">
        <f>IF(OR(Fact_Administrativa[[#This Row], [Año]]="",Fact_Administrativa[[#This Row], [Mes]]=""),"",DATE(A645,MATCH(B645,{"enero","febrero","marzo","abril","mayo","junio","julio","agosto","septiembre","octubre","noviembre","diciembre"},0)+1,0))</f>
        <v/>
      </c>
      <c r="E645" t="str">
        <f>+IFERROR(VLOOKUP(Fact_Administrativa[[#This Row], [Concepto Anterior]],Conceptos_Administrativa[#All],5,0),"")</f>
        <v/>
      </c>
      <c r="F645" t="str">
        <f>+IFERROR(VLOOKUP(Fact_Administrativa[[#This Row], 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ht="18.75" customHeight="1" x14ac:dyDescent="0.35">
      <c r="C646" s="124" t="str">
        <f>IF(OR(Fact_Administrativa[[#This Row], [Año]]="",Fact_Administrativa[[#This Row], [Mes]]=""),"",DATE(A646,MATCH(B646,{"enero","febrero","marzo","abril","mayo","junio","julio","agosto","septiembre","octubre","noviembre","diciembre"},0)+1,0))</f>
        <v/>
      </c>
      <c r="E646" t="str">
        <f>+IFERROR(VLOOKUP(Fact_Administrativa[[#This Row], [Concepto Anterior]],Conceptos_Administrativa[#All],5,0),"")</f>
        <v/>
      </c>
      <c r="F646" t="str">
        <f>+IFERROR(VLOOKUP(Fact_Administrativa[[#This Row], 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ht="18.75" customHeight="1" x14ac:dyDescent="0.35">
      <c r="C647" s="124" t="str">
        <f>IF(OR(Fact_Administrativa[[#This Row], [Año]]="",Fact_Administrativa[[#This Row], [Mes]]=""),"",DATE(A647,MATCH(B647,{"enero","febrero","marzo","abril","mayo","junio","julio","agosto","septiembre","octubre","noviembre","diciembre"},0)+1,0))</f>
        <v/>
      </c>
      <c r="E647" t="str">
        <f>+IFERROR(VLOOKUP(Fact_Administrativa[[#This Row], [Concepto Anterior]],Conceptos_Administrativa[#All],5,0),"")</f>
        <v/>
      </c>
      <c r="F647" t="str">
        <f>+IFERROR(VLOOKUP(Fact_Administrativa[[#This Row], 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ht="18.75" customHeight="1" x14ac:dyDescent="0.35">
      <c r="C648" s="124" t="str">
        <f>IF(OR(Fact_Administrativa[[#This Row], [Año]]="",Fact_Administrativa[[#This Row], [Mes]]=""),"",DATE(A648,MATCH(B648,{"enero","febrero","marzo","abril","mayo","junio","julio","agosto","septiembre","octubre","noviembre","diciembre"},0)+1,0))</f>
        <v/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ht="18.75" customHeight="1" x14ac:dyDescent="0.35">
      <c r="C649" s="124" t="str">
        <f>IF(OR(Fact_Administrativa[[#This Row], [Año]]="",Fact_Administrativa[[#This Row], [Mes]]=""),"",DATE(A649,MATCH(B649,{"enero","febrero","marzo","abril","mayo","junio","julio","agosto","septiembre","octubre","noviembre","diciembre"},0)+1,0))</f>
        <v/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ht="18.75" customHeight="1" x14ac:dyDescent="0.35">
      <c r="C650" s="124" t="str">
        <f>IF(OR(Fact_Administrativa[[#This Row], [Año]]="",Fact_Administrativa[[#This Row], [Mes]]=""),"",DATE(A650,MATCH(B650,{"enero","febrero","marzo","abril","mayo","junio","julio","agosto","septiembre","octubre","noviembre","diciembre"},0)+1,0))</f>
        <v/>
      </c>
      <c r="E650" t="str">
        <f>+IFERROR(VLOOKUP(Fact_Administrativa[[#This Row], [Concepto Anterior]],Conceptos_Administrativa[#All],5,0),"")</f>
        <v/>
      </c>
      <c r="F650" t="str">
        <f>+IFERROR(VLOOKUP(Fact_Administrativa[[#This Row], 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ht="18.75" customHeight="1" x14ac:dyDescent="0.35">
      <c r="C651" s="124" t="str">
        <f>IF(OR(Fact_Administrativa[[#This Row], [Año]]="",Fact_Administrativa[[#This Row], [Mes]]=""),"",DATE(A651,MATCH(B651,{"enero","febrero","marzo","abril","mayo","junio","julio","agosto","septiembre","octubre","noviembre","diciembre"},0)+1,0))</f>
        <v/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ht="18.75" customHeight="1" x14ac:dyDescent="0.35">
      <c r="C652" s="124" t="str">
        <f>IF(OR(Fact_Administrativa[[#This Row], [Año]]="",Fact_Administrativa[[#This Row], [Mes]]=""),"",DATE(A652,MATCH(B652,{"enero","febrero","marzo","abril","mayo","junio","julio","agosto","septiembre","octubre","noviembre","diciembre"},0)+1,0))</f>
        <v/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ht="18.75" customHeight="1" x14ac:dyDescent="0.35">
      <c r="C653" s="124" t="str">
        <f>IF(OR(Fact_Administrativa[[#This Row], [Año]]="",Fact_Administrativa[[#This Row], [Mes]]=""),"",DATE(A653,MATCH(B653,{"enero","febrero","marzo","abril","mayo","junio","julio","agosto","septiembre","octubre","noviembre","diciembre"},0)+1,0))</f>
        <v/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ht="18.75" customHeight="1" x14ac:dyDescent="0.35">
      <c r="C654" s="124" t="str">
        <f>IF(OR(Fact_Administrativa[[#This Row], [Año]]="",Fact_Administrativa[[#This Row], [Mes]]=""),"",DATE(A654,MATCH(B654,{"enero","febrero","marzo","abril","mayo","junio","julio","agosto","septiembre","octubre","noviembre","diciembre"},0)+1,0))</f>
        <v/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ht="18.75" customHeight="1" x14ac:dyDescent="0.35">
      <c r="C655" s="124" t="str">
        <f>IF(OR(Fact_Administrativa[[#This Row], [Año]]="",Fact_Administrativa[[#This Row], [Mes]]=""),"",DATE(A655,MATCH(B655,{"enero","febrero","marzo","abril","mayo","junio","julio","agosto","septiembre","octubre","noviembre","diciembre"},0)+1,0))</f>
        <v/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ht="18.75" customHeight="1" x14ac:dyDescent="0.35">
      <c r="C656" s="124" t="str">
        <f>IF(OR(Fact_Administrativa[[#This Row], [Año]]="",Fact_Administrativa[[#This Row], [Mes]]=""),"",DATE(A656,MATCH(B656,{"enero","febrero","marzo","abril","mayo","junio","julio","agosto","septiembre","octubre","noviembre","diciembre"},0)+1,0))</f>
        <v/>
      </c>
      <c r="E656" t="str">
        <f>+IFERROR(VLOOKUP(Fact_Administrativa[[#This Row], [Concepto Anterior]],Conceptos_Administrativa[#All],5,0),"")</f>
        <v/>
      </c>
      <c r="F656" t="str">
        <f>+IFERROR(VLOOKUP(Fact_Administrativa[[#This Row], 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ht="18.75" customHeight="1" x14ac:dyDescent="0.35">
      <c r="C657" s="124" t="str">
        <f>IF(OR(Fact_Administrativa[[#This Row], [Año]]="",Fact_Administrativa[[#This Row], [Mes]]=""),"",DATE(A657,MATCH(B657,{"enero","febrero","marzo","abril","mayo","junio","julio","agosto","septiembre","octubre","noviembre","diciembre"},0)+1,0))</f>
        <v/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ht="18.75" customHeight="1" x14ac:dyDescent="0.35">
      <c r="C658" s="124" t="str">
        <f>IF(OR(Fact_Administrativa[[#This Row], [Año]]="",Fact_Administrativa[[#This Row], [Mes]]=""),"",DATE(A658,MATCH(B658,{"enero","febrero","marzo","abril","mayo","junio","julio","agosto","septiembre","octubre","noviembre","diciembre"},0)+1,0))</f>
        <v/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ht="18.75" customHeight="1" x14ac:dyDescent="0.35">
      <c r="C659" s="124" t="str">
        <f>IF(OR(Fact_Administrativa[[#This Row], [Año]]="",Fact_Administrativa[[#This Row], [Mes]]=""),"",DATE(A659,MATCH(B659,{"enero","febrero","marzo","abril","mayo","junio","julio","agosto","septiembre","octubre","noviembre","diciembre"},0)+1,0))</f>
        <v/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ht="18.75" customHeight="1" x14ac:dyDescent="0.35">
      <c r="C660" s="124" t="str">
        <f>IF(OR(Fact_Administrativa[[#This Row], [Año]]="",Fact_Administrativa[[#This Row], [Mes]]=""),"",DATE(A660,MATCH(B660,{"enero","febrero","marzo","abril","mayo","junio","julio","agosto","septiembre","octubre","noviembre","diciembre"},0)+1,0))</f>
        <v/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ht="18.75" customHeight="1" x14ac:dyDescent="0.35">
      <c r="C661" s="124" t="str">
        <f>IF(OR(Fact_Administrativa[[#This Row], [Año]]="",Fact_Administrativa[[#This Row], [Mes]]=""),"",DATE(A661,MATCH(B661,{"enero","febrero","marzo","abril","mayo","junio","julio","agosto","septiembre","octubre","noviembre","diciembre"},0)+1,0))</f>
        <v/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ht="18.75" customHeight="1" x14ac:dyDescent="0.35">
      <c r="C662" s="124" t="str">
        <f>IF(OR(Fact_Administrativa[[#This Row], [Año]]="",Fact_Administrativa[[#This Row], [Mes]]=""),"",DATE(A662,MATCH(B662,{"enero","febrero","marzo","abril","mayo","junio","julio","agosto","septiembre","octubre","noviembre","diciembre"},0)+1,0))</f>
        <v/>
      </c>
      <c r="E662" t="str">
        <f>+IFERROR(VLOOKUP(Fact_Administrativa[[#This Row], [Concepto Anterior]],Conceptos_Administrativa[#All],5,0),"")</f>
        <v/>
      </c>
      <c r="F662" t="str">
        <f>+IFERROR(VLOOKUP(Fact_Administrativa[[#This Row], 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ht="18.75" customHeight="1" x14ac:dyDescent="0.35">
      <c r="C663" s="124" t="str">
        <f>IF(OR(Fact_Administrativa[[#This Row], [Año]]="",Fact_Administrativa[[#This Row], [Mes]]=""),"",DATE(A663,MATCH(B663,{"enero","febrero","marzo","abril","mayo","junio","julio","agosto","septiembre","octubre","noviembre","diciembre"},0)+1,0))</f>
        <v/>
      </c>
      <c r="E663" t="str">
        <f>+IFERROR(VLOOKUP(Fact_Administrativa[[#This Row], [Concepto Anterior]],Conceptos_Administrativa[#All],5,0),"")</f>
        <v/>
      </c>
      <c r="F663" t="str">
        <f>+IFERROR(VLOOKUP(Fact_Administrativa[[#This Row], 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ht="18.75" customHeight="1" x14ac:dyDescent="0.35">
      <c r="C664" s="124" t="str">
        <f>IF(OR(Fact_Administrativa[[#This Row], [Año]]="",Fact_Administrativa[[#This Row], [Mes]]=""),"",DATE(A664,MATCH(B664,{"enero","febrero","marzo","abril","mayo","junio","julio","agosto","septiembre","octubre","noviembre","diciembre"},0)+1,0))</f>
        <v/>
      </c>
      <c r="E664" t="str">
        <f>+IFERROR(VLOOKUP(Fact_Administrativa[[#This Row], [Concepto Anterior]],Conceptos_Administrativa[#All],5,0),"")</f>
        <v/>
      </c>
      <c r="F664" t="str">
        <f>+IFERROR(VLOOKUP(Fact_Administrativa[[#This Row], 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ht="18.75" customHeight="1" x14ac:dyDescent="0.35">
      <c r="C665" s="124" t="str">
        <f>IF(OR(Fact_Administrativa[[#This Row], [Año]]="",Fact_Administrativa[[#This Row], [Mes]]=""),"",DATE(A665,MATCH(B665,{"enero","febrero","marzo","abril","mayo","junio","julio","agosto","septiembre","octubre","noviembre","diciembre"},0)+1,0))</f>
        <v/>
      </c>
      <c r="E665" t="str">
        <f>+IFERROR(VLOOKUP(Fact_Administrativa[[#This Row], [Concepto Anterior]],Conceptos_Administrativa[#All],5,0),"")</f>
        <v/>
      </c>
      <c r="F665" t="str">
        <f>+IFERROR(VLOOKUP(Fact_Administrativa[[#This Row], 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ht="18.75" customHeight="1" x14ac:dyDescent="0.35">
      <c r="C666" s="124" t="str">
        <f>IF(OR(Fact_Administrativa[[#This Row], [Año]]="",Fact_Administrativa[[#This Row], [Mes]]=""),"",DATE(A666,MATCH(B666,{"enero","febrero","marzo","abril","mayo","junio","julio","agosto","septiembre","octubre","noviembre","diciembre"},0)+1,0))</f>
        <v/>
      </c>
      <c r="E666" t="str">
        <f>+IFERROR(VLOOKUP(Fact_Administrativa[[#This Row], [Concepto Anterior]],Conceptos_Administrativa[#All],5,0),"")</f>
        <v/>
      </c>
      <c r="F666" t="str">
        <f>+IFERROR(VLOOKUP(Fact_Administrativa[[#This Row], 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ht="18.75" customHeight="1" x14ac:dyDescent="0.35">
      <c r="C667" s="124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ht="18.75" customHeight="1" x14ac:dyDescent="0.35">
      <c r="C668" s="124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ht="18.75" customHeight="1" x14ac:dyDescent="0.35">
      <c r="C669" s="124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ht="18.75" customHeight="1" x14ac:dyDescent="0.35">
      <c r="C670" s="124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ht="18.75" customHeight="1" x14ac:dyDescent="0.35">
      <c r="C671" s="124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ht="18.75" customHeight="1" x14ac:dyDescent="0.35">
      <c r="C672" s="124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ht="18.75" customHeight="1" x14ac:dyDescent="0.35">
      <c r="C673" s="124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ht="18.75" customHeight="1" x14ac:dyDescent="0.35">
      <c r="C674" s="124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ht="18.75" customHeight="1" x14ac:dyDescent="0.35">
      <c r="C675" s="124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ht="18.75" customHeight="1" x14ac:dyDescent="0.35">
      <c r="C676" s="124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ht="18.75" customHeight="1" x14ac:dyDescent="0.35">
      <c r="C677" s="124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ht="18.75" customHeight="1" x14ac:dyDescent="0.35">
      <c r="C678" s="124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ht="18.75" customHeight="1" x14ac:dyDescent="0.35">
      <c r="C679" s="124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ht="18.75" customHeight="1" x14ac:dyDescent="0.35">
      <c r="C680" s="124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ht="18.75" customHeight="1" x14ac:dyDescent="0.35">
      <c r="C681" s="124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ht="18.75" customHeight="1" x14ac:dyDescent="0.35">
      <c r="C682" s="124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ht="18.75" customHeight="1" x14ac:dyDescent="0.35">
      <c r="C683" s="124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ht="18.75" customHeight="1" x14ac:dyDescent="0.35">
      <c r="C684" s="124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ht="18.75" customHeight="1" x14ac:dyDescent="0.35">
      <c r="C685" s="124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ht="18.75" customHeight="1" x14ac:dyDescent="0.35">
      <c r="C686" s="124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ht="18.75" customHeight="1" x14ac:dyDescent="0.35">
      <c r="C687" s="124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ht="18.75" customHeight="1" x14ac:dyDescent="0.35">
      <c r="C688" s="124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ht="18.75" customHeight="1" x14ac:dyDescent="0.35">
      <c r="C689" s="124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ht="18.75" customHeight="1" x14ac:dyDescent="0.35">
      <c r="C690" s="124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ht="18.75" customHeight="1" x14ac:dyDescent="0.35">
      <c r="C691" s="124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ht="18.75" customHeight="1" x14ac:dyDescent="0.35">
      <c r="C692" s="124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ht="18.75" customHeight="1" x14ac:dyDescent="0.35">
      <c r="C693" s="124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ht="18.75" customHeight="1" x14ac:dyDescent="0.35">
      <c r="C694" s="124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ht="18.75" customHeight="1" x14ac:dyDescent="0.35">
      <c r="C695" s="124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ht="18.75" customHeight="1" x14ac:dyDescent="0.35">
      <c r="C696" s="124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ht="18.75" customHeight="1" x14ac:dyDescent="0.35">
      <c r="C697" s="124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ht="18.75" customHeight="1" x14ac:dyDescent="0.35">
      <c r="C698" s="124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ht="18.75" customHeight="1" x14ac:dyDescent="0.35">
      <c r="C699" s="124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ht="18.75" customHeight="1" x14ac:dyDescent="0.35">
      <c r="C700" s="124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ht="18.75" customHeight="1" x14ac:dyDescent="0.35">
      <c r="C701" s="124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ht="18.75" customHeight="1" x14ac:dyDescent="0.35">
      <c r="C702" s="124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ht="18.75" customHeight="1" x14ac:dyDescent="0.35">
      <c r="C703" s="124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ht="18.75" customHeight="1" x14ac:dyDescent="0.35">
      <c r="C704" s="124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ht="18.75" customHeight="1" x14ac:dyDescent="0.35">
      <c r="C705" s="124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ht="18.75" customHeight="1" x14ac:dyDescent="0.35">
      <c r="C706" s="124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ht="18.75" customHeight="1" x14ac:dyDescent="0.35">
      <c r="C707" s="124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ht="18.75" customHeight="1" x14ac:dyDescent="0.35">
      <c r="C708" s="124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ht="18.75" customHeight="1" x14ac:dyDescent="0.35">
      <c r="C709" s="124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ht="18.75" customHeight="1" x14ac:dyDescent="0.35">
      <c r="C710" s="124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ht="18.75" customHeight="1" x14ac:dyDescent="0.35">
      <c r="C711" s="124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ht="18.75" customHeight="1" x14ac:dyDescent="0.35">
      <c r="C712" s="124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ht="18.75" customHeight="1" x14ac:dyDescent="0.35">
      <c r="C713" s="124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ht="18.75" customHeight="1" x14ac:dyDescent="0.35">
      <c r="C714" s="124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ht="18.75" customHeight="1" x14ac:dyDescent="0.35">
      <c r="C715" s="124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ht="18.75" customHeight="1" x14ac:dyDescent="0.35">
      <c r="C716" s="124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ht="18.75" customHeight="1" x14ac:dyDescent="0.35">
      <c r="C717" s="124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ht="18.75" customHeight="1" x14ac:dyDescent="0.35">
      <c r="C718" s="124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ht="18.75" customHeight="1" x14ac:dyDescent="0.35">
      <c r="C719" s="124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ht="18.75" customHeight="1" x14ac:dyDescent="0.35">
      <c r="C720" s="124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ht="18.75" customHeight="1" x14ac:dyDescent="0.35">
      <c r="C721" s="124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ht="18.75" customHeight="1" x14ac:dyDescent="0.35">
      <c r="C722" s="124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ht="18.75" customHeight="1" x14ac:dyDescent="0.35">
      <c r="C723" s="124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ht="18.75" customHeight="1" x14ac:dyDescent="0.35">
      <c r="C724" s="124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ht="18.75" customHeight="1" x14ac:dyDescent="0.35">
      <c r="C725" s="124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ht="18.75" customHeight="1" x14ac:dyDescent="0.35">
      <c r="C726" s="124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ht="18.75" customHeight="1" x14ac:dyDescent="0.35">
      <c r="C727" s="124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ht="18.75" customHeight="1" x14ac:dyDescent="0.35">
      <c r="C728" s="124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ht="18.75" customHeight="1" x14ac:dyDescent="0.35">
      <c r="C729" s="124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ht="18.75" customHeight="1" x14ac:dyDescent="0.35">
      <c r="C730" s="124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ht="18.75" customHeight="1" x14ac:dyDescent="0.35">
      <c r="C731" s="124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ht="18.75" customHeight="1" x14ac:dyDescent="0.35">
      <c r="C732" s="124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ht="18.75" customHeight="1" x14ac:dyDescent="0.35">
      <c r="C733" s="124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ht="18.75" customHeight="1" x14ac:dyDescent="0.35">
      <c r="C734" s="124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ht="18.75" customHeight="1" x14ac:dyDescent="0.35">
      <c r="C735" s="124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ht="18.75" customHeight="1" x14ac:dyDescent="0.35">
      <c r="C736" s="124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ht="18.75" customHeight="1" x14ac:dyDescent="0.35">
      <c r="C737" s="124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ht="18.75" customHeight="1" x14ac:dyDescent="0.35">
      <c r="C738" s="124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ht="18.75" customHeight="1" x14ac:dyDescent="0.35">
      <c r="C739" s="124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ht="18.75" customHeight="1" x14ac:dyDescent="0.35">
      <c r="C740" s="124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ht="18.75" customHeight="1" x14ac:dyDescent="0.35">
      <c r="C741" s="124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ht="18.75" customHeight="1" x14ac:dyDescent="0.35">
      <c r="C742" s="124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ht="18.75" customHeight="1" x14ac:dyDescent="0.35">
      <c r="C743" s="124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ht="18.75" customHeight="1" x14ac:dyDescent="0.35">
      <c r="C744" s="124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ht="18.75" customHeight="1" x14ac:dyDescent="0.35">
      <c r="C745" s="124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ht="18.75" customHeight="1" x14ac:dyDescent="0.35">
      <c r="C746" s="124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ht="18.75" customHeight="1" x14ac:dyDescent="0.35">
      <c r="C747" s="124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ht="18.75" customHeight="1" x14ac:dyDescent="0.35">
      <c r="C748" s="124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ht="18.75" customHeight="1" x14ac:dyDescent="0.35">
      <c r="C749" s="124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ht="18.75" customHeight="1" x14ac:dyDescent="0.35">
      <c r="C750" s="124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ht="18.75" customHeight="1" x14ac:dyDescent="0.35">
      <c r="C751" s="124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ht="18.75" customHeight="1" x14ac:dyDescent="0.35">
      <c r="C752" s="124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ht="18.75" customHeight="1" x14ac:dyDescent="0.35">
      <c r="C753" s="124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ht="18.75" customHeight="1" x14ac:dyDescent="0.35">
      <c r="C754" s="124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ht="18.75" customHeight="1" x14ac:dyDescent="0.35">
      <c r="C755" s="124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ht="18.75" customHeight="1" x14ac:dyDescent="0.35">
      <c r="C756" s="124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ht="18.75" customHeight="1" x14ac:dyDescent="0.35">
      <c r="C757" s="124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ht="18.75" customHeight="1" x14ac:dyDescent="0.35">
      <c r="C758" s="124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ht="18.75" customHeight="1" x14ac:dyDescent="0.35">
      <c r="C759" s="124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ht="18.75" customHeight="1" x14ac:dyDescent="0.35">
      <c r="C760" s="124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ht="18.75" customHeight="1" x14ac:dyDescent="0.35">
      <c r="C761" s="124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ht="18.75" customHeight="1" x14ac:dyDescent="0.35">
      <c r="C762" s="124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ht="18.75" customHeight="1" x14ac:dyDescent="0.35">
      <c r="C763" s="124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ht="18.75" customHeight="1" x14ac:dyDescent="0.35">
      <c r="C764" s="124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ht="18.75" customHeight="1" x14ac:dyDescent="0.35">
      <c r="C765" s="124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ht="18.75" customHeight="1" x14ac:dyDescent="0.35">
      <c r="C766" s="124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ht="18.75" customHeight="1" x14ac:dyDescent="0.35">
      <c r="C767" s="124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ht="18.75" customHeight="1" x14ac:dyDescent="0.35">
      <c r="C768" s="124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ht="18.75" customHeight="1" x14ac:dyDescent="0.35">
      <c r="C769" s="124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ht="18.75" customHeight="1" x14ac:dyDescent="0.35">
      <c r="C770" s="124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ht="18.75" customHeight="1" x14ac:dyDescent="0.35">
      <c r="C771" s="124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ht="18.75" customHeight="1" x14ac:dyDescent="0.35">
      <c r="C772" s="124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ht="18.75" customHeight="1" x14ac:dyDescent="0.35">
      <c r="C773" s="124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ht="18.75" customHeight="1" x14ac:dyDescent="0.35">
      <c r="C774" s="124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ht="18.75" customHeight="1" x14ac:dyDescent="0.35">
      <c r="C775" s="124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ht="18.75" customHeight="1" x14ac:dyDescent="0.35">
      <c r="C776" s="124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ht="18.75" customHeight="1" x14ac:dyDescent="0.35">
      <c r="C777" s="124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ht="18.75" customHeight="1" x14ac:dyDescent="0.35">
      <c r="C778" s="124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ht="18.75" customHeight="1" x14ac:dyDescent="0.35">
      <c r="C779" s="124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ht="18.75" customHeight="1" x14ac:dyDescent="0.35">
      <c r="C780" s="124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ht="18.75" customHeight="1" x14ac:dyDescent="0.35">
      <c r="C781" s="124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ht="18.75" customHeight="1" x14ac:dyDescent="0.35">
      <c r="C782" s="124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ht="18.75" customHeight="1" x14ac:dyDescent="0.35">
      <c r="C783" s="124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ht="18.75" customHeight="1" x14ac:dyDescent="0.35">
      <c r="C784" s="124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ht="18.75" customHeight="1" x14ac:dyDescent="0.35">
      <c r="C785" s="124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ht="18.75" customHeight="1" x14ac:dyDescent="0.35">
      <c r="C786" s="124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ht="18.75" customHeight="1" x14ac:dyDescent="0.35">
      <c r="C787" s="124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ht="18.75" customHeight="1" x14ac:dyDescent="0.35">
      <c r="C788" s="124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ht="18.75" customHeight="1" x14ac:dyDescent="0.35">
      <c r="C789" s="124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ht="18.75" customHeight="1" x14ac:dyDescent="0.35">
      <c r="C790" s="124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ht="18.75" customHeight="1" x14ac:dyDescent="0.35">
      <c r="C791" s="124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ht="18.75" customHeight="1" x14ac:dyDescent="0.35">
      <c r="C792" s="124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ht="18.75" customHeight="1" x14ac:dyDescent="0.35">
      <c r="C793" s="124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ht="18.75" customHeight="1" x14ac:dyDescent="0.35">
      <c r="C794" s="124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ht="18.75" customHeight="1" x14ac:dyDescent="0.35">
      <c r="C795" s="124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ht="18.75" customHeight="1" x14ac:dyDescent="0.35">
      <c r="C796" s="124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ht="18.75" customHeight="1" x14ac:dyDescent="0.35">
      <c r="C797" s="124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ht="18.75" customHeight="1" x14ac:dyDescent="0.35">
      <c r="C798" s="124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ht="18.75" customHeight="1" x14ac:dyDescent="0.35">
      <c r="C799" s="124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ht="18.75" customHeight="1" x14ac:dyDescent="0.35">
      <c r="C800" s="124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ht="18.75" customHeight="1" x14ac:dyDescent="0.35">
      <c r="C801" s="124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ht="18.75" customHeight="1" x14ac:dyDescent="0.35">
      <c r="C802" s="124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ht="18.75" customHeight="1" x14ac:dyDescent="0.35">
      <c r="C803" s="124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ht="18.75" customHeight="1" x14ac:dyDescent="0.35">
      <c r="C804" s="124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ht="18.75" customHeight="1" x14ac:dyDescent="0.35">
      <c r="C805" s="124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ht="18.75" customHeight="1" x14ac:dyDescent="0.35">
      <c r="C806" s="124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ht="18.75" customHeight="1" x14ac:dyDescent="0.35">
      <c r="C807" s="124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ht="18.75" customHeight="1" x14ac:dyDescent="0.35">
      <c r="C808" s="124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ht="18.75" customHeight="1" x14ac:dyDescent="0.35">
      <c r="C809" s="124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ht="18.75" customHeight="1" x14ac:dyDescent="0.35">
      <c r="C810" s="124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ht="18.75" customHeight="1" x14ac:dyDescent="0.35">
      <c r="C811" s="124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ht="18.75" customHeight="1" x14ac:dyDescent="0.35">
      <c r="C812" s="124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ht="18.75" customHeight="1" x14ac:dyDescent="0.35">
      <c r="C813" s="124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ht="18.75" customHeight="1" x14ac:dyDescent="0.35">
      <c r="C814" s="124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ht="18.75" customHeight="1" x14ac:dyDescent="0.35">
      <c r="C815" s="124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ht="18.75" customHeight="1" x14ac:dyDescent="0.35">
      <c r="C816" s="124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ht="18.75" customHeight="1" x14ac:dyDescent="0.35">
      <c r="C817" s="124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ht="18.75" customHeight="1" x14ac:dyDescent="0.35">
      <c r="C818" s="124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ht="18.75" customHeight="1" x14ac:dyDescent="0.35">
      <c r="C819" s="124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ht="18.75" customHeight="1" x14ac:dyDescent="0.35">
      <c r="C820" s="124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ht="18.75" customHeight="1" x14ac:dyDescent="0.35">
      <c r="C821" s="124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ht="18.75" customHeight="1" x14ac:dyDescent="0.35">
      <c r="C822" s="124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ht="18.75" customHeight="1" x14ac:dyDescent="0.35">
      <c r="C823" s="124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ht="18.75" customHeight="1" x14ac:dyDescent="0.35">
      <c r="C824" s="124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ht="18.75" customHeight="1" x14ac:dyDescent="0.35">
      <c r="C825" s="124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ht="18.75" customHeight="1" x14ac:dyDescent="0.35">
      <c r="C826" s="124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ht="18.75" customHeight="1" x14ac:dyDescent="0.35">
      <c r="C827" s="124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ht="18.75" customHeight="1" x14ac:dyDescent="0.35">
      <c r="C828" s="124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ht="18.75" customHeight="1" x14ac:dyDescent="0.35">
      <c r="C829" s="124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ht="18.75" customHeight="1" x14ac:dyDescent="0.35">
      <c r="C830" s="124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ht="18.75" customHeight="1" x14ac:dyDescent="0.35">
      <c r="C831" s="124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ht="18.75" customHeight="1" x14ac:dyDescent="0.35">
      <c r="C832" s="124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ht="18.75" customHeight="1" x14ac:dyDescent="0.35">
      <c r="C833" s="124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ht="18.75" customHeight="1" x14ac:dyDescent="0.35">
      <c r="C834" s="124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ht="18.75" customHeight="1" x14ac:dyDescent="0.35">
      <c r="C835" s="124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ht="18.75" customHeight="1" x14ac:dyDescent="0.35">
      <c r="C836" s="124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ht="18.75" customHeight="1" x14ac:dyDescent="0.35">
      <c r="C837" s="124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ht="18.75" customHeight="1" x14ac:dyDescent="0.35">
      <c r="C838" s="124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ht="18.75" customHeight="1" x14ac:dyDescent="0.35">
      <c r="C839" s="124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ht="18.75" customHeight="1" x14ac:dyDescent="0.35">
      <c r="C840" s="124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ht="18.75" customHeight="1" x14ac:dyDescent="0.35">
      <c r="C841" s="124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ht="18.75" customHeight="1" x14ac:dyDescent="0.35">
      <c r="C842" s="124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ht="18.75" customHeight="1" x14ac:dyDescent="0.35">
      <c r="C843" s="124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ht="18.75" customHeight="1" x14ac:dyDescent="0.35">
      <c r="C844" s="124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ht="18.75" customHeight="1" x14ac:dyDescent="0.35">
      <c r="C845" s="124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ht="18.75" customHeight="1" x14ac:dyDescent="0.35">
      <c r="C846" s="124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ht="18.75" customHeight="1" x14ac:dyDescent="0.35">
      <c r="C847" s="124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ht="18.75" customHeight="1" x14ac:dyDescent="0.35">
      <c r="C848" s="124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ht="18.75" customHeight="1" x14ac:dyDescent="0.35">
      <c r="C849" s="124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ht="18.75" customHeight="1" x14ac:dyDescent="0.35">
      <c r="C850" s="124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ht="18.75" customHeight="1" x14ac:dyDescent="0.35">
      <c r="C851" s="124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ht="18.75" customHeight="1" x14ac:dyDescent="0.35">
      <c r="C852" s="124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ht="18.75" customHeight="1" x14ac:dyDescent="0.35">
      <c r="C853" s="124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ht="18.75" customHeight="1" x14ac:dyDescent="0.35">
      <c r="C854" s="124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ht="18.75" customHeight="1" x14ac:dyDescent="0.35">
      <c r="C855" s="124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ht="18.75" customHeight="1" x14ac:dyDescent="0.35">
      <c r="C856" s="124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ht="18.75" customHeight="1" x14ac:dyDescent="0.35">
      <c r="C857" s="124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ht="18.75" customHeight="1" x14ac:dyDescent="0.35">
      <c r="C858" s="124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ht="18.75" customHeight="1" x14ac:dyDescent="0.35">
      <c r="C859" s="124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ht="18.75" customHeight="1" x14ac:dyDescent="0.35">
      <c r="C860" s="124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ht="18.75" customHeight="1" x14ac:dyDescent="0.35">
      <c r="C861" s="124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ht="18.75" customHeight="1" x14ac:dyDescent="0.35">
      <c r="C862" s="124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ht="18.75" customHeight="1" x14ac:dyDescent="0.35">
      <c r="C863" s="124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ht="18.75" customHeight="1" x14ac:dyDescent="0.35">
      <c r="C864" s="124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ht="18.75" customHeight="1" x14ac:dyDescent="0.35">
      <c r="C865" s="124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ht="18.75" customHeight="1" x14ac:dyDescent="0.35">
      <c r="C866" s="124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ht="18.75" customHeight="1" x14ac:dyDescent="0.35">
      <c r="C867" s="124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ht="18.75" customHeight="1" x14ac:dyDescent="0.35">
      <c r="C868" s="124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ht="18.75" customHeight="1" x14ac:dyDescent="0.35">
      <c r="C869" s="124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ht="18.75" customHeight="1" x14ac:dyDescent="0.35">
      <c r="C870" s="124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ht="18.75" customHeight="1" x14ac:dyDescent="0.35">
      <c r="C871" s="124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ht="18.75" customHeight="1" x14ac:dyDescent="0.35">
      <c r="C872" s="124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ht="18.75" customHeight="1" x14ac:dyDescent="0.35">
      <c r="C873" s="124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ht="18.75" customHeight="1" x14ac:dyDescent="0.35">
      <c r="C874" s="124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ht="18.75" customHeight="1" x14ac:dyDescent="0.35">
      <c r="C875" s="124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ht="18.75" customHeight="1" x14ac:dyDescent="0.35">
      <c r="C876" s="124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ht="18.75" customHeight="1" x14ac:dyDescent="0.35">
      <c r="C877" s="124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ht="18.75" customHeight="1" x14ac:dyDescent="0.35">
      <c r="C878" s="124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ht="18.75" customHeight="1" x14ac:dyDescent="0.35">
      <c r="C879" s="124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ht="18.75" customHeight="1" x14ac:dyDescent="0.35">
      <c r="C880" s="124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ht="18.75" customHeight="1" x14ac:dyDescent="0.35">
      <c r="C881" s="124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ht="18.75" customHeight="1" x14ac:dyDescent="0.35">
      <c r="C882" s="124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ht="18.75" customHeight="1" x14ac:dyDescent="0.35">
      <c r="C883" s="124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ht="18.75" customHeight="1" x14ac:dyDescent="0.35">
      <c r="C884" s="124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ht="18.75" customHeight="1" x14ac:dyDescent="0.35">
      <c r="C885" s="124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ht="18.75" customHeight="1" x14ac:dyDescent="0.35">
      <c r="C886" s="124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ht="18.75" customHeight="1" x14ac:dyDescent="0.35">
      <c r="C887" s="124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ht="18.75" customHeight="1" x14ac:dyDescent="0.35">
      <c r="C888" s="124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ht="18.75" customHeight="1" x14ac:dyDescent="0.35">
      <c r="C889" s="124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ht="18.75" customHeight="1" x14ac:dyDescent="0.35">
      <c r="C890" s="124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ht="18.75" customHeight="1" x14ac:dyDescent="0.35">
      <c r="C891" s="124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ht="18.75" customHeight="1" x14ac:dyDescent="0.35">
      <c r="C892" s="124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ht="18.75" customHeight="1" x14ac:dyDescent="0.35">
      <c r="C893" s="124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ht="18.75" customHeight="1" x14ac:dyDescent="0.35">
      <c r="C894" s="124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ht="18.75" customHeight="1" x14ac:dyDescent="0.35">
      <c r="C895" s="124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ht="18.75" customHeight="1" x14ac:dyDescent="0.35">
      <c r="C896" s="124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ht="18.75" customHeight="1" x14ac:dyDescent="0.35">
      <c r="C897" s="124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ht="18.75" customHeight="1" x14ac:dyDescent="0.35">
      <c r="C898" s="124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ht="18.75" customHeight="1" x14ac:dyDescent="0.35">
      <c r="C899" s="124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ht="18.75" customHeight="1" x14ac:dyDescent="0.35">
      <c r="C900" s="124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ht="18.75" customHeight="1" x14ac:dyDescent="0.35">
      <c r="C901" s="124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ht="18.75" customHeight="1" x14ac:dyDescent="0.35">
      <c r="C902" s="124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ht="18.75" customHeight="1" x14ac:dyDescent="0.35">
      <c r="C903" s="124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ht="18.75" customHeight="1" x14ac:dyDescent="0.35">
      <c r="C904" s="124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ht="18.75" customHeight="1" x14ac:dyDescent="0.35">
      <c r="C905" s="124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ht="18.75" customHeight="1" x14ac:dyDescent="0.35">
      <c r="C906" s="124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ht="18.75" customHeight="1" x14ac:dyDescent="0.35">
      <c r="C907" s="124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ht="18.75" customHeight="1" x14ac:dyDescent="0.35">
      <c r="C908" s="124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ht="18.75" customHeight="1" x14ac:dyDescent="0.35">
      <c r="C909" s="124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ht="18.75" customHeight="1" x14ac:dyDescent="0.35">
      <c r="C910" s="124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ht="18.75" customHeight="1" x14ac:dyDescent="0.35">
      <c r="C911" s="124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ht="18.75" customHeight="1" x14ac:dyDescent="0.35">
      <c r="C912" s="124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ht="18.75" customHeight="1" x14ac:dyDescent="0.35">
      <c r="C913" s="124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ht="18.75" customHeight="1" x14ac:dyDescent="0.35">
      <c r="C914" s="124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ht="18.75" customHeight="1" x14ac:dyDescent="0.35">
      <c r="C915" s="124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ht="18.75" customHeight="1" x14ac:dyDescent="0.35">
      <c r="C916" s="124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ht="18.75" customHeight="1" x14ac:dyDescent="0.35">
      <c r="C917" s="124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ht="18.75" customHeight="1" x14ac:dyDescent="0.35">
      <c r="C918" s="124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ht="18.75" customHeight="1" x14ac:dyDescent="0.35">
      <c r="C919" s="124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ht="18.75" customHeight="1" x14ac:dyDescent="0.35">
      <c r="C920" s="124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ht="18.75" customHeight="1" x14ac:dyDescent="0.35">
      <c r="C921" s="124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ht="18.75" customHeight="1" x14ac:dyDescent="0.35">
      <c r="C922" s="124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ht="18.75" customHeight="1" x14ac:dyDescent="0.35">
      <c r="C923" s="124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ht="18.75" customHeight="1" x14ac:dyDescent="0.35">
      <c r="C924" s="124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ht="18.75" customHeight="1" x14ac:dyDescent="0.35">
      <c r="C925" s="124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ht="18.75" customHeight="1" x14ac:dyDescent="0.35">
      <c r="C926" s="124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ht="18.75" customHeight="1" x14ac:dyDescent="0.35">
      <c r="C927" s="124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ht="18.75" customHeight="1" x14ac:dyDescent="0.35">
      <c r="C928" s="124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ht="18.75" customHeight="1" x14ac:dyDescent="0.35">
      <c r="C929" s="124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ht="18.75" customHeight="1" x14ac:dyDescent="0.35">
      <c r="C930" s="124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ht="18.75" customHeight="1" x14ac:dyDescent="0.35">
      <c r="C931" s="124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ht="18.75" customHeight="1" x14ac:dyDescent="0.35">
      <c r="C932" s="124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ht="18.75" customHeight="1" x14ac:dyDescent="0.35">
      <c r="C933" s="124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ht="18.75" customHeight="1" x14ac:dyDescent="0.35">
      <c r="C934" s="124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ht="18.75" customHeight="1" x14ac:dyDescent="0.35">
      <c r="C935" s="124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ht="18.75" customHeight="1" x14ac:dyDescent="0.35">
      <c r="C936" s="124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ht="18.75" customHeight="1" x14ac:dyDescent="0.35">
      <c r="C937" s="124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ht="18.75" customHeight="1" x14ac:dyDescent="0.35">
      <c r="C938" s="124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ht="18.75" customHeight="1" x14ac:dyDescent="0.35">
      <c r="C939" s="124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ht="18.75" customHeight="1" x14ac:dyDescent="0.35">
      <c r="C940" s="124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ht="18.75" customHeight="1" x14ac:dyDescent="0.35">
      <c r="C941" s="124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ht="18.75" customHeight="1" x14ac:dyDescent="0.35">
      <c r="C942" s="124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ht="18.75" customHeight="1" x14ac:dyDescent="0.35">
      <c r="C943" s="124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ht="18.75" customHeight="1" x14ac:dyDescent="0.35">
      <c r="C944" s="124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ht="18.75" customHeight="1" x14ac:dyDescent="0.35">
      <c r="C945" s="124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ht="18.75" customHeight="1" x14ac:dyDescent="0.35">
      <c r="C946" s="124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ht="18.75" customHeight="1" x14ac:dyDescent="0.35">
      <c r="C947" s="124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ht="18.75" customHeight="1" x14ac:dyDescent="0.35">
      <c r="C948" s="124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ht="18.75" customHeight="1" x14ac:dyDescent="0.35">
      <c r="C949" s="124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ht="18.75" customHeight="1" x14ac:dyDescent="0.35">
      <c r="C950" s="124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ht="18.75" customHeight="1" x14ac:dyDescent="0.35">
      <c r="C951" s="124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ht="18.75" customHeight="1" x14ac:dyDescent="0.35">
      <c r="C952" s="124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ht="18.75" customHeight="1" x14ac:dyDescent="0.35">
      <c r="C953" s="124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ht="18.75" customHeight="1" x14ac:dyDescent="0.35">
      <c r="C954" s="124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ht="18.75" customHeight="1" x14ac:dyDescent="0.35">
      <c r="C955" s="124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ht="18.75" customHeight="1" x14ac:dyDescent="0.35">
      <c r="C956" s="124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ht="18.75" customHeight="1" x14ac:dyDescent="0.35">
      <c r="C957" s="124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ht="18.75" customHeight="1" x14ac:dyDescent="0.35">
      <c r="C958" s="124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ht="18.75" customHeight="1" x14ac:dyDescent="0.35">
      <c r="C959" s="124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ht="18.75" customHeight="1" x14ac:dyDescent="0.35">
      <c r="C960" s="124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ht="18.75" customHeight="1" x14ac:dyDescent="0.35">
      <c r="C961" s="124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ht="18.75" customHeight="1" x14ac:dyDescent="0.35">
      <c r="C962" s="124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ht="18.75" customHeight="1" x14ac:dyDescent="0.35">
      <c r="C963" s="124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ht="18.75" customHeight="1" x14ac:dyDescent="0.35">
      <c r="C964" s="124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ht="18.75" customHeight="1" x14ac:dyDescent="0.35">
      <c r="C965" s="124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ht="18.75" customHeight="1" x14ac:dyDescent="0.35">
      <c r="C966" s="124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ht="18.75" customHeight="1" x14ac:dyDescent="0.35">
      <c r="C967" s="124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ht="18.75" customHeight="1" x14ac:dyDescent="0.35">
      <c r="C968" s="124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ht="18.75" customHeight="1" x14ac:dyDescent="0.35">
      <c r="C969" s="124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ht="18.75" customHeight="1" x14ac:dyDescent="0.35">
      <c r="C970" s="124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ht="18.75" customHeight="1" x14ac:dyDescent="0.35">
      <c r="C971" s="124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ht="18.75" customHeight="1" x14ac:dyDescent="0.35">
      <c r="C972" s="124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ht="18.75" customHeight="1" x14ac:dyDescent="0.35">
      <c r="C973" s="124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ht="18.75" customHeight="1" x14ac:dyDescent="0.35">
      <c r="C974" s="124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ht="18.75" customHeight="1" x14ac:dyDescent="0.35">
      <c r="C975" s="124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ht="18.75" customHeight="1" x14ac:dyDescent="0.35">
      <c r="C976" s="124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ht="18.75" customHeight="1" x14ac:dyDescent="0.35">
      <c r="C977" s="124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ht="18.75" customHeight="1" x14ac:dyDescent="0.35">
      <c r="C978" s="124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ht="18.75" customHeight="1" x14ac:dyDescent="0.35">
      <c r="C979" s="124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ht="18.75" customHeight="1" x14ac:dyDescent="0.35">
      <c r="C980" s="124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ht="18.75" customHeight="1" x14ac:dyDescent="0.35">
      <c r="C981" s="124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ht="18.75" customHeight="1" x14ac:dyDescent="0.35">
      <c r="C982" s="124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ht="18.75" customHeight="1" x14ac:dyDescent="0.35">
      <c r="C983" s="124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ht="18.75" customHeight="1" x14ac:dyDescent="0.35">
      <c r="C984" s="124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ht="18.75" customHeight="1" x14ac:dyDescent="0.35">
      <c r="C985" s="124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ht="18.75" customHeight="1" x14ac:dyDescent="0.35">
      <c r="C986" s="124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ht="18.75" customHeight="1" x14ac:dyDescent="0.35">
      <c r="C987" s="124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ht="18.75" customHeight="1" x14ac:dyDescent="0.35">
      <c r="C988" s="124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ht="18.75" customHeight="1" x14ac:dyDescent="0.35">
      <c r="C989" s="124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ht="18.75" customHeight="1" x14ac:dyDescent="0.35">
      <c r="C990" s="124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ht="18.75" customHeight="1" x14ac:dyDescent="0.35">
      <c r="C991" s="124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ht="18.75" customHeight="1" x14ac:dyDescent="0.35">
      <c r="C992" s="124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ht="18.75" customHeight="1" x14ac:dyDescent="0.35">
      <c r="C993" s="124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ht="18.75" customHeight="1" x14ac:dyDescent="0.35">
      <c r="C994" s="124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ht="18.75" customHeight="1" x14ac:dyDescent="0.35">
      <c r="C995" s="124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ht="18.75" customHeight="1" x14ac:dyDescent="0.35">
      <c r="C996" s="124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ht="18.75" customHeight="1" x14ac:dyDescent="0.35">
      <c r="C997" s="124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ht="18.75" customHeight="1" x14ac:dyDescent="0.35">
      <c r="C998" s="124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ht="18.75" customHeight="1" x14ac:dyDescent="0.35">
      <c r="C999" s="124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ht="18.75" customHeight="1" x14ac:dyDescent="0.35">
      <c r="C1000" s="124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ht="18.75" customHeight="1" x14ac:dyDescent="0.35">
      <c r="C1001" s="124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ht="18.75" customHeight="1" x14ac:dyDescent="0.35">
      <c r="C1002" s="124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ht="18.75" customHeight="1" x14ac:dyDescent="0.35">
      <c r="C1003" s="124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ht="18.75" customHeight="1" x14ac:dyDescent="0.35">
      <c r="C1004" s="124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ht="18.75" customHeight="1" x14ac:dyDescent="0.35">
      <c r="C1005" s="124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ht="18.75" customHeight="1" x14ac:dyDescent="0.35">
      <c r="C1006" s="124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ht="18.75" customHeight="1" x14ac:dyDescent="0.35">
      <c r="C1007" s="124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ht="18.75" customHeight="1" x14ac:dyDescent="0.35">
      <c r="C1008" s="124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ht="18.75" customHeight="1" x14ac:dyDescent="0.35">
      <c r="C1009" s="124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ht="18.75" customHeight="1" x14ac:dyDescent="0.35">
      <c r="C1010" s="124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ht="18.75" customHeight="1" x14ac:dyDescent="0.35">
      <c r="C1011" s="124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ht="18.75" customHeight="1" x14ac:dyDescent="0.35">
      <c r="C1012" s="124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ht="18.75" customHeight="1" x14ac:dyDescent="0.35">
      <c r="C1013" s="124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ht="18.75" customHeight="1" x14ac:dyDescent="0.35">
      <c r="C1014" s="124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ht="18.75" customHeight="1" x14ac:dyDescent="0.35">
      <c r="C1015" s="124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ht="18.75" customHeight="1" x14ac:dyDescent="0.35">
      <c r="C1016" s="124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ht="18.75" customHeight="1" x14ac:dyDescent="0.35">
      <c r="C1017" s="124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ht="18.75" customHeight="1" x14ac:dyDescent="0.35">
      <c r="C1018" s="124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ht="18.75" customHeight="1" x14ac:dyDescent="0.35">
      <c r="C1019" s="124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ht="18.75" customHeight="1" x14ac:dyDescent="0.35">
      <c r="C1020" s="124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ht="18.75" customHeight="1" x14ac:dyDescent="0.35">
      <c r="C1021" s="124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ht="18.75" customHeight="1" x14ac:dyDescent="0.35">
      <c r="C1022" s="124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ht="18.75" customHeight="1" x14ac:dyDescent="0.35">
      <c r="C1023" s="124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ht="18.75" customHeight="1" x14ac:dyDescent="0.35">
      <c r="C1024" s="124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ht="18.75" customHeight="1" x14ac:dyDescent="0.35">
      <c r="C1025" s="124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ht="18.75" customHeight="1" x14ac:dyDescent="0.35">
      <c r="C1026" s="124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ht="18.75" customHeight="1" x14ac:dyDescent="0.35">
      <c r="C1027" s="124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ht="18.75" customHeight="1" x14ac:dyDescent="0.35">
      <c r="C1028" s="124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ht="18.75" customHeight="1" x14ac:dyDescent="0.35">
      <c r="C1029" s="124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ht="18.75" customHeight="1" x14ac:dyDescent="0.35">
      <c r="C1030" s="124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ht="18.75" customHeight="1" x14ac:dyDescent="0.35">
      <c r="C1031" s="124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ht="18.75" customHeight="1" x14ac:dyDescent="0.35">
      <c r="C1032" s="124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ht="18.75" customHeight="1" x14ac:dyDescent="0.35">
      <c r="C1033" s="124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ht="18.75" customHeight="1" x14ac:dyDescent="0.35">
      <c r="C1034" s="124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ht="18.75" customHeight="1" x14ac:dyDescent="0.35">
      <c r="C1035" s="124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ht="18.75" customHeight="1" x14ac:dyDescent="0.35">
      <c r="C1036" s="124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ht="18.75" customHeight="1" x14ac:dyDescent="0.35">
      <c r="C1037" s="124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ht="18.75" customHeight="1" x14ac:dyDescent="0.35">
      <c r="C1038" s="124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ht="18.75" customHeight="1" x14ac:dyDescent="0.35">
      <c r="C1039" s="124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ht="18.75" customHeight="1" x14ac:dyDescent="0.35">
      <c r="C1040" s="124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ht="18.75" customHeight="1" x14ac:dyDescent="0.35">
      <c r="C1041" s="124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ht="18.75" customHeight="1" x14ac:dyDescent="0.35">
      <c r="C1042" s="124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ht="18.75" customHeight="1" x14ac:dyDescent="0.35">
      <c r="C1043" s="124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ht="18.75" customHeight="1" x14ac:dyDescent="0.35">
      <c r="C1044" s="124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ht="18.75" customHeight="1" x14ac:dyDescent="0.35">
      <c r="C1045" s="124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ht="18.75" customHeight="1" x14ac:dyDescent="0.35">
      <c r="C1046" s="124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ht="18.75" customHeight="1" x14ac:dyDescent="0.35">
      <c r="C1047" s="124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ht="18.75" customHeight="1" x14ac:dyDescent="0.35">
      <c r="C1048" s="124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ht="18.75" customHeight="1" x14ac:dyDescent="0.35">
      <c r="C1049" s="124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ht="18.75" customHeight="1" x14ac:dyDescent="0.35">
      <c r="C1050" s="124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ht="18.75" customHeight="1" x14ac:dyDescent="0.35">
      <c r="C1051" s="124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ht="18.75" customHeight="1" x14ac:dyDescent="0.35">
      <c r="C1052" s="124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ht="18.75" customHeight="1" x14ac:dyDescent="0.35">
      <c r="C1053" s="124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ht="18.75" customHeight="1" x14ac:dyDescent="0.35">
      <c r="C1054" s="124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ht="18.75" customHeight="1" x14ac:dyDescent="0.35">
      <c r="C1055" s="124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ht="18.75" customHeight="1" x14ac:dyDescent="0.35">
      <c r="C1056" s="124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ht="18.75" customHeight="1" x14ac:dyDescent="0.35">
      <c r="C1057" s="124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ht="18.75" customHeight="1" x14ac:dyDescent="0.35">
      <c r="C1058" s="124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ht="18.75" customHeight="1" x14ac:dyDescent="0.35">
      <c r="C1059" s="124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ht="18.75" customHeight="1" x14ac:dyDescent="0.35">
      <c r="C1060" s="124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ht="18.75" customHeight="1" x14ac:dyDescent="0.35">
      <c r="C1061" s="124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ht="18.75" customHeight="1" x14ac:dyDescent="0.35">
      <c r="C1062" s="124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ht="18.75" customHeight="1" x14ac:dyDescent="0.35">
      <c r="C1063" s="124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ht="18.75" customHeight="1" x14ac:dyDescent="0.35">
      <c r="C1064" s="124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ht="18.75" customHeight="1" x14ac:dyDescent="0.35">
      <c r="C1065" s="124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ht="18.75" customHeight="1" x14ac:dyDescent="0.35">
      <c r="C1066" s="124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ht="18.75" customHeight="1" x14ac:dyDescent="0.35">
      <c r="C1067" s="124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ht="18.75" customHeight="1" x14ac:dyDescent="0.35">
      <c r="C1068" s="124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ht="18.75" customHeight="1" x14ac:dyDescent="0.35">
      <c r="C1069" s="124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ht="18.75" customHeight="1" x14ac:dyDescent="0.35">
      <c r="C1070" s="124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ht="18.75" customHeight="1" x14ac:dyDescent="0.35">
      <c r="C1071" s="124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ht="18.75" customHeight="1" x14ac:dyDescent="0.35">
      <c r="C1072" s="124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ht="18.75" customHeight="1" x14ac:dyDescent="0.35">
      <c r="C1073" s="124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ht="18.75" customHeight="1" x14ac:dyDescent="0.35">
      <c r="C1074" s="124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ht="18.75" customHeight="1" x14ac:dyDescent="0.35">
      <c r="C1075" s="124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ht="18.75" customHeight="1" x14ac:dyDescent="0.35">
      <c r="C1076" s="124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ht="18.75" customHeight="1" x14ac:dyDescent="0.35">
      <c r="C1077" s="124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ht="18.75" customHeight="1" x14ac:dyDescent="0.35">
      <c r="C1078" s="124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ht="18.75" customHeight="1" x14ac:dyDescent="0.35">
      <c r="C1079" s="124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ht="18.75" customHeight="1" x14ac:dyDescent="0.35">
      <c r="C1080" s="124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ht="18.75" customHeight="1" x14ac:dyDescent="0.35">
      <c r="C1081" s="124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ht="18.75" customHeight="1" x14ac:dyDescent="0.35">
      <c r="C1082" s="124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ht="18.75" customHeight="1" x14ac:dyDescent="0.35">
      <c r="C1083" s="124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ht="18.75" customHeight="1" x14ac:dyDescent="0.35">
      <c r="C1084" s="124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ht="18.75" customHeight="1" x14ac:dyDescent="0.35">
      <c r="C1085" s="124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ht="18.75" customHeight="1" x14ac:dyDescent="0.35">
      <c r="C1086" s="124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ht="18.75" customHeight="1" x14ac:dyDescent="0.35">
      <c r="C1087" s="124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ht="18.75" customHeight="1" x14ac:dyDescent="0.35">
      <c r="C1088" s="124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ht="18.75" customHeight="1" x14ac:dyDescent="0.35">
      <c r="C1089" s="124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ht="18.75" customHeight="1" x14ac:dyDescent="0.35">
      <c r="C1090" s="124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ht="18.75" customHeight="1" x14ac:dyDescent="0.35">
      <c r="C1091" s="124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ht="18.75" customHeight="1" x14ac:dyDescent="0.35">
      <c r="C1092" s="124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ht="18.75" customHeight="1" x14ac:dyDescent="0.35">
      <c r="C1093" s="124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ht="18.75" customHeight="1" x14ac:dyDescent="0.35">
      <c r="C1094" s="124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ht="18.75" customHeight="1" x14ac:dyDescent="0.35">
      <c r="C1095" s="124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ht="18.75" customHeight="1" x14ac:dyDescent="0.35">
      <c r="C1096" s="124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ht="18.75" customHeight="1" x14ac:dyDescent="0.35">
      <c r="C1097" s="124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ht="18.75" customHeight="1" x14ac:dyDescent="0.35">
      <c r="C1098" s="124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ht="18.75" customHeight="1" x14ac:dyDescent="0.35">
      <c r="C1099" s="124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ht="18.75" customHeight="1" x14ac:dyDescent="0.35">
      <c r="C1100" s="124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ht="18.75" customHeight="1" x14ac:dyDescent="0.35">
      <c r="C1101" s="124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ht="18.75" customHeight="1" x14ac:dyDescent="0.35">
      <c r="C1102" s="124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ht="18.75" customHeight="1" x14ac:dyDescent="0.35">
      <c r="C1103" s="124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ht="18.75" customHeight="1" x14ac:dyDescent="0.35">
      <c r="C1104" s="124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ht="18.75" customHeight="1" x14ac:dyDescent="0.35">
      <c r="C1105" s="124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ht="18.75" customHeight="1" x14ac:dyDescent="0.35">
      <c r="C1106" s="124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ht="18.75" customHeight="1" x14ac:dyDescent="0.35">
      <c r="C1107" s="124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ht="18.75" customHeight="1" x14ac:dyDescent="0.35">
      <c r="C1108" s="124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ht="18.75" customHeight="1" x14ac:dyDescent="0.35">
      <c r="C1109" s="124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ht="18.75" customHeight="1" x14ac:dyDescent="0.35">
      <c r="C1110" s="124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ht="18.75" customHeight="1" x14ac:dyDescent="0.35">
      <c r="C1111" s="124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ht="18.75" customHeight="1" x14ac:dyDescent="0.35">
      <c r="C1112" s="124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ht="18.75" customHeight="1" x14ac:dyDescent="0.35">
      <c r="C1113" s="124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ht="18.75" customHeight="1" x14ac:dyDescent="0.35">
      <c r="C1114" s="124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ht="18.75" customHeight="1" x14ac:dyDescent="0.35">
      <c r="C1115" s="124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ht="18.75" customHeight="1" x14ac:dyDescent="0.35">
      <c r="C1116" s="124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ht="18.75" customHeight="1" x14ac:dyDescent="0.35">
      <c r="C1117" s="124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ht="18.75" customHeight="1" x14ac:dyDescent="0.35">
      <c r="C1118" s="124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ht="18.75" customHeight="1" x14ac:dyDescent="0.35">
      <c r="C1119" s="124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ht="18.75" customHeight="1" x14ac:dyDescent="0.35">
      <c r="C1120" s="124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ht="18.75" customHeight="1" x14ac:dyDescent="0.35">
      <c r="C1121" s="124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ht="18.75" customHeight="1" x14ac:dyDescent="0.35">
      <c r="C1122" s="124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ht="18.75" customHeight="1" x14ac:dyDescent="0.35">
      <c r="C1123" s="124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ht="18.75" customHeight="1" x14ac:dyDescent="0.35">
      <c r="C1124" s="124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ht="18.75" customHeight="1" x14ac:dyDescent="0.35">
      <c r="C1125" s="124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ht="18.75" customHeight="1" x14ac:dyDescent="0.35">
      <c r="C1126" s="124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ht="18.75" customHeight="1" x14ac:dyDescent="0.35">
      <c r="C1127" s="124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ht="18.75" customHeight="1" x14ac:dyDescent="0.35">
      <c r="C1128" s="124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ht="18.75" customHeight="1" x14ac:dyDescent="0.35">
      <c r="C1129" s="124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ht="18.75" customHeight="1" x14ac:dyDescent="0.35">
      <c r="C1130" s="124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ht="18.75" customHeight="1" x14ac:dyDescent="0.35">
      <c r="C1131" s="124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ht="18.75" customHeight="1" x14ac:dyDescent="0.35">
      <c r="C1132" s="124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ht="18.75" customHeight="1" x14ac:dyDescent="0.35">
      <c r="C1133" s="124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ht="18.75" customHeight="1" x14ac:dyDescent="0.35">
      <c r="C1134" s="124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ht="18.75" customHeight="1" x14ac:dyDescent="0.35">
      <c r="C1135" s="124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ht="18.75" customHeight="1" x14ac:dyDescent="0.35">
      <c r="C1136" s="124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ht="18.75" customHeight="1" x14ac:dyDescent="0.35">
      <c r="C1137" s="124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ht="18.75" customHeight="1" x14ac:dyDescent="0.35">
      <c r="C1138" s="124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ht="18.75" customHeight="1" x14ac:dyDescent="0.35">
      <c r="C1139" s="124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ht="18.75" customHeight="1" x14ac:dyDescent="0.35">
      <c r="C1140" s="124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ht="18.75" customHeight="1" x14ac:dyDescent="0.35">
      <c r="C1141" s="124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ht="18.75" customHeight="1" x14ac:dyDescent="0.35">
      <c r="C1142" s="124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ht="18.75" customHeight="1" x14ac:dyDescent="0.35">
      <c r="C1143" s="124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ht="18.75" customHeight="1" x14ac:dyDescent="0.35">
      <c r="C1144" s="124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ht="18.75" customHeight="1" x14ac:dyDescent="0.35">
      <c r="C1145" s="124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ht="18.75" customHeight="1" x14ac:dyDescent="0.35">
      <c r="C1146" s="124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ht="18.75" customHeight="1" x14ac:dyDescent="0.35">
      <c r="C1147" s="124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ht="18.75" customHeight="1" x14ac:dyDescent="0.35">
      <c r="C1148" s="124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ht="18.75" customHeight="1" x14ac:dyDescent="0.35">
      <c r="C1149" s="124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ht="18.75" customHeight="1" x14ac:dyDescent="0.35">
      <c r="C1150" s="124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ht="18.75" customHeight="1" x14ac:dyDescent="0.35">
      <c r="C1151" s="124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ht="18.75" customHeight="1" x14ac:dyDescent="0.35">
      <c r="C1152" s="124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ht="18.75" customHeight="1" x14ac:dyDescent="0.35">
      <c r="C1153" s="124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ht="18.75" customHeight="1" x14ac:dyDescent="0.35">
      <c r="C1154" s="124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ht="18.75" customHeight="1" x14ac:dyDescent="0.35">
      <c r="C1155" s="124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ht="18.75" customHeight="1" x14ac:dyDescent="0.35">
      <c r="C1156" s="124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ht="18.75" customHeight="1" x14ac:dyDescent="0.35">
      <c r="C1157" s="124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ht="18.75" customHeight="1" x14ac:dyDescent="0.35">
      <c r="C1158" s="124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ht="18.75" customHeight="1" x14ac:dyDescent="0.35">
      <c r="C1159" s="124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ht="18.75" customHeight="1" x14ac:dyDescent="0.35">
      <c r="C1160" s="124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ht="18.75" customHeight="1" x14ac:dyDescent="0.35">
      <c r="C1161" s="124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ht="18.75" customHeight="1" x14ac:dyDescent="0.35">
      <c r="C1162" s="124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ht="18.75" customHeight="1" x14ac:dyDescent="0.35">
      <c r="C1163" s="124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ht="18.75" customHeight="1" x14ac:dyDescent="0.35">
      <c r="C1164" s="124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ht="18.75" customHeight="1" x14ac:dyDescent="0.35">
      <c r="C1165" s="124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ht="18.75" customHeight="1" x14ac:dyDescent="0.35">
      <c r="C1166" s="124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ht="18.75" customHeight="1" x14ac:dyDescent="0.35">
      <c r="C1167" s="124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ht="18.75" customHeight="1" x14ac:dyDescent="0.35">
      <c r="C1168" s="124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ht="18.75" customHeight="1" x14ac:dyDescent="0.35">
      <c r="C1169" s="124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ht="18.75" customHeight="1" x14ac:dyDescent="0.35">
      <c r="C1170" s="124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ht="18.75" customHeight="1" x14ac:dyDescent="0.35">
      <c r="C1171" s="124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ht="18.75" customHeight="1" x14ac:dyDescent="0.35">
      <c r="C1172" s="124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ht="18.75" customHeight="1" x14ac:dyDescent="0.35">
      <c r="C1173" s="124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ht="18.75" customHeight="1" x14ac:dyDescent="0.35">
      <c r="C1174" s="124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ht="18.75" customHeight="1" x14ac:dyDescent="0.35">
      <c r="C1175" s="124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ht="18.75" customHeight="1" x14ac:dyDescent="0.35">
      <c r="C1176" s="124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ht="18.75" customHeight="1" x14ac:dyDescent="0.35">
      <c r="C1177" s="124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ht="18.75" customHeight="1" x14ac:dyDescent="0.35">
      <c r="C1178" s="124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ht="18.75" customHeight="1" x14ac:dyDescent="0.35">
      <c r="C1179" s="124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ht="18.75" customHeight="1" x14ac:dyDescent="0.35">
      <c r="C1180" s="124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ht="18.75" customHeight="1" x14ac:dyDescent="0.35">
      <c r="C1181" s="124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ht="18.75" customHeight="1" x14ac:dyDescent="0.35">
      <c r="C1182" s="124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ht="18.75" customHeight="1" x14ac:dyDescent="0.35">
      <c r="C1183" s="124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ht="18.75" customHeight="1" x14ac:dyDescent="0.35">
      <c r="C1184" s="124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ht="18.75" customHeight="1" x14ac:dyDescent="0.35">
      <c r="C1185" s="124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ht="18.75" customHeight="1" x14ac:dyDescent="0.35">
      <c r="C1186" s="124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ht="18.75" customHeight="1" x14ac:dyDescent="0.35">
      <c r="C1187" s="124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ht="18.75" customHeight="1" x14ac:dyDescent="0.35">
      <c r="C1188" s="124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ht="18.75" customHeight="1" x14ac:dyDescent="0.35">
      <c r="C1189" s="124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ht="18.75" customHeight="1" x14ac:dyDescent="0.35">
      <c r="C1190" s="124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ht="18.75" customHeight="1" x14ac:dyDescent="0.35">
      <c r="C1191" s="124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ht="18.75" customHeight="1" x14ac:dyDescent="0.35">
      <c r="C1192" s="124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ht="18.75" customHeight="1" x14ac:dyDescent="0.35">
      <c r="C1193" s="124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ht="18.75" customHeight="1" x14ac:dyDescent="0.35">
      <c r="C1194" s="124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ht="18.75" customHeight="1" x14ac:dyDescent="0.35">
      <c r="C1195" s="124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ht="18.75" customHeight="1" x14ac:dyDescent="0.35">
      <c r="C1196" s="124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ht="18.75" customHeight="1" x14ac:dyDescent="0.35">
      <c r="C1197" s="124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ht="18.75" customHeight="1" x14ac:dyDescent="0.35">
      <c r="C1198" s="124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ht="18.75" customHeight="1" x14ac:dyDescent="0.35">
      <c r="C1199" s="124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ht="18.75" customHeight="1" x14ac:dyDescent="0.35">
      <c r="C1200" s="124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ht="18.75" customHeight="1" x14ac:dyDescent="0.35">
      <c r="C1201" s="124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ht="18.75" customHeight="1" x14ac:dyDescent="0.35">
      <c r="C1202" s="124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ht="18.75" customHeight="1" x14ac:dyDescent="0.35">
      <c r="C1203" s="124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ht="18.75" customHeight="1" x14ac:dyDescent="0.35">
      <c r="C1204" s="124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ht="18.75" customHeight="1" x14ac:dyDescent="0.35">
      <c r="C1205" s="124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ht="18.75" customHeight="1" x14ac:dyDescent="0.35">
      <c r="C1206" s="124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ht="18.75" customHeight="1" x14ac:dyDescent="0.35">
      <c r="C1207" s="124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ht="18.75" customHeight="1" x14ac:dyDescent="0.35">
      <c r="C1208" s="124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ht="18.75" customHeight="1" x14ac:dyDescent="0.35">
      <c r="C1209" s="124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ht="18.75" customHeight="1" x14ac:dyDescent="0.35">
      <c r="C1210" s="124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ht="18.75" customHeight="1" x14ac:dyDescent="0.35">
      <c r="C1211" s="124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ht="18.75" customHeight="1" x14ac:dyDescent="0.35">
      <c r="C1212" s="124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ht="18.75" customHeight="1" x14ac:dyDescent="0.35">
      <c r="C1213" s="124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ht="18.75" customHeight="1" x14ac:dyDescent="0.35">
      <c r="C1214" s="124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ht="18.75" customHeight="1" x14ac:dyDescent="0.35">
      <c r="C1215" s="124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ht="18.75" customHeight="1" x14ac:dyDescent="0.35">
      <c r="C1216" s="124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ht="18.75" customHeight="1" x14ac:dyDescent="0.35">
      <c r="C1217" s="124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ht="18.75" customHeight="1" x14ac:dyDescent="0.35">
      <c r="C1218" s="124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ht="18.75" customHeight="1" x14ac:dyDescent="0.35">
      <c r="C1219" s="124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ht="18.75" customHeight="1" x14ac:dyDescent="0.35">
      <c r="C1220" s="124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ht="18.75" customHeight="1" x14ac:dyDescent="0.35">
      <c r="C1221" s="124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ht="18.75" customHeight="1" x14ac:dyDescent="0.35">
      <c r="C1222" s="124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ht="18.75" customHeight="1" x14ac:dyDescent="0.35">
      <c r="C1223" s="124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ht="18.75" customHeight="1" x14ac:dyDescent="0.35">
      <c r="C1224" s="124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ht="18.75" customHeight="1" x14ac:dyDescent="0.35">
      <c r="C1225" s="124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ht="18.75" customHeight="1" x14ac:dyDescent="0.35">
      <c r="C1226" s="124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ht="18.75" customHeight="1" x14ac:dyDescent="0.35">
      <c r="C1227" s="124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ht="18.75" customHeight="1" x14ac:dyDescent="0.35">
      <c r="C1228" s="124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ht="18.75" customHeight="1" x14ac:dyDescent="0.35">
      <c r="C1229" s="124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ht="18.75" customHeight="1" x14ac:dyDescent="0.35">
      <c r="C1230" s="124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ht="18.75" customHeight="1" x14ac:dyDescent="0.35">
      <c r="C1231" s="124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ht="18.75" customHeight="1" x14ac:dyDescent="0.35">
      <c r="C1232" s="124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ht="18.75" customHeight="1" x14ac:dyDescent="0.35">
      <c r="C1233" s="124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ht="18.75" customHeight="1" x14ac:dyDescent="0.35">
      <c r="C1234" s="124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ht="18.75" customHeight="1" x14ac:dyDescent="0.35">
      <c r="C1235" s="124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ht="18.75" customHeight="1" x14ac:dyDescent="0.35">
      <c r="C1236" s="124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ht="18.75" customHeight="1" x14ac:dyDescent="0.35">
      <c r="C1237" s="124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ht="18.75" customHeight="1" x14ac:dyDescent="0.35">
      <c r="C1238" s="124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ht="18.75" customHeight="1" x14ac:dyDescent="0.35">
      <c r="C1239" s="124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ht="18.75" customHeight="1" x14ac:dyDescent="0.35">
      <c r="C1240" s="124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ht="18.75" customHeight="1" x14ac:dyDescent="0.35">
      <c r="C1241" s="124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ht="18.75" customHeight="1" x14ac:dyDescent="0.35">
      <c r="C1242" s="124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ht="18.75" customHeight="1" x14ac:dyDescent="0.35">
      <c r="C1243" s="124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ht="18.75" customHeight="1" x14ac:dyDescent="0.35">
      <c r="C1244" s="124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ht="18.75" customHeight="1" x14ac:dyDescent="0.35">
      <c r="C1245" s="124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ht="18.75" customHeight="1" x14ac:dyDescent="0.35">
      <c r="C1246" s="124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ht="18.75" customHeight="1" x14ac:dyDescent="0.35">
      <c r="C1247" s="124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ht="18.75" customHeight="1" x14ac:dyDescent="0.35">
      <c r="C1248" s="124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ht="18.75" customHeight="1" x14ac:dyDescent="0.35">
      <c r="C1249" s="124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ht="18.75" customHeight="1" x14ac:dyDescent="0.35">
      <c r="C1250" s="124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ht="18.75" customHeight="1" x14ac:dyDescent="0.35">
      <c r="C1251" s="124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ht="18.75" customHeight="1" x14ac:dyDescent="0.35">
      <c r="C1252" s="124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ht="18.75" customHeight="1" x14ac:dyDescent="0.35">
      <c r="C1253" s="124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ht="18.75" customHeight="1" x14ac:dyDescent="0.35">
      <c r="C1254" s="124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ht="18.75" customHeight="1" x14ac:dyDescent="0.35">
      <c r="C1255" s="124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ht="18.75" customHeight="1" x14ac:dyDescent="0.35">
      <c r="C1256" s="124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ht="18.75" customHeight="1" x14ac:dyDescent="0.35">
      <c r="C1257" s="124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ht="18.75" customHeight="1" x14ac:dyDescent="0.35">
      <c r="C1258" s="124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ht="18.75" customHeight="1" x14ac:dyDescent="0.35">
      <c r="C1259" s="124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ht="18.75" customHeight="1" x14ac:dyDescent="0.35">
      <c r="C1260" s="124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ht="18.75" customHeight="1" x14ac:dyDescent="0.35">
      <c r="C1261" s="124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ht="18.75" customHeight="1" x14ac:dyDescent="0.35">
      <c r="C1262" s="124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ht="18.75" customHeight="1" x14ac:dyDescent="0.35">
      <c r="C1263" s="124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ht="18.75" customHeight="1" x14ac:dyDescent="0.35">
      <c r="C1264" s="124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ht="18.75" customHeight="1" x14ac:dyDescent="0.35">
      <c r="C1265" s="124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ht="18.75" customHeight="1" x14ac:dyDescent="0.35">
      <c r="C1266" s="124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ht="18.75" customHeight="1" x14ac:dyDescent="0.35">
      <c r="C1267" s="124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ht="18.75" customHeight="1" x14ac:dyDescent="0.35">
      <c r="C1268" s="124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ht="18.75" customHeight="1" x14ac:dyDescent="0.35">
      <c r="C1269" s="124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ht="18.75" customHeight="1" x14ac:dyDescent="0.35">
      <c r="C1270" s="124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ht="18.75" customHeight="1" x14ac:dyDescent="0.35">
      <c r="C1271" s="124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ht="18.75" customHeight="1" x14ac:dyDescent="0.35">
      <c r="C1272" s="124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ht="18.75" customHeight="1" x14ac:dyDescent="0.35">
      <c r="C1273" s="124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ht="18.75" customHeight="1" x14ac:dyDescent="0.35">
      <c r="C1274" s="124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ht="18.75" customHeight="1" x14ac:dyDescent="0.35">
      <c r="C1275" s="124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ht="18.75" customHeight="1" x14ac:dyDescent="0.35">
      <c r="C1276" s="124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ht="18.75" customHeight="1" x14ac:dyDescent="0.35">
      <c r="C1277" s="124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ht="18.75" customHeight="1" x14ac:dyDescent="0.35">
      <c r="C1278" s="124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ht="18.75" customHeight="1" x14ac:dyDescent="0.35">
      <c r="C1279" s="124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ht="18.75" customHeight="1" x14ac:dyDescent="0.35">
      <c r="C1280" s="124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ht="18.75" customHeight="1" x14ac:dyDescent="0.35">
      <c r="C1281" s="124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ht="18.75" customHeight="1" x14ac:dyDescent="0.35">
      <c r="C1282" s="124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ht="18.75" customHeight="1" x14ac:dyDescent="0.35">
      <c r="C1283" s="124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ht="18.75" customHeight="1" x14ac:dyDescent="0.35">
      <c r="C1284" s="124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ht="18.75" customHeight="1" x14ac:dyDescent="0.35">
      <c r="C1285" s="124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ht="18.75" customHeight="1" x14ac:dyDescent="0.35">
      <c r="C1286" s="124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ht="18.75" customHeight="1" x14ac:dyDescent="0.35">
      <c r="C1287" s="124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ht="18.75" customHeight="1" x14ac:dyDescent="0.35">
      <c r="C1288" s="124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ht="18.75" customHeight="1" x14ac:dyDescent="0.35">
      <c r="C1289" s="124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ht="18.75" customHeight="1" x14ac:dyDescent="0.35">
      <c r="C1290" s="124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ht="18.75" customHeight="1" x14ac:dyDescent="0.35">
      <c r="C1291" s="124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ht="18.75" customHeight="1" x14ac:dyDescent="0.35">
      <c r="C1292" s="124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ht="18.75" customHeight="1" x14ac:dyDescent="0.35">
      <c r="C1293" s="124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ht="18.75" customHeight="1" x14ac:dyDescent="0.35">
      <c r="C1294" s="124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ht="18.75" customHeight="1" x14ac:dyDescent="0.35">
      <c r="C1295" s="124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ht="18.75" customHeight="1" x14ac:dyDescent="0.35">
      <c r="C1296" s="124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ht="18.75" customHeight="1" x14ac:dyDescent="0.35">
      <c r="C1297" s="124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ht="18.75" customHeight="1" x14ac:dyDescent="0.35">
      <c r="C1298" s="124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ht="18.75" customHeight="1" x14ac:dyDescent="0.35">
      <c r="C1299" s="124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ht="18.75" customHeight="1" x14ac:dyDescent="0.35">
      <c r="C1300" s="124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ht="18.75" customHeight="1" x14ac:dyDescent="0.35">
      <c r="C1301" s="124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ht="18.75" customHeight="1" x14ac:dyDescent="0.35">
      <c r="C1302" s="124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ht="18.75" customHeight="1" x14ac:dyDescent="0.35">
      <c r="C1303" s="124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ht="18.75" customHeight="1" x14ac:dyDescent="0.35">
      <c r="C1304" s="124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ht="18.75" customHeight="1" x14ac:dyDescent="0.35">
      <c r="C1305" s="124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ht="18.75" customHeight="1" x14ac:dyDescent="0.35">
      <c r="C1306" s="124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ht="18.75" customHeight="1" x14ac:dyDescent="0.35">
      <c r="C1307" s="124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ht="18.75" customHeight="1" x14ac:dyDescent="0.35">
      <c r="C1308" s="124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ht="18.75" customHeight="1" x14ac:dyDescent="0.35">
      <c r="C1309" s="124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ht="18.75" customHeight="1" x14ac:dyDescent="0.35">
      <c r="C1310" s="124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ht="18.75" customHeight="1" x14ac:dyDescent="0.35">
      <c r="C1311" s="124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ht="18.75" customHeight="1" x14ac:dyDescent="0.35">
      <c r="C1312" s="124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ht="18.75" customHeight="1" x14ac:dyDescent="0.35">
      <c r="C1313" s="124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ht="18.75" customHeight="1" x14ac:dyDescent="0.35">
      <c r="C1314" s="124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ht="18.75" customHeight="1" x14ac:dyDescent="0.35">
      <c r="C1315" s="124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ht="18.75" customHeight="1" x14ac:dyDescent="0.35">
      <c r="C1316" s="124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ht="18.75" customHeight="1" x14ac:dyDescent="0.35">
      <c r="C1317" s="124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ht="18.75" customHeight="1" x14ac:dyDescent="0.35">
      <c r="C1318" s="124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ht="18.75" customHeight="1" x14ac:dyDescent="0.35">
      <c r="C1319" s="124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ht="18.75" customHeight="1" x14ac:dyDescent="0.35">
      <c r="C1320" s="124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ht="18.75" customHeight="1" x14ac:dyDescent="0.35">
      <c r="C1321" s="124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ht="18.75" customHeight="1" x14ac:dyDescent="0.35">
      <c r="C1322" s="124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ht="18.75" customHeight="1" x14ac:dyDescent="0.35">
      <c r="C1323" s="124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ht="18.75" customHeight="1" x14ac:dyDescent="0.35">
      <c r="C1324" s="124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ht="18.75" customHeight="1" x14ac:dyDescent="0.35">
      <c r="C1325" s="124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ht="18.75" customHeight="1" x14ac:dyDescent="0.35">
      <c r="C1326" s="124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ht="18.75" customHeight="1" x14ac:dyDescent="0.35">
      <c r="C1327" s="124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ht="18.75" customHeight="1" x14ac:dyDescent="0.35">
      <c r="C1328" s="124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ht="18.75" customHeight="1" x14ac:dyDescent="0.35">
      <c r="C1329" s="124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ht="18.75" customHeight="1" x14ac:dyDescent="0.35">
      <c r="C1330" s="124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ht="18.75" customHeight="1" x14ac:dyDescent="0.35">
      <c r="C1331" s="124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ht="18.75" customHeight="1" x14ac:dyDescent="0.35">
      <c r="C1332" s="124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ht="18.75" customHeight="1" x14ac:dyDescent="0.35">
      <c r="C1333" s="124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ht="18.75" customHeight="1" x14ac:dyDescent="0.35">
      <c r="C1334" s="124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ht="18.75" customHeight="1" x14ac:dyDescent="0.35">
      <c r="C1335" s="124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ht="18.75" customHeight="1" x14ac:dyDescent="0.35">
      <c r="C1336" s="124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ht="18.75" customHeight="1" x14ac:dyDescent="0.35">
      <c r="C1337" s="124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ht="18.75" customHeight="1" x14ac:dyDescent="0.35">
      <c r="C1338" s="124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ht="18.75" customHeight="1" x14ac:dyDescent="0.35">
      <c r="C1339" s="124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ht="18.75" customHeight="1" x14ac:dyDescent="0.35">
      <c r="C1340" s="124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ht="18.75" customHeight="1" x14ac:dyDescent="0.35">
      <c r="C1341" s="124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ht="18.75" customHeight="1" x14ac:dyDescent="0.35">
      <c r="C1342" s="124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ht="18.75" customHeight="1" x14ac:dyDescent="0.35">
      <c r="C1343" s="124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ht="18.75" customHeight="1" x14ac:dyDescent="0.35">
      <c r="C1344" s="124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ht="18.75" customHeight="1" x14ac:dyDescent="0.35">
      <c r="C1345" s="124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ht="18.75" customHeight="1" x14ac:dyDescent="0.35">
      <c r="C1346" s="124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ht="18.75" customHeight="1" x14ac:dyDescent="0.35">
      <c r="C1347" s="124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ht="18.75" customHeight="1" x14ac:dyDescent="0.35">
      <c r="C1348" s="124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ht="18.75" customHeight="1" x14ac:dyDescent="0.35">
      <c r="C1349" s="124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ht="18.75" customHeight="1" x14ac:dyDescent="0.35">
      <c r="C1350" s="124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ht="18.75" customHeight="1" x14ac:dyDescent="0.35">
      <c r="C1351" s="124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ht="18.75" customHeight="1" x14ac:dyDescent="0.35">
      <c r="C1352" s="124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ht="18.75" customHeight="1" x14ac:dyDescent="0.35">
      <c r="C1353" s="124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ht="18.75" customHeight="1" x14ac:dyDescent="0.35">
      <c r="C1354" s="124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ht="18.75" customHeight="1" x14ac:dyDescent="0.35">
      <c r="C1355" s="124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ht="18.75" customHeight="1" x14ac:dyDescent="0.35">
      <c r="C1356" s="124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ht="18.75" customHeight="1" x14ac:dyDescent="0.35">
      <c r="C1357" s="124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ht="18.75" customHeight="1" x14ac:dyDescent="0.35">
      <c r="C1358" s="124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ht="18.75" customHeight="1" x14ac:dyDescent="0.35">
      <c r="C1359" s="124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ht="18.75" customHeight="1" x14ac:dyDescent="0.35">
      <c r="C1360" s="124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ht="18.75" customHeight="1" x14ac:dyDescent="0.35">
      <c r="C1361" s="124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ht="18.75" customHeight="1" x14ac:dyDescent="0.35">
      <c r="C1362" s="124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ht="18.75" customHeight="1" x14ac:dyDescent="0.35">
      <c r="C1363" s="124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ht="18.75" customHeight="1" x14ac:dyDescent="0.35">
      <c r="C1364" s="124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ht="18.75" customHeight="1" x14ac:dyDescent="0.35">
      <c r="C1365" s="124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ht="18.75" customHeight="1" x14ac:dyDescent="0.35">
      <c r="C1366" s="124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ht="18.75" customHeight="1" x14ac:dyDescent="0.35">
      <c r="C1367" s="124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ht="18.75" customHeight="1" x14ac:dyDescent="0.35">
      <c r="C1368" s="124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ht="18.75" customHeight="1" x14ac:dyDescent="0.35">
      <c r="C1369" s="124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ht="18.75" customHeight="1" x14ac:dyDescent="0.35">
      <c r="C1370" s="124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ht="18.75" customHeight="1" x14ac:dyDescent="0.35">
      <c r="C1371" s="124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ht="18.75" customHeight="1" x14ac:dyDescent="0.35">
      <c r="C1372" s="124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ht="18.75" customHeight="1" x14ac:dyDescent="0.35">
      <c r="C1373" s="124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ht="18.75" customHeight="1" x14ac:dyDescent="0.35">
      <c r="C1374" s="124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ht="18.75" customHeight="1" x14ac:dyDescent="0.35">
      <c r="C1375" s="124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ht="18.75" customHeight="1" x14ac:dyDescent="0.35">
      <c r="C1376" s="124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ht="18.75" customHeight="1" x14ac:dyDescent="0.35">
      <c r="C1377" s="124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ht="18.75" customHeight="1" x14ac:dyDescent="0.35">
      <c r="C1378" s="124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ht="18.75" customHeight="1" x14ac:dyDescent="0.35">
      <c r="C1379" s="124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ht="18.75" customHeight="1" x14ac:dyDescent="0.35">
      <c r="C1380" s="124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ht="18.75" customHeight="1" x14ac:dyDescent="0.35">
      <c r="C1381" s="124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ht="18.75" customHeight="1" x14ac:dyDescent="0.35">
      <c r="C1382" s="124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ht="18.75" customHeight="1" x14ac:dyDescent="0.35">
      <c r="C1383" s="124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ht="18.75" customHeight="1" x14ac:dyDescent="0.35">
      <c r="C1384" s="124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ht="18.75" customHeight="1" x14ac:dyDescent="0.35">
      <c r="C1385" s="124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ht="18.75" customHeight="1" x14ac:dyDescent="0.35">
      <c r="C1386" s="124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ht="18.75" customHeight="1" x14ac:dyDescent="0.35">
      <c r="C1387" s="124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ht="18.75" customHeight="1" x14ac:dyDescent="0.35">
      <c r="C1388" s="124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ht="18.75" customHeight="1" x14ac:dyDescent="0.35">
      <c r="C1389" s="124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ht="18.75" customHeight="1" x14ac:dyDescent="0.35">
      <c r="C1390" s="124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ht="18.75" customHeight="1" x14ac:dyDescent="0.35">
      <c r="C1391" s="124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ht="18.75" customHeight="1" x14ac:dyDescent="0.35">
      <c r="C1392" s="124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ht="18.75" customHeight="1" x14ac:dyDescent="0.35">
      <c r="C1393" s="124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ht="18.75" customHeight="1" x14ac:dyDescent="0.35">
      <c r="C1394" s="124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ht="18.75" customHeight="1" x14ac:dyDescent="0.35">
      <c r="C1395" s="124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ht="18.75" customHeight="1" x14ac:dyDescent="0.35">
      <c r="C1396" s="124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ht="18.75" customHeight="1" x14ac:dyDescent="0.35">
      <c r="C1397" s="124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ht="18.75" customHeight="1" x14ac:dyDescent="0.35">
      <c r="C1398" s="124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ht="18.75" customHeight="1" x14ac:dyDescent="0.35">
      <c r="C1399" s="124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ht="18.75" customHeight="1" x14ac:dyDescent="0.35">
      <c r="C1400" s="124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ht="18.75" customHeight="1" x14ac:dyDescent="0.35">
      <c r="C1401" s="124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ht="18.75" customHeight="1" x14ac:dyDescent="0.35">
      <c r="C1402" s="124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ht="18.75" customHeight="1" x14ac:dyDescent="0.35">
      <c r="C1403" s="124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ht="18.75" customHeight="1" x14ac:dyDescent="0.35">
      <c r="C1404" s="124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ht="18.75" customHeight="1" x14ac:dyDescent="0.35">
      <c r="C1405" s="124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ht="18.75" customHeight="1" x14ac:dyDescent="0.35">
      <c r="C1406" s="124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ht="18.75" customHeight="1" x14ac:dyDescent="0.35">
      <c r="C1407" s="124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ht="18.75" customHeight="1" x14ac:dyDescent="0.35">
      <c r="C1408" s="124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ht="18.75" customHeight="1" x14ac:dyDescent="0.35">
      <c r="C1409" s="124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ht="18.75" customHeight="1" x14ac:dyDescent="0.35">
      <c r="C1410" s="124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ht="18.75" customHeight="1" x14ac:dyDescent="0.35">
      <c r="C1411" s="124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ht="18.75" customHeight="1" x14ac:dyDescent="0.35">
      <c r="C1412" s="124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ht="18.75" customHeight="1" x14ac:dyDescent="0.35">
      <c r="C1413" s="124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ht="18.75" customHeight="1" x14ac:dyDescent="0.35">
      <c r="C1414" s="124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ht="18.75" customHeight="1" x14ac:dyDescent="0.35">
      <c r="C1415" s="124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ht="18.75" customHeight="1" x14ac:dyDescent="0.35">
      <c r="C1416" s="124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ht="18.75" customHeight="1" x14ac:dyDescent="0.35">
      <c r="C1417" s="124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ht="18.75" customHeight="1" x14ac:dyDescent="0.35">
      <c r="C1418" s="124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ht="18.75" customHeight="1" x14ac:dyDescent="0.35">
      <c r="C1419" s="124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ht="18.75" customHeight="1" x14ac:dyDescent="0.35">
      <c r="C1420" s="124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ht="18.75" customHeight="1" x14ac:dyDescent="0.35">
      <c r="C1421" s="124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ht="18.75" customHeight="1" x14ac:dyDescent="0.35">
      <c r="C1422" s="124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ht="18.75" customHeight="1" x14ac:dyDescent="0.35">
      <c r="C1423" s="124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ht="18.75" customHeight="1" x14ac:dyDescent="0.35">
      <c r="C1424" s="124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ht="18.75" customHeight="1" x14ac:dyDescent="0.35">
      <c r="C1425" s="124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ht="18.75" customHeight="1" x14ac:dyDescent="0.35">
      <c r="C1426" s="124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ht="18.75" customHeight="1" x14ac:dyDescent="0.35">
      <c r="C1427" s="124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ht="18.75" customHeight="1" x14ac:dyDescent="0.35">
      <c r="C1428" s="124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ht="18.75" customHeight="1" x14ac:dyDescent="0.35">
      <c r="C1429" s="124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ht="18.75" customHeight="1" x14ac:dyDescent="0.35">
      <c r="C1430" s="124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ht="18.75" customHeight="1" x14ac:dyDescent="0.35">
      <c r="C1431" s="124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ht="18.75" customHeight="1" x14ac:dyDescent="0.35">
      <c r="C1432" s="124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ht="18.75" customHeight="1" x14ac:dyDescent="0.35">
      <c r="C1433" s="124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ht="18.75" customHeight="1" x14ac:dyDescent="0.35">
      <c r="C1434" s="124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ht="18.75" customHeight="1" x14ac:dyDescent="0.35">
      <c r="C1435" s="124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ht="18.75" customHeight="1" x14ac:dyDescent="0.35">
      <c r="C1436" s="124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ht="18.75" customHeight="1" x14ac:dyDescent="0.35">
      <c r="C1437" s="124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ht="18.75" customHeight="1" x14ac:dyDescent="0.35">
      <c r="C1438" s="124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ht="18.75" customHeight="1" x14ac:dyDescent="0.35">
      <c r="C1439" s="124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ht="18.75" customHeight="1" x14ac:dyDescent="0.35">
      <c r="C1440" s="124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ht="18.75" customHeight="1" x14ac:dyDescent="0.35">
      <c r="C1441" s="124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ht="18.75" customHeight="1" x14ac:dyDescent="0.35">
      <c r="C1442" s="124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ht="18.75" customHeight="1" x14ac:dyDescent="0.35">
      <c r="C1443" s="124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ht="18.75" customHeight="1" x14ac:dyDescent="0.35">
      <c r="C1444" s="124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ht="18.75" customHeight="1" x14ac:dyDescent="0.35">
      <c r="C1445" s="124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ht="18.75" customHeight="1" x14ac:dyDescent="0.35">
      <c r="C1446" s="124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ht="18.75" customHeight="1" x14ac:dyDescent="0.35">
      <c r="C1447" s="124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ht="18.75" customHeight="1" x14ac:dyDescent="0.35">
      <c r="C1448" s="124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ht="18.75" customHeight="1" x14ac:dyDescent="0.35">
      <c r="C1449" s="124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ht="18.75" customHeight="1" x14ac:dyDescent="0.35">
      <c r="C1450" s="124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ht="18.75" customHeight="1" x14ac:dyDescent="0.35">
      <c r="C1451" s="124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ht="18.75" customHeight="1" x14ac:dyDescent="0.35">
      <c r="C1452" s="124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ht="18.75" customHeight="1" x14ac:dyDescent="0.35">
      <c r="C1453" s="124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ht="18.75" customHeight="1" x14ac:dyDescent="0.35">
      <c r="C1454" s="124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ht="18.75" customHeight="1" x14ac:dyDescent="0.35">
      <c r="C1455" s="124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ht="18.75" customHeight="1" x14ac:dyDescent="0.35">
      <c r="C1456" s="124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ht="18.75" customHeight="1" x14ac:dyDescent="0.35">
      <c r="C1457" s="124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ht="18.75" customHeight="1" x14ac:dyDescent="0.35">
      <c r="C1458" s="124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ht="18.75" customHeight="1" x14ac:dyDescent="0.35">
      <c r="C1459" s="124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ht="18.75" customHeight="1" x14ac:dyDescent="0.35">
      <c r="C1460" s="124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ht="18.75" customHeight="1" x14ac:dyDescent="0.35">
      <c r="C1461" s="124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ht="18.75" customHeight="1" x14ac:dyDescent="0.35">
      <c r="C1462" s="124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ht="18.75" customHeight="1" x14ac:dyDescent="0.35">
      <c r="C1463" s="124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ht="18.75" customHeight="1" x14ac:dyDescent="0.35">
      <c r="C1464" s="124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ht="18.75" customHeight="1" x14ac:dyDescent="0.35">
      <c r="C1465" s="124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ht="18.75" customHeight="1" x14ac:dyDescent="0.35">
      <c r="C1466" s="124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ht="18.75" customHeight="1" x14ac:dyDescent="0.35">
      <c r="C1467" s="124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ht="18.75" customHeight="1" x14ac:dyDescent="0.35">
      <c r="C1468" s="124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ht="18.75" customHeight="1" x14ac:dyDescent="0.35">
      <c r="C1469" s="124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ht="18.75" customHeight="1" x14ac:dyDescent="0.35">
      <c r="C1470" s="124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ht="18.75" customHeight="1" x14ac:dyDescent="0.35">
      <c r="C1471" s="124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ht="18.75" customHeight="1" x14ac:dyDescent="0.35">
      <c r="C1472" s="124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ht="18.75" customHeight="1" x14ac:dyDescent="0.35">
      <c r="C1473" s="124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ht="18.75" customHeight="1" x14ac:dyDescent="0.35">
      <c r="C1474" s="124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ht="18.75" customHeight="1" x14ac:dyDescent="0.35">
      <c r="C1475" s="124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ht="18.75" customHeight="1" x14ac:dyDescent="0.35">
      <c r="C1476" s="124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ht="18.75" customHeight="1" x14ac:dyDescent="0.35">
      <c r="C1477" s="124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ht="18.75" customHeight="1" x14ac:dyDescent="0.35">
      <c r="C1478" s="124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ht="18.75" customHeight="1" x14ac:dyDescent="0.35">
      <c r="C1479" s="124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ht="18.75" customHeight="1" x14ac:dyDescent="0.35">
      <c r="C1480" s="124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ht="18.75" customHeight="1" x14ac:dyDescent="0.35">
      <c r="C1481" s="124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ht="18.75" customHeight="1" x14ac:dyDescent="0.35">
      <c r="C1482" s="124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ht="18.75" customHeight="1" x14ac:dyDescent="0.35">
      <c r="C1483" s="124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ht="18.75" customHeight="1" x14ac:dyDescent="0.35">
      <c r="C1484" s="124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ht="18.75" customHeight="1" x14ac:dyDescent="0.35">
      <c r="C1485" s="124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ht="18.75" customHeight="1" x14ac:dyDescent="0.35">
      <c r="C1486" s="124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ht="18.75" customHeight="1" x14ac:dyDescent="0.35">
      <c r="C1487" s="124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ht="18.75" customHeight="1" x14ac:dyDescent="0.35">
      <c r="C1488" s="124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ht="18.75" customHeight="1" x14ac:dyDescent="0.35">
      <c r="C1489" s="124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ht="18.75" customHeight="1" x14ac:dyDescent="0.35">
      <c r="C1490" s="124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ht="18.75" customHeight="1" x14ac:dyDescent="0.35">
      <c r="C1491" s="124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ht="18.75" customHeight="1" x14ac:dyDescent="0.35">
      <c r="C1492" s="124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ht="18.75" customHeight="1" x14ac:dyDescent="0.35">
      <c r="C1493" s="124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ht="18.75" customHeight="1" x14ac:dyDescent="0.35">
      <c r="C1494" s="124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ht="18.75" customHeight="1" x14ac:dyDescent="0.35">
      <c r="C1495" s="124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ht="18.75" customHeight="1" x14ac:dyDescent="0.35">
      <c r="C1496" s="124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ht="18.75" customHeight="1" x14ac:dyDescent="0.35">
      <c r="C1497" s="124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ht="18.75" customHeight="1" x14ac:dyDescent="0.35">
      <c r="C1498" s="124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ht="18.75" customHeight="1" x14ac:dyDescent="0.35">
      <c r="C1499" s="124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ht="18.75" customHeight="1" x14ac:dyDescent="0.35">
      <c r="C1500" s="124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ht="18.75" customHeight="1" x14ac:dyDescent="0.35">
      <c r="C1501" s="124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ht="18.75" customHeight="1" x14ac:dyDescent="0.35">
      <c r="C1502" s="124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ht="18.75" customHeight="1" x14ac:dyDescent="0.35">
      <c r="C1503" s="124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ht="18.75" customHeight="1" x14ac:dyDescent="0.35">
      <c r="C1504" s="124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ht="18.75" customHeight="1" x14ac:dyDescent="0.35">
      <c r="C1505" s="124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ht="18.75" customHeight="1" x14ac:dyDescent="0.35">
      <c r="C1506" s="124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ht="18.75" customHeight="1" x14ac:dyDescent="0.35">
      <c r="C1507" s="124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ht="18.75" customHeight="1" x14ac:dyDescent="0.35">
      <c r="C1508" s="124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ht="18.75" customHeight="1" x14ac:dyDescent="0.35">
      <c r="C1509" s="124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ht="18.75" customHeight="1" x14ac:dyDescent="0.35">
      <c r="C1510" s="124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ht="18.75" customHeight="1" x14ac:dyDescent="0.35">
      <c r="C1511" s="124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ht="18.75" customHeight="1" x14ac:dyDescent="0.35">
      <c r="C1512" s="124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ht="18.75" customHeight="1" x14ac:dyDescent="0.35">
      <c r="C1513" s="124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ht="18.75" customHeight="1" x14ac:dyDescent="0.35">
      <c r="C1514" s="124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ht="18.75" customHeight="1" x14ac:dyDescent="0.35">
      <c r="C1515" s="124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ht="18.75" customHeight="1" x14ac:dyDescent="0.35">
      <c r="C1516" s="124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ht="18.75" customHeight="1" x14ac:dyDescent="0.35">
      <c r="C1517" s="124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ht="18.75" customHeight="1" x14ac:dyDescent="0.35">
      <c r="C1518" s="124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ht="18.75" customHeight="1" x14ac:dyDescent="0.35">
      <c r="C1519" s="124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ht="18.75" customHeight="1" x14ac:dyDescent="0.35">
      <c r="C1520" s="124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ht="18.75" customHeight="1" x14ac:dyDescent="0.35">
      <c r="C1521" s="124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ht="18.75" customHeight="1" x14ac:dyDescent="0.35">
      <c r="C1522" s="124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ht="18.75" customHeight="1" x14ac:dyDescent="0.35">
      <c r="C1523" s="124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ht="18.75" customHeight="1" x14ac:dyDescent="0.35">
      <c r="C1524" s="124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ht="18.75" customHeight="1" x14ac:dyDescent="0.35">
      <c r="C1525" s="124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ht="18.75" customHeight="1" x14ac:dyDescent="0.35">
      <c r="C1526" s="124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ht="18.75" customHeight="1" x14ac:dyDescent="0.35">
      <c r="C1527" s="124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ht="18.75" customHeight="1" x14ac:dyDescent="0.35">
      <c r="C1528" s="124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ht="18.75" customHeight="1" x14ac:dyDescent="0.35">
      <c r="C1529" s="124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ht="18.75" customHeight="1" x14ac:dyDescent="0.35">
      <c r="C1530" s="124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ht="18.75" customHeight="1" x14ac:dyDescent="0.35">
      <c r="C1531" s="124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ht="18.75" customHeight="1" x14ac:dyDescent="0.35">
      <c r="C1532" s="124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ht="18.75" customHeight="1" x14ac:dyDescent="0.35">
      <c r="C1533" s="124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ht="18.75" customHeight="1" x14ac:dyDescent="0.35">
      <c r="C1534" s="124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ht="18.75" customHeight="1" x14ac:dyDescent="0.35">
      <c r="C1535" s="124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ht="18.75" customHeight="1" x14ac:dyDescent="0.35">
      <c r="C1536" s="124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ht="18.75" customHeight="1" x14ac:dyDescent="0.35">
      <c r="C1537" s="124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ht="18.75" customHeight="1" x14ac:dyDescent="0.35">
      <c r="C1538" s="124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ht="18.75" customHeight="1" x14ac:dyDescent="0.35">
      <c r="C1539" s="124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ht="18.75" customHeight="1" x14ac:dyDescent="0.35">
      <c r="C1540" s="124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ht="18.75" customHeight="1" x14ac:dyDescent="0.35">
      <c r="C1541" s="124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ht="18.75" customHeight="1" x14ac:dyDescent="0.35">
      <c r="C1542" s="124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ht="18.75" customHeight="1" x14ac:dyDescent="0.35">
      <c r="C1543" s="124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ht="18.75" customHeight="1" x14ac:dyDescent="0.35">
      <c r="C1544" s="124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ht="18.75" customHeight="1" x14ac:dyDescent="0.35">
      <c r="C1545" s="124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ht="18.75" customHeight="1" x14ac:dyDescent="0.35">
      <c r="C1546" s="124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ht="18.75" customHeight="1" x14ac:dyDescent="0.35">
      <c r="C1547" s="124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ht="18.75" customHeight="1" x14ac:dyDescent="0.35">
      <c r="C1548" s="124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ht="18.75" customHeight="1" x14ac:dyDescent="0.35">
      <c r="C1549" s="124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ht="18.75" customHeight="1" x14ac:dyDescent="0.35">
      <c r="C1550" s="124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ht="18.75" customHeight="1" x14ac:dyDescent="0.35">
      <c r="C1551" s="124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ht="18.75" customHeight="1" x14ac:dyDescent="0.35">
      <c r="C1552" s="124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ht="18.75" customHeight="1" x14ac:dyDescent="0.35">
      <c r="C1553" s="124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ht="18.75" customHeight="1" x14ac:dyDescent="0.35">
      <c r="C1554" s="124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ht="18.75" customHeight="1" x14ac:dyDescent="0.35">
      <c r="C1555" s="124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ht="18.75" customHeight="1" x14ac:dyDescent="0.35">
      <c r="C1556" s="124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ht="18.75" customHeight="1" x14ac:dyDescent="0.35">
      <c r="C1557" s="124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ht="18.75" customHeight="1" x14ac:dyDescent="0.35">
      <c r="C1558" s="124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ht="18.75" customHeight="1" x14ac:dyDescent="0.35">
      <c r="C1559" s="124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ht="18.75" customHeight="1" x14ac:dyDescent="0.35">
      <c r="C1560" s="124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ht="18.75" customHeight="1" x14ac:dyDescent="0.35">
      <c r="C1561" s="124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ht="18.75" customHeight="1" x14ac:dyDescent="0.35">
      <c r="C1562" s="124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ht="18.75" customHeight="1" x14ac:dyDescent="0.35">
      <c r="C1563" s="124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ht="18.75" customHeight="1" x14ac:dyDescent="0.35">
      <c r="C1564" s="124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ht="18.75" customHeight="1" x14ac:dyDescent="0.35">
      <c r="C1565" s="124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ht="18.75" customHeight="1" x14ac:dyDescent="0.35">
      <c r="C1566" s="124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ht="18.75" customHeight="1" x14ac:dyDescent="0.35">
      <c r="C1567" s="124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ht="18.75" customHeight="1" x14ac:dyDescent="0.35">
      <c r="C1568" s="124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ht="18.75" customHeight="1" x14ac:dyDescent="0.35">
      <c r="C1569" s="124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ht="18.75" customHeight="1" x14ac:dyDescent="0.35">
      <c r="C1570" s="124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ht="18.75" customHeight="1" x14ac:dyDescent="0.35">
      <c r="C1571" s="124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ht="18.75" customHeight="1" x14ac:dyDescent="0.35">
      <c r="C1572" s="124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ht="18.75" customHeight="1" x14ac:dyDescent="0.35">
      <c r="C1573" s="124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ht="18.75" customHeight="1" x14ac:dyDescent="0.35">
      <c r="C1574" s="124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ht="18.75" customHeight="1" x14ac:dyDescent="0.35">
      <c r="C1575" s="124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ht="18.75" customHeight="1" x14ac:dyDescent="0.35">
      <c r="C1576" s="124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ht="18.75" customHeight="1" x14ac:dyDescent="0.35">
      <c r="C1577" s="124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ht="18.75" customHeight="1" x14ac:dyDescent="0.35">
      <c r="C1578" s="124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ht="18.75" customHeight="1" x14ac:dyDescent="0.35">
      <c r="C1579" s="124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ht="18.75" customHeight="1" x14ac:dyDescent="0.35">
      <c r="C1580" s="124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ht="18.75" customHeight="1" x14ac:dyDescent="0.35">
      <c r="C1581" s="124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ht="18.75" customHeight="1" x14ac:dyDescent="0.35">
      <c r="C1582" s="124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ht="18.75" customHeight="1" x14ac:dyDescent="0.35">
      <c r="C1583" s="124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ht="18.75" customHeight="1" x14ac:dyDescent="0.35">
      <c r="C1584" s="124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ht="18.75" customHeight="1" x14ac:dyDescent="0.35">
      <c r="C1585" s="124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ht="18.75" customHeight="1" x14ac:dyDescent="0.35">
      <c r="C1586" s="124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ht="18.75" customHeight="1" x14ac:dyDescent="0.35">
      <c r="C1587" s="124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ht="18.75" customHeight="1" x14ac:dyDescent="0.35">
      <c r="C1588" s="124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ht="18.75" customHeight="1" x14ac:dyDescent="0.35">
      <c r="C1589" s="124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ht="18.75" customHeight="1" x14ac:dyDescent="0.35">
      <c r="C1590" s="124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ht="18.75" customHeight="1" x14ac:dyDescent="0.35">
      <c r="C1591" s="124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ht="18.75" customHeight="1" x14ac:dyDescent="0.35">
      <c r="C1592" s="124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ht="18.75" customHeight="1" x14ac:dyDescent="0.35">
      <c r="C1593" s="124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ht="18.75" customHeight="1" x14ac:dyDescent="0.35">
      <c r="C1594" s="124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ht="18.75" customHeight="1" x14ac:dyDescent="0.35">
      <c r="C1595" s="124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ht="18.75" customHeight="1" x14ac:dyDescent="0.35">
      <c r="C1596" s="124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ht="18.75" customHeight="1" x14ac:dyDescent="0.35">
      <c r="C1597" s="124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ht="18.75" customHeight="1" x14ac:dyDescent="0.35">
      <c r="C1598" s="124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ht="18.75" customHeight="1" x14ac:dyDescent="0.35">
      <c r="C1599" s="124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ht="18.75" customHeight="1" x14ac:dyDescent="0.35">
      <c r="C1600" s="124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ht="18.75" customHeight="1" x14ac:dyDescent="0.35">
      <c r="C1601" s="124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ht="18.75" customHeight="1" x14ac:dyDescent="0.35">
      <c r="C1602" s="124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ht="18.75" customHeight="1" x14ac:dyDescent="0.35">
      <c r="C1603" s="124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ht="18.75" customHeight="1" x14ac:dyDescent="0.35">
      <c r="C1604" s="124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ht="18.75" customHeight="1" x14ac:dyDescent="0.35">
      <c r="C1605" s="124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ht="18.75" customHeight="1" x14ac:dyDescent="0.35">
      <c r="C1606" s="124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ht="18.75" customHeight="1" x14ac:dyDescent="0.35">
      <c r="C1607" s="124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ht="18.75" customHeight="1" x14ac:dyDescent="0.35">
      <c r="C1608" s="124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ht="18.75" customHeight="1" x14ac:dyDescent="0.35">
      <c r="C1609" s="124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ht="18.75" customHeight="1" x14ac:dyDescent="0.35">
      <c r="C1610" s="124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ht="18.75" customHeight="1" x14ac:dyDescent="0.35">
      <c r="C1611" s="124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ht="18.75" customHeight="1" x14ac:dyDescent="0.35">
      <c r="C1612" s="124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ht="18.75" customHeight="1" x14ac:dyDescent="0.35">
      <c r="C1613" s="124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ht="18.75" customHeight="1" x14ac:dyDescent="0.35">
      <c r="C1614" s="124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ht="18.75" customHeight="1" x14ac:dyDescent="0.35">
      <c r="C1615" s="124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ht="18.75" customHeight="1" x14ac:dyDescent="0.35">
      <c r="C1616" s="124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ht="18.75" customHeight="1" x14ac:dyDescent="0.35">
      <c r="C1617" s="124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ht="18.75" customHeight="1" x14ac:dyDescent="0.35">
      <c r="C1618" s="124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ht="18.75" customHeight="1" x14ac:dyDescent="0.35">
      <c r="C1619" s="124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ht="18.75" customHeight="1" x14ac:dyDescent="0.35">
      <c r="C1620" s="124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ht="18.75" customHeight="1" x14ac:dyDescent="0.35">
      <c r="C1621" s="124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ht="18.75" customHeight="1" x14ac:dyDescent="0.35">
      <c r="C1622" s="124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ht="18.75" customHeight="1" x14ac:dyDescent="0.35">
      <c r="C1623" s="124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ht="18.75" customHeight="1" x14ac:dyDescent="0.35">
      <c r="C1624" s="124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ht="18.75" customHeight="1" x14ac:dyDescent="0.35">
      <c r="C1625" s="124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ht="18.75" customHeight="1" x14ac:dyDescent="0.35">
      <c r="C1626" s="124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ht="18.75" customHeight="1" x14ac:dyDescent="0.35">
      <c r="C1627" s="124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ht="18.75" customHeight="1" x14ac:dyDescent="0.35">
      <c r="C1628" s="124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ht="18.75" customHeight="1" x14ac:dyDescent="0.35">
      <c r="C1629" s="124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ht="18.75" customHeight="1" x14ac:dyDescent="0.35">
      <c r="C1630" s="124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ht="18.75" customHeight="1" x14ac:dyDescent="0.35">
      <c r="C1631" s="124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ht="18.75" customHeight="1" x14ac:dyDescent="0.35">
      <c r="C1632" s="124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ht="18.75" customHeight="1" x14ac:dyDescent="0.35">
      <c r="C1633" s="124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ht="18.75" customHeight="1" x14ac:dyDescent="0.35">
      <c r="C1634" s="124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ht="18.75" customHeight="1" x14ac:dyDescent="0.35">
      <c r="C1635" s="124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ht="18.75" customHeight="1" x14ac:dyDescent="0.35">
      <c r="C1636" s="124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ht="18.75" customHeight="1" x14ac:dyDescent="0.35">
      <c r="C1637" s="124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ht="18.75" customHeight="1" x14ac:dyDescent="0.35">
      <c r="C1638" s="124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ht="18.75" customHeight="1" x14ac:dyDescent="0.35">
      <c r="C1639" s="124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ht="18.75" customHeight="1" x14ac:dyDescent="0.35">
      <c r="C1640" s="124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ht="18.75" customHeight="1" x14ac:dyDescent="0.35">
      <c r="C1641" s="124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ht="18.75" customHeight="1" x14ac:dyDescent="0.35">
      <c r="C1642" s="124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ht="18.75" customHeight="1" x14ac:dyDescent="0.35">
      <c r="C1643" s="124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ht="18.75" customHeight="1" x14ac:dyDescent="0.35">
      <c r="C1644" s="124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ht="18.75" customHeight="1" x14ac:dyDescent="0.35">
      <c r="C1645" s="124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ht="18.75" customHeight="1" x14ac:dyDescent="0.35">
      <c r="C1646" s="124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ht="18.75" customHeight="1" x14ac:dyDescent="0.35">
      <c r="C1647" s="124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ht="18.75" customHeight="1" x14ac:dyDescent="0.35">
      <c r="C1648" s="124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ht="18.75" customHeight="1" x14ac:dyDescent="0.35">
      <c r="C1649" s="124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ht="18.75" customHeight="1" x14ac:dyDescent="0.35">
      <c r="C1650" s="124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ht="18.75" customHeight="1" x14ac:dyDescent="0.35">
      <c r="C1651" s="124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ht="18.75" customHeight="1" x14ac:dyDescent="0.35">
      <c r="C1652" s="124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ht="18.75" customHeight="1" x14ac:dyDescent="0.35">
      <c r="C1653" s="124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ht="18.75" customHeight="1" x14ac:dyDescent="0.35">
      <c r="C1654" s="124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ht="18.75" customHeight="1" x14ac:dyDescent="0.35">
      <c r="C1655" s="124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ht="18.75" customHeight="1" x14ac:dyDescent="0.35">
      <c r="C1656" s="124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ht="18.75" customHeight="1" x14ac:dyDescent="0.35">
      <c r="C1657" s="124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ht="18.75" customHeight="1" x14ac:dyDescent="0.35">
      <c r="C1658" s="124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ht="18.75" customHeight="1" x14ac:dyDescent="0.35">
      <c r="C1659" s="124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ht="18.75" customHeight="1" x14ac:dyDescent="0.35">
      <c r="C1660" s="124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ht="18.75" customHeight="1" x14ac:dyDescent="0.35">
      <c r="C1661" s="124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ht="18.75" customHeight="1" x14ac:dyDescent="0.35">
      <c r="C1662" s="124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ht="18.75" customHeight="1" x14ac:dyDescent="0.35">
      <c r="C1663" s="124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ht="18.75" customHeight="1" x14ac:dyDescent="0.35">
      <c r="C1664" s="124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ht="18.75" customHeight="1" x14ac:dyDescent="0.35">
      <c r="C1665" s="124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ht="18.75" customHeight="1" x14ac:dyDescent="0.35">
      <c r="C1666" s="124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ht="18.75" customHeight="1" x14ac:dyDescent="0.35">
      <c r="C1667" s="124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ht="18.75" customHeight="1" x14ac:dyDescent="0.35">
      <c r="C1668" s="124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ht="18.75" customHeight="1" x14ac:dyDescent="0.35">
      <c r="C1669" s="124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ht="18.75" customHeight="1" x14ac:dyDescent="0.35">
      <c r="C1670" s="124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ht="18.75" customHeight="1" x14ac:dyDescent="0.35">
      <c r="C1671" s="124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ht="18.75" customHeight="1" x14ac:dyDescent="0.35">
      <c r="C1672" s="124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ht="18.75" customHeight="1" x14ac:dyDescent="0.35">
      <c r="C1673" s="124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ht="18.75" customHeight="1" x14ac:dyDescent="0.35">
      <c r="C1674" s="124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ht="18.75" customHeight="1" x14ac:dyDescent="0.35">
      <c r="C1675" s="124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ht="18.75" customHeight="1" x14ac:dyDescent="0.35">
      <c r="C1676" s="124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ht="18.75" customHeight="1" x14ac:dyDescent="0.35">
      <c r="C1677" s="124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ht="18.75" customHeight="1" x14ac:dyDescent="0.35">
      <c r="C1678" s="124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ht="18.75" customHeight="1" x14ac:dyDescent="0.35">
      <c r="C1679" s="124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ht="18.75" customHeight="1" x14ac:dyDescent="0.35">
      <c r="C1680" s="124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ht="18.75" customHeight="1" x14ac:dyDescent="0.35">
      <c r="C1681" s="124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ht="18.75" customHeight="1" x14ac:dyDescent="0.35">
      <c r="C1682" s="124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ht="18.75" customHeight="1" x14ac:dyDescent="0.35">
      <c r="C1683" s="124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ht="18.75" customHeight="1" x14ac:dyDescent="0.35">
      <c r="C1684" s="124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ht="18.75" customHeight="1" x14ac:dyDescent="0.35">
      <c r="C1685" s="124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ht="18.75" customHeight="1" x14ac:dyDescent="0.35">
      <c r="C1686" s="124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ht="18.75" customHeight="1" x14ac:dyDescent="0.35">
      <c r="C1687" s="124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ht="18.75" customHeight="1" x14ac:dyDescent="0.35">
      <c r="C1688" s="124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ht="18.75" customHeight="1" x14ac:dyDescent="0.35">
      <c r="C1689" s="124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ht="18.75" customHeight="1" x14ac:dyDescent="0.35">
      <c r="C1690" s="124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ht="18.75" customHeight="1" x14ac:dyDescent="0.35">
      <c r="C1691" s="124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ht="18.75" customHeight="1" x14ac:dyDescent="0.35">
      <c r="C1692" s="124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ht="18.75" customHeight="1" x14ac:dyDescent="0.35">
      <c r="C1693" s="124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ht="18.75" customHeight="1" x14ac:dyDescent="0.35">
      <c r="C1694" s="124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ht="18.75" customHeight="1" x14ac:dyDescent="0.35">
      <c r="C1695" s="124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ht="18.75" customHeight="1" x14ac:dyDescent="0.35">
      <c r="C1696" s="124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ht="18.75" customHeight="1" x14ac:dyDescent="0.35">
      <c r="C1697" s="124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ht="18.75" customHeight="1" x14ac:dyDescent="0.35">
      <c r="C1698" s="124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ht="18.75" customHeight="1" x14ac:dyDescent="0.35">
      <c r="C1699" s="124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ht="18.75" customHeight="1" x14ac:dyDescent="0.35">
      <c r="C1700" s="124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ht="18.75" customHeight="1" x14ac:dyDescent="0.35">
      <c r="C1701" s="124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ht="18.75" customHeight="1" x14ac:dyDescent="0.35">
      <c r="C1702" s="124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ht="18.75" customHeight="1" x14ac:dyDescent="0.35">
      <c r="C1703" s="124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ht="18.75" customHeight="1" x14ac:dyDescent="0.35">
      <c r="C1704" s="124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ht="18.75" customHeight="1" x14ac:dyDescent="0.35">
      <c r="C1705" s="124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ht="18.75" customHeight="1" x14ac:dyDescent="0.35">
      <c r="C1706" s="124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ht="18.75" customHeight="1" x14ac:dyDescent="0.35">
      <c r="C1707" s="124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ht="18.75" customHeight="1" x14ac:dyDescent="0.35">
      <c r="C1708" s="124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ht="18.75" customHeight="1" x14ac:dyDescent="0.35">
      <c r="C1709" s="124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ht="18.75" customHeight="1" x14ac:dyDescent="0.35">
      <c r="C1710" s="124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ht="18.75" customHeight="1" x14ac:dyDescent="0.35">
      <c r="C1711" s="124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ht="18.75" customHeight="1" x14ac:dyDescent="0.35">
      <c r="C1712" s="124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ht="18.75" customHeight="1" x14ac:dyDescent="0.35">
      <c r="C1713" s="124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ht="18.75" customHeight="1" x14ac:dyDescent="0.35">
      <c r="C1714" s="124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ht="18.75" customHeight="1" x14ac:dyDescent="0.35">
      <c r="C1715" s="124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ht="18.75" customHeight="1" x14ac:dyDescent="0.35">
      <c r="C1716" s="124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ht="18.75" customHeight="1" x14ac:dyDescent="0.35">
      <c r="C1717" s="124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ht="18.75" customHeight="1" x14ac:dyDescent="0.35">
      <c r="C1718" s="124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ht="18.75" customHeight="1" x14ac:dyDescent="0.35">
      <c r="C1719" s="124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ht="18.75" customHeight="1" x14ac:dyDescent="0.35">
      <c r="C1720" s="124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ht="18.75" customHeight="1" x14ac:dyDescent="0.35">
      <c r="C1721" s="124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ht="18.75" customHeight="1" x14ac:dyDescent="0.35">
      <c r="C1722" s="124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ht="18.75" customHeight="1" x14ac:dyDescent="0.35">
      <c r="C1723" s="124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ht="18.75" customHeight="1" x14ac:dyDescent="0.35">
      <c r="C1724" s="124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ht="18.75" customHeight="1" x14ac:dyDescent="0.35">
      <c r="C1725" s="124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ht="18.75" customHeight="1" x14ac:dyDescent="0.35">
      <c r="C1726" s="124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ht="18.75" customHeight="1" x14ac:dyDescent="0.35">
      <c r="C1727" s="124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ht="18.75" customHeight="1" x14ac:dyDescent="0.35">
      <c r="C1728" s="124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ht="18.75" customHeight="1" x14ac:dyDescent="0.35">
      <c r="C1729" s="124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ht="18.75" customHeight="1" x14ac:dyDescent="0.35">
      <c r="C1730" s="124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ht="18.75" customHeight="1" x14ac:dyDescent="0.35">
      <c r="C1731" s="124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ht="18.75" customHeight="1" x14ac:dyDescent="0.35">
      <c r="C1732" s="124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ht="18.75" customHeight="1" x14ac:dyDescent="0.35">
      <c r="C1733" s="124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ht="18.75" customHeight="1" x14ac:dyDescent="0.35">
      <c r="C1734" s="124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ht="18.75" customHeight="1" x14ac:dyDescent="0.35">
      <c r="C1735" s="124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ht="18.75" customHeight="1" x14ac:dyDescent="0.35">
      <c r="C1736" s="124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ht="18.75" customHeight="1" x14ac:dyDescent="0.35">
      <c r="C1737" s="124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ht="18.75" customHeight="1" x14ac:dyDescent="0.35">
      <c r="C1738" s="124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ht="18.75" customHeight="1" x14ac:dyDescent="0.35">
      <c r="C1739" s="124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ht="18.75" customHeight="1" x14ac:dyDescent="0.35">
      <c r="C1740" s="124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ht="18.75" customHeight="1" x14ac:dyDescent="0.35">
      <c r="C1741" s="124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ht="18.75" customHeight="1" x14ac:dyDescent="0.35">
      <c r="C1742" s="124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ht="18.75" customHeight="1" x14ac:dyDescent="0.35">
      <c r="C1743" s="124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ht="18.75" customHeight="1" x14ac:dyDescent="0.35">
      <c r="C1744" s="124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ht="18.75" customHeight="1" x14ac:dyDescent="0.35">
      <c r="C1745" s="124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ht="18.75" customHeight="1" x14ac:dyDescent="0.35">
      <c r="C1746" s="124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ht="18.75" customHeight="1" x14ac:dyDescent="0.35">
      <c r="C1747" s="124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ht="18.75" customHeight="1" x14ac:dyDescent="0.35">
      <c r="C1748" s="124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ht="18.75" customHeight="1" x14ac:dyDescent="0.35">
      <c r="C1749" s="124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ht="18.75" customHeight="1" x14ac:dyDescent="0.35">
      <c r="C1750" s="124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ht="18.75" customHeight="1" x14ac:dyDescent="0.35">
      <c r="C1751" s="124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ht="18.75" customHeight="1" x14ac:dyDescent="0.35">
      <c r="C1752" s="124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ht="18.75" customHeight="1" x14ac:dyDescent="0.35">
      <c r="C1753" s="124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ht="18.75" customHeight="1" x14ac:dyDescent="0.35">
      <c r="C1754" s="124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ht="18.75" customHeight="1" x14ac:dyDescent="0.35">
      <c r="C1755" s="124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ht="18.75" customHeight="1" x14ac:dyDescent="0.35">
      <c r="C1756" s="124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ht="18.75" customHeight="1" x14ac:dyDescent="0.35">
      <c r="C1757" s="124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ht="18.75" customHeight="1" x14ac:dyDescent="0.35">
      <c r="C1758" s="124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ht="18.75" customHeight="1" x14ac:dyDescent="0.35">
      <c r="C1759" s="124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ht="18.75" customHeight="1" x14ac:dyDescent="0.35">
      <c r="C1760" s="124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ht="18.75" customHeight="1" x14ac:dyDescent="0.35">
      <c r="C1761" s="124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ht="18.75" customHeight="1" x14ac:dyDescent="0.35">
      <c r="C1762" s="124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ht="18.75" customHeight="1" x14ac:dyDescent="0.35">
      <c r="C1763" s="124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ht="18.75" customHeight="1" x14ac:dyDescent="0.35">
      <c r="C1764" s="124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ht="18.75" customHeight="1" x14ac:dyDescent="0.35">
      <c r="C1765" s="124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ht="18.75" customHeight="1" x14ac:dyDescent="0.35">
      <c r="C1766" s="124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ht="18.75" customHeight="1" x14ac:dyDescent="0.35">
      <c r="C1767" s="124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ht="18.75" customHeight="1" x14ac:dyDescent="0.35">
      <c r="C1768" s="124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ht="18.75" customHeight="1" x14ac:dyDescent="0.35">
      <c r="C1769" s="124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ht="18.75" customHeight="1" x14ac:dyDescent="0.35">
      <c r="C1770" s="124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ht="18.75" customHeight="1" x14ac:dyDescent="0.35">
      <c r="C1771" s="124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ht="18.75" customHeight="1" x14ac:dyDescent="0.35">
      <c r="C1772" s="124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ht="18.75" customHeight="1" x14ac:dyDescent="0.35">
      <c r="C1773" s="124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ht="18.75" customHeight="1" x14ac:dyDescent="0.35">
      <c r="C1774" s="124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ht="18.75" customHeight="1" x14ac:dyDescent="0.35">
      <c r="C1775" s="124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ht="18.75" customHeight="1" x14ac:dyDescent="0.35">
      <c r="C1776" s="124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ht="18.75" customHeight="1" x14ac:dyDescent="0.35">
      <c r="C1777" s="124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ht="18.75" customHeight="1" x14ac:dyDescent="0.35">
      <c r="C1778" s="124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ht="18.75" customHeight="1" x14ac:dyDescent="0.35">
      <c r="C1779" s="124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ht="18.75" customHeight="1" x14ac:dyDescent="0.35">
      <c r="C1780" s="124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ht="18.75" customHeight="1" x14ac:dyDescent="0.35">
      <c r="C1781" s="124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ht="18.75" customHeight="1" x14ac:dyDescent="0.35">
      <c r="C1782" s="124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ht="18.75" customHeight="1" x14ac:dyDescent="0.35">
      <c r="C1783" s="124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ht="18.75" customHeight="1" x14ac:dyDescent="0.35">
      <c r="C1784" s="124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ht="18.75" customHeight="1" x14ac:dyDescent="0.35">
      <c r="C1785" s="124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ht="18.75" customHeight="1" x14ac:dyDescent="0.35">
      <c r="C1786" s="124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ht="18.75" customHeight="1" x14ac:dyDescent="0.35">
      <c r="C1787" s="124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ht="18.75" customHeight="1" x14ac:dyDescent="0.35">
      <c r="C1788" s="124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ht="18.75" customHeight="1" x14ac:dyDescent="0.35">
      <c r="C1789" s="124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ht="18.75" customHeight="1" x14ac:dyDescent="0.35">
      <c r="C1790" s="124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ht="18.75" customHeight="1" x14ac:dyDescent="0.35">
      <c r="C1791" s="124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ht="18.75" customHeight="1" x14ac:dyDescent="0.35">
      <c r="C1792" s="124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ht="18.75" customHeight="1" x14ac:dyDescent="0.35">
      <c r="C1793" s="124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ht="18.75" customHeight="1" x14ac:dyDescent="0.35">
      <c r="C1794" s="124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ht="18.75" customHeight="1" x14ac:dyDescent="0.35">
      <c r="C1795" s="124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ht="18.75" customHeight="1" x14ac:dyDescent="0.35">
      <c r="C1796" s="124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ht="18.75" customHeight="1" x14ac:dyDescent="0.35">
      <c r="C1797" s="124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ht="18.75" customHeight="1" x14ac:dyDescent="0.35">
      <c r="C1798" s="124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ht="18.75" customHeight="1" x14ac:dyDescent="0.35">
      <c r="C1799" s="124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ht="18.75" customHeight="1" x14ac:dyDescent="0.35">
      <c r="C1800" s="124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ht="18.75" customHeight="1" x14ac:dyDescent="0.35">
      <c r="C1801" s="124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ht="18.75" customHeight="1" x14ac:dyDescent="0.35">
      <c r="C1802" s="124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ht="18.75" customHeight="1" x14ac:dyDescent="0.35">
      <c r="C1803" s="124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ht="18.75" customHeight="1" x14ac:dyDescent="0.35">
      <c r="C1804" s="124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ht="18.75" customHeight="1" x14ac:dyDescent="0.35">
      <c r="C1805" s="124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ht="18.75" customHeight="1" x14ac:dyDescent="0.35">
      <c r="C1806" s="124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ht="18.75" customHeight="1" x14ac:dyDescent="0.35">
      <c r="C1807" s="124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ht="18.75" customHeight="1" x14ac:dyDescent="0.35">
      <c r="C1808" s="124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ht="18.75" customHeight="1" x14ac:dyDescent="0.35">
      <c r="C1809" s="124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ht="18.75" customHeight="1" x14ac:dyDescent="0.35">
      <c r="C1810" s="124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ht="18.75" customHeight="1" x14ac:dyDescent="0.35">
      <c r="C1811" s="124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ht="18.75" customHeight="1" x14ac:dyDescent="0.35">
      <c r="C1812" s="124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ht="18.75" customHeight="1" x14ac:dyDescent="0.35">
      <c r="C1813" s="124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ht="18.75" customHeight="1" x14ac:dyDescent="0.35">
      <c r="C1814" s="124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ht="18.75" customHeight="1" x14ac:dyDescent="0.35">
      <c r="C1815" s="124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ht="18.75" customHeight="1" x14ac:dyDescent="0.35">
      <c r="C1816" s="124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ht="18.75" customHeight="1" x14ac:dyDescent="0.35">
      <c r="C1817" s="124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ht="18.75" customHeight="1" x14ac:dyDescent="0.35">
      <c r="C1818" s="124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ht="18.75" customHeight="1" x14ac:dyDescent="0.35">
      <c r="C1819" s="124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ht="18.75" customHeight="1" x14ac:dyDescent="0.35">
      <c r="C1820" s="124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ht="18.75" customHeight="1" x14ac:dyDescent="0.35">
      <c r="C1821" s="124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ht="18.75" customHeight="1" x14ac:dyDescent="0.35">
      <c r="C1822" s="124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ht="18.75" customHeight="1" x14ac:dyDescent="0.35">
      <c r="C1823" s="124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ht="18.75" customHeight="1" x14ac:dyDescent="0.35">
      <c r="C1824" s="124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ht="18.75" customHeight="1" x14ac:dyDescent="0.35">
      <c r="C1825" s="124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ht="18.75" customHeight="1" x14ac:dyDescent="0.35">
      <c r="C1826" s="124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ht="18.75" customHeight="1" x14ac:dyDescent="0.35">
      <c r="C1827" s="124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ht="18.75" customHeight="1" x14ac:dyDescent="0.35">
      <c r="C1828" s="124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ht="18.75" customHeight="1" x14ac:dyDescent="0.35">
      <c r="C1829" s="124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ht="18.75" customHeight="1" x14ac:dyDescent="0.35">
      <c r="C1830" s="124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ht="18.75" customHeight="1" x14ac:dyDescent="0.35">
      <c r="C1831" s="124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ht="18.75" customHeight="1" x14ac:dyDescent="0.35">
      <c r="C1832" s="124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ht="18.75" customHeight="1" x14ac:dyDescent="0.35">
      <c r="C1833" s="124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ht="18.75" customHeight="1" x14ac:dyDescent="0.35">
      <c r="C1834" s="124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ht="18.75" customHeight="1" x14ac:dyDescent="0.35">
      <c r="C1835" s="124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ht="18.75" customHeight="1" x14ac:dyDescent="0.35">
      <c r="C1836" s="124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ht="18.75" customHeight="1" x14ac:dyDescent="0.35">
      <c r="C1837" s="124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ht="18.75" customHeight="1" x14ac:dyDescent="0.35">
      <c r="C1838" s="124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ht="18.75" customHeight="1" x14ac:dyDescent="0.35">
      <c r="C1839" s="124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ht="18.75" customHeight="1" x14ac:dyDescent="0.35">
      <c r="C1840" s="124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ht="18.75" customHeight="1" x14ac:dyDescent="0.35">
      <c r="C1841" s="124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ht="18.75" customHeight="1" x14ac:dyDescent="0.35">
      <c r="C1842" s="124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ht="18.75" customHeight="1" x14ac:dyDescent="0.35">
      <c r="C1843" s="124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ht="18.75" customHeight="1" x14ac:dyDescent="0.35">
      <c r="C1844" s="124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ht="18.75" customHeight="1" x14ac:dyDescent="0.35">
      <c r="C1845" s="124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ht="18.75" customHeight="1" x14ac:dyDescent="0.35">
      <c r="C1846" s="124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ht="18.75" customHeight="1" x14ac:dyDescent="0.35">
      <c r="C1847" s="124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ht="18.75" customHeight="1" x14ac:dyDescent="0.35">
      <c r="C1848" s="124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ht="18.75" customHeight="1" x14ac:dyDescent="0.35">
      <c r="C1849" s="124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ht="18.75" customHeight="1" x14ac:dyDescent="0.35">
      <c r="C1850" s="124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ht="18.75" customHeight="1" x14ac:dyDescent="0.35">
      <c r="C1851" s="124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ht="18.75" customHeight="1" x14ac:dyDescent="0.35">
      <c r="C1852" s="124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ht="18.75" customHeight="1" x14ac:dyDescent="0.35">
      <c r="C1853" s="124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ht="18.75" customHeight="1" x14ac:dyDescent="0.35">
      <c r="C1854" s="124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ht="18.75" customHeight="1" x14ac:dyDescent="0.35">
      <c r="C1855" s="124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ht="18.75" customHeight="1" x14ac:dyDescent="0.35">
      <c r="C1856" s="124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ht="18.75" customHeight="1" x14ac:dyDescent="0.35">
      <c r="C1857" s="124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ht="18.75" customHeight="1" x14ac:dyDescent="0.35">
      <c r="C1858" s="124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ht="18.75" customHeight="1" x14ac:dyDescent="0.35">
      <c r="C1859" s="124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ht="18.75" customHeight="1" x14ac:dyDescent="0.35">
      <c r="C1860" s="124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ht="18.75" customHeight="1" x14ac:dyDescent="0.35">
      <c r="C1861" s="124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ht="18.75" customHeight="1" x14ac:dyDescent="0.35">
      <c r="C1862" s="124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ht="18.75" customHeight="1" x14ac:dyDescent="0.35">
      <c r="C1863" s="124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ht="18.75" customHeight="1" x14ac:dyDescent="0.35">
      <c r="C1864" s="124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ht="18.75" customHeight="1" x14ac:dyDescent="0.35">
      <c r="C1865" s="124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ht="18.75" customHeight="1" x14ac:dyDescent="0.35">
      <c r="C1866" s="124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ht="18.75" customHeight="1" x14ac:dyDescent="0.35">
      <c r="C1867" s="124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ht="18.75" customHeight="1" x14ac:dyDescent="0.35">
      <c r="C1868" s="124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ht="18.75" customHeight="1" x14ac:dyDescent="0.35">
      <c r="C1869" s="124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ht="18.75" customHeight="1" x14ac:dyDescent="0.35">
      <c r="C1870" s="124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ht="18.75" customHeight="1" x14ac:dyDescent="0.35">
      <c r="C1871" s="124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ht="18.75" customHeight="1" x14ac:dyDescent="0.35">
      <c r="C1872" s="124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ht="18.75" customHeight="1" x14ac:dyDescent="0.35">
      <c r="C1873" s="124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ht="18.75" customHeight="1" x14ac:dyDescent="0.35">
      <c r="C1874" s="124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ht="18.75" customHeight="1" x14ac:dyDescent="0.35">
      <c r="C1875" s="124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ht="18.75" customHeight="1" x14ac:dyDescent="0.35">
      <c r="C1876" s="124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ht="18.75" customHeight="1" x14ac:dyDescent="0.35">
      <c r="C1877" s="124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ht="18.75" customHeight="1" x14ac:dyDescent="0.35">
      <c r="C1878" s="124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ht="18.75" customHeight="1" x14ac:dyDescent="0.35">
      <c r="C1879" s="124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ht="18.75" customHeight="1" x14ac:dyDescent="0.35">
      <c r="C1880" s="124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ht="18.75" customHeight="1" x14ac:dyDescent="0.35">
      <c r="C1881" s="124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ht="18.75" customHeight="1" x14ac:dyDescent="0.35">
      <c r="C1882" s="124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ht="18.75" customHeight="1" x14ac:dyDescent="0.35">
      <c r="C1883" s="124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ht="18.75" customHeight="1" x14ac:dyDescent="0.35">
      <c r="C1884" s="124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ht="18.75" customHeight="1" x14ac:dyDescent="0.35">
      <c r="C1885" s="124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ht="18.75" customHeight="1" x14ac:dyDescent="0.35">
      <c r="C1886" s="124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ht="18.75" customHeight="1" x14ac:dyDescent="0.35">
      <c r="C1887" s="124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ht="18.75" customHeight="1" x14ac:dyDescent="0.35">
      <c r="C1888" s="124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ht="18.75" customHeight="1" x14ac:dyDescent="0.35">
      <c r="C1889" s="124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ht="18.75" customHeight="1" x14ac:dyDescent="0.35">
      <c r="C1890" s="124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ht="18.75" customHeight="1" x14ac:dyDescent="0.35">
      <c r="C1891" s="124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ht="18.75" customHeight="1" x14ac:dyDescent="0.35">
      <c r="C1892" s="124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ht="18.75" customHeight="1" x14ac:dyDescent="0.35">
      <c r="C1893" s="124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ht="18.75" customHeight="1" x14ac:dyDescent="0.35">
      <c r="C1894" s="124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ht="18.75" customHeight="1" x14ac:dyDescent="0.35">
      <c r="C1895" s="124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ht="18.75" customHeight="1" x14ac:dyDescent="0.35">
      <c r="C1896" s="124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ht="18.75" customHeight="1" x14ac:dyDescent="0.35">
      <c r="C1897" s="124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ht="18.75" customHeight="1" x14ac:dyDescent="0.35">
      <c r="C1898" s="124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ht="18.75" customHeight="1" x14ac:dyDescent="0.35">
      <c r="C1899" s="124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ht="18.75" customHeight="1" x14ac:dyDescent="0.35">
      <c r="C1900" s="124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ht="18.75" customHeight="1" x14ac:dyDescent="0.35">
      <c r="C1901" s="124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ht="18.75" customHeight="1" x14ac:dyDescent="0.35">
      <c r="C1902" s="124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ht="18.75" customHeight="1" x14ac:dyDescent="0.35">
      <c r="C1903" s="124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ht="18.75" customHeight="1" x14ac:dyDescent="0.35">
      <c r="C1904" s="124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ht="18.75" customHeight="1" x14ac:dyDescent="0.35">
      <c r="C1905" s="124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ht="18.75" customHeight="1" x14ac:dyDescent="0.35">
      <c r="C1906" s="124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ht="18.75" customHeight="1" x14ac:dyDescent="0.35">
      <c r="C1907" s="124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ht="18.75" customHeight="1" x14ac:dyDescent="0.35">
      <c r="C1908" s="124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ht="18.75" customHeight="1" x14ac:dyDescent="0.35">
      <c r="C1909" s="124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ht="18.75" customHeight="1" x14ac:dyDescent="0.35">
      <c r="C1910" s="124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ht="18.75" customHeight="1" x14ac:dyDescent="0.35">
      <c r="C1911" s="124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ht="18.75" customHeight="1" x14ac:dyDescent="0.35">
      <c r="C1912" s="124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ht="18.75" customHeight="1" x14ac:dyDescent="0.35">
      <c r="C1913" s="124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ht="18.75" customHeight="1" x14ac:dyDescent="0.35">
      <c r="C1914" s="124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ht="18.75" customHeight="1" x14ac:dyDescent="0.35">
      <c r="C1915" s="124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ht="18.75" customHeight="1" x14ac:dyDescent="0.35">
      <c r="C1916" s="124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ht="18.75" customHeight="1" x14ac:dyDescent="0.35">
      <c r="C1917" s="124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ht="18.75" customHeight="1" x14ac:dyDescent="0.35">
      <c r="C1918" s="124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ht="18.75" customHeight="1" x14ac:dyDescent="0.35">
      <c r="C1919" s="124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ht="18.75" customHeight="1" x14ac:dyDescent="0.35">
      <c r="C1920" s="124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ht="18.75" customHeight="1" x14ac:dyDescent="0.35">
      <c r="C1921" s="124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ht="18.75" customHeight="1" x14ac:dyDescent="0.35">
      <c r="C1922" s="124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ht="18.75" customHeight="1" x14ac:dyDescent="0.35">
      <c r="C1923" s="124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ht="18.75" customHeight="1" x14ac:dyDescent="0.35">
      <c r="C1924" s="124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ht="18.75" customHeight="1" x14ac:dyDescent="0.35">
      <c r="C1925" s="124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ht="18.75" customHeight="1" x14ac:dyDescent="0.35">
      <c r="C1926" s="124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ht="18.75" customHeight="1" x14ac:dyDescent="0.35">
      <c r="C1927" s="124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ht="18.75" customHeight="1" x14ac:dyDescent="0.35">
      <c r="C1928" s="124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ht="18.75" customHeight="1" x14ac:dyDescent="0.35">
      <c r="C1929" s="124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ht="18.75" customHeight="1" x14ac:dyDescent="0.35">
      <c r="C1930" s="124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ht="18.75" customHeight="1" x14ac:dyDescent="0.35">
      <c r="C1931" s="124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ht="18.75" customHeight="1" x14ac:dyDescent="0.35">
      <c r="C1932" s="124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ht="18.75" customHeight="1" x14ac:dyDescent="0.35">
      <c r="C1933" s="124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ht="18.75" customHeight="1" x14ac:dyDescent="0.35">
      <c r="C1934" s="124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ht="18.75" customHeight="1" x14ac:dyDescent="0.35">
      <c r="C1935" s="124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ht="18.75" customHeight="1" x14ac:dyDescent="0.35">
      <c r="C1936" s="124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ht="18.75" customHeight="1" x14ac:dyDescent="0.35">
      <c r="C1937" s="124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ht="18.75" customHeight="1" x14ac:dyDescent="0.35">
      <c r="C1938" s="124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ht="18.75" customHeight="1" x14ac:dyDescent="0.35">
      <c r="C1939" s="124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ht="18.75" customHeight="1" x14ac:dyDescent="0.35">
      <c r="C1940" s="124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ht="18.75" customHeight="1" x14ac:dyDescent="0.35">
      <c r="C1941" s="124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ht="18.75" customHeight="1" x14ac:dyDescent="0.35">
      <c r="C1942" s="124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ht="18.75" customHeight="1" x14ac:dyDescent="0.35">
      <c r="C1943" s="124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ht="18.75" customHeight="1" x14ac:dyDescent="0.35">
      <c r="C1944" s="124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ht="18.75" customHeight="1" x14ac:dyDescent="0.35">
      <c r="C1945" s="124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ht="18.75" customHeight="1" x14ac:dyDescent="0.35">
      <c r="C1946" s="124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ht="18.75" customHeight="1" x14ac:dyDescent="0.35">
      <c r="C1947" s="124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ht="18.75" customHeight="1" x14ac:dyDescent="0.35">
      <c r="C1948" s="124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ht="18.75" customHeight="1" x14ac:dyDescent="0.35">
      <c r="C1949" s="124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ht="18.75" customHeight="1" x14ac:dyDescent="0.35">
      <c r="C1950" s="124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ht="18.75" customHeight="1" x14ac:dyDescent="0.35">
      <c r="C1951" s="124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ht="18.75" customHeight="1" x14ac:dyDescent="0.35">
      <c r="C1952" s="124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ht="18.75" customHeight="1" x14ac:dyDescent="0.35">
      <c r="C1953" s="124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ht="18.75" customHeight="1" x14ac:dyDescent="0.35">
      <c r="C1954" s="124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ht="18.75" customHeight="1" x14ac:dyDescent="0.35">
      <c r="C1955" s="124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ht="18.75" customHeight="1" x14ac:dyDescent="0.35">
      <c r="C1956" s="124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ht="18.75" customHeight="1" x14ac:dyDescent="0.35">
      <c r="C1957" s="124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ht="18.75" customHeight="1" x14ac:dyDescent="0.35">
      <c r="C1958" s="124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ht="18.75" customHeight="1" x14ac:dyDescent="0.35">
      <c r="C1959" s="124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ht="18.75" customHeight="1" x14ac:dyDescent="0.35">
      <c r="C1960" s="124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ht="18.75" customHeight="1" x14ac:dyDescent="0.35">
      <c r="C1961" s="124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ht="18.75" customHeight="1" x14ac:dyDescent="0.35">
      <c r="C1962" s="124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ht="18.75" customHeight="1" x14ac:dyDescent="0.35">
      <c r="C1963" s="124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ht="18.75" customHeight="1" x14ac:dyDescent="0.35">
      <c r="C1964" s="124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ht="18.75" customHeight="1" x14ac:dyDescent="0.35">
      <c r="C1965" s="124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ht="18.75" customHeight="1" x14ac:dyDescent="0.35">
      <c r="C1966" s="124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ht="18.75" customHeight="1" x14ac:dyDescent="0.35">
      <c r="C1967" s="124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ht="18.75" customHeight="1" x14ac:dyDescent="0.35">
      <c r="C1968" s="124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ht="18.75" customHeight="1" x14ac:dyDescent="0.35">
      <c r="C1969" s="124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ht="18.75" customHeight="1" x14ac:dyDescent="0.35">
      <c r="C1970" s="124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ht="18.75" customHeight="1" x14ac:dyDescent="0.35">
      <c r="C1971" s="124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ht="18.75" customHeight="1" x14ac:dyDescent="0.35">
      <c r="C1972" s="124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ht="18.75" customHeight="1" x14ac:dyDescent="0.35">
      <c r="C1973" s="124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ht="18.75" customHeight="1" x14ac:dyDescent="0.35">
      <c r="C1974" s="124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ht="18.75" customHeight="1" x14ac:dyDescent="0.35">
      <c r="C1975" s="124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ht="18.75" customHeight="1" x14ac:dyDescent="0.35">
      <c r="C1976" s="124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ht="18.75" customHeight="1" x14ac:dyDescent="0.35">
      <c r="C1977" s="124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ht="18.75" customHeight="1" x14ac:dyDescent="0.35">
      <c r="C1978" s="124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ht="18.75" customHeight="1" x14ac:dyDescent="0.35">
      <c r="C1979" s="124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ht="18.75" customHeight="1" x14ac:dyDescent="0.35">
      <c r="C1980" s="124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ht="18.75" customHeight="1" x14ac:dyDescent="0.35">
      <c r="C1981" s="124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ht="18.75" customHeight="1" x14ac:dyDescent="0.35">
      <c r="C1982" s="124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ht="18.75" customHeight="1" x14ac:dyDescent="0.35">
      <c r="C1983" s="124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ht="18.75" customHeight="1" x14ac:dyDescent="0.35">
      <c r="C1984" s="124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ht="18.75" customHeight="1" x14ac:dyDescent="0.35">
      <c r="C1985" s="124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ht="18.75" customHeight="1" x14ac:dyDescent="0.35">
      <c r="C1986" s="124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ht="18.75" customHeight="1" x14ac:dyDescent="0.35">
      <c r="C1987" s="124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ht="18.75" customHeight="1" x14ac:dyDescent="0.35">
      <c r="C1988" s="124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ht="18.75" customHeight="1" x14ac:dyDescent="0.35">
      <c r="C1989" s="124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ht="18.75" customHeight="1" x14ac:dyDescent="0.35">
      <c r="C1990" s="124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ht="18.75" customHeight="1" x14ac:dyDescent="0.35">
      <c r="C1991" s="124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ht="18.75" customHeight="1" x14ac:dyDescent="0.35">
      <c r="C1992" s="124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ht="18.75" customHeight="1" x14ac:dyDescent="0.35">
      <c r="C1993" s="124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ht="18.75" customHeight="1" x14ac:dyDescent="0.35">
      <c r="C1994" s="124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ht="18.75" customHeight="1" x14ac:dyDescent="0.35">
      <c r="C1995" s="124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ht="18.75" customHeight="1" x14ac:dyDescent="0.35">
      <c r="C1996" s="124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ht="18.75" customHeight="1" x14ac:dyDescent="0.35">
      <c r="C1997" s="124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ht="18.75" customHeight="1" x14ac:dyDescent="0.35">
      <c r="C1998" s="124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ht="18.75" customHeight="1" x14ac:dyDescent="0.35">
      <c r="C1999" s="124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ht="18.75" customHeight="1" x14ac:dyDescent="0.35">
      <c r="C2000" s="124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ht="18.75" customHeight="1" x14ac:dyDescent="0.35">
      <c r="C2001" s="124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ht="18.75" customHeight="1" x14ac:dyDescent="0.35">
      <c r="C2002" s="124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ht="18.75" customHeight="1" x14ac:dyDescent="0.35">
      <c r="C2003" s="124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ht="18.75" customHeight="1" x14ac:dyDescent="0.35">
      <c r="C2004" s="124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ht="18.75" customHeight="1" x14ac:dyDescent="0.35">
      <c r="C2005" s="124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ht="18.75" customHeight="1" x14ac:dyDescent="0.35">
      <c r="C2006" s="124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ht="18.75" customHeight="1" x14ac:dyDescent="0.35">
      <c r="C2007" s="124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ht="18.75" customHeight="1" x14ac:dyDescent="0.35">
      <c r="C2008" s="124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ht="18.75" customHeight="1" x14ac:dyDescent="0.35">
      <c r="C2009" s="124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ht="18.75" customHeight="1" x14ac:dyDescent="0.35">
      <c r="C2010" s="124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ht="18.75" customHeight="1" x14ac:dyDescent="0.35">
      <c r="C2011" s="124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ht="18.75" customHeight="1" x14ac:dyDescent="0.35">
      <c r="C2012" s="124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ht="18.75" customHeight="1" x14ac:dyDescent="0.35">
      <c r="C2013" s="124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ht="18.75" customHeight="1" x14ac:dyDescent="0.35">
      <c r="C2014" s="124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ht="18.75" customHeight="1" x14ac:dyDescent="0.35">
      <c r="C2015" s="124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ht="18.75" customHeight="1" x14ac:dyDescent="0.35">
      <c r="C2016" s="124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ht="18.75" customHeight="1" x14ac:dyDescent="0.35">
      <c r="C2017" s="124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ht="18.75" customHeight="1" x14ac:dyDescent="0.35">
      <c r="C2018" s="124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ht="18.75" customHeight="1" x14ac:dyDescent="0.35">
      <c r="C2019" s="124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ht="18.75" customHeight="1" x14ac:dyDescent="0.35">
      <c r="C2020" s="124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ht="18.75" customHeight="1" x14ac:dyDescent="0.35">
      <c r="C2021" s="124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ht="18.75" customHeight="1" x14ac:dyDescent="0.35">
      <c r="C2022" s="124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ht="18.75" customHeight="1" x14ac:dyDescent="0.35">
      <c r="C2023" s="124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ht="18.75" customHeight="1" x14ac:dyDescent="0.35">
      <c r="C2024" s="124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ht="18.75" customHeight="1" x14ac:dyDescent="0.35">
      <c r="C2025" s="124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ht="18.75" customHeight="1" x14ac:dyDescent="0.35">
      <c r="C2026" s="124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ht="18.75" customHeight="1" x14ac:dyDescent="0.35">
      <c r="C2027" s="124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ht="18.75" customHeight="1" x14ac:dyDescent="0.35">
      <c r="C2028" s="124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ht="18.75" customHeight="1" x14ac:dyDescent="0.35">
      <c r="C2029" s="124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ht="18.75" customHeight="1" x14ac:dyDescent="0.35">
      <c r="C2030" s="124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ht="18.75" customHeight="1" x14ac:dyDescent="0.35">
      <c r="C2031" s="124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ht="18.75" customHeight="1" x14ac:dyDescent="0.35">
      <c r="C2032" s="124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ht="18.75" customHeight="1" x14ac:dyDescent="0.35">
      <c r="C2033" s="124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ht="18.75" customHeight="1" x14ac:dyDescent="0.35">
      <c r="C2034" s="124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ht="18.75" customHeight="1" x14ac:dyDescent="0.35">
      <c r="C2035" s="124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ht="18.75" customHeight="1" x14ac:dyDescent="0.35">
      <c r="C2036" s="124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ht="18.75" customHeight="1" x14ac:dyDescent="0.35">
      <c r="C2037" s="124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ht="18.75" customHeight="1" x14ac:dyDescent="0.35">
      <c r="C2038" s="124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ht="18.75" customHeight="1" x14ac:dyDescent="0.35">
      <c r="C2039" s="124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ht="18.75" customHeight="1" x14ac:dyDescent="0.35">
      <c r="C2040" s="124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ht="18.75" customHeight="1" x14ac:dyDescent="0.35">
      <c r="C2041" s="124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ht="18.75" customHeight="1" x14ac:dyDescent="0.35">
      <c r="C2042" s="124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ht="18.75" customHeight="1" x14ac:dyDescent="0.35">
      <c r="C2043" s="124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ht="18.75" customHeight="1" x14ac:dyDescent="0.35">
      <c r="C2044" s="124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ht="18.75" customHeight="1" x14ac:dyDescent="0.35">
      <c r="C2045" s="124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ht="18.75" customHeight="1" x14ac:dyDescent="0.35">
      <c r="C2046" s="124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ht="18.75" customHeight="1" x14ac:dyDescent="0.35">
      <c r="C2047" s="124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ht="18.75" customHeight="1" x14ac:dyDescent="0.35">
      <c r="C2048" s="124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ht="18.75" customHeight="1" x14ac:dyDescent="0.35">
      <c r="C2049" s="124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ht="18.75" customHeight="1" x14ac:dyDescent="0.35">
      <c r="C2050" s="124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ht="18.75" customHeight="1" x14ac:dyDescent="0.35">
      <c r="C2051" s="124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ht="18.75" customHeight="1" x14ac:dyDescent="0.35">
      <c r="C2052" s="124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ht="18.75" customHeight="1" x14ac:dyDescent="0.35">
      <c r="C2053" s="124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ht="18.75" customHeight="1" x14ac:dyDescent="0.35">
      <c r="C2054" s="124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ht="18.75" customHeight="1" x14ac:dyDescent="0.35">
      <c r="C2055" s="124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ht="18.75" customHeight="1" x14ac:dyDescent="0.35">
      <c r="C2056" s="124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ht="18.75" customHeight="1" x14ac:dyDescent="0.35">
      <c r="C2057" s="124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ht="18.75" customHeight="1" x14ac:dyDescent="0.35">
      <c r="C2058" s="124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ht="18.75" customHeight="1" x14ac:dyDescent="0.35">
      <c r="C2059" s="124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ht="18.75" customHeight="1" x14ac:dyDescent="0.35">
      <c r="C2060" s="124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ht="18.75" customHeight="1" x14ac:dyDescent="0.35">
      <c r="C2061" s="124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ht="18.75" customHeight="1" x14ac:dyDescent="0.35">
      <c r="C2062" s="124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ht="18.75" customHeight="1" x14ac:dyDescent="0.35">
      <c r="C2063" s="124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ht="18.75" customHeight="1" x14ac:dyDescent="0.35">
      <c r="C2064" s="124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ht="18.75" customHeight="1" x14ac:dyDescent="0.35">
      <c r="C2065" s="124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ht="18.75" customHeight="1" x14ac:dyDescent="0.35">
      <c r="C2066" s="124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ht="18.75" customHeight="1" x14ac:dyDescent="0.35">
      <c r="C2067" s="124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ht="18.75" customHeight="1" x14ac:dyDescent="0.35">
      <c r="C2068" s="124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ht="18.75" customHeight="1" x14ac:dyDescent="0.35">
      <c r="C2069" s="124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ht="18.75" customHeight="1" x14ac:dyDescent="0.35">
      <c r="C2070" s="124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ht="18.75" customHeight="1" x14ac:dyDescent="0.35">
      <c r="C2071" s="124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ht="18.75" customHeight="1" x14ac:dyDescent="0.35">
      <c r="C2072" s="124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ht="18.75" customHeight="1" x14ac:dyDescent="0.35">
      <c r="C2073" s="124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ht="18.75" customHeight="1" x14ac:dyDescent="0.35">
      <c r="C2074" s="124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ht="18.75" customHeight="1" x14ac:dyDescent="0.35">
      <c r="C2075" s="124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ht="18.75" customHeight="1" x14ac:dyDescent="0.35">
      <c r="C2076" s="124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ht="18.75" customHeight="1" x14ac:dyDescent="0.35">
      <c r="C2077" s="124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ht="18.75" customHeight="1" x14ac:dyDescent="0.35">
      <c r="C2078" s="124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ht="18.75" customHeight="1" x14ac:dyDescent="0.35">
      <c r="C2079" s="124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ht="18.75" customHeight="1" x14ac:dyDescent="0.35">
      <c r="C2080" s="124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ht="18.75" customHeight="1" x14ac:dyDescent="0.35">
      <c r="C2081" s="124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ht="18.75" customHeight="1" x14ac:dyDescent="0.35">
      <c r="C2082" s="124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ht="18.75" customHeight="1" x14ac:dyDescent="0.35">
      <c r="C2083" s="124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ht="18.75" customHeight="1" x14ac:dyDescent="0.35">
      <c r="C2084" s="124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ht="18.75" customHeight="1" x14ac:dyDescent="0.35">
      <c r="C2085" s="124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ht="18.75" customHeight="1" x14ac:dyDescent="0.35">
      <c r="C2086" s="124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ht="18.75" customHeight="1" x14ac:dyDescent="0.35">
      <c r="C2087" s="124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ht="18.75" customHeight="1" x14ac:dyDescent="0.35">
      <c r="C2088" s="124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ht="18.75" customHeight="1" x14ac:dyDescent="0.35">
      <c r="C2089" s="124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ht="18.75" customHeight="1" x14ac:dyDescent="0.35">
      <c r="C2090" s="124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ht="18.75" customHeight="1" x14ac:dyDescent="0.35">
      <c r="C2091" s="124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ht="18.75" customHeight="1" x14ac:dyDescent="0.35">
      <c r="C2092" s="124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ht="18.75" customHeight="1" x14ac:dyDescent="0.35">
      <c r="C2093" s="124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ht="18.75" customHeight="1" x14ac:dyDescent="0.35">
      <c r="C2094" s="124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ht="18.75" customHeight="1" x14ac:dyDescent="0.35">
      <c r="C2095" s="124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ht="18.75" customHeight="1" x14ac:dyDescent="0.35">
      <c r="C2096" s="124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ht="18.75" customHeight="1" x14ac:dyDescent="0.35">
      <c r="C2097" s="124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ht="18.75" customHeight="1" x14ac:dyDescent="0.35">
      <c r="C2098" s="124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ht="18.75" customHeight="1" x14ac:dyDescent="0.35">
      <c r="C2099" s="124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ht="18.75" customHeight="1" x14ac:dyDescent="0.35">
      <c r="C2100" s="124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ht="18.75" customHeight="1" x14ac:dyDescent="0.35">
      <c r="C2101" s="124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ht="18.75" customHeight="1" x14ac:dyDescent="0.35">
      <c r="C2102" s="124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ht="18.75" customHeight="1" x14ac:dyDescent="0.35">
      <c r="C2103" s="124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ht="18.75" customHeight="1" x14ac:dyDescent="0.35">
      <c r="C2104" s="124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ht="18.75" customHeight="1" x14ac:dyDescent="0.35">
      <c r="C2105" s="124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ht="18.75" customHeight="1" x14ac:dyDescent="0.35">
      <c r="C2106" s="124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ht="18.75" customHeight="1" x14ac:dyDescent="0.35">
      <c r="C2107" s="124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ht="18.75" customHeight="1" x14ac:dyDescent="0.35">
      <c r="C2108" s="124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ht="18.75" customHeight="1" x14ac:dyDescent="0.35">
      <c r="C2109" s="124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ht="18.75" customHeight="1" x14ac:dyDescent="0.35">
      <c r="C2110" s="124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ht="18.75" customHeight="1" x14ac:dyDescent="0.35">
      <c r="C2111" s="124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ht="18.75" customHeight="1" x14ac:dyDescent="0.35">
      <c r="C2112" s="124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ht="18.75" customHeight="1" x14ac:dyDescent="0.35">
      <c r="C2113" s="124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ht="18.75" customHeight="1" x14ac:dyDescent="0.35">
      <c r="C2114" s="124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ht="18.75" customHeight="1" x14ac:dyDescent="0.35">
      <c r="C2115" s="124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ht="18.75" customHeight="1" x14ac:dyDescent="0.35">
      <c r="C2116" s="124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ht="18.75" customHeight="1" x14ac:dyDescent="0.35">
      <c r="C2117" s="124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ht="18.75" customHeight="1" x14ac:dyDescent="0.35">
      <c r="C2118" s="124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ht="18.75" customHeight="1" x14ac:dyDescent="0.35">
      <c r="C2119" s="124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ht="18.75" customHeight="1" x14ac:dyDescent="0.35">
      <c r="C2120" s="124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ht="18.75" customHeight="1" x14ac:dyDescent="0.35">
      <c r="C2121" s="124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ht="18.75" customHeight="1" x14ac:dyDescent="0.35">
      <c r="C2122" s="124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ht="18.75" customHeight="1" x14ac:dyDescent="0.35">
      <c r="C2123" s="124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ht="18.75" customHeight="1" x14ac:dyDescent="0.35">
      <c r="C2124" s="124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ht="18.75" customHeight="1" x14ac:dyDescent="0.35">
      <c r="C2125" s="124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ht="18.75" customHeight="1" x14ac:dyDescent="0.35">
      <c r="C2126" s="124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ht="18.75" customHeight="1" x14ac:dyDescent="0.35">
      <c r="C2127" s="124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ht="18.75" customHeight="1" x14ac:dyDescent="0.35">
      <c r="C2128" s="124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ht="18.75" customHeight="1" x14ac:dyDescent="0.35">
      <c r="C2129" s="124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ht="18.75" customHeight="1" x14ac:dyDescent="0.35">
      <c r="C2130" s="124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ht="18.75" customHeight="1" x14ac:dyDescent="0.35">
      <c r="C2131" s="124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ht="18.75" customHeight="1" x14ac:dyDescent="0.35">
      <c r="C2132" s="124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ht="18.75" customHeight="1" x14ac:dyDescent="0.35">
      <c r="C2133" s="124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ht="18.75" customHeight="1" x14ac:dyDescent="0.35">
      <c r="C2134" s="124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ht="18.75" customHeight="1" x14ac:dyDescent="0.35">
      <c r="C2135" s="124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ht="18.75" customHeight="1" x14ac:dyDescent="0.35">
      <c r="C2136" s="124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ht="18.75" customHeight="1" x14ac:dyDescent="0.35">
      <c r="C2137" s="124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ht="18.75" customHeight="1" x14ac:dyDescent="0.35">
      <c r="C2138" s="124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ht="18.75" customHeight="1" x14ac:dyDescent="0.35">
      <c r="C2139" s="124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ht="18.75" customHeight="1" x14ac:dyDescent="0.35">
      <c r="C2140" s="124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ht="18.75" customHeight="1" x14ac:dyDescent="0.35">
      <c r="C2141" s="124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ht="18.75" customHeight="1" x14ac:dyDescent="0.35">
      <c r="C2142" s="124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ht="18.75" customHeight="1" x14ac:dyDescent="0.35">
      <c r="C2143" s="124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ht="18.75" customHeight="1" x14ac:dyDescent="0.35">
      <c r="C2144" s="124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ht="18.75" customHeight="1" x14ac:dyDescent="0.35">
      <c r="C2145" s="124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ht="18.75" customHeight="1" x14ac:dyDescent="0.35">
      <c r="C2146" s="124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ht="18.75" customHeight="1" x14ac:dyDescent="0.35">
      <c r="C2147" s="124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ht="18.75" customHeight="1" x14ac:dyDescent="0.35">
      <c r="C2148" s="124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ht="18.75" customHeight="1" x14ac:dyDescent="0.35">
      <c r="C2149" s="124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ht="18.75" customHeight="1" x14ac:dyDescent="0.35">
      <c r="C2150" s="124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ht="18.75" customHeight="1" x14ac:dyDescent="0.35">
      <c r="C2151" s="124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ht="18.75" customHeight="1" x14ac:dyDescent="0.35">
      <c r="C2152" s="124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ht="18.75" customHeight="1" x14ac:dyDescent="0.35">
      <c r="C2153" s="124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ht="18.75" customHeight="1" x14ac:dyDescent="0.35">
      <c r="C2154" s="124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ht="18.75" customHeight="1" x14ac:dyDescent="0.35">
      <c r="C2155" s="124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ht="18.75" customHeight="1" x14ac:dyDescent="0.35">
      <c r="C2156" s="124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ht="18.75" customHeight="1" x14ac:dyDescent="0.35">
      <c r="C2157" s="124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ht="18.75" customHeight="1" x14ac:dyDescent="0.35">
      <c r="C2158" s="124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ht="18.75" customHeight="1" x14ac:dyDescent="0.35">
      <c r="C2159" s="124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ht="18.75" customHeight="1" x14ac:dyDescent="0.35">
      <c r="C2160" s="124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ht="18.75" customHeight="1" x14ac:dyDescent="0.35">
      <c r="C2161" s="124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ht="18.75" customHeight="1" x14ac:dyDescent="0.35">
      <c r="C2162" s="124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ht="18.75" customHeight="1" x14ac:dyDescent="0.35">
      <c r="C2163" s="124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ht="18.75" customHeight="1" x14ac:dyDescent="0.35">
      <c r="C2164" s="124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ht="18.75" customHeight="1" x14ac:dyDescent="0.35">
      <c r="C2165" s="124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ht="18.75" customHeight="1" x14ac:dyDescent="0.35">
      <c r="C2166" s="124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ht="18.75" customHeight="1" x14ac:dyDescent="0.35">
      <c r="C2167" s="124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ht="18.75" customHeight="1" x14ac:dyDescent="0.35">
      <c r="C2168" s="124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ht="18.75" customHeight="1" x14ac:dyDescent="0.35">
      <c r="C2169" s="124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ht="18.75" customHeight="1" x14ac:dyDescent="0.35">
      <c r="C2170" s="124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ht="18.75" customHeight="1" x14ac:dyDescent="0.35">
      <c r="C2171" s="124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ht="18.75" customHeight="1" x14ac:dyDescent="0.35">
      <c r="C2172" s="124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ht="18.75" customHeight="1" x14ac:dyDescent="0.35">
      <c r="C2173" s="124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ht="18.75" customHeight="1" x14ac:dyDescent="0.35">
      <c r="C2174" s="124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ht="18.75" customHeight="1" x14ac:dyDescent="0.35">
      <c r="C2175" s="124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ht="18.75" customHeight="1" x14ac:dyDescent="0.35">
      <c r="C2176" s="124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ht="18.75" customHeight="1" x14ac:dyDescent="0.35">
      <c r="C2177" s="124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ht="18.75" customHeight="1" x14ac:dyDescent="0.35">
      <c r="C2178" s="124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ht="18.75" customHeight="1" x14ac:dyDescent="0.35">
      <c r="C2179" s="124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ht="18.75" customHeight="1" x14ac:dyDescent="0.35">
      <c r="C2180" s="124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ht="18.75" customHeight="1" x14ac:dyDescent="0.35">
      <c r="C2181" s="124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ht="18.75" customHeight="1" x14ac:dyDescent="0.35">
      <c r="C2182" s="124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ht="18.75" customHeight="1" x14ac:dyDescent="0.35">
      <c r="C2183" s="124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ht="18.75" customHeight="1" x14ac:dyDescent="0.35">
      <c r="C2184" s="124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ht="18.75" customHeight="1" x14ac:dyDescent="0.35">
      <c r="C2185" s="124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ht="18.75" customHeight="1" x14ac:dyDescent="0.35">
      <c r="C2186" s="124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ht="18.75" customHeight="1" x14ac:dyDescent="0.35">
      <c r="C2187" s="124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ht="18.75" customHeight="1" x14ac:dyDescent="0.35">
      <c r="C2188" s="124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ht="18.75" customHeight="1" x14ac:dyDescent="0.35">
      <c r="C2189" s="124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ht="18.75" customHeight="1" x14ac:dyDescent="0.35">
      <c r="C2190" s="124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ht="18.75" customHeight="1" x14ac:dyDescent="0.35">
      <c r="C2191" s="124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ht="18.75" customHeight="1" x14ac:dyDescent="0.35">
      <c r="C2192" s="124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ht="18.75" customHeight="1" x14ac:dyDescent="0.35">
      <c r="C2193" s="124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ht="18.75" customHeight="1" x14ac:dyDescent="0.35">
      <c r="C2194" s="124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ht="18.75" customHeight="1" x14ac:dyDescent="0.35">
      <c r="C2195" s="124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ht="18.75" customHeight="1" x14ac:dyDescent="0.35">
      <c r="C2196" s="124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ht="18.75" customHeight="1" x14ac:dyDescent="0.35">
      <c r="C2197" s="124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ht="18.75" customHeight="1" x14ac:dyDescent="0.35">
      <c r="C2198" s="124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ht="18.75" customHeight="1" x14ac:dyDescent="0.35">
      <c r="C2199" s="124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ht="18.75" customHeight="1" x14ac:dyDescent="0.35">
      <c r="C2200" s="124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ht="18.75" customHeight="1" x14ac:dyDescent="0.35">
      <c r="C2201" s="124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ht="18.75" customHeight="1" x14ac:dyDescent="0.35">
      <c r="C2202" s="124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ht="18.75" customHeight="1" x14ac:dyDescent="0.35">
      <c r="C2203" s="124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ht="18.75" customHeight="1" x14ac:dyDescent="0.35">
      <c r="C2204" s="124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ht="18.75" customHeight="1" x14ac:dyDescent="0.35">
      <c r="C2205" s="124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ht="18.75" customHeight="1" x14ac:dyDescent="0.35">
      <c r="C2206" s="124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ht="18.75" customHeight="1" x14ac:dyDescent="0.35">
      <c r="C2207" s="124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ht="18.75" customHeight="1" x14ac:dyDescent="0.35">
      <c r="C2208" s="124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ht="18.75" customHeight="1" x14ac:dyDescent="0.35">
      <c r="C2209" s="124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ht="18.75" customHeight="1" x14ac:dyDescent="0.35">
      <c r="C2210" s="124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ht="18.75" customHeight="1" x14ac:dyDescent="0.35">
      <c r="C2211" s="124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ht="18.75" customHeight="1" x14ac:dyDescent="0.35">
      <c r="C2212" s="124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ht="18.75" customHeight="1" x14ac:dyDescent="0.35">
      <c r="C2213" s="124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ht="18.75" customHeight="1" x14ac:dyDescent="0.35">
      <c r="C2214" s="124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ht="18.75" customHeight="1" x14ac:dyDescent="0.35">
      <c r="C2215" s="124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ht="18.75" customHeight="1" x14ac:dyDescent="0.35">
      <c r="C2216" s="124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ht="18.75" customHeight="1" x14ac:dyDescent="0.35">
      <c r="C2217" s="124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ht="18.75" customHeight="1" x14ac:dyDescent="0.35">
      <c r="C2218" s="124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ht="18.75" customHeight="1" x14ac:dyDescent="0.35">
      <c r="C2219" s="124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ht="18.75" customHeight="1" x14ac:dyDescent="0.35">
      <c r="C2220" s="124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ht="18.75" customHeight="1" x14ac:dyDescent="0.35">
      <c r="C2221" s="124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ht="18.75" customHeight="1" x14ac:dyDescent="0.35">
      <c r="C2222" s="124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ht="18.75" customHeight="1" x14ac:dyDescent="0.35">
      <c r="C2223" s="124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ht="18.75" customHeight="1" x14ac:dyDescent="0.35">
      <c r="C2224" s="124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ht="18.75" customHeight="1" x14ac:dyDescent="0.35">
      <c r="C2225" s="124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ht="18.75" customHeight="1" x14ac:dyDescent="0.35">
      <c r="C2226" s="124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ht="18.75" customHeight="1" x14ac:dyDescent="0.35">
      <c r="C2227" s="124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ht="18.75" customHeight="1" x14ac:dyDescent="0.35">
      <c r="C2228" s="124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ht="18.75" customHeight="1" x14ac:dyDescent="0.35">
      <c r="C2229" s="124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ht="18.75" customHeight="1" x14ac:dyDescent="0.35">
      <c r="C2230" s="124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ht="18.75" customHeight="1" x14ac:dyDescent="0.35">
      <c r="C2231" s="124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ht="18.75" customHeight="1" x14ac:dyDescent="0.35">
      <c r="C2232" s="124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ht="18.75" customHeight="1" x14ac:dyDescent="0.35">
      <c r="C2233" s="124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ht="18.75" customHeight="1" x14ac:dyDescent="0.35">
      <c r="C2234" s="124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ht="18.75" customHeight="1" x14ac:dyDescent="0.35">
      <c r="C2235" s="124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ht="18.75" customHeight="1" x14ac:dyDescent="0.35">
      <c r="C2236" s="124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ht="18.75" customHeight="1" x14ac:dyDescent="0.35">
      <c r="C2237" s="124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ht="18.75" customHeight="1" x14ac:dyDescent="0.35">
      <c r="C2238" s="124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ht="18.75" customHeight="1" x14ac:dyDescent="0.35">
      <c r="C2239" s="124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ht="18.75" customHeight="1" x14ac:dyDescent="0.35">
      <c r="C2240" s="124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ht="18.75" customHeight="1" x14ac:dyDescent="0.35">
      <c r="C2241" s="124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ht="18.75" customHeight="1" x14ac:dyDescent="0.35">
      <c r="C2242" s="124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ht="18.75" customHeight="1" x14ac:dyDescent="0.35">
      <c r="C2243" s="124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ht="18.75" customHeight="1" x14ac:dyDescent="0.35">
      <c r="C2244" s="124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ht="18.75" customHeight="1" x14ac:dyDescent="0.35">
      <c r="C2245" s="124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ht="18.75" customHeight="1" x14ac:dyDescent="0.35">
      <c r="C2246" s="124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ht="18.75" customHeight="1" x14ac:dyDescent="0.35">
      <c r="C2247" s="124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ht="18.75" customHeight="1" x14ac:dyDescent="0.35">
      <c r="C2248" s="124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ht="18.75" customHeight="1" x14ac:dyDescent="0.35">
      <c r="C2249" s="124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ht="18.75" customHeight="1" x14ac:dyDescent="0.35">
      <c r="C2250" s="124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ht="18.75" customHeight="1" x14ac:dyDescent="0.35">
      <c r="C2251" s="124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ht="18.75" customHeight="1" x14ac:dyDescent="0.35">
      <c r="C2252" s="124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ht="18.75" customHeight="1" x14ac:dyDescent="0.35">
      <c r="C2253" s="124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ht="18.75" customHeight="1" x14ac:dyDescent="0.35">
      <c r="C2254" s="124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ht="18.75" customHeight="1" x14ac:dyDescent="0.35">
      <c r="C2255" s="124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ht="18.75" customHeight="1" x14ac:dyDescent="0.35">
      <c r="C2256" s="124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ht="18.75" customHeight="1" x14ac:dyDescent="0.35">
      <c r="C2257" s="124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ht="18.75" customHeight="1" x14ac:dyDescent="0.35">
      <c r="C2258" s="124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ht="18.75" customHeight="1" x14ac:dyDescent="0.35">
      <c r="C2259" s="124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ht="18.75" customHeight="1" x14ac:dyDescent="0.35">
      <c r="C2260" s="124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ht="18.75" customHeight="1" x14ac:dyDescent="0.35">
      <c r="C2261" s="124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ht="18.75" customHeight="1" x14ac:dyDescent="0.35">
      <c r="C2262" s="124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ht="18.75" customHeight="1" x14ac:dyDescent="0.35">
      <c r="C2263" s="124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ht="18.75" customHeight="1" x14ac:dyDescent="0.35">
      <c r="C2264" s="124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ht="18.75" customHeight="1" x14ac:dyDescent="0.35">
      <c r="C2265" s="124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ht="18.75" customHeight="1" x14ac:dyDescent="0.35">
      <c r="C2266" s="124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ht="18.75" customHeight="1" x14ac:dyDescent="0.35">
      <c r="C2267" s="124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ht="18.75" customHeight="1" x14ac:dyDescent="0.35">
      <c r="C2268" s="124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ht="18.75" customHeight="1" x14ac:dyDescent="0.35">
      <c r="C2269" s="124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ht="18.75" customHeight="1" x14ac:dyDescent="0.35">
      <c r="C2270" s="124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ht="18.75" customHeight="1" x14ac:dyDescent="0.35">
      <c r="C2271" s="124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ht="18.75" customHeight="1" x14ac:dyDescent="0.35">
      <c r="C2272" s="124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ht="18.75" customHeight="1" x14ac:dyDescent="0.35">
      <c r="C2273" s="124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ht="18.75" customHeight="1" x14ac:dyDescent="0.35">
      <c r="C2274" s="124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ht="18.75" customHeight="1" x14ac:dyDescent="0.35">
      <c r="C2275" s="124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ht="18.75" customHeight="1" x14ac:dyDescent="0.35">
      <c r="C2276" s="124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ht="18.75" customHeight="1" x14ac:dyDescent="0.35">
      <c r="C2277" s="124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ht="18.75" customHeight="1" x14ac:dyDescent="0.35">
      <c r="C2278" s="124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ht="18.75" customHeight="1" x14ac:dyDescent="0.35">
      <c r="C2279" s="124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ht="18.75" customHeight="1" x14ac:dyDescent="0.35">
      <c r="C2280" s="124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ht="18.75" customHeight="1" x14ac:dyDescent="0.35">
      <c r="C2281" s="124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ht="18.75" customHeight="1" x14ac:dyDescent="0.35">
      <c r="C2282" s="124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ht="18.75" customHeight="1" x14ac:dyDescent="0.35">
      <c r="C2283" s="124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ht="18.75" customHeight="1" x14ac:dyDescent="0.35">
      <c r="C2284" s="124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ht="18.75" customHeight="1" x14ac:dyDescent="0.35">
      <c r="C2285" s="124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ht="18.75" customHeight="1" x14ac:dyDescent="0.35">
      <c r="C2286" s="124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ht="18.75" customHeight="1" x14ac:dyDescent="0.35">
      <c r="C2287" s="124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ht="18.75" customHeight="1" x14ac:dyDescent="0.35">
      <c r="C2288" s="124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ht="18.75" customHeight="1" x14ac:dyDescent="0.35">
      <c r="C2289" s="124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ht="18.75" customHeight="1" x14ac:dyDescent="0.35">
      <c r="C2290" s="124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ht="18.75" customHeight="1" x14ac:dyDescent="0.35">
      <c r="C2291" s="124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ht="18.75" customHeight="1" x14ac:dyDescent="0.35">
      <c r="C2292" s="124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ht="18.75" customHeight="1" x14ac:dyDescent="0.35">
      <c r="C2293" s="124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ht="18.75" customHeight="1" x14ac:dyDescent="0.35">
      <c r="C2294" s="124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ht="18.75" customHeight="1" x14ac:dyDescent="0.35">
      <c r="C2295" s="124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ht="18.75" customHeight="1" x14ac:dyDescent="0.35">
      <c r="C2296" s="124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ht="18.75" customHeight="1" x14ac:dyDescent="0.35">
      <c r="C2297" s="124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ht="18.75" customHeight="1" x14ac:dyDescent="0.35">
      <c r="C2298" s="124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ht="18.75" customHeight="1" x14ac:dyDescent="0.35">
      <c r="C2299" s="124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ht="18.75" customHeight="1" x14ac:dyDescent="0.35">
      <c r="C2300" s="124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ht="18.75" customHeight="1" x14ac:dyDescent="0.35">
      <c r="C2301" s="124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ht="18.75" customHeight="1" x14ac:dyDescent="0.35">
      <c r="C2302" s="124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ht="18.75" customHeight="1" x14ac:dyDescent="0.35">
      <c r="C2303" s="124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ht="18.75" customHeight="1" x14ac:dyDescent="0.35">
      <c r="C2304" s="124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ht="18.75" customHeight="1" x14ac:dyDescent="0.35">
      <c r="C2305" s="124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ht="18.75" customHeight="1" x14ac:dyDescent="0.35">
      <c r="C2306" s="124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ht="18.75" customHeight="1" x14ac:dyDescent="0.35">
      <c r="C2307" s="124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ht="18.75" customHeight="1" x14ac:dyDescent="0.35">
      <c r="C2308" s="124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ht="18.75" customHeight="1" x14ac:dyDescent="0.35">
      <c r="C2309" s="124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ht="18.75" customHeight="1" x14ac:dyDescent="0.35">
      <c r="C2310" s="124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ht="18.75" customHeight="1" x14ac:dyDescent="0.35">
      <c r="C2311" s="124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ht="18.75" customHeight="1" x14ac:dyDescent="0.35">
      <c r="C2312" s="124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ht="18.75" customHeight="1" x14ac:dyDescent="0.35">
      <c r="C2313" s="124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ht="18.75" customHeight="1" x14ac:dyDescent="0.35">
      <c r="C2314" s="124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ht="18.75" customHeight="1" x14ac:dyDescent="0.35">
      <c r="C2315" s="124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ht="18.75" customHeight="1" x14ac:dyDescent="0.35">
      <c r="C2316" s="124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ht="18.75" customHeight="1" x14ac:dyDescent="0.35">
      <c r="C2317" s="124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ht="18.75" customHeight="1" x14ac:dyDescent="0.35">
      <c r="C2318" s="124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ht="18.75" customHeight="1" x14ac:dyDescent="0.35">
      <c r="C2319" s="124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ht="18.75" customHeight="1" x14ac:dyDescent="0.35">
      <c r="C2320" s="124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ht="18.75" customHeight="1" x14ac:dyDescent="0.35">
      <c r="C2321" s="124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ht="18.75" customHeight="1" x14ac:dyDescent="0.35">
      <c r="C2322" s="124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ht="18.75" customHeight="1" x14ac:dyDescent="0.35">
      <c r="C2323" s="124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ht="18.75" customHeight="1" x14ac:dyDescent="0.35">
      <c r="C2324" s="124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ht="18.75" customHeight="1" x14ac:dyDescent="0.35">
      <c r="C2325" s="124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ht="18.75" customHeight="1" x14ac:dyDescent="0.35">
      <c r="C2326" s="124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ht="18.75" customHeight="1" x14ac:dyDescent="0.35">
      <c r="C2327" s="124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ht="18.75" customHeight="1" x14ac:dyDescent="0.35">
      <c r="C2328" s="124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ht="18.75" customHeight="1" x14ac:dyDescent="0.35">
      <c r="C2329" s="124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ht="18.75" customHeight="1" x14ac:dyDescent="0.35">
      <c r="C2330" s="124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ht="18.75" customHeight="1" x14ac:dyDescent="0.35">
      <c r="C2331" s="124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ht="18.75" customHeight="1" x14ac:dyDescent="0.35">
      <c r="C2332" s="124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ht="18.75" customHeight="1" x14ac:dyDescent="0.35">
      <c r="C2333" s="124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ht="18.75" customHeight="1" x14ac:dyDescent="0.35">
      <c r="C2334" s="124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ht="18.75" customHeight="1" x14ac:dyDescent="0.35">
      <c r="C2335" s="124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ht="18.75" customHeight="1" x14ac:dyDescent="0.35">
      <c r="C2336" s="124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ht="18.75" customHeight="1" x14ac:dyDescent="0.35">
      <c r="C2337" s="124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ht="18.75" customHeight="1" x14ac:dyDescent="0.35">
      <c r="C2338" s="124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ht="18.75" customHeight="1" x14ac:dyDescent="0.35">
      <c r="C2339" s="124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ht="18.75" customHeight="1" x14ac:dyDescent="0.35">
      <c r="C2340" s="124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ht="18.75" customHeight="1" x14ac:dyDescent="0.35">
      <c r="C2341" s="124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ht="18.75" customHeight="1" x14ac:dyDescent="0.35">
      <c r="C2342" s="124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ht="18.75" customHeight="1" x14ac:dyDescent="0.35">
      <c r="C2343" s="124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ht="18.75" customHeight="1" x14ac:dyDescent="0.35">
      <c r="C2344" s="124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ht="18.75" customHeight="1" x14ac:dyDescent="0.35">
      <c r="C2345" s="124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ht="18.75" customHeight="1" x14ac:dyDescent="0.35">
      <c r="C2346" s="124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ht="18.75" customHeight="1" x14ac:dyDescent="0.35">
      <c r="C2347" s="124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ht="18.75" customHeight="1" x14ac:dyDescent="0.35">
      <c r="C2348" s="124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ht="18.75" customHeight="1" x14ac:dyDescent="0.35">
      <c r="C2349" s="124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ht="18.75" customHeight="1" x14ac:dyDescent="0.35">
      <c r="C2350" s="124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ht="18.75" customHeight="1" x14ac:dyDescent="0.35">
      <c r="C2351" s="124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ht="18.75" customHeight="1" x14ac:dyDescent="0.35">
      <c r="C2352" s="124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ht="18.75" customHeight="1" x14ac:dyDescent="0.35">
      <c r="C2353" s="124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ht="18.75" customHeight="1" x14ac:dyDescent="0.35">
      <c r="C2354" s="124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ht="18.75" customHeight="1" x14ac:dyDescent="0.35">
      <c r="C2355" s="124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ht="18.75" customHeight="1" x14ac:dyDescent="0.35">
      <c r="C2356" s="124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ht="18.75" customHeight="1" x14ac:dyDescent="0.35">
      <c r="C2357" s="124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ht="18.75" customHeight="1" x14ac:dyDescent="0.35">
      <c r="C2358" s="124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ht="18.75" customHeight="1" x14ac:dyDescent="0.35">
      <c r="C2359" s="124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ht="18.75" customHeight="1" x14ac:dyDescent="0.35">
      <c r="C2360" s="124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ht="18.75" customHeight="1" x14ac:dyDescent="0.35">
      <c r="C2361" s="124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ht="18.75" customHeight="1" x14ac:dyDescent="0.35">
      <c r="C2362" s="124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ht="18.75" customHeight="1" x14ac:dyDescent="0.35">
      <c r="C2363" s="124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ht="18.75" customHeight="1" x14ac:dyDescent="0.35">
      <c r="C2364" s="124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ht="18.75" customHeight="1" x14ac:dyDescent="0.35">
      <c r="C2365" s="124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ht="18.75" customHeight="1" x14ac:dyDescent="0.35">
      <c r="C2366" s="124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ht="18.75" customHeight="1" x14ac:dyDescent="0.35">
      <c r="C2367" s="124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ht="18.75" customHeight="1" x14ac:dyDescent="0.35">
      <c r="C2368" s="124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ht="18.75" customHeight="1" x14ac:dyDescent="0.35">
      <c r="C2369" s="124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ht="18.75" customHeight="1" x14ac:dyDescent="0.35">
      <c r="C2370" s="124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ht="18.75" customHeight="1" x14ac:dyDescent="0.35">
      <c r="C2371" s="124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ht="18.75" customHeight="1" x14ac:dyDescent="0.35">
      <c r="C2372" s="124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ht="18.75" customHeight="1" x14ac:dyDescent="0.35">
      <c r="C2373" s="124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ht="18.75" customHeight="1" x14ac:dyDescent="0.35">
      <c r="C2374" s="124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ht="18.75" customHeight="1" x14ac:dyDescent="0.35">
      <c r="C2375" s="124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ht="18.75" customHeight="1" x14ac:dyDescent="0.35">
      <c r="C2376" s="124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ht="18.75" customHeight="1" x14ac:dyDescent="0.35">
      <c r="C2377" s="124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ht="18.75" customHeight="1" x14ac:dyDescent="0.35">
      <c r="C2378" s="124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ht="18.75" customHeight="1" x14ac:dyDescent="0.35">
      <c r="C2379" s="124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ht="18.75" customHeight="1" x14ac:dyDescent="0.35">
      <c r="C2380" s="124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ht="18.75" customHeight="1" x14ac:dyDescent="0.35">
      <c r="C2381" s="124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ht="18.75" customHeight="1" x14ac:dyDescent="0.35">
      <c r="C2382" s="124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ht="18.75" customHeight="1" x14ac:dyDescent="0.35">
      <c r="C2383" s="124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ht="18.75" customHeight="1" x14ac:dyDescent="0.35">
      <c r="C2384" s="124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ht="18.75" customHeight="1" x14ac:dyDescent="0.35">
      <c r="C2385" s="124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ht="18.75" customHeight="1" x14ac:dyDescent="0.35">
      <c r="C2386" s="124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ht="18.75" customHeight="1" x14ac:dyDescent="0.35">
      <c r="C2387" s="124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ht="18.75" customHeight="1" x14ac:dyDescent="0.35">
      <c r="C2388" s="124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ht="18.75" customHeight="1" x14ac:dyDescent="0.35">
      <c r="C2389" s="124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ht="18.75" customHeight="1" x14ac:dyDescent="0.35">
      <c r="C2390" s="124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ht="18.75" customHeight="1" x14ac:dyDescent="0.35">
      <c r="C2391" s="124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ht="18.75" customHeight="1" x14ac:dyDescent="0.35">
      <c r="C2392" s="124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ht="18.75" customHeight="1" x14ac:dyDescent="0.35">
      <c r="C2393" s="124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ht="18.75" customHeight="1" x14ac:dyDescent="0.35">
      <c r="C2394" s="124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ht="18.75" customHeight="1" x14ac:dyDescent="0.35">
      <c r="C2395" s="124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ht="18.75" customHeight="1" x14ac:dyDescent="0.35">
      <c r="C2396" s="124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ht="18.75" customHeight="1" x14ac:dyDescent="0.35">
      <c r="C2397" s="124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ht="18.75" customHeight="1" x14ac:dyDescent="0.35">
      <c r="C2398" s="124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ht="18.75" customHeight="1" x14ac:dyDescent="0.35">
      <c r="C2399" s="124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ht="18.75" customHeight="1" x14ac:dyDescent="0.35">
      <c r="C2400" s="124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ht="18.75" customHeight="1" x14ac:dyDescent="0.35">
      <c r="C2401" s="124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ht="18.75" customHeight="1" x14ac:dyDescent="0.35">
      <c r="C2402" s="124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ht="18.75" customHeight="1" x14ac:dyDescent="0.35">
      <c r="C2403" s="124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ht="18.75" customHeight="1" x14ac:dyDescent="0.35">
      <c r="C2404" s="124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ht="18.75" customHeight="1" x14ac:dyDescent="0.35">
      <c r="C2405" s="124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ht="18.75" customHeight="1" x14ac:dyDescent="0.35">
      <c r="C2406" s="124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ht="18.75" customHeight="1" x14ac:dyDescent="0.35">
      <c r="C2407" s="124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ht="18.75" customHeight="1" x14ac:dyDescent="0.35">
      <c r="C2408" s="124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ht="18.75" customHeight="1" x14ac:dyDescent="0.35">
      <c r="C2409" s="124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ht="18.75" customHeight="1" x14ac:dyDescent="0.35">
      <c r="C2410" s="124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ht="18.75" customHeight="1" x14ac:dyDescent="0.35">
      <c r="C2411" s="124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ht="18.75" customHeight="1" x14ac:dyDescent="0.35">
      <c r="C2412" s="124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ht="18.75" customHeight="1" x14ac:dyDescent="0.35">
      <c r="C2413" s="124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ht="18.75" customHeight="1" x14ac:dyDescent="0.35">
      <c r="C2414" s="124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ht="18.75" customHeight="1" x14ac:dyDescent="0.35">
      <c r="C2415" s="124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ht="18.75" customHeight="1" x14ac:dyDescent="0.35">
      <c r="C2416" s="124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ht="18.75" customHeight="1" x14ac:dyDescent="0.35">
      <c r="C2417" s="124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ht="18.75" customHeight="1" x14ac:dyDescent="0.35">
      <c r="C2418" s="124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ht="18.75" customHeight="1" x14ac:dyDescent="0.35">
      <c r="C2419" s="124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ht="18.75" customHeight="1" x14ac:dyDescent="0.35">
      <c r="C2420" s="124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ht="18.75" customHeight="1" x14ac:dyDescent="0.35">
      <c r="C2421" s="124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ht="18.75" customHeight="1" x14ac:dyDescent="0.35">
      <c r="C2422" s="124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ht="18.75" customHeight="1" x14ac:dyDescent="0.35">
      <c r="C2423" s="124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ht="18.75" customHeight="1" x14ac:dyDescent="0.35">
      <c r="C2424" s="124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ht="18.75" customHeight="1" x14ac:dyDescent="0.35">
      <c r="C2425" s="124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ht="18.75" customHeight="1" x14ac:dyDescent="0.35">
      <c r="C2426" s="124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ht="18.75" customHeight="1" x14ac:dyDescent="0.35">
      <c r="C2427" s="124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ht="18.75" customHeight="1" x14ac:dyDescent="0.35">
      <c r="C2428" s="124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ht="18.75" customHeight="1" x14ac:dyDescent="0.35">
      <c r="C2429" s="124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ht="18.75" customHeight="1" x14ac:dyDescent="0.35">
      <c r="C2430" s="124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ht="18.75" customHeight="1" x14ac:dyDescent="0.35">
      <c r="C2431" s="124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ht="18.75" customHeight="1" x14ac:dyDescent="0.35">
      <c r="C2432" s="124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ht="18.75" customHeight="1" x14ac:dyDescent="0.35">
      <c r="C2433" s="124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ht="18.75" customHeight="1" x14ac:dyDescent="0.35">
      <c r="C2434" s="124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ht="18.75" customHeight="1" x14ac:dyDescent="0.35">
      <c r="C2435" s="124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ht="18.75" customHeight="1" x14ac:dyDescent="0.35">
      <c r="C2436" s="124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ht="18.75" customHeight="1" x14ac:dyDescent="0.35">
      <c r="C2437" s="124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ht="18.75" customHeight="1" x14ac:dyDescent="0.35">
      <c r="C2438" s="124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ht="18.75" customHeight="1" x14ac:dyDescent="0.35">
      <c r="C2439" s="124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ht="18.75" customHeight="1" x14ac:dyDescent="0.35">
      <c r="C2440" s="124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ht="18.75" customHeight="1" x14ac:dyDescent="0.35">
      <c r="C2441" s="124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ht="18.75" customHeight="1" x14ac:dyDescent="0.35">
      <c r="C2442" s="124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ht="18.75" customHeight="1" x14ac:dyDescent="0.35">
      <c r="C2443" s="124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ht="18.75" customHeight="1" x14ac:dyDescent="0.35">
      <c r="C2444" s="124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ht="18.75" customHeight="1" x14ac:dyDescent="0.35">
      <c r="C2445" s="124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ht="18.75" customHeight="1" x14ac:dyDescent="0.35">
      <c r="C2446" s="124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ht="18.75" customHeight="1" x14ac:dyDescent="0.35">
      <c r="C2447" s="124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ht="18.75" customHeight="1" x14ac:dyDescent="0.35">
      <c r="C2448" s="124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ht="18.75" customHeight="1" x14ac:dyDescent="0.35">
      <c r="C2449" s="124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ht="18.75" customHeight="1" x14ac:dyDescent="0.35">
      <c r="C2450" s="124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ht="18.75" customHeight="1" x14ac:dyDescent="0.35">
      <c r="C2451" s="124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ht="18.75" customHeight="1" x14ac:dyDescent="0.35">
      <c r="C2452" s="124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ht="18.75" customHeight="1" x14ac:dyDescent="0.35">
      <c r="C2453" s="124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ht="18.75" customHeight="1" x14ac:dyDescent="0.35">
      <c r="C2454" s="124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ht="18.75" customHeight="1" x14ac:dyDescent="0.35">
      <c r="C2455" s="124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ht="18.75" customHeight="1" x14ac:dyDescent="0.35">
      <c r="C2456" s="124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ht="18.75" customHeight="1" x14ac:dyDescent="0.35">
      <c r="C2457" s="124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ht="18.75" customHeight="1" x14ac:dyDescent="0.35">
      <c r="C2458" s="124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ht="18.75" customHeight="1" x14ac:dyDescent="0.35">
      <c r="C2459" s="124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ht="18.75" customHeight="1" x14ac:dyDescent="0.35">
      <c r="C2460" s="124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ht="18.75" customHeight="1" x14ac:dyDescent="0.35">
      <c r="C2461" s="124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ht="18.75" customHeight="1" x14ac:dyDescent="0.35">
      <c r="C2462" s="124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ht="18.75" customHeight="1" x14ac:dyDescent="0.35">
      <c r="C2463" s="124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ht="18.75" customHeight="1" x14ac:dyDescent="0.35">
      <c r="C2464" s="124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ht="18.75" customHeight="1" x14ac:dyDescent="0.35">
      <c r="C2465" s="124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ht="18.75" customHeight="1" x14ac:dyDescent="0.35">
      <c r="C2466" s="124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ht="18.75" customHeight="1" x14ac:dyDescent="0.35">
      <c r="C2467" s="124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ht="18.75" customHeight="1" x14ac:dyDescent="0.35">
      <c r="C2468" s="124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ht="18.75" customHeight="1" x14ac:dyDescent="0.35">
      <c r="C2469" s="124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ht="18.75" customHeight="1" x14ac:dyDescent="0.35">
      <c r="C2470" s="124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ht="18.75" customHeight="1" x14ac:dyDescent="0.35">
      <c r="C2471" s="124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ht="18.75" customHeight="1" x14ac:dyDescent="0.35">
      <c r="C2472" s="124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ht="18.75" customHeight="1" x14ac:dyDescent="0.35">
      <c r="C2473" s="124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ht="18.75" customHeight="1" x14ac:dyDescent="0.35">
      <c r="C2474" s="124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ht="18.75" customHeight="1" x14ac:dyDescent="0.35">
      <c r="C2475" s="124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ht="18.75" customHeight="1" x14ac:dyDescent="0.35">
      <c r="C2476" s="124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ht="18.75" customHeight="1" x14ac:dyDescent="0.35">
      <c r="C2477" s="124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ht="18.75" customHeight="1" x14ac:dyDescent="0.35">
      <c r="C2478" s="124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ht="18.75" customHeight="1" x14ac:dyDescent="0.35">
      <c r="C2479" s="124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ht="18.75" customHeight="1" x14ac:dyDescent="0.35">
      <c r="C2480" s="124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ht="18.75" customHeight="1" x14ac:dyDescent="0.35">
      <c r="C2481" s="124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ht="18.75" customHeight="1" x14ac:dyDescent="0.35">
      <c r="C2482" s="124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ht="18.75" customHeight="1" x14ac:dyDescent="0.35">
      <c r="C2483" s="124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ht="18.75" customHeight="1" x14ac:dyDescent="0.35">
      <c r="C2484" s="124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ht="18.75" customHeight="1" x14ac:dyDescent="0.35">
      <c r="C2485" s="124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ht="18.75" customHeight="1" x14ac:dyDescent="0.35">
      <c r="C2486" s="124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ht="18.75" customHeight="1" x14ac:dyDescent="0.35">
      <c r="C2487" s="124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ht="18.75" customHeight="1" x14ac:dyDescent="0.35">
      <c r="C2488" s="124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ht="18.75" customHeight="1" x14ac:dyDescent="0.35">
      <c r="C2489" s="124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ht="18.75" customHeight="1" x14ac:dyDescent="0.35">
      <c r="C2490" s="124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ht="18.75" customHeight="1" x14ac:dyDescent="0.35">
      <c r="C2491" s="124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ht="18.75" customHeight="1" x14ac:dyDescent="0.35">
      <c r="C2492" s="124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ht="18.75" customHeight="1" x14ac:dyDescent="0.35">
      <c r="C2493" s="124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ht="18.75" customHeight="1" x14ac:dyDescent="0.35">
      <c r="C2494" s="124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ht="18.75" customHeight="1" x14ac:dyDescent="0.35">
      <c r="C2495" s="124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ht="18.75" customHeight="1" x14ac:dyDescent="0.35">
      <c r="C2496" s="124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ht="18.75" customHeight="1" x14ac:dyDescent="0.35">
      <c r="C2497" s="124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ht="18.75" customHeight="1" x14ac:dyDescent="0.35">
      <c r="C2498" s="124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ht="18.75" customHeight="1" x14ac:dyDescent="0.35">
      <c r="C2499" s="124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ht="18.75" customHeight="1" x14ac:dyDescent="0.35">
      <c r="C2500" s="124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ht="18.75" customHeight="1" x14ac:dyDescent="0.35">
      <c r="C2501" s="124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ht="18.75" customHeight="1" x14ac:dyDescent="0.35">
      <c r="C2502" s="124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ht="18.75" customHeight="1" x14ac:dyDescent="0.35">
      <c r="C2503" s="124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ht="18.75" customHeight="1" x14ac:dyDescent="0.35">
      <c r="C2504" s="124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ht="18.75" customHeight="1" x14ac:dyDescent="0.35">
      <c r="C2505" s="124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ht="18.75" customHeight="1" x14ac:dyDescent="0.35">
      <c r="C2506" s="124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ht="18.75" customHeight="1" x14ac:dyDescent="0.35">
      <c r="C2507" s="124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ht="18.75" customHeight="1" x14ac:dyDescent="0.35">
      <c r="C2508" s="124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ht="18.75" customHeight="1" x14ac:dyDescent="0.35">
      <c r="C2509" s="124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ht="18.75" customHeight="1" x14ac:dyDescent="0.35">
      <c r="C2510" s="124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ht="18.75" customHeight="1" x14ac:dyDescent="0.35">
      <c r="C2511" s="124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ht="18.75" customHeight="1" x14ac:dyDescent="0.35">
      <c r="C2512" s="124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ht="18.75" customHeight="1" x14ac:dyDescent="0.35">
      <c r="C2513" s="124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ht="18.75" customHeight="1" x14ac:dyDescent="0.35">
      <c r="C2514" s="124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ht="18.75" customHeight="1" x14ac:dyDescent="0.35">
      <c r="C2515" s="124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ht="18.75" customHeight="1" x14ac:dyDescent="0.35">
      <c r="C2516" s="124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ht="18.75" customHeight="1" x14ac:dyDescent="0.35">
      <c r="C2517" s="124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ht="18.75" customHeight="1" x14ac:dyDescent="0.35">
      <c r="C2518" s="124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ht="18.75" customHeight="1" x14ac:dyDescent="0.35">
      <c r="C2519" s="124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ht="18.75" customHeight="1" x14ac:dyDescent="0.35">
      <c r="C2520" s="124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ht="18.75" customHeight="1" x14ac:dyDescent="0.35">
      <c r="C2521" s="124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ht="18.75" customHeight="1" x14ac:dyDescent="0.35">
      <c r="C2522" s="124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ht="18.75" customHeight="1" x14ac:dyDescent="0.35">
      <c r="C2523" s="124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ht="18.75" customHeight="1" x14ac:dyDescent="0.35">
      <c r="C2524" s="124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ht="18.75" customHeight="1" x14ac:dyDescent="0.35">
      <c r="C2525" s="124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ht="18.75" customHeight="1" x14ac:dyDescent="0.35">
      <c r="C2526" s="124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ht="18.75" customHeight="1" x14ac:dyDescent="0.35">
      <c r="C2527" s="124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ht="18.75" customHeight="1" x14ac:dyDescent="0.35">
      <c r="C2528" s="124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ht="18.75" customHeight="1" x14ac:dyDescent="0.35">
      <c r="C2529" s="124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ht="18.75" customHeight="1" x14ac:dyDescent="0.35">
      <c r="C2530" s="124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ht="18.75" customHeight="1" x14ac:dyDescent="0.35">
      <c r="C2531" s="124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ht="18.75" customHeight="1" x14ac:dyDescent="0.35">
      <c r="C2532" s="124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ht="18.75" customHeight="1" x14ac:dyDescent="0.35">
      <c r="C2533" s="124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ht="18.75" customHeight="1" x14ac:dyDescent="0.35">
      <c r="C2534" s="124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ht="18.75" customHeight="1" x14ac:dyDescent="0.35">
      <c r="C2535" s="124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ht="18.75" customHeight="1" x14ac:dyDescent="0.35">
      <c r="C2536" s="124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ht="18.75" customHeight="1" x14ac:dyDescent="0.35">
      <c r="C2537" s="124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ht="18.75" customHeight="1" x14ac:dyDescent="0.35">
      <c r="C2538" s="124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ht="18.75" customHeight="1" x14ac:dyDescent="0.35">
      <c r="C2539" s="124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ht="18.75" customHeight="1" x14ac:dyDescent="0.35">
      <c r="C2540" s="124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ht="18.75" customHeight="1" x14ac:dyDescent="0.35">
      <c r="C2541" s="124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ht="18.75" customHeight="1" x14ac:dyDescent="0.35">
      <c r="C2542" s="124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ht="18.75" customHeight="1" x14ac:dyDescent="0.35">
      <c r="C2543" s="124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ht="18.75" customHeight="1" x14ac:dyDescent="0.35">
      <c r="C2544" s="124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ht="18.75" customHeight="1" x14ac:dyDescent="0.35">
      <c r="C2545" s="124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ht="18.75" customHeight="1" x14ac:dyDescent="0.35">
      <c r="C2546" s="124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ht="18.75" customHeight="1" x14ac:dyDescent="0.35">
      <c r="C2547" s="124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ht="18.75" customHeight="1" x14ac:dyDescent="0.35">
      <c r="C2548" s="124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ht="18.75" customHeight="1" x14ac:dyDescent="0.35">
      <c r="C2549" s="124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ht="18.75" customHeight="1" x14ac:dyDescent="0.35">
      <c r="C2550" s="124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ht="18.75" customHeight="1" x14ac:dyDescent="0.35">
      <c r="C2551" s="124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ht="18.75" customHeight="1" x14ac:dyDescent="0.35">
      <c r="C2552" s="124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ht="18.75" customHeight="1" x14ac:dyDescent="0.35">
      <c r="C2553" s="124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ht="18.75" customHeight="1" x14ac:dyDescent="0.35">
      <c r="C2554" s="124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ht="18.75" customHeight="1" x14ac:dyDescent="0.35">
      <c r="C2555" s="124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ht="18.75" customHeight="1" x14ac:dyDescent="0.35">
      <c r="C2556" s="124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ht="18.75" customHeight="1" x14ac:dyDescent="0.35">
      <c r="C2557" s="124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ht="18.75" customHeight="1" x14ac:dyDescent="0.35">
      <c r="C2558" s="124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ht="18.75" customHeight="1" x14ac:dyDescent="0.35">
      <c r="C2559" s="124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ht="18.75" customHeight="1" x14ac:dyDescent="0.35">
      <c r="C2560" s="124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ht="18.75" customHeight="1" x14ac:dyDescent="0.35">
      <c r="C2561" s="124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ht="18.75" customHeight="1" x14ac:dyDescent="0.35">
      <c r="C2562" s="124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ht="18.75" customHeight="1" x14ac:dyDescent="0.35">
      <c r="C2563" s="124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ht="18.75" customHeight="1" x14ac:dyDescent="0.35">
      <c r="C2564" s="124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ht="18.75" customHeight="1" x14ac:dyDescent="0.35">
      <c r="C2565" s="124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ht="18.75" customHeight="1" x14ac:dyDescent="0.35">
      <c r="C2566" s="124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ht="18.75" customHeight="1" x14ac:dyDescent="0.35">
      <c r="C2567" s="124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ht="18.75" customHeight="1" x14ac:dyDescent="0.35">
      <c r="C2568" s="124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ht="18.75" customHeight="1" x14ac:dyDescent="0.35">
      <c r="C2569" s="124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ht="18.75" customHeight="1" x14ac:dyDescent="0.35">
      <c r="C2570" s="124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ht="18.75" customHeight="1" x14ac:dyDescent="0.35">
      <c r="C2571" s="124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ht="18.75" customHeight="1" x14ac:dyDescent="0.35">
      <c r="C2572" s="124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ht="18.75" customHeight="1" x14ac:dyDescent="0.35">
      <c r="C2573" s="124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ht="18.75" customHeight="1" x14ac:dyDescent="0.35">
      <c r="C2574" s="124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ht="18.75" customHeight="1" x14ac:dyDescent="0.35">
      <c r="C2575" s="124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ht="18.75" customHeight="1" x14ac:dyDescent="0.35">
      <c r="C2576" s="124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ht="18.75" customHeight="1" x14ac:dyDescent="0.35">
      <c r="C2577" s="124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ht="18.75" customHeight="1" x14ac:dyDescent="0.35">
      <c r="C2578" s="124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ht="18.75" customHeight="1" x14ac:dyDescent="0.35">
      <c r="C2579" s="124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ht="18.75" customHeight="1" x14ac:dyDescent="0.35">
      <c r="C2580" s="124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ht="18.75" customHeight="1" x14ac:dyDescent="0.35">
      <c r="C2581" s="124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ht="18.75" customHeight="1" x14ac:dyDescent="0.35">
      <c r="C2582" s="124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ht="18.75" customHeight="1" x14ac:dyDescent="0.35">
      <c r="C2583" s="124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ht="18.75" customHeight="1" x14ac:dyDescent="0.35">
      <c r="C2584" s="124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ht="18.75" customHeight="1" x14ac:dyDescent="0.35">
      <c r="C2585" s="124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ht="18.75" customHeight="1" x14ac:dyDescent="0.35">
      <c r="C2586" s="124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ht="18.75" customHeight="1" x14ac:dyDescent="0.35">
      <c r="C2587" s="124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ht="18.75" customHeight="1" x14ac:dyDescent="0.35">
      <c r="C2588" s="124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ht="18.75" customHeight="1" x14ac:dyDescent="0.35">
      <c r="C2589" s="124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ht="18.75" customHeight="1" x14ac:dyDescent="0.35">
      <c r="C2590" s="124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ht="18.75" customHeight="1" x14ac:dyDescent="0.35">
      <c r="C2591" s="124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ht="18.75" customHeight="1" x14ac:dyDescent="0.35">
      <c r="C2592" s="124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ht="18.75" customHeight="1" x14ac:dyDescent="0.35">
      <c r="C2593" s="124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ht="18.75" customHeight="1" x14ac:dyDescent="0.35">
      <c r="C2594" s="124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ht="18.75" customHeight="1" x14ac:dyDescent="0.35">
      <c r="C2595" s="124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ht="18.75" customHeight="1" x14ac:dyDescent="0.35">
      <c r="C2596" s="124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ht="18.75" customHeight="1" x14ac:dyDescent="0.35">
      <c r="C2597" s="124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ht="18.75" customHeight="1" x14ac:dyDescent="0.35">
      <c r="C2598" s="124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ht="18.75" customHeight="1" x14ac:dyDescent="0.35">
      <c r="C2599" s="124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ht="18.75" customHeight="1" x14ac:dyDescent="0.35">
      <c r="C2600" s="124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ht="18.75" customHeight="1" x14ac:dyDescent="0.35">
      <c r="C2601" s="124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ht="18.75" customHeight="1" x14ac:dyDescent="0.35">
      <c r="C2602" s="124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ht="18.75" customHeight="1" x14ac:dyDescent="0.35">
      <c r="C2603" s="124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ht="18.75" customHeight="1" x14ac:dyDescent="0.35">
      <c r="C2604" s="124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ht="18.75" customHeight="1" x14ac:dyDescent="0.35">
      <c r="C2605" s="124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ht="18.75" customHeight="1" x14ac:dyDescent="0.35">
      <c r="C2606" s="124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ht="18.75" customHeight="1" x14ac:dyDescent="0.35">
      <c r="C2607" s="124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ht="18.75" customHeight="1" x14ac:dyDescent="0.35">
      <c r="C2608" s="124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ht="18.75" customHeight="1" x14ac:dyDescent="0.35">
      <c r="C2609" s="124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ht="18.75" customHeight="1" x14ac:dyDescent="0.35">
      <c r="C2610" s="124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ht="18.75" customHeight="1" x14ac:dyDescent="0.35">
      <c r="C2611" s="124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ht="18.75" customHeight="1" x14ac:dyDescent="0.35">
      <c r="C2612" s="124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ht="18.75" customHeight="1" x14ac:dyDescent="0.35">
      <c r="C2613" s="124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ht="18.75" customHeight="1" x14ac:dyDescent="0.35">
      <c r="C2614" s="124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ht="18.75" customHeight="1" x14ac:dyDescent="0.35">
      <c r="C2615" s="124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ht="18.75" customHeight="1" x14ac:dyDescent="0.35">
      <c r="C2616" s="124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ht="18.75" customHeight="1" x14ac:dyDescent="0.35">
      <c r="C2617" s="124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ht="18.75" customHeight="1" x14ac:dyDescent="0.35">
      <c r="C2618" s="124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ht="18.75" customHeight="1" x14ac:dyDescent="0.35">
      <c r="C2619" s="124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ht="18.75" customHeight="1" x14ac:dyDescent="0.35">
      <c r="C2620" s="124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ht="18.75" customHeight="1" x14ac:dyDescent="0.35">
      <c r="C2621" s="124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ht="18.75" customHeight="1" x14ac:dyDescent="0.35">
      <c r="C2622" s="124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ht="18.75" customHeight="1" x14ac:dyDescent="0.35">
      <c r="C2623" s="124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ht="18.75" customHeight="1" x14ac:dyDescent="0.35">
      <c r="C2624" s="124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ht="18.75" customHeight="1" x14ac:dyDescent="0.35">
      <c r="C2625" s="124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ht="18.75" customHeight="1" x14ac:dyDescent="0.35">
      <c r="C2626" s="124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ht="18.75" customHeight="1" x14ac:dyDescent="0.35">
      <c r="C2627" s="124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ht="18.75" customHeight="1" x14ac:dyDescent="0.35">
      <c r="C2628" s="124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ht="18.75" customHeight="1" x14ac:dyDescent="0.35">
      <c r="C2629" s="124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ht="18.75" customHeight="1" x14ac:dyDescent="0.35">
      <c r="C2630" s="124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ht="18.75" customHeight="1" x14ac:dyDescent="0.35">
      <c r="C2631" s="124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ht="18.75" customHeight="1" x14ac:dyDescent="0.35">
      <c r="C2632" s="124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ht="18.75" customHeight="1" x14ac:dyDescent="0.35">
      <c r="C2633" s="124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ht="18.75" customHeight="1" x14ac:dyDescent="0.35">
      <c r="C2634" s="124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ht="18.75" customHeight="1" x14ac:dyDescent="0.35">
      <c r="C2635" s="124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ht="18.75" customHeight="1" x14ac:dyDescent="0.35">
      <c r="C2636" s="124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ht="18.75" customHeight="1" x14ac:dyDescent="0.35">
      <c r="C2637" s="124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ht="18.75" customHeight="1" x14ac:dyDescent="0.35">
      <c r="C2638" s="124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ht="18.75" customHeight="1" x14ac:dyDescent="0.35">
      <c r="C2639" s="124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ht="18.75" customHeight="1" x14ac:dyDescent="0.35">
      <c r="C2640" s="124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ht="18.75" customHeight="1" x14ac:dyDescent="0.35">
      <c r="C2641" s="124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ht="18.75" customHeight="1" x14ac:dyDescent="0.35">
      <c r="C2642" s="124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ht="18.75" customHeight="1" x14ac:dyDescent="0.35">
      <c r="C2643" s="124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ht="18.75" customHeight="1" x14ac:dyDescent="0.35">
      <c r="C2644" s="124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ht="18.75" customHeight="1" x14ac:dyDescent="0.35">
      <c r="C2645" s="124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ht="18.75" customHeight="1" x14ac:dyDescent="0.35">
      <c r="C2646" s="124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ht="18.75" customHeight="1" x14ac:dyDescent="0.35">
      <c r="C2647" s="124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ht="18.75" customHeight="1" x14ac:dyDescent="0.35">
      <c r="C2648" s="124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ht="18.75" customHeight="1" x14ac:dyDescent="0.35">
      <c r="C2649" s="124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ht="18.75" customHeight="1" x14ac:dyDescent="0.35">
      <c r="C2650" s="124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ht="18.75" customHeight="1" x14ac:dyDescent="0.35">
      <c r="C2651" s="124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ht="18.75" customHeight="1" x14ac:dyDescent="0.35">
      <c r="C2652" s="124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ht="18.75" customHeight="1" x14ac:dyDescent="0.35">
      <c r="C2653" s="124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ht="18.75" customHeight="1" x14ac:dyDescent="0.35">
      <c r="C2654" s="124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ht="18.75" customHeight="1" x14ac:dyDescent="0.35">
      <c r="C2655" s="124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ht="18.75" customHeight="1" x14ac:dyDescent="0.35">
      <c r="C2656" s="124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ht="18.75" customHeight="1" x14ac:dyDescent="0.35">
      <c r="C2657" s="124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ht="18.75" customHeight="1" x14ac:dyDescent="0.35">
      <c r="C2658" s="124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ht="18.75" customHeight="1" x14ac:dyDescent="0.35">
      <c r="C2659" s="124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ht="18.75" customHeight="1" x14ac:dyDescent="0.35">
      <c r="C2660" s="124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ht="18.75" customHeight="1" x14ac:dyDescent="0.35">
      <c r="C2661" s="124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ht="18.75" customHeight="1" x14ac:dyDescent="0.35">
      <c r="C2662" s="124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ht="18.75" customHeight="1" x14ac:dyDescent="0.35">
      <c r="C2663" s="124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ht="18.75" customHeight="1" x14ac:dyDescent="0.35">
      <c r="C2664" s="124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ht="18.75" customHeight="1" x14ac:dyDescent="0.35">
      <c r="C2665" s="124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ht="18.75" customHeight="1" x14ac:dyDescent="0.35">
      <c r="C2666" s="124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ht="18.75" customHeight="1" x14ac:dyDescent="0.35">
      <c r="C2667" s="124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ht="18.75" customHeight="1" x14ac:dyDescent="0.35">
      <c r="C2668" s="124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ht="18.75" customHeight="1" x14ac:dyDescent="0.35">
      <c r="C2669" s="124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ht="18.75" customHeight="1" x14ac:dyDescent="0.35">
      <c r="C2670" s="124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ht="18.75" customHeight="1" x14ac:dyDescent="0.35">
      <c r="C2671" s="124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ht="18.75" customHeight="1" x14ac:dyDescent="0.35">
      <c r="C2672" s="124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ht="18.75" customHeight="1" x14ac:dyDescent="0.35">
      <c r="C2673" s="124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ht="18.75" customHeight="1" x14ac:dyDescent="0.35">
      <c r="C2674" s="124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ht="18.75" customHeight="1" x14ac:dyDescent="0.35">
      <c r="C2675" s="124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ht="18.75" customHeight="1" x14ac:dyDescent="0.35">
      <c r="C2676" s="124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ht="18.75" customHeight="1" x14ac:dyDescent="0.35">
      <c r="C2677" s="124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ht="18.75" customHeight="1" x14ac:dyDescent="0.35">
      <c r="C2678" s="124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ht="18.75" customHeight="1" x14ac:dyDescent="0.35">
      <c r="C2679" s="124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ht="18.75" customHeight="1" x14ac:dyDescent="0.35">
      <c r="C2680" s="124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ht="18.75" customHeight="1" x14ac:dyDescent="0.35">
      <c r="C2681" s="124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ht="18.75" customHeight="1" x14ac:dyDescent="0.35">
      <c r="C2682" s="124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ht="18.75" customHeight="1" x14ac:dyDescent="0.35">
      <c r="C2683" s="124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ht="18.75" customHeight="1" x14ac:dyDescent="0.35">
      <c r="C2684" s="124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ht="18.75" customHeight="1" x14ac:dyDescent="0.35">
      <c r="C2685" s="124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ht="18.75" customHeight="1" x14ac:dyDescent="0.35">
      <c r="C2686" s="124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ht="18.75" customHeight="1" x14ac:dyDescent="0.35">
      <c r="C2687" s="124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ht="18.75" customHeight="1" x14ac:dyDescent="0.35">
      <c r="C2688" s="124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ht="18.75" customHeight="1" x14ac:dyDescent="0.35">
      <c r="C2689" s="124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ht="18.75" customHeight="1" x14ac:dyDescent="0.35">
      <c r="C2690" s="124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ht="18.75" customHeight="1" x14ac:dyDescent="0.35">
      <c r="C2691" s="124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ht="18.75" customHeight="1" x14ac:dyDescent="0.35">
      <c r="C2692" s="124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ht="18.75" customHeight="1" x14ac:dyDescent="0.35">
      <c r="C2693" s="124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ht="18.75" customHeight="1" x14ac:dyDescent="0.35">
      <c r="C2694" s="124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ht="18.75" customHeight="1" x14ac:dyDescent="0.35">
      <c r="C2695" s="124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ht="18.75" customHeight="1" x14ac:dyDescent="0.35">
      <c r="C2696" s="124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ht="18.75" customHeight="1" x14ac:dyDescent="0.35">
      <c r="C2697" s="124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ht="18.75" customHeight="1" x14ac:dyDescent="0.35">
      <c r="C2698" s="124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ht="18.75" customHeight="1" x14ac:dyDescent="0.35">
      <c r="C2699" s="124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ht="18.75" customHeight="1" x14ac:dyDescent="0.35">
      <c r="C2700" s="124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ht="18.75" customHeight="1" x14ac:dyDescent="0.35">
      <c r="C2701" s="124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ht="18.75" customHeight="1" x14ac:dyDescent="0.35">
      <c r="C2702" s="124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ht="18.75" customHeight="1" x14ac:dyDescent="0.35">
      <c r="C2703" s="124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ht="18.75" customHeight="1" x14ac:dyDescent="0.35">
      <c r="C2704" s="124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ht="18.75" customHeight="1" x14ac:dyDescent="0.35">
      <c r="C2705" s="124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ht="18.75" customHeight="1" x14ac:dyDescent="0.35">
      <c r="C2706" s="124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ht="18.75" customHeight="1" x14ac:dyDescent="0.35">
      <c r="C2707" s="124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ht="18.75" customHeight="1" x14ac:dyDescent="0.35">
      <c r="C2708" s="124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ht="18.75" customHeight="1" x14ac:dyDescent="0.35">
      <c r="C2709" s="124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ht="18.75" customHeight="1" x14ac:dyDescent="0.35">
      <c r="C2710" s="124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ht="18.75" customHeight="1" x14ac:dyDescent="0.35">
      <c r="C2711" s="124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ht="18.75" customHeight="1" x14ac:dyDescent="0.35">
      <c r="C2712" s="124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ht="18.75" customHeight="1" x14ac:dyDescent="0.35">
      <c r="C2713" s="124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ht="18.75" customHeight="1" x14ac:dyDescent="0.35">
      <c r="C2714" s="124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ht="18.75" customHeight="1" x14ac:dyDescent="0.35">
      <c r="C2715" s="124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ht="18.75" customHeight="1" x14ac:dyDescent="0.35">
      <c r="C2716" s="124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ht="18.75" customHeight="1" x14ac:dyDescent="0.35">
      <c r="C2717" s="124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ht="18.75" customHeight="1" x14ac:dyDescent="0.35">
      <c r="C2718" s="124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ht="18.75" customHeight="1" x14ac:dyDescent="0.35">
      <c r="C2719" s="124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ht="18.75" customHeight="1" x14ac:dyDescent="0.35">
      <c r="C2720" s="124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ht="18.75" customHeight="1" x14ac:dyDescent="0.35">
      <c r="C2721" s="124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ht="18.75" customHeight="1" x14ac:dyDescent="0.35">
      <c r="C2722" s="124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ht="18.75" customHeight="1" x14ac:dyDescent="0.35">
      <c r="C2723" s="124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ht="18.75" customHeight="1" x14ac:dyDescent="0.35">
      <c r="C2724" s="124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ht="18.75" customHeight="1" x14ac:dyDescent="0.35">
      <c r="C2725" s="124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ht="18.75" customHeight="1" x14ac:dyDescent="0.35">
      <c r="C2726" s="124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ht="18.75" customHeight="1" x14ac:dyDescent="0.35">
      <c r="C2727" s="124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ht="18.75" customHeight="1" x14ac:dyDescent="0.35">
      <c r="C2728" s="124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ht="18.75" customHeight="1" x14ac:dyDescent="0.35">
      <c r="C2729" s="124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ht="18.75" customHeight="1" x14ac:dyDescent="0.35">
      <c r="C2730" s="124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ht="18.75" customHeight="1" x14ac:dyDescent="0.35">
      <c r="C2731" s="124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ht="18.75" customHeight="1" x14ac:dyDescent="0.35">
      <c r="C2732" s="124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ht="18.75" customHeight="1" x14ac:dyDescent="0.35">
      <c r="C2733" s="124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ht="18.75" customHeight="1" x14ac:dyDescent="0.35">
      <c r="C2734" s="124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ht="18.75" customHeight="1" x14ac:dyDescent="0.35">
      <c r="C2735" s="124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ht="18.75" customHeight="1" x14ac:dyDescent="0.35">
      <c r="C2736" s="124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ht="18.75" customHeight="1" x14ac:dyDescent="0.35">
      <c r="C2737" s="124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ht="18.75" customHeight="1" x14ac:dyDescent="0.35">
      <c r="C2738" s="124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ht="18.75" customHeight="1" x14ac:dyDescent="0.35">
      <c r="C2739" s="124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ht="18.75" customHeight="1" x14ac:dyDescent="0.35">
      <c r="C2740" s="124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ht="18.75" customHeight="1" x14ac:dyDescent="0.35">
      <c r="C2741" s="124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ht="18.75" customHeight="1" x14ac:dyDescent="0.35">
      <c r="C2742" s="124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ht="18.75" customHeight="1" x14ac:dyDescent="0.35">
      <c r="C2743" s="124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ht="18.75" customHeight="1" x14ac:dyDescent="0.35">
      <c r="C2744" s="124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ht="18.75" customHeight="1" x14ac:dyDescent="0.35">
      <c r="C2745" s="124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ht="18.75" customHeight="1" x14ac:dyDescent="0.35">
      <c r="C2746" s="124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ht="18.75" customHeight="1" x14ac:dyDescent="0.35">
      <c r="C2747" s="124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ht="18.75" customHeight="1" x14ac:dyDescent="0.35">
      <c r="C2748" s="124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ht="18.75" customHeight="1" x14ac:dyDescent="0.35">
      <c r="C2749" s="124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ht="18.75" customHeight="1" x14ac:dyDescent="0.35">
      <c r="C2750" s="124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ht="18.75" customHeight="1" x14ac:dyDescent="0.35">
      <c r="C2751" s="124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ht="18.75" customHeight="1" x14ac:dyDescent="0.35">
      <c r="C2752" s="124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ht="18.75" customHeight="1" x14ac:dyDescent="0.35">
      <c r="C2753" s="124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ht="18.75" customHeight="1" x14ac:dyDescent="0.35">
      <c r="C2754" s="124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ht="18.75" customHeight="1" x14ac:dyDescent="0.35">
      <c r="C2755" s="124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ht="18.75" customHeight="1" x14ac:dyDescent="0.35">
      <c r="C2756" s="124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ht="18.75" customHeight="1" x14ac:dyDescent="0.35">
      <c r="C2757" s="124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ht="18.75" customHeight="1" x14ac:dyDescent="0.35">
      <c r="C2758" s="124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ht="18.75" customHeight="1" x14ac:dyDescent="0.35">
      <c r="C2759" s="124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ht="18.75" customHeight="1" x14ac:dyDescent="0.35">
      <c r="C2760" s="124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ht="18.75" customHeight="1" x14ac:dyDescent="0.35">
      <c r="C2761" s="124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ht="18.75" customHeight="1" x14ac:dyDescent="0.35">
      <c r="C2762" s="124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ht="18.75" customHeight="1" x14ac:dyDescent="0.35">
      <c r="C2763" s="124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ht="18.75" customHeight="1" x14ac:dyDescent="0.35">
      <c r="C2764" s="124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ht="18.75" customHeight="1" x14ac:dyDescent="0.35">
      <c r="C2765" s="124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ht="18.75" customHeight="1" x14ac:dyDescent="0.35">
      <c r="C2766" s="124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ht="18.75" customHeight="1" x14ac:dyDescent="0.35">
      <c r="C2767" s="124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ht="18.75" customHeight="1" x14ac:dyDescent="0.35">
      <c r="C2768" s="124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ht="18.75" customHeight="1" x14ac:dyDescent="0.35">
      <c r="C2769" s="124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ht="18.75" customHeight="1" x14ac:dyDescent="0.35">
      <c r="C2770" s="124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ht="18.75" customHeight="1" x14ac:dyDescent="0.35">
      <c r="C2771" s="124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ht="18.75" customHeight="1" x14ac:dyDescent="0.35">
      <c r="C2772" s="124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ht="18.75" customHeight="1" x14ac:dyDescent="0.35">
      <c r="C2773" s="124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ht="18.75" customHeight="1" x14ac:dyDescent="0.35">
      <c r="C2774" s="124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ht="18.75" customHeight="1" x14ac:dyDescent="0.35">
      <c r="C2775" s="124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ht="18.75" customHeight="1" x14ac:dyDescent="0.35">
      <c r="C2776" s="124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ht="18.75" customHeight="1" x14ac:dyDescent="0.35">
      <c r="C2777" s="124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ht="18.75" customHeight="1" x14ac:dyDescent="0.35">
      <c r="C2778" s="124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ht="18.75" customHeight="1" x14ac:dyDescent="0.35">
      <c r="C2779" s="124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ht="18.75" customHeight="1" x14ac:dyDescent="0.35">
      <c r="C2780" s="124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ht="18.75" customHeight="1" x14ac:dyDescent="0.35">
      <c r="C2781" s="124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ht="18.75" customHeight="1" x14ac:dyDescent="0.35">
      <c r="C2782" s="124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ht="18.75" customHeight="1" x14ac:dyDescent="0.35">
      <c r="C2783" s="124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ht="18.75" customHeight="1" x14ac:dyDescent="0.35">
      <c r="C2784" s="124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ht="18.75" customHeight="1" x14ac:dyDescent="0.35">
      <c r="C2785" s="124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ht="18.75" customHeight="1" x14ac:dyDescent="0.35">
      <c r="C2786" s="124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ht="18.75" customHeight="1" x14ac:dyDescent="0.35">
      <c r="C2787" s="124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ht="18.75" customHeight="1" x14ac:dyDescent="0.35">
      <c r="C2788" s="124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ht="18.75" customHeight="1" x14ac:dyDescent="0.35">
      <c r="C2789" s="124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ht="18.75" customHeight="1" x14ac:dyDescent="0.35">
      <c r="C2790" s="124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ht="18.75" customHeight="1" x14ac:dyDescent="0.35">
      <c r="C2791" s="124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ht="18.75" customHeight="1" x14ac:dyDescent="0.35">
      <c r="C2792" s="124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ht="18.75" customHeight="1" x14ac:dyDescent="0.35">
      <c r="C2793" s="124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ht="18.75" customHeight="1" x14ac:dyDescent="0.35">
      <c r="C2794" s="124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ht="18.75" customHeight="1" x14ac:dyDescent="0.35">
      <c r="C2795" s="124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ht="18.75" customHeight="1" x14ac:dyDescent="0.35">
      <c r="C2796" s="124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ht="18.75" customHeight="1" x14ac:dyDescent="0.35">
      <c r="C2797" s="124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ht="18.75" customHeight="1" x14ac:dyDescent="0.35">
      <c r="C2798" s="124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ht="18.75" customHeight="1" x14ac:dyDescent="0.35">
      <c r="C2799" s="124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ht="18.75" customHeight="1" x14ac:dyDescent="0.35">
      <c r="C2800" s="124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ht="18.75" customHeight="1" x14ac:dyDescent="0.35">
      <c r="C2801" s="124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ht="18.75" customHeight="1" x14ac:dyDescent="0.35">
      <c r="C2802" s="124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ht="18.75" customHeight="1" x14ac:dyDescent="0.35">
      <c r="C2803" s="124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ht="18.75" customHeight="1" x14ac:dyDescent="0.35">
      <c r="C2804" s="124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ht="18.75" customHeight="1" x14ac:dyDescent="0.35">
      <c r="C2805" s="124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ht="18.75" customHeight="1" x14ac:dyDescent="0.35">
      <c r="C2806" s="124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ht="18.75" customHeight="1" x14ac:dyDescent="0.35">
      <c r="C2807" s="124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ht="18.75" customHeight="1" x14ac:dyDescent="0.35">
      <c r="C2808" s="124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ht="18.75" customHeight="1" x14ac:dyDescent="0.35">
      <c r="C2809" s="124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ht="18.75" customHeight="1" x14ac:dyDescent="0.35">
      <c r="C2810" s="124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ht="18.75" customHeight="1" x14ac:dyDescent="0.35">
      <c r="C2811" s="124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ht="18.75" customHeight="1" x14ac:dyDescent="0.35">
      <c r="C2812" s="124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ht="18.75" customHeight="1" x14ac:dyDescent="0.35">
      <c r="C2813" s="124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ht="18.75" customHeight="1" x14ac:dyDescent="0.35">
      <c r="C2814" s="124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ht="18.75" customHeight="1" x14ac:dyDescent="0.35">
      <c r="C2815" s="124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ht="18.75" customHeight="1" x14ac:dyDescent="0.35">
      <c r="C2816" s="124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ht="18.75" customHeight="1" x14ac:dyDescent="0.35">
      <c r="C2817" s="124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ht="18.75" customHeight="1" x14ac:dyDescent="0.35">
      <c r="C2818" s="124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ht="18.75" customHeight="1" x14ac:dyDescent="0.35">
      <c r="C2819" s="124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ht="18.75" customHeight="1" x14ac:dyDescent="0.35">
      <c r="C2820" s="124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ht="18.75" customHeight="1" x14ac:dyDescent="0.35">
      <c r="C2821" s="124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ht="18.75" customHeight="1" x14ac:dyDescent="0.35">
      <c r="C2822" s="124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ht="18.75" customHeight="1" x14ac:dyDescent="0.35">
      <c r="C2823" s="124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ht="18.75" customHeight="1" x14ac:dyDescent="0.35">
      <c r="C2824" s="124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ht="18.75" customHeight="1" x14ac:dyDescent="0.35">
      <c r="C2825" s="124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ht="18.75" customHeight="1" x14ac:dyDescent="0.35">
      <c r="C2826" s="124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ht="18.75" customHeight="1" x14ac:dyDescent="0.35">
      <c r="C2827" s="124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ht="18.75" customHeight="1" x14ac:dyDescent="0.35">
      <c r="C2828" s="124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ht="18.75" customHeight="1" x14ac:dyDescent="0.35">
      <c r="C2829" s="124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ht="18.75" customHeight="1" x14ac:dyDescent="0.35">
      <c r="C2830" s="124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ht="18.75" customHeight="1" x14ac:dyDescent="0.35">
      <c r="C2831" s="124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ht="18.75" customHeight="1" x14ac:dyDescent="0.35">
      <c r="C2832" s="124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ht="18.75" customHeight="1" x14ac:dyDescent="0.35">
      <c r="C2833" s="124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ht="18.75" customHeight="1" x14ac:dyDescent="0.35">
      <c r="C2834" s="124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ht="18.75" customHeight="1" x14ac:dyDescent="0.35">
      <c r="C2835" s="124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ht="18.75" customHeight="1" x14ac:dyDescent="0.35">
      <c r="C2836" s="124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ht="18.75" customHeight="1" x14ac:dyDescent="0.35">
      <c r="C2837" s="124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ht="18.75" customHeight="1" x14ac:dyDescent="0.35">
      <c r="C2838" s="124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ht="18.75" customHeight="1" x14ac:dyDescent="0.35">
      <c r="C2839" s="124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ht="18.75" customHeight="1" x14ac:dyDescent="0.35">
      <c r="C2840" s="124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ht="18.75" customHeight="1" x14ac:dyDescent="0.35">
      <c r="C2841" s="124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ht="18.75" customHeight="1" x14ac:dyDescent="0.35">
      <c r="C2842" s="124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ht="18.75" customHeight="1" x14ac:dyDescent="0.35">
      <c r="C2843" s="124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ht="18.75" customHeight="1" x14ac:dyDescent="0.35">
      <c r="C2844" s="124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ht="18.75" customHeight="1" x14ac:dyDescent="0.35">
      <c r="C2845" s="124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ht="18.75" customHeight="1" x14ac:dyDescent="0.35">
      <c r="C2846" s="124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ht="18.75" customHeight="1" x14ac:dyDescent="0.35">
      <c r="C2847" s="124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ht="18.75" customHeight="1" x14ac:dyDescent="0.35">
      <c r="C2848" s="124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ht="18.75" customHeight="1" x14ac:dyDescent="0.35">
      <c r="C2849" s="124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ht="18.75" customHeight="1" x14ac:dyDescent="0.35">
      <c r="C2850" s="124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ht="18.75" customHeight="1" x14ac:dyDescent="0.35">
      <c r="C2851" s="124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ht="18.75" customHeight="1" x14ac:dyDescent="0.35">
      <c r="C2852" s="124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ht="18.75" customHeight="1" x14ac:dyDescent="0.35">
      <c r="C2853" s="124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ht="18.75" customHeight="1" x14ac:dyDescent="0.35">
      <c r="C2854" s="124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ht="18.75" customHeight="1" x14ac:dyDescent="0.35">
      <c r="C2855" s="124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ht="18.75" customHeight="1" x14ac:dyDescent="0.35">
      <c r="C2856" s="124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ht="18.75" customHeight="1" x14ac:dyDescent="0.35">
      <c r="C2857" s="124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ht="18.75" customHeight="1" x14ac:dyDescent="0.35">
      <c r="C2858" s="124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ht="18.75" customHeight="1" x14ac:dyDescent="0.35">
      <c r="C2859" s="124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ht="18.75" customHeight="1" x14ac:dyDescent="0.35">
      <c r="C2860" s="124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ht="18.75" customHeight="1" x14ac:dyDescent="0.35">
      <c r="C2861" s="124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ht="18.75" customHeight="1" x14ac:dyDescent="0.35">
      <c r="C2862" s="124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ht="18.75" customHeight="1" x14ac:dyDescent="0.35">
      <c r="C2863" s="124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ht="18.75" customHeight="1" x14ac:dyDescent="0.35">
      <c r="C2864" s="124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ht="18.75" customHeight="1" x14ac:dyDescent="0.35">
      <c r="C2865" s="124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ht="18.75" customHeight="1" x14ac:dyDescent="0.35">
      <c r="C2866" s="124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ht="18.75" customHeight="1" x14ac:dyDescent="0.35">
      <c r="C2867" s="124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ht="18.75" customHeight="1" x14ac:dyDescent="0.35">
      <c r="C2868" s="124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ht="18.75" customHeight="1" x14ac:dyDescent="0.35">
      <c r="C2869" s="124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ht="18.75" customHeight="1" x14ac:dyDescent="0.35">
      <c r="C2870" s="124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ht="18.75" customHeight="1" x14ac:dyDescent="0.35">
      <c r="C2871" s="124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ht="18.75" customHeight="1" x14ac:dyDescent="0.35">
      <c r="C2872" s="124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ht="18.75" customHeight="1" x14ac:dyDescent="0.35">
      <c r="C2873" s="124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ht="18.75" customHeight="1" x14ac:dyDescent="0.35">
      <c r="C2874" s="124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ht="18.75" customHeight="1" x14ac:dyDescent="0.35">
      <c r="C2875" s="124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ht="18.75" customHeight="1" x14ac:dyDescent="0.35">
      <c r="C2876" s="124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ht="18.75" customHeight="1" x14ac:dyDescent="0.35">
      <c r="C2877" s="124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ht="18.75" customHeight="1" x14ac:dyDescent="0.35">
      <c r="C2878" s="124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ht="18.75" customHeight="1" x14ac:dyDescent="0.35">
      <c r="C2879" s="124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ht="18.75" customHeight="1" x14ac:dyDescent="0.35">
      <c r="C2880" s="124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ht="18.75" customHeight="1" x14ac:dyDescent="0.35">
      <c r="C2881" s="124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ht="18.75" customHeight="1" x14ac:dyDescent="0.35">
      <c r="C2882" s="124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ht="18.75" customHeight="1" x14ac:dyDescent="0.35">
      <c r="C2883" s="124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ht="18.75" customHeight="1" x14ac:dyDescent="0.35">
      <c r="C2884" s="124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ht="18.75" customHeight="1" x14ac:dyDescent="0.35">
      <c r="C2885" s="124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ht="18.75" customHeight="1" x14ac:dyDescent="0.35">
      <c r="C2886" s="124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ht="18.75" customHeight="1" x14ac:dyDescent="0.35">
      <c r="C2887" s="124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ht="18.75" customHeight="1" x14ac:dyDescent="0.35">
      <c r="C2888" s="124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ht="18.75" customHeight="1" x14ac:dyDescent="0.35">
      <c r="C2889" s="124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ht="18.75" customHeight="1" x14ac:dyDescent="0.35">
      <c r="C2890" s="124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ht="18.75" customHeight="1" x14ac:dyDescent="0.35">
      <c r="C2891" s="124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ht="18.75" customHeight="1" x14ac:dyDescent="0.35">
      <c r="C2892" s="124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ht="18.75" customHeight="1" x14ac:dyDescent="0.35">
      <c r="C2893" s="124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ht="18.75" customHeight="1" x14ac:dyDescent="0.35">
      <c r="C2894" s="124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ht="18.75" customHeight="1" x14ac:dyDescent="0.35">
      <c r="C2895" s="124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ht="18.75" customHeight="1" x14ac:dyDescent="0.35">
      <c r="C2896" s="124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ht="18.75" customHeight="1" x14ac:dyDescent="0.35">
      <c r="C2897" s="124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ht="18.75" customHeight="1" x14ac:dyDescent="0.35">
      <c r="C2898" s="124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ht="18.75" customHeight="1" x14ac:dyDescent="0.35">
      <c r="C2899" s="124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ht="18.75" customHeight="1" x14ac:dyDescent="0.35">
      <c r="C2900" s="124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ht="18.75" customHeight="1" x14ac:dyDescent="0.35">
      <c r="C2901" s="124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ht="18.75" customHeight="1" x14ac:dyDescent="0.35">
      <c r="C2902" s="124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ht="18.75" customHeight="1" x14ac:dyDescent="0.35">
      <c r="C2903" s="124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ht="18.75" customHeight="1" x14ac:dyDescent="0.35">
      <c r="C2904" s="124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ht="18.75" customHeight="1" x14ac:dyDescent="0.35">
      <c r="C2905" s="124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ht="18.75" customHeight="1" x14ac:dyDescent="0.35">
      <c r="C2906" s="124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ht="18.75" customHeight="1" x14ac:dyDescent="0.35">
      <c r="C2907" s="124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ht="18.75" customHeight="1" x14ac:dyDescent="0.35">
      <c r="C2908" s="124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ht="18.75" customHeight="1" x14ac:dyDescent="0.35">
      <c r="C2909" s="124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ht="18.75" customHeight="1" x14ac:dyDescent="0.35">
      <c r="C2910" s="124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ht="18.75" customHeight="1" x14ac:dyDescent="0.35">
      <c r="C2911" s="124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ht="18.75" customHeight="1" x14ac:dyDescent="0.35">
      <c r="C2912" s="124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ht="18.75" customHeight="1" x14ac:dyDescent="0.35">
      <c r="C2913" s="124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ht="18.75" customHeight="1" x14ac:dyDescent="0.35">
      <c r="C2914" s="124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ht="18.75" customHeight="1" x14ac:dyDescent="0.35">
      <c r="C2915" s="124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ht="18.75" customHeight="1" x14ac:dyDescent="0.35">
      <c r="C2916" s="124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ht="18.75" customHeight="1" x14ac:dyDescent="0.35">
      <c r="C2917" s="124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ht="18.75" customHeight="1" x14ac:dyDescent="0.35">
      <c r="C2918" s="124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ht="18.75" customHeight="1" x14ac:dyDescent="0.35">
      <c r="C2919" s="124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ht="18.75" customHeight="1" x14ac:dyDescent="0.35">
      <c r="C2920" s="124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ht="18.75" customHeight="1" x14ac:dyDescent="0.35">
      <c r="C2921" s="124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ht="18.75" customHeight="1" x14ac:dyDescent="0.35">
      <c r="C2922" s="124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ht="18.75" customHeight="1" x14ac:dyDescent="0.35">
      <c r="C2923" s="124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ht="18.75" customHeight="1" x14ac:dyDescent="0.35">
      <c r="C2924" s="124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ht="18.75" customHeight="1" x14ac:dyDescent="0.35">
      <c r="C2925" s="124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ht="18.75" customHeight="1" x14ac:dyDescent="0.35">
      <c r="C2926" s="124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ht="18.75" customHeight="1" x14ac:dyDescent="0.35">
      <c r="C2927" s="124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ht="18.75" customHeight="1" x14ac:dyDescent="0.35">
      <c r="C2928" s="124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ht="18.75" customHeight="1" x14ac:dyDescent="0.35">
      <c r="C2929" s="124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ht="18.75" customHeight="1" x14ac:dyDescent="0.35">
      <c r="C2930" s="124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ht="18.75" customHeight="1" x14ac:dyDescent="0.35">
      <c r="C2931" s="124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ht="18.75" customHeight="1" x14ac:dyDescent="0.35">
      <c r="C2932" s="124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ht="18.75" customHeight="1" x14ac:dyDescent="0.35">
      <c r="C2933" s="124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ht="18.75" customHeight="1" x14ac:dyDescent="0.35">
      <c r="C2934" s="124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ht="18.75" customHeight="1" x14ac:dyDescent="0.35">
      <c r="C2935" s="124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ht="18.75" customHeight="1" x14ac:dyDescent="0.35">
      <c r="C2936" s="124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ht="18.75" customHeight="1" x14ac:dyDescent="0.35">
      <c r="C2937" s="124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ht="18.75" customHeight="1" x14ac:dyDescent="0.35">
      <c r="C2938" s="124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ht="18.75" customHeight="1" x14ac:dyDescent="0.35">
      <c r="C2939" s="124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ht="18.75" customHeight="1" x14ac:dyDescent="0.35">
      <c r="C2940" s="124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ht="18.75" customHeight="1" x14ac:dyDescent="0.35">
      <c r="C2941" s="124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ht="18.75" customHeight="1" x14ac:dyDescent="0.35">
      <c r="C2942" s="124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ht="18.75" customHeight="1" x14ac:dyDescent="0.35">
      <c r="C2943" s="124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ht="18.75" customHeight="1" x14ac:dyDescent="0.35">
      <c r="C2944" s="124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ht="18.75" customHeight="1" x14ac:dyDescent="0.35">
      <c r="C2945" s="124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ht="18.75" customHeight="1" x14ac:dyDescent="0.35">
      <c r="C2946" s="124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ht="18.75" customHeight="1" x14ac:dyDescent="0.35">
      <c r="C2947" s="124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ht="18.75" customHeight="1" x14ac:dyDescent="0.35">
      <c r="C2948" s="124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ht="18.75" customHeight="1" x14ac:dyDescent="0.35">
      <c r="C2949" s="124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ht="18.75" customHeight="1" x14ac:dyDescent="0.35">
      <c r="C2950" s="124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ht="18.75" customHeight="1" x14ac:dyDescent="0.35">
      <c r="C2951" s="124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ht="18.75" customHeight="1" x14ac:dyDescent="0.35">
      <c r="C2952" s="124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ht="18.75" customHeight="1" x14ac:dyDescent="0.35">
      <c r="C2953" s="124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ht="18.75" customHeight="1" x14ac:dyDescent="0.35">
      <c r="C2954" s="124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ht="18.75" customHeight="1" x14ac:dyDescent="0.35">
      <c r="C2955" s="124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ht="18.75" customHeight="1" x14ac:dyDescent="0.35">
      <c r="C2956" s="124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ht="18.75" customHeight="1" x14ac:dyDescent="0.35">
      <c r="C2957" s="124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ht="18.75" customHeight="1" x14ac:dyDescent="0.35">
      <c r="C2958" s="124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ht="18.75" customHeight="1" x14ac:dyDescent="0.35">
      <c r="C2959" s="124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ht="18.75" customHeight="1" x14ac:dyDescent="0.35">
      <c r="C2960" s="124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ht="18.75" customHeight="1" x14ac:dyDescent="0.35">
      <c r="C2961" s="124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ht="18.75" customHeight="1" x14ac:dyDescent="0.35">
      <c r="C2962" s="124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ht="18.75" customHeight="1" x14ac:dyDescent="0.35">
      <c r="C2963" s="124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ht="18.75" customHeight="1" x14ac:dyDescent="0.35">
      <c r="C2964" s="124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ht="18.75" customHeight="1" x14ac:dyDescent="0.35">
      <c r="C2965" s="124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ht="18.75" customHeight="1" x14ac:dyDescent="0.35">
      <c r="C2966" s="124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ht="18.75" customHeight="1" x14ac:dyDescent="0.35">
      <c r="C2967" s="124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ht="18.75" customHeight="1" x14ac:dyDescent="0.35">
      <c r="C2968" s="124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ht="18.75" customHeight="1" x14ac:dyDescent="0.35">
      <c r="C2969" s="124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ht="18.75" customHeight="1" x14ac:dyDescent="0.35">
      <c r="C2970" s="124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ht="18.75" customHeight="1" x14ac:dyDescent="0.35">
      <c r="C2971" s="124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ht="18.75" customHeight="1" x14ac:dyDescent="0.35">
      <c r="C2972" s="124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ht="18.75" customHeight="1" x14ac:dyDescent="0.35">
      <c r="C2973" s="124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ht="18.75" customHeight="1" x14ac:dyDescent="0.35">
      <c r="C2974" s="124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ht="18.75" customHeight="1" x14ac:dyDescent="0.35">
      <c r="C2975" s="124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ht="18.75" customHeight="1" x14ac:dyDescent="0.35">
      <c r="C2976" s="124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ht="18.75" customHeight="1" x14ac:dyDescent="0.35">
      <c r="C2977" s="124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ht="18.75" customHeight="1" x14ac:dyDescent="0.35">
      <c r="C2978" s="124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ht="18.75" customHeight="1" x14ac:dyDescent="0.35">
      <c r="C2979" s="124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ht="18.75" customHeight="1" x14ac:dyDescent="0.35">
      <c r="C2980" s="124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ht="18.75" customHeight="1" x14ac:dyDescent="0.35">
      <c r="C2981" s="124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ht="18.75" customHeight="1" x14ac:dyDescent="0.35">
      <c r="C2982" s="124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ht="18.75" customHeight="1" x14ac:dyDescent="0.35">
      <c r="C2983" s="124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ht="18.75" customHeight="1" x14ac:dyDescent="0.35">
      <c r="C2984" s="124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ht="18.75" customHeight="1" x14ac:dyDescent="0.35">
      <c r="C2985" s="124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ht="18.75" customHeight="1" x14ac:dyDescent="0.35">
      <c r="C2986" s="124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ht="18.75" customHeight="1" x14ac:dyDescent="0.35">
      <c r="C2987" s="124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ht="18.75" customHeight="1" x14ac:dyDescent="0.35">
      <c r="C2988" s="124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ht="18.75" customHeight="1" x14ac:dyDescent="0.35">
      <c r="C2989" s="124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ht="18.75" customHeight="1" x14ac:dyDescent="0.35">
      <c r="C2990" s="124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ht="18.75" customHeight="1" x14ac:dyDescent="0.35">
      <c r="C2991" s="124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ht="18.75" customHeight="1" x14ac:dyDescent="0.35">
      <c r="C2992" s="124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ht="18.75" customHeight="1" x14ac:dyDescent="0.35">
      <c r="C2993" s="124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ht="18.75" customHeight="1" x14ac:dyDescent="0.35">
      <c r="C2994" s="124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ht="18.75" customHeight="1" x14ac:dyDescent="0.35">
      <c r="C2995" s="124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ht="18.75" customHeight="1" x14ac:dyDescent="0.35">
      <c r="C2996" s="124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ht="18.75" customHeight="1" x14ac:dyDescent="0.35">
      <c r="C2997" s="124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ht="18.75" customHeight="1" x14ac:dyDescent="0.35">
      <c r="C2998" s="124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ht="18.75" customHeight="1" x14ac:dyDescent="0.35">
      <c r="C2999" s="124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ht="18.75" customHeight="1" x14ac:dyDescent="0.35">
      <c r="C3000" s="124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112" bestFit="1" customWidth="1"/>
    <col min="2" max="2" width="10.453125" bestFit="1" customWidth="1"/>
    <col min="3" max="3" width="15.453125" style="125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bestFit="1" customWidth="1"/>
    <col min="11" max="11" width="10.816406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s="128" t="s">
        <v>171</v>
      </c>
      <c r="C2" s="124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202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172</v>
      </c>
      <c r="H2" t="s">
        <v>172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16">
        <v>0</v>
      </c>
    </row>
    <row r="3" spans="1:11" ht="18.75" customHeight="1" x14ac:dyDescent="0.35">
      <c r="A3" s="116">
        <v>2024</v>
      </c>
      <c r="B3" s="128" t="s">
        <v>171</v>
      </c>
      <c r="C3" s="124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60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172</v>
      </c>
      <c r="H3" t="s">
        <v>172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16">
        <v>0</v>
      </c>
    </row>
    <row r="4" spans="1:11" ht="18.75" customHeight="1" x14ac:dyDescent="0.35">
      <c r="A4" s="116">
        <v>2024</v>
      </c>
      <c r="B4" s="128" t="s">
        <v>171</v>
      </c>
      <c r="C4" s="124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62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172</v>
      </c>
      <c r="H4" t="s">
        <v>172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16">
        <v>0</v>
      </c>
    </row>
    <row r="5" spans="1:11" ht="18.75" customHeight="1" x14ac:dyDescent="0.35">
      <c r="A5" s="116">
        <v>2024</v>
      </c>
      <c r="B5" s="128" t="s">
        <v>171</v>
      </c>
      <c r="C5" s="124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66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172</v>
      </c>
      <c r="H5" t="s">
        <v>172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16">
        <v>0</v>
      </c>
    </row>
    <row r="6" spans="1:11" ht="18.75" customHeight="1" x14ac:dyDescent="0.35">
      <c r="A6" s="116">
        <v>2024</v>
      </c>
      <c r="B6" s="128" t="s">
        <v>171</v>
      </c>
      <c r="C6" s="124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67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172</v>
      </c>
      <c r="H6" t="s">
        <v>172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16">
        <v>0</v>
      </c>
    </row>
    <row r="7" spans="1:11" ht="18.75" customHeight="1" x14ac:dyDescent="0.35">
      <c r="A7" s="116">
        <v>2024</v>
      </c>
      <c r="B7" s="128" t="s">
        <v>171</v>
      </c>
      <c r="C7" s="124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68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172</v>
      </c>
      <c r="H7" t="s">
        <v>172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16">
        <v>0</v>
      </c>
    </row>
    <row r="8" spans="1:11" ht="18.75" customHeight="1" x14ac:dyDescent="0.35">
      <c r="A8" s="116">
        <v>2024</v>
      </c>
      <c r="B8" s="128" t="s">
        <v>171</v>
      </c>
      <c r="C8" s="124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64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172</v>
      </c>
      <c r="H8" t="s">
        <v>172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16">
        <v>0</v>
      </c>
    </row>
    <row r="9" spans="1:11" ht="18.75" customHeight="1" x14ac:dyDescent="0.35">
      <c r="A9" s="116">
        <v>2024</v>
      </c>
      <c r="B9" s="128" t="s">
        <v>171</v>
      </c>
      <c r="C9" s="124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65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172</v>
      </c>
      <c r="H9" t="s">
        <v>172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16">
        <v>0</v>
      </c>
    </row>
    <row r="10" spans="1:11" ht="18.75" customHeight="1" x14ac:dyDescent="0.35">
      <c r="A10" s="116">
        <v>2024</v>
      </c>
      <c r="B10" s="128" t="s">
        <v>171</v>
      </c>
      <c r="C10" s="124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128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172</v>
      </c>
      <c r="H10" t="s">
        <v>172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16">
        <v>-65877111</v>
      </c>
    </row>
    <row r="11" spans="1:11" ht="18.75" customHeight="1" x14ac:dyDescent="0.35">
      <c r="A11" s="116">
        <v>2024</v>
      </c>
      <c r="B11" t="s">
        <v>174</v>
      </c>
      <c r="C11" s="124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202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172</v>
      </c>
      <c r="H11" t="s">
        <v>172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16">
        <v>43</v>
      </c>
    </row>
    <row r="12" spans="1:11" ht="18.75" customHeight="1" x14ac:dyDescent="0.35">
      <c r="A12" s="116">
        <v>2024</v>
      </c>
      <c r="B12" t="s">
        <v>174</v>
      </c>
      <c r="C12" s="124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60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172</v>
      </c>
      <c r="H12" t="s">
        <v>172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16">
        <v>0</v>
      </c>
    </row>
    <row r="13" spans="1:11" ht="18.75" customHeight="1" x14ac:dyDescent="0.35">
      <c r="A13" s="116">
        <v>2024</v>
      </c>
      <c r="B13" t="s">
        <v>174</v>
      </c>
      <c r="C13" s="124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62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172</v>
      </c>
      <c r="H13" t="s">
        <v>172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16">
        <v>0</v>
      </c>
    </row>
    <row r="14" spans="1:11" ht="18.75" customHeight="1" x14ac:dyDescent="0.35">
      <c r="A14" s="116">
        <v>2024</v>
      </c>
      <c r="B14" t="s">
        <v>174</v>
      </c>
      <c r="C14" s="124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66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172</v>
      </c>
      <c r="H14" t="s">
        <v>172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16">
        <v>0</v>
      </c>
    </row>
    <row r="15" spans="1:11" ht="18.75" customHeight="1" x14ac:dyDescent="0.35">
      <c r="A15" s="116">
        <v>2024</v>
      </c>
      <c r="B15" t="s">
        <v>174</v>
      </c>
      <c r="C15" s="124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67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172</v>
      </c>
      <c r="H15" t="s">
        <v>172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16">
        <v>0</v>
      </c>
    </row>
    <row r="16" spans="1:11" ht="18.75" customHeight="1" x14ac:dyDescent="0.35">
      <c r="A16" s="116">
        <v>2024</v>
      </c>
      <c r="B16" t="s">
        <v>174</v>
      </c>
      <c r="C16" s="124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68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172</v>
      </c>
      <c r="H16" t="s">
        <v>172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16">
        <v>0</v>
      </c>
    </row>
    <row r="17" spans="1:11" ht="18.75" customHeight="1" x14ac:dyDescent="0.35">
      <c r="A17" s="116">
        <v>2024</v>
      </c>
      <c r="B17" t="s">
        <v>174</v>
      </c>
      <c r="C17" s="124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64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172</v>
      </c>
      <c r="H17" t="s">
        <v>172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16">
        <v>0</v>
      </c>
    </row>
    <row r="18" spans="1:11" ht="18.75" customHeight="1" x14ac:dyDescent="0.35">
      <c r="A18" s="116">
        <v>2024</v>
      </c>
      <c r="B18" t="s">
        <v>174</v>
      </c>
      <c r="C18" s="124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65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172</v>
      </c>
      <c r="H18" t="s">
        <v>172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16">
        <v>0</v>
      </c>
    </row>
    <row r="19" spans="1:11" ht="18.75" customHeight="1" x14ac:dyDescent="0.35">
      <c r="A19" s="116">
        <v>2024</v>
      </c>
      <c r="B19" t="s">
        <v>174</v>
      </c>
      <c r="C19" s="124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128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172</v>
      </c>
      <c r="H19" t="s">
        <v>172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16">
        <v>-774238725</v>
      </c>
    </row>
    <row r="20" spans="1:11" ht="18.75" customHeight="1" x14ac:dyDescent="0.35">
      <c r="A20" s="116">
        <v>2024</v>
      </c>
      <c r="B20" t="s">
        <v>175</v>
      </c>
      <c r="C20" s="124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202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172</v>
      </c>
      <c r="H20" t="s">
        <v>172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16">
        <v>41</v>
      </c>
    </row>
    <row r="21" spans="1:11" ht="18.75" customHeight="1" x14ac:dyDescent="0.35">
      <c r="A21" s="116">
        <v>2024</v>
      </c>
      <c r="B21" t="s">
        <v>175</v>
      </c>
      <c r="C21" s="124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60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172</v>
      </c>
      <c r="H21" t="s">
        <v>172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16">
        <v>0</v>
      </c>
    </row>
    <row r="22" spans="1:11" ht="18.75" customHeight="1" x14ac:dyDescent="0.35">
      <c r="A22" s="116">
        <v>2024</v>
      </c>
      <c r="B22" t="s">
        <v>175</v>
      </c>
      <c r="C22" s="124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62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172</v>
      </c>
      <c r="H22" t="s">
        <v>172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16">
        <v>0</v>
      </c>
    </row>
    <row r="23" spans="1:11" ht="18.75" customHeight="1" x14ac:dyDescent="0.35">
      <c r="A23" s="116">
        <v>2024</v>
      </c>
      <c r="B23" t="s">
        <v>175</v>
      </c>
      <c r="C23" s="124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66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172</v>
      </c>
      <c r="H23" t="s">
        <v>172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16">
        <v>0</v>
      </c>
    </row>
    <row r="24" spans="1:11" ht="18.75" customHeight="1" x14ac:dyDescent="0.35">
      <c r="A24" s="116">
        <v>2024</v>
      </c>
      <c r="B24" t="s">
        <v>175</v>
      </c>
      <c r="C24" s="124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67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172</v>
      </c>
      <c r="H24" t="s">
        <v>172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16">
        <v>0</v>
      </c>
    </row>
    <row r="25" spans="1:11" ht="18.75" customHeight="1" x14ac:dyDescent="0.35">
      <c r="A25" s="116">
        <v>2024</v>
      </c>
      <c r="B25" t="s">
        <v>175</v>
      </c>
      <c r="C25" s="124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68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172</v>
      </c>
      <c r="H25" t="s">
        <v>172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16">
        <v>0</v>
      </c>
    </row>
    <row r="26" spans="1:11" ht="18.75" customHeight="1" x14ac:dyDescent="0.35">
      <c r="A26" s="116">
        <v>2024</v>
      </c>
      <c r="B26" t="s">
        <v>175</v>
      </c>
      <c r="C26" s="124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64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172</v>
      </c>
      <c r="H26" t="s">
        <v>172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16">
        <v>0</v>
      </c>
    </row>
    <row r="27" spans="1:11" ht="18.75" customHeight="1" x14ac:dyDescent="0.35">
      <c r="A27" s="116">
        <v>2024</v>
      </c>
      <c r="B27" t="s">
        <v>175</v>
      </c>
      <c r="C27" s="124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65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172</v>
      </c>
      <c r="H27" t="s">
        <v>172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16">
        <v>0</v>
      </c>
    </row>
    <row r="28" spans="1:11" ht="18.75" customHeight="1" x14ac:dyDescent="0.35">
      <c r="A28" s="116">
        <v>2024</v>
      </c>
      <c r="B28" t="s">
        <v>176</v>
      </c>
      <c r="C28" s="124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202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172</v>
      </c>
      <c r="H28" t="s">
        <v>172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16">
        <v>66</v>
      </c>
    </row>
    <row r="29" spans="1:11" ht="18.75" customHeight="1" x14ac:dyDescent="0.35">
      <c r="A29" s="116">
        <v>2024</v>
      </c>
      <c r="B29" t="s">
        <v>176</v>
      </c>
      <c r="C29" s="124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60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172</v>
      </c>
      <c r="H29" t="s">
        <v>172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16">
        <v>0</v>
      </c>
    </row>
    <row r="30" spans="1:11" ht="18.75" customHeight="1" x14ac:dyDescent="0.35">
      <c r="A30" s="116">
        <v>2024</v>
      </c>
      <c r="B30" t="s">
        <v>176</v>
      </c>
      <c r="C30" s="124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62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172</v>
      </c>
      <c r="H30" t="s">
        <v>172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16">
        <v>0</v>
      </c>
    </row>
    <row r="31" spans="1:11" ht="18.75" customHeight="1" x14ac:dyDescent="0.35">
      <c r="A31" s="116">
        <v>2024</v>
      </c>
      <c r="B31" t="s">
        <v>176</v>
      </c>
      <c r="C31" s="124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66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172</v>
      </c>
      <c r="H31" t="s">
        <v>172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16">
        <v>0</v>
      </c>
    </row>
    <row r="32" spans="1:11" ht="18.75" customHeight="1" x14ac:dyDescent="0.35">
      <c r="A32" s="116">
        <v>2024</v>
      </c>
      <c r="B32" t="s">
        <v>176</v>
      </c>
      <c r="C32" s="124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67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172</v>
      </c>
      <c r="H32" t="s">
        <v>172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16">
        <v>0</v>
      </c>
    </row>
    <row r="33" spans="1:11" ht="18.75" customHeight="1" x14ac:dyDescent="0.35">
      <c r="A33" s="116">
        <v>2024</v>
      </c>
      <c r="B33" t="s">
        <v>176</v>
      </c>
      <c r="C33" s="124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68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172</v>
      </c>
      <c r="H33" t="s">
        <v>172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16">
        <v>0</v>
      </c>
    </row>
    <row r="34" spans="1:11" ht="18.75" customHeight="1" x14ac:dyDescent="0.35">
      <c r="A34" s="116">
        <v>2024</v>
      </c>
      <c r="B34" t="s">
        <v>176</v>
      </c>
      <c r="C34" s="124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64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172</v>
      </c>
      <c r="H34" t="s">
        <v>172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16">
        <v>0</v>
      </c>
    </row>
    <row r="35" spans="1:11" ht="18.75" customHeight="1" x14ac:dyDescent="0.35">
      <c r="A35" s="116">
        <v>2024</v>
      </c>
      <c r="B35" t="s">
        <v>176</v>
      </c>
      <c r="C35" s="124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65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172</v>
      </c>
      <c r="H35" t="s">
        <v>172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16">
        <v>0</v>
      </c>
    </row>
    <row r="36" spans="1:11" ht="18.75" customHeight="1" x14ac:dyDescent="0.35">
      <c r="A36" s="116">
        <v>2024</v>
      </c>
      <c r="B36" t="s">
        <v>176</v>
      </c>
      <c r="C36" s="124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128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172</v>
      </c>
      <c r="H36" t="s">
        <v>172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16">
        <v>-392312925</v>
      </c>
    </row>
    <row r="37" spans="1:11" ht="18.75" customHeight="1" x14ac:dyDescent="0.35">
      <c r="A37" s="116">
        <v>2024</v>
      </c>
      <c r="B37" t="s">
        <v>177</v>
      </c>
      <c r="C37" s="124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202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172</v>
      </c>
      <c r="H37" t="s">
        <v>172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16">
        <v>69</v>
      </c>
    </row>
    <row r="38" spans="1:11" ht="18.75" customHeight="1" x14ac:dyDescent="0.35">
      <c r="A38" s="116">
        <v>2024</v>
      </c>
      <c r="B38" t="s">
        <v>177</v>
      </c>
      <c r="C38" s="124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60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172</v>
      </c>
      <c r="H38" t="s">
        <v>172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16">
        <v>0</v>
      </c>
    </row>
    <row r="39" spans="1:11" ht="18.75" customHeight="1" x14ac:dyDescent="0.35">
      <c r="A39" s="116">
        <v>2024</v>
      </c>
      <c r="B39" t="s">
        <v>177</v>
      </c>
      <c r="C39" s="124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62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172</v>
      </c>
      <c r="H39" t="s">
        <v>172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16">
        <v>0</v>
      </c>
    </row>
    <row r="40" spans="1:11" ht="18.75" customHeight="1" x14ac:dyDescent="0.35">
      <c r="A40" s="116">
        <v>2024</v>
      </c>
      <c r="B40" t="s">
        <v>177</v>
      </c>
      <c r="C40" s="124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66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172</v>
      </c>
      <c r="H40" t="s">
        <v>172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16">
        <v>0</v>
      </c>
    </row>
    <row r="41" spans="1:11" ht="18.75" customHeight="1" x14ac:dyDescent="0.35">
      <c r="A41" s="116">
        <v>2024</v>
      </c>
      <c r="B41" t="s">
        <v>177</v>
      </c>
      <c r="C41" s="124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67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172</v>
      </c>
      <c r="H41" t="s">
        <v>172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16">
        <v>0</v>
      </c>
    </row>
    <row r="42" spans="1:11" ht="18.75" customHeight="1" x14ac:dyDescent="0.35">
      <c r="A42" s="116">
        <v>2024</v>
      </c>
      <c r="B42" t="s">
        <v>177</v>
      </c>
      <c r="C42" s="124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68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172</v>
      </c>
      <c r="H42" t="s">
        <v>172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16">
        <v>0</v>
      </c>
    </row>
    <row r="43" spans="1:11" ht="18.75" customHeight="1" x14ac:dyDescent="0.35">
      <c r="A43" s="116">
        <v>2024</v>
      </c>
      <c r="B43" t="s">
        <v>177</v>
      </c>
      <c r="C43" s="124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64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172</v>
      </c>
      <c r="H43" t="s">
        <v>172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16">
        <v>0</v>
      </c>
    </row>
    <row r="44" spans="1:11" ht="18.75" customHeight="1" x14ac:dyDescent="0.35">
      <c r="A44" s="116">
        <v>2024</v>
      </c>
      <c r="B44" t="s">
        <v>177</v>
      </c>
      <c r="C44" s="124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65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172</v>
      </c>
      <c r="H44" t="s">
        <v>172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16">
        <v>0</v>
      </c>
    </row>
    <row r="45" spans="1:11" ht="18.75" customHeight="1" x14ac:dyDescent="0.35">
      <c r="A45" s="116">
        <v>2024</v>
      </c>
      <c r="B45" t="s">
        <v>178</v>
      </c>
      <c r="C45" s="124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202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172</v>
      </c>
      <c r="H45" t="s">
        <v>172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16">
        <v>76</v>
      </c>
    </row>
    <row r="46" spans="1:11" ht="18.75" customHeight="1" x14ac:dyDescent="0.35">
      <c r="A46" s="116">
        <v>2024</v>
      </c>
      <c r="B46" t="s">
        <v>178</v>
      </c>
      <c r="C46" s="124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60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172</v>
      </c>
      <c r="H46" t="s">
        <v>172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16">
        <v>0</v>
      </c>
    </row>
    <row r="47" spans="1:11" ht="18.75" customHeight="1" x14ac:dyDescent="0.35">
      <c r="A47" s="116">
        <v>2024</v>
      </c>
      <c r="B47" t="s">
        <v>178</v>
      </c>
      <c r="C47" s="124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62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172</v>
      </c>
      <c r="H47" t="s">
        <v>172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16">
        <v>0</v>
      </c>
    </row>
    <row r="48" spans="1:11" ht="18.75" customHeight="1" x14ac:dyDescent="0.35">
      <c r="A48" s="116">
        <v>2024</v>
      </c>
      <c r="B48" t="s">
        <v>178</v>
      </c>
      <c r="C48" s="124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66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172</v>
      </c>
      <c r="H48" t="s">
        <v>172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16">
        <v>0</v>
      </c>
    </row>
    <row r="49" spans="1:11" ht="18.75" customHeight="1" x14ac:dyDescent="0.35">
      <c r="A49" s="116">
        <v>2024</v>
      </c>
      <c r="B49" t="s">
        <v>178</v>
      </c>
      <c r="C49" s="124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67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172</v>
      </c>
      <c r="H49" t="s">
        <v>172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16">
        <v>0</v>
      </c>
    </row>
    <row r="50" spans="1:11" ht="18.75" customHeight="1" x14ac:dyDescent="0.35">
      <c r="A50" s="116">
        <v>2024</v>
      </c>
      <c r="B50" t="s">
        <v>178</v>
      </c>
      <c r="C50" s="124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68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172</v>
      </c>
      <c r="H50" t="s">
        <v>172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16">
        <v>0</v>
      </c>
    </row>
    <row r="51" spans="1:11" ht="18.75" customHeight="1" x14ac:dyDescent="0.35">
      <c r="A51" s="116">
        <v>2024</v>
      </c>
      <c r="B51" t="s">
        <v>178</v>
      </c>
      <c r="C51" s="124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64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172</v>
      </c>
      <c r="H51" t="s">
        <v>172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16">
        <v>0</v>
      </c>
    </row>
    <row r="52" spans="1:11" ht="18.75" customHeight="1" x14ac:dyDescent="0.35">
      <c r="A52" s="116">
        <v>2024</v>
      </c>
      <c r="B52" t="s">
        <v>178</v>
      </c>
      <c r="C52" s="124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65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172</v>
      </c>
      <c r="H52" t="s">
        <v>172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16">
        <v>0</v>
      </c>
    </row>
    <row r="53" spans="1:11" ht="18.75" customHeight="1" x14ac:dyDescent="0.35">
      <c r="A53" s="116">
        <v>2024</v>
      </c>
      <c r="B53" t="s">
        <v>179</v>
      </c>
      <c r="C53" s="124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202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172</v>
      </c>
      <c r="H53" t="s">
        <v>172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16">
        <v>75</v>
      </c>
    </row>
    <row r="54" spans="1:11" ht="18.75" customHeight="1" x14ac:dyDescent="0.35">
      <c r="A54" s="116">
        <v>2024</v>
      </c>
      <c r="B54" t="s">
        <v>179</v>
      </c>
      <c r="C54" s="124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60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172</v>
      </c>
      <c r="H54" t="s">
        <v>172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16">
        <v>1874782402</v>
      </c>
    </row>
    <row r="55" spans="1:11" ht="18.75" customHeight="1" x14ac:dyDescent="0.35">
      <c r="A55" s="116">
        <v>2024</v>
      </c>
      <c r="B55" t="s">
        <v>179</v>
      </c>
      <c r="C55" s="124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62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172</v>
      </c>
      <c r="H55" t="s">
        <v>172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16">
        <v>216</v>
      </c>
    </row>
    <row r="56" spans="1:11" ht="18.75" customHeight="1" x14ac:dyDescent="0.35">
      <c r="A56" s="116">
        <v>2024</v>
      </c>
      <c r="B56" t="s">
        <v>179</v>
      </c>
      <c r="C56" s="124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66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172</v>
      </c>
      <c r="H56" t="s">
        <v>172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16">
        <v>0</v>
      </c>
    </row>
    <row r="57" spans="1:11" ht="18.75" customHeight="1" x14ac:dyDescent="0.35">
      <c r="A57" s="116">
        <v>2024</v>
      </c>
      <c r="B57" t="s">
        <v>179</v>
      </c>
      <c r="C57" s="124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67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172</v>
      </c>
      <c r="H57" t="s">
        <v>172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16">
        <v>0</v>
      </c>
    </row>
    <row r="58" spans="1:11" ht="18.75" customHeight="1" x14ac:dyDescent="0.35">
      <c r="A58" s="116">
        <v>2024</v>
      </c>
      <c r="B58" t="s">
        <v>179</v>
      </c>
      <c r="C58" s="124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68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172</v>
      </c>
      <c r="H58" t="s">
        <v>172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16">
        <v>0</v>
      </c>
    </row>
    <row r="59" spans="1:11" ht="18.75" customHeight="1" x14ac:dyDescent="0.35">
      <c r="A59" s="116">
        <v>2024</v>
      </c>
      <c r="B59" t="s">
        <v>179</v>
      </c>
      <c r="C59" s="124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64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172</v>
      </c>
      <c r="H59" t="s">
        <v>172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16">
        <v>0</v>
      </c>
    </row>
    <row r="60" spans="1:11" ht="18.75" customHeight="1" x14ac:dyDescent="0.35">
      <c r="A60" s="116">
        <v>2024</v>
      </c>
      <c r="B60" t="s">
        <v>179</v>
      </c>
      <c r="C60" s="124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65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172</v>
      </c>
      <c r="H60" t="s">
        <v>172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16">
        <v>0</v>
      </c>
    </row>
    <row r="61" spans="1:11" ht="18.75" customHeight="1" x14ac:dyDescent="0.35">
      <c r="A61" s="116">
        <v>2024</v>
      </c>
      <c r="B61" t="s">
        <v>180</v>
      </c>
      <c r="C61" s="124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202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172</v>
      </c>
      <c r="H61" t="s">
        <v>172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16">
        <v>64</v>
      </c>
    </row>
    <row r="62" spans="1:11" ht="18.75" customHeight="1" x14ac:dyDescent="0.35">
      <c r="A62" s="116">
        <v>2024</v>
      </c>
      <c r="B62" t="s">
        <v>180</v>
      </c>
      <c r="C62" s="124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60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172</v>
      </c>
      <c r="H62" t="s">
        <v>172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16">
        <v>153065829</v>
      </c>
    </row>
    <row r="63" spans="1:11" ht="18.75" customHeight="1" x14ac:dyDescent="0.35">
      <c r="A63" s="116">
        <v>2024</v>
      </c>
      <c r="B63" t="s">
        <v>180</v>
      </c>
      <c r="C63" s="124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62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172</v>
      </c>
      <c r="H63" t="s">
        <v>172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16">
        <v>216</v>
      </c>
    </row>
    <row r="64" spans="1:11" ht="18.75" customHeight="1" x14ac:dyDescent="0.35">
      <c r="A64" s="116">
        <v>2024</v>
      </c>
      <c r="B64" t="s">
        <v>180</v>
      </c>
      <c r="C64" s="124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66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172</v>
      </c>
      <c r="H64" t="s">
        <v>172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16">
        <v>0</v>
      </c>
    </row>
    <row r="65" spans="1:11" ht="18.75" customHeight="1" x14ac:dyDescent="0.35">
      <c r="A65" s="116">
        <v>2024</v>
      </c>
      <c r="B65" t="s">
        <v>180</v>
      </c>
      <c r="C65" s="124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67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172</v>
      </c>
      <c r="H65" t="s">
        <v>172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16">
        <v>0</v>
      </c>
    </row>
    <row r="66" spans="1:11" ht="18.75" customHeight="1" x14ac:dyDescent="0.35">
      <c r="A66" s="116">
        <v>2024</v>
      </c>
      <c r="B66" t="s">
        <v>180</v>
      </c>
      <c r="C66" s="124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68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172</v>
      </c>
      <c r="H66" t="s">
        <v>172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16">
        <v>0</v>
      </c>
    </row>
    <row r="67" spans="1:11" ht="18.75" customHeight="1" x14ac:dyDescent="0.35">
      <c r="A67" s="116">
        <v>2024</v>
      </c>
      <c r="B67" t="s">
        <v>180</v>
      </c>
      <c r="C67" s="124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64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172</v>
      </c>
      <c r="H67" t="s">
        <v>172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16">
        <v>0</v>
      </c>
    </row>
    <row r="68" spans="1:11" ht="18.75" customHeight="1" x14ac:dyDescent="0.35">
      <c r="A68" s="116">
        <v>2024</v>
      </c>
      <c r="B68" t="s">
        <v>180</v>
      </c>
      <c r="C68" s="124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65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172</v>
      </c>
      <c r="H68" t="s">
        <v>172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16">
        <v>0</v>
      </c>
    </row>
    <row r="69" spans="1:11" ht="18.75" customHeight="1" x14ac:dyDescent="0.35">
      <c r="A69" s="116">
        <v>2024</v>
      </c>
      <c r="B69" t="s">
        <v>181</v>
      </c>
      <c r="C69" s="124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202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172</v>
      </c>
      <c r="H69" t="s">
        <v>172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16">
        <v>39</v>
      </c>
    </row>
    <row r="70" spans="1:11" ht="18.75" customHeight="1" x14ac:dyDescent="0.35">
      <c r="A70" s="116">
        <v>2024</v>
      </c>
      <c r="B70" t="s">
        <v>181</v>
      </c>
      <c r="C70" s="124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60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172</v>
      </c>
      <c r="H70" t="s">
        <v>172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16">
        <v>0</v>
      </c>
    </row>
    <row r="71" spans="1:11" ht="18.75" customHeight="1" x14ac:dyDescent="0.35">
      <c r="A71" s="116">
        <v>2024</v>
      </c>
      <c r="B71" t="s">
        <v>181</v>
      </c>
      <c r="C71" s="124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62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172</v>
      </c>
      <c r="H71" t="s">
        <v>172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16">
        <v>216</v>
      </c>
    </row>
    <row r="72" spans="1:11" ht="18.75" customHeight="1" x14ac:dyDescent="0.35">
      <c r="A72" s="116">
        <v>2024</v>
      </c>
      <c r="B72" t="s">
        <v>181</v>
      </c>
      <c r="C72" s="124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66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172</v>
      </c>
      <c r="H72" t="s">
        <v>172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16">
        <v>0</v>
      </c>
    </row>
    <row r="73" spans="1:11" ht="18.75" customHeight="1" x14ac:dyDescent="0.35">
      <c r="A73" s="116">
        <v>2024</v>
      </c>
      <c r="B73" t="s">
        <v>181</v>
      </c>
      <c r="C73" s="124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67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172</v>
      </c>
      <c r="H73" t="s">
        <v>172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16">
        <v>0</v>
      </c>
    </row>
    <row r="74" spans="1:11" ht="18.75" customHeight="1" x14ac:dyDescent="0.35">
      <c r="A74" s="116">
        <v>2024</v>
      </c>
      <c r="B74" t="s">
        <v>181</v>
      </c>
      <c r="C74" s="124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68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172</v>
      </c>
      <c r="H74" t="s">
        <v>172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16">
        <v>0</v>
      </c>
    </row>
    <row r="75" spans="1:11" ht="18.75" customHeight="1" x14ac:dyDescent="0.35">
      <c r="A75" s="116">
        <v>2024</v>
      </c>
      <c r="B75" t="s">
        <v>181</v>
      </c>
      <c r="C75" s="124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64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172</v>
      </c>
      <c r="H75" t="s">
        <v>172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16">
        <v>0</v>
      </c>
    </row>
    <row r="76" spans="1:11" ht="18.75" customHeight="1" x14ac:dyDescent="0.35">
      <c r="A76" s="116">
        <v>2024</v>
      </c>
      <c r="B76" t="s">
        <v>181</v>
      </c>
      <c r="C76" s="124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65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172</v>
      </c>
      <c r="H76" t="s">
        <v>172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16">
        <v>0</v>
      </c>
    </row>
    <row r="77" spans="1:11" ht="18.75" customHeight="1" x14ac:dyDescent="0.35">
      <c r="A77" s="116">
        <v>2024</v>
      </c>
      <c r="B77" t="s">
        <v>182</v>
      </c>
      <c r="C77" s="124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202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172</v>
      </c>
      <c r="H77" t="s">
        <v>172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16">
        <v>43</v>
      </c>
    </row>
    <row r="78" spans="1:11" ht="18.75" customHeight="1" x14ac:dyDescent="0.35">
      <c r="A78" s="116">
        <v>2024</v>
      </c>
      <c r="B78" t="s">
        <v>182</v>
      </c>
      <c r="C78" s="124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60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172</v>
      </c>
      <c r="H78" t="s">
        <v>172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16">
        <v>0</v>
      </c>
    </row>
    <row r="79" spans="1:11" ht="18.75" customHeight="1" x14ac:dyDescent="0.35">
      <c r="A79" s="116">
        <v>2024</v>
      </c>
      <c r="B79" t="s">
        <v>182</v>
      </c>
      <c r="C79" s="124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62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172</v>
      </c>
      <c r="H79" t="s">
        <v>172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16">
        <v>216</v>
      </c>
    </row>
    <row r="80" spans="1:11" ht="18.75" customHeight="1" x14ac:dyDescent="0.35">
      <c r="A80" s="116">
        <v>2024</v>
      </c>
      <c r="B80" t="s">
        <v>182</v>
      </c>
      <c r="C80" s="124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66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172</v>
      </c>
      <c r="H80" t="s">
        <v>172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16">
        <v>0</v>
      </c>
    </row>
    <row r="81" spans="1:11" ht="18.75" customHeight="1" x14ac:dyDescent="0.35">
      <c r="A81" s="116">
        <v>2024</v>
      </c>
      <c r="B81" t="s">
        <v>182</v>
      </c>
      <c r="C81" s="124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67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172</v>
      </c>
      <c r="H81" t="s">
        <v>172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16">
        <v>0</v>
      </c>
    </row>
    <row r="82" spans="1:11" ht="18.75" customHeight="1" x14ac:dyDescent="0.35">
      <c r="A82" s="116">
        <v>2024</v>
      </c>
      <c r="B82" t="s">
        <v>182</v>
      </c>
      <c r="C82" s="124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68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172</v>
      </c>
      <c r="H82" t="s">
        <v>172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16">
        <v>0</v>
      </c>
    </row>
    <row r="83" spans="1:11" ht="18.75" customHeight="1" x14ac:dyDescent="0.35">
      <c r="A83" s="116">
        <v>2024</v>
      </c>
      <c r="B83" t="s">
        <v>182</v>
      </c>
      <c r="C83" s="124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64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172</v>
      </c>
      <c r="H83" t="s">
        <v>172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16">
        <v>0</v>
      </c>
    </row>
    <row r="84" spans="1:11" ht="18.75" customHeight="1" x14ac:dyDescent="0.35">
      <c r="A84" s="116">
        <v>2024</v>
      </c>
      <c r="B84" t="s">
        <v>182</v>
      </c>
      <c r="C84" s="124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65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172</v>
      </c>
      <c r="H84" t="s">
        <v>172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16">
        <v>0</v>
      </c>
    </row>
    <row r="85" spans="1:11" ht="18.75" customHeight="1" x14ac:dyDescent="0.35">
      <c r="A85" s="116">
        <v>2024</v>
      </c>
      <c r="B85" t="s">
        <v>183</v>
      </c>
      <c r="C85" s="124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202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172</v>
      </c>
      <c r="H85" t="s">
        <v>172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16">
        <v>28</v>
      </c>
    </row>
    <row r="86" spans="1:11" ht="18.75" customHeight="1" x14ac:dyDescent="0.35">
      <c r="A86" s="116">
        <v>2024</v>
      </c>
      <c r="B86" t="s">
        <v>183</v>
      </c>
      <c r="C86" s="124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60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172</v>
      </c>
      <c r="H86" t="s">
        <v>172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16">
        <v>0</v>
      </c>
    </row>
    <row r="87" spans="1:11" ht="18.75" customHeight="1" x14ac:dyDescent="0.35">
      <c r="A87" s="116">
        <v>2024</v>
      </c>
      <c r="B87" t="s">
        <v>183</v>
      </c>
      <c r="C87" s="124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62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172</v>
      </c>
      <c r="H87" t="s">
        <v>172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16">
        <v>216</v>
      </c>
    </row>
    <row r="88" spans="1:11" ht="18.75" customHeight="1" x14ac:dyDescent="0.35">
      <c r="A88" s="116">
        <v>2024</v>
      </c>
      <c r="B88" t="s">
        <v>183</v>
      </c>
      <c r="C88" s="124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66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172</v>
      </c>
      <c r="H88" t="s">
        <v>172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16">
        <v>3586186</v>
      </c>
    </row>
    <row r="89" spans="1:11" ht="18.75" customHeight="1" x14ac:dyDescent="0.35">
      <c r="A89" s="116">
        <v>2024</v>
      </c>
      <c r="B89" t="s">
        <v>183</v>
      </c>
      <c r="C89" s="124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67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172</v>
      </c>
      <c r="H89" t="s">
        <v>172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16">
        <v>21358806</v>
      </c>
    </row>
    <row r="90" spans="1:11" ht="18.75" customHeight="1" x14ac:dyDescent="0.35">
      <c r="A90" s="116">
        <v>2024</v>
      </c>
      <c r="B90" t="s">
        <v>183</v>
      </c>
      <c r="C90" s="124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68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172</v>
      </c>
      <c r="H90" t="s">
        <v>172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16">
        <v>0</v>
      </c>
    </row>
    <row r="91" spans="1:11" ht="18.75" customHeight="1" x14ac:dyDescent="0.35">
      <c r="A91" s="116">
        <v>2024</v>
      </c>
      <c r="B91" t="s">
        <v>183</v>
      </c>
      <c r="C91" s="124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64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172</v>
      </c>
      <c r="H91" t="s">
        <v>172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16">
        <v>762</v>
      </c>
    </row>
    <row r="92" spans="1:11" ht="18.75" customHeight="1" x14ac:dyDescent="0.35">
      <c r="A92" s="116">
        <v>2024</v>
      </c>
      <c r="B92" t="s">
        <v>183</v>
      </c>
      <c r="C92" s="124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65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172</v>
      </c>
      <c r="H92" t="s">
        <v>172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16">
        <v>1246</v>
      </c>
    </row>
    <row r="93" spans="1:11" ht="18.75" customHeight="1" x14ac:dyDescent="0.35">
      <c r="A93" s="116">
        <v>2024</v>
      </c>
      <c r="B93" t="s">
        <v>184</v>
      </c>
      <c r="C93" s="124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202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172</v>
      </c>
      <c r="H93" t="s">
        <v>172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16">
        <v>11</v>
      </c>
    </row>
    <row r="94" spans="1:11" ht="18.75" customHeight="1" x14ac:dyDescent="0.35">
      <c r="A94" s="116">
        <v>2024</v>
      </c>
      <c r="B94" t="s">
        <v>184</v>
      </c>
      <c r="C94" s="124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60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172</v>
      </c>
      <c r="H94" t="s">
        <v>172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16">
        <v>287387483</v>
      </c>
    </row>
    <row r="95" spans="1:11" ht="18.75" customHeight="1" x14ac:dyDescent="0.35">
      <c r="A95" s="116">
        <v>2024</v>
      </c>
      <c r="B95" t="s">
        <v>184</v>
      </c>
      <c r="C95" s="124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62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172</v>
      </c>
      <c r="H95" t="s">
        <v>172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16">
        <v>216</v>
      </c>
    </row>
    <row r="96" spans="1:11" ht="18.75" customHeight="1" x14ac:dyDescent="0.35">
      <c r="A96" s="116">
        <v>2024</v>
      </c>
      <c r="B96" t="s">
        <v>184</v>
      </c>
      <c r="C96" s="124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66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172</v>
      </c>
      <c r="H96" t="s">
        <v>172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16">
        <v>1111518</v>
      </c>
    </row>
    <row r="97" spans="1:11" ht="18.75" customHeight="1" x14ac:dyDescent="0.35">
      <c r="A97" s="116">
        <v>2024</v>
      </c>
      <c r="B97" t="s">
        <v>184</v>
      </c>
      <c r="C97" s="124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67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172</v>
      </c>
      <c r="H97" t="s">
        <v>172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16">
        <v>2581513</v>
      </c>
    </row>
    <row r="98" spans="1:11" ht="18.75" customHeight="1" x14ac:dyDescent="0.35">
      <c r="A98" s="116">
        <v>2024</v>
      </c>
      <c r="B98" t="s">
        <v>184</v>
      </c>
      <c r="C98" s="124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68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172</v>
      </c>
      <c r="H98" t="s">
        <v>172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16">
        <v>96825026</v>
      </c>
    </row>
    <row r="99" spans="1:11" ht="18.75" customHeight="1" x14ac:dyDescent="0.35">
      <c r="A99" s="116">
        <v>2024</v>
      </c>
      <c r="B99" t="s">
        <v>184</v>
      </c>
      <c r="C99" s="124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64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172</v>
      </c>
      <c r="H99" t="s">
        <v>172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16">
        <v>796</v>
      </c>
    </row>
    <row r="100" spans="1:11" ht="18.75" customHeight="1" x14ac:dyDescent="0.35">
      <c r="A100" s="116">
        <v>2024</v>
      </c>
      <c r="B100" t="s">
        <v>184</v>
      </c>
      <c r="C100" s="124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65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172</v>
      </c>
      <c r="H100" t="s">
        <v>172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16">
        <v>1423</v>
      </c>
    </row>
    <row r="101" spans="1:11" ht="18.75" customHeight="1" x14ac:dyDescent="0.35">
      <c r="A101" s="116">
        <v>2025</v>
      </c>
      <c r="B101" s="128" t="s">
        <v>171</v>
      </c>
      <c r="C101" s="124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127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172</v>
      </c>
      <c r="H101" t="s">
        <v>172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16">
        <v>-1163</v>
      </c>
    </row>
    <row r="102" spans="1:11" ht="18.75" customHeight="1" x14ac:dyDescent="0.35">
      <c r="A102" s="116">
        <v>2025</v>
      </c>
      <c r="B102" s="128" t="s">
        <v>171</v>
      </c>
      <c r="C102" s="124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202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172</v>
      </c>
      <c r="H102" t="s">
        <v>172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16">
        <v>18</v>
      </c>
    </row>
    <row r="103" spans="1:11" ht="18.75" customHeight="1" x14ac:dyDescent="0.35">
      <c r="A103" s="116">
        <v>2025</v>
      </c>
      <c r="B103" s="128" t="s">
        <v>171</v>
      </c>
      <c r="C103" s="124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66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172</v>
      </c>
      <c r="H103" t="s">
        <v>172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16">
        <v>464433</v>
      </c>
    </row>
    <row r="104" spans="1:11" ht="18.75" customHeight="1" x14ac:dyDescent="0.35">
      <c r="A104" s="116">
        <v>2025</v>
      </c>
      <c r="B104" s="128" t="s">
        <v>171</v>
      </c>
      <c r="C104" s="124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125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172</v>
      </c>
      <c r="H104" t="s">
        <v>172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16">
        <v>4133594</v>
      </c>
    </row>
    <row r="105" spans="1:11" ht="18.75" customHeight="1" x14ac:dyDescent="0.35">
      <c r="A105" s="116">
        <v>2025</v>
      </c>
      <c r="B105" s="128" t="s">
        <v>171</v>
      </c>
      <c r="C105" s="124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203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172</v>
      </c>
      <c r="H105" t="s">
        <v>172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16">
        <v>0</v>
      </c>
    </row>
    <row r="106" spans="1:11" ht="18.75" customHeight="1" x14ac:dyDescent="0.35">
      <c r="A106" s="116">
        <v>2025</v>
      </c>
      <c r="B106" s="128" t="s">
        <v>171</v>
      </c>
      <c r="C106" s="124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64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172</v>
      </c>
      <c r="H106" t="s">
        <v>172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16">
        <v>798</v>
      </c>
    </row>
    <row r="107" spans="1:11" ht="18.75" customHeight="1" x14ac:dyDescent="0.35">
      <c r="A107" s="116">
        <v>2025</v>
      </c>
      <c r="B107" s="128" t="s">
        <v>171</v>
      </c>
      <c r="C107" s="124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124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172</v>
      </c>
      <c r="H107" t="s">
        <v>172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16">
        <v>29</v>
      </c>
    </row>
    <row r="108" spans="1:11" ht="18.75" customHeight="1" x14ac:dyDescent="0.35">
      <c r="A108" s="116">
        <v>2025</v>
      </c>
      <c r="B108" s="128" t="s">
        <v>171</v>
      </c>
      <c r="C108" s="124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65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172</v>
      </c>
      <c r="H108" t="s">
        <v>172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16">
        <v>1476</v>
      </c>
    </row>
    <row r="109" spans="1:11" ht="18.75" customHeight="1" x14ac:dyDescent="0.35">
      <c r="A109" s="116">
        <v>2025</v>
      </c>
      <c r="B109" s="128" t="s">
        <v>171</v>
      </c>
      <c r="C109" s="124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126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172</v>
      </c>
      <c r="H109" t="s">
        <v>172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16">
        <v>19426375</v>
      </c>
    </row>
    <row r="110" spans="1:11" ht="18.75" customHeight="1" x14ac:dyDescent="0.35">
      <c r="A110" s="116">
        <v>2025</v>
      </c>
      <c r="B110" t="s">
        <v>174</v>
      </c>
      <c r="C110" s="124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127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172</v>
      </c>
      <c r="H110" t="s">
        <v>172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16">
        <v>-14071</v>
      </c>
    </row>
    <row r="111" spans="1:11" ht="18.75" customHeight="1" x14ac:dyDescent="0.35">
      <c r="A111" s="116">
        <v>2025</v>
      </c>
      <c r="B111" t="s">
        <v>174</v>
      </c>
      <c r="C111" s="124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202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172</v>
      </c>
      <c r="H111" t="s">
        <v>172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16">
        <v>20</v>
      </c>
    </row>
    <row r="112" spans="1:11" ht="18.75" customHeight="1" x14ac:dyDescent="0.35">
      <c r="A112" s="116">
        <v>2025</v>
      </c>
      <c r="B112" t="s">
        <v>174</v>
      </c>
      <c r="C112" s="124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66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172</v>
      </c>
      <c r="H112" t="s">
        <v>172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16">
        <v>353711</v>
      </c>
    </row>
    <row r="113" spans="1:11" ht="18.75" customHeight="1" x14ac:dyDescent="0.35">
      <c r="A113" s="116">
        <v>2025</v>
      </c>
      <c r="B113" t="s">
        <v>174</v>
      </c>
      <c r="C113" s="124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125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172</v>
      </c>
      <c r="H113" t="s">
        <v>172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16">
        <v>4146127</v>
      </c>
    </row>
    <row r="114" spans="1:11" ht="18.75" customHeight="1" x14ac:dyDescent="0.35">
      <c r="A114" s="116">
        <v>2025</v>
      </c>
      <c r="B114" t="s">
        <v>174</v>
      </c>
      <c r="C114" s="124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203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172</v>
      </c>
      <c r="H114" t="s">
        <v>172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16">
        <v>2</v>
      </c>
    </row>
    <row r="115" spans="1:11" ht="18.75" customHeight="1" x14ac:dyDescent="0.35">
      <c r="A115" s="116">
        <v>2025</v>
      </c>
      <c r="B115" t="s">
        <v>174</v>
      </c>
      <c r="C115" s="124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64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172</v>
      </c>
      <c r="H115" t="s">
        <v>172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16">
        <v>788</v>
      </c>
    </row>
    <row r="116" spans="1:11" ht="18.75" customHeight="1" x14ac:dyDescent="0.35">
      <c r="A116" s="116">
        <v>2025</v>
      </c>
      <c r="B116" t="s">
        <v>174</v>
      </c>
      <c r="C116" s="124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124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172</v>
      </c>
      <c r="H116" t="s">
        <v>172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16">
        <v>145</v>
      </c>
    </row>
    <row r="117" spans="1:11" ht="18.75" customHeight="1" x14ac:dyDescent="0.35">
      <c r="A117" s="116">
        <v>2025</v>
      </c>
      <c r="B117" t="s">
        <v>174</v>
      </c>
      <c r="C117" s="124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65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172</v>
      </c>
      <c r="H117" t="s">
        <v>172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16">
        <v>1474</v>
      </c>
    </row>
    <row r="118" spans="1:11" ht="18.75" customHeight="1" x14ac:dyDescent="0.35">
      <c r="A118" s="116">
        <v>2025</v>
      </c>
      <c r="B118" t="s">
        <v>174</v>
      </c>
      <c r="C118" s="124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126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172</v>
      </c>
      <c r="H118" t="s">
        <v>172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16">
        <v>11107955</v>
      </c>
    </row>
    <row r="119" spans="1:11" ht="18.75" customHeight="1" x14ac:dyDescent="0.35">
      <c r="A119" s="116">
        <v>2025</v>
      </c>
      <c r="B119" t="s">
        <v>175</v>
      </c>
      <c r="C119" s="124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128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172</v>
      </c>
      <c r="H119" t="s">
        <v>172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16">
        <v>-447104588</v>
      </c>
    </row>
    <row r="120" spans="1:11" ht="18.75" customHeight="1" x14ac:dyDescent="0.35">
      <c r="A120" s="116">
        <v>2025</v>
      </c>
      <c r="B120" t="s">
        <v>175</v>
      </c>
      <c r="C120" s="124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127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172</v>
      </c>
      <c r="H120" t="s">
        <v>172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16">
        <v>-5822</v>
      </c>
    </row>
    <row r="121" spans="1:11" ht="18.75" customHeight="1" x14ac:dyDescent="0.35">
      <c r="A121" s="116">
        <v>2025</v>
      </c>
      <c r="B121" t="s">
        <v>175</v>
      </c>
      <c r="C121" s="124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202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172</v>
      </c>
      <c r="H121" t="s">
        <v>172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16">
        <v>22</v>
      </c>
    </row>
    <row r="122" spans="1:11" ht="18.75" customHeight="1" x14ac:dyDescent="0.35">
      <c r="A122" s="116">
        <v>2025</v>
      </c>
      <c r="B122" t="s">
        <v>175</v>
      </c>
      <c r="C122" s="124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66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172</v>
      </c>
      <c r="H122" t="s">
        <v>172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16">
        <v>398908</v>
      </c>
    </row>
    <row r="123" spans="1:11" ht="18.75" customHeight="1" x14ac:dyDescent="0.35">
      <c r="A123" s="116">
        <v>2025</v>
      </c>
      <c r="B123" t="s">
        <v>175</v>
      </c>
      <c r="C123" s="124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125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172</v>
      </c>
      <c r="H123" t="s">
        <v>172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16">
        <v>4268233</v>
      </c>
    </row>
    <row r="124" spans="1:11" ht="18.75" customHeight="1" x14ac:dyDescent="0.35">
      <c r="A124" s="116">
        <v>2025</v>
      </c>
      <c r="B124" t="s">
        <v>175</v>
      </c>
      <c r="C124" s="124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203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172</v>
      </c>
      <c r="H124" t="s">
        <v>172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16">
        <v>2</v>
      </c>
    </row>
    <row r="125" spans="1:11" ht="18.75" customHeight="1" x14ac:dyDescent="0.35">
      <c r="A125" s="116">
        <v>2025</v>
      </c>
      <c r="B125" t="s">
        <v>175</v>
      </c>
      <c r="C125" s="124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64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172</v>
      </c>
      <c r="H125" t="s">
        <v>172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16">
        <v>791</v>
      </c>
    </row>
    <row r="126" spans="1:11" ht="18.75" customHeight="1" x14ac:dyDescent="0.35">
      <c r="A126" s="116">
        <v>2025</v>
      </c>
      <c r="B126" t="s">
        <v>175</v>
      </c>
      <c r="C126" s="124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124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172</v>
      </c>
      <c r="H126" t="s">
        <v>172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16">
        <v>88</v>
      </c>
    </row>
    <row r="127" spans="1:11" ht="18.75" customHeight="1" x14ac:dyDescent="0.35">
      <c r="A127" s="116">
        <v>2025</v>
      </c>
      <c r="B127" t="s">
        <v>175</v>
      </c>
      <c r="C127" s="124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65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172</v>
      </c>
      <c r="H127" t="s">
        <v>172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16">
        <v>1464</v>
      </c>
    </row>
    <row r="128" spans="1:11" ht="18.75" customHeight="1" x14ac:dyDescent="0.35">
      <c r="A128" s="116">
        <v>2025</v>
      </c>
      <c r="B128" t="s">
        <v>175</v>
      </c>
      <c r="C128" s="124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126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172</v>
      </c>
      <c r="H128" t="s">
        <v>172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16">
        <v>18463922</v>
      </c>
    </row>
    <row r="129" spans="1:11" ht="18.75" customHeight="1" x14ac:dyDescent="0.35">
      <c r="A129" s="116">
        <v>2025</v>
      </c>
      <c r="B129" t="s">
        <v>176</v>
      </c>
      <c r="C129" s="124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127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172</v>
      </c>
      <c r="H129" t="s">
        <v>172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16">
        <v>-8024</v>
      </c>
    </row>
    <row r="130" spans="1:11" ht="18.75" customHeight="1" x14ac:dyDescent="0.35">
      <c r="A130" s="116">
        <v>2025</v>
      </c>
      <c r="B130" t="s">
        <v>176</v>
      </c>
      <c r="C130" s="124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202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172</v>
      </c>
      <c r="H130" t="s">
        <v>172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16">
        <v>11</v>
      </c>
    </row>
    <row r="131" spans="1:11" ht="18.75" customHeight="1" x14ac:dyDescent="0.35">
      <c r="A131" s="116">
        <v>2025</v>
      </c>
      <c r="B131" t="s">
        <v>176</v>
      </c>
      <c r="C131" s="124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66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172</v>
      </c>
      <c r="H131" t="s">
        <v>172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16">
        <v>394034</v>
      </c>
    </row>
    <row r="132" spans="1:11" ht="18.75" customHeight="1" x14ac:dyDescent="0.35">
      <c r="A132" s="116">
        <v>2025</v>
      </c>
      <c r="B132" t="s">
        <v>176</v>
      </c>
      <c r="C132" s="124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125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172</v>
      </c>
      <c r="H132" t="s">
        <v>172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16">
        <v>4548433</v>
      </c>
    </row>
    <row r="133" spans="1:11" ht="18.75" customHeight="1" x14ac:dyDescent="0.35">
      <c r="A133" s="116">
        <v>2025</v>
      </c>
      <c r="B133" t="s">
        <v>176</v>
      </c>
      <c r="C133" s="124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203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172</v>
      </c>
      <c r="H133" t="s">
        <v>172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16">
        <v>2</v>
      </c>
    </row>
    <row r="134" spans="1:11" ht="18.75" customHeight="1" x14ac:dyDescent="0.35">
      <c r="A134" s="116">
        <v>2025</v>
      </c>
      <c r="B134" t="s">
        <v>176</v>
      </c>
      <c r="C134" s="124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64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172</v>
      </c>
      <c r="H134" t="s">
        <v>172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16">
        <v>812</v>
      </c>
    </row>
    <row r="135" spans="1:11" ht="18.75" customHeight="1" x14ac:dyDescent="0.35">
      <c r="A135" s="116">
        <v>2025</v>
      </c>
      <c r="B135" t="s">
        <v>176</v>
      </c>
      <c r="C135" s="124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124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172</v>
      </c>
      <c r="H135" t="s">
        <v>172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16">
        <v>37</v>
      </c>
    </row>
    <row r="136" spans="1:11" ht="18.75" customHeight="1" x14ac:dyDescent="0.35">
      <c r="A136" s="116">
        <v>2025</v>
      </c>
      <c r="B136" t="s">
        <v>176</v>
      </c>
      <c r="C136" s="124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65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172</v>
      </c>
      <c r="H136" t="s">
        <v>172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16">
        <v>1500</v>
      </c>
    </row>
    <row r="137" spans="1:11" ht="18.75" customHeight="1" x14ac:dyDescent="0.35">
      <c r="A137" s="116">
        <v>2025</v>
      </c>
      <c r="B137" t="s">
        <v>176</v>
      </c>
      <c r="C137" s="124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126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172</v>
      </c>
      <c r="H137" t="s">
        <v>172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16">
        <v>267586905</v>
      </c>
    </row>
    <row r="138" spans="1:11" ht="18.75" customHeight="1" x14ac:dyDescent="0.35">
      <c r="A138" s="116">
        <v>2025</v>
      </c>
      <c r="B138" t="s">
        <v>10</v>
      </c>
      <c r="C138" s="124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127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172</v>
      </c>
      <c r="H138" t="s">
        <v>172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16">
        <v>-2618</v>
      </c>
    </row>
    <row r="139" spans="1:11" ht="18.75" customHeight="1" x14ac:dyDescent="0.35">
      <c r="A139" s="116">
        <v>2025</v>
      </c>
      <c r="B139" t="s">
        <v>10</v>
      </c>
      <c r="C139" s="124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202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172</v>
      </c>
      <c r="H139" t="s">
        <v>172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16">
        <v>6</v>
      </c>
    </row>
    <row r="140" spans="1:11" ht="18.75" customHeight="1" x14ac:dyDescent="0.35">
      <c r="A140" s="116">
        <v>2025</v>
      </c>
      <c r="B140" t="s">
        <v>10</v>
      </c>
      <c r="C140" s="124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66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172</v>
      </c>
      <c r="H140" t="s">
        <v>172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16">
        <v>394034</v>
      </c>
    </row>
    <row r="141" spans="1:11" ht="18.75" customHeight="1" x14ac:dyDescent="0.35">
      <c r="A141" s="116">
        <v>2025</v>
      </c>
      <c r="B141" t="s">
        <v>10</v>
      </c>
      <c r="C141" s="124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125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172</v>
      </c>
      <c r="H141" t="s">
        <v>172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16">
        <v>4548433</v>
      </c>
    </row>
    <row r="142" spans="1:11" ht="18.75" customHeight="1" x14ac:dyDescent="0.35">
      <c r="A142" s="116">
        <v>2025</v>
      </c>
      <c r="B142" t="s">
        <v>10</v>
      </c>
      <c r="C142" s="124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64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172</v>
      </c>
      <c r="H142" t="s">
        <v>172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16">
        <v>564</v>
      </c>
    </row>
    <row r="143" spans="1:11" ht="18.75" customHeight="1" x14ac:dyDescent="0.35">
      <c r="A143" s="116">
        <v>2025</v>
      </c>
      <c r="B143" t="s">
        <v>10</v>
      </c>
      <c r="C143" s="124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124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172</v>
      </c>
      <c r="H143" t="s">
        <v>172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16">
        <v>37</v>
      </c>
    </row>
    <row r="144" spans="1:11" ht="18.75" customHeight="1" x14ac:dyDescent="0.35">
      <c r="A144" s="116">
        <v>2025</v>
      </c>
      <c r="B144" t="s">
        <v>10</v>
      </c>
      <c r="C144" s="124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65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172</v>
      </c>
      <c r="H144" t="s">
        <v>172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16">
        <v>1351</v>
      </c>
    </row>
    <row r="145" spans="1:11" ht="18.75" customHeight="1" x14ac:dyDescent="0.35">
      <c r="A145" s="116">
        <v>2025</v>
      </c>
      <c r="B145" t="s">
        <v>10</v>
      </c>
      <c r="C145" s="124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128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172</v>
      </c>
      <c r="H145" t="s">
        <v>172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16">
        <v>1047808</v>
      </c>
    </row>
    <row r="146" spans="1:11" ht="18.75" customHeight="1" x14ac:dyDescent="0.35">
      <c r="A146" s="116">
        <v>2025</v>
      </c>
      <c r="B146" t="s">
        <v>10</v>
      </c>
      <c r="C146" s="124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204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172</v>
      </c>
      <c r="H146" t="s">
        <v>172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16">
        <v>1</v>
      </c>
    </row>
    <row r="147" spans="1:11" ht="18.75" customHeight="1" x14ac:dyDescent="0.35">
      <c r="A147" s="116">
        <v>2025</v>
      </c>
      <c r="B147" t="s">
        <v>10</v>
      </c>
      <c r="C147" s="124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203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172</v>
      </c>
      <c r="H147" t="s">
        <v>172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16">
        <v>3</v>
      </c>
    </row>
    <row r="148" spans="1:11" ht="18.75" customHeight="1" x14ac:dyDescent="0.35">
      <c r="A148" s="116">
        <v>2025</v>
      </c>
      <c r="B148" t="s">
        <v>10</v>
      </c>
      <c r="C148" s="124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205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172</v>
      </c>
      <c r="H148" t="s">
        <v>172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16">
        <v>0</v>
      </c>
    </row>
    <row r="149" spans="1:11" ht="18.75" customHeight="1" x14ac:dyDescent="0.35">
      <c r="A149" s="116">
        <v>2025</v>
      </c>
      <c r="B149" t="s">
        <v>10</v>
      </c>
      <c r="C149" s="124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206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172</v>
      </c>
      <c r="H149" t="s">
        <v>172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16">
        <v>27</v>
      </c>
    </row>
    <row r="150" spans="1:11" ht="18.75" customHeight="1" x14ac:dyDescent="0.35">
      <c r="A150" s="116">
        <v>2025</v>
      </c>
      <c r="B150" t="s">
        <v>10</v>
      </c>
      <c r="C150" s="124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207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172</v>
      </c>
      <c r="H150" t="s">
        <v>172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16">
        <v>0</v>
      </c>
    </row>
    <row r="151" spans="1:11" ht="18.75" customHeight="1" x14ac:dyDescent="0.35">
      <c r="A151" s="116">
        <v>2025</v>
      </c>
      <c r="B151" t="s">
        <v>11</v>
      </c>
      <c r="C151" s="124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127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172</v>
      </c>
      <c r="H151" t="s">
        <v>172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16">
        <v>-1408</v>
      </c>
    </row>
    <row r="152" spans="1:11" ht="18.75" customHeight="1" x14ac:dyDescent="0.35">
      <c r="A152" s="116">
        <v>2025</v>
      </c>
      <c r="B152" t="s">
        <v>11</v>
      </c>
      <c r="C152" s="124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202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172</v>
      </c>
      <c r="H152" t="s">
        <v>172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16">
        <v>10</v>
      </c>
    </row>
    <row r="153" spans="1:11" ht="18.75" customHeight="1" x14ac:dyDescent="0.35">
      <c r="A153" s="116">
        <v>2025</v>
      </c>
      <c r="B153" t="s">
        <v>11</v>
      </c>
      <c r="C153" s="124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66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172</v>
      </c>
      <c r="H153" t="s">
        <v>172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16">
        <v>394034</v>
      </c>
    </row>
    <row r="154" spans="1:11" ht="18.75" customHeight="1" x14ac:dyDescent="0.35">
      <c r="A154" s="116">
        <v>2025</v>
      </c>
      <c r="B154" t="s">
        <v>11</v>
      </c>
      <c r="C154" s="124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125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172</v>
      </c>
      <c r="H154" t="s">
        <v>172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16">
        <v>4548433</v>
      </c>
    </row>
    <row r="155" spans="1:11" ht="18.75" customHeight="1" x14ac:dyDescent="0.35">
      <c r="A155" s="116">
        <v>2025</v>
      </c>
      <c r="B155" t="s">
        <v>11</v>
      </c>
      <c r="C155" s="124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203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172</v>
      </c>
      <c r="H155" t="s">
        <v>172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16">
        <v>0</v>
      </c>
    </row>
    <row r="156" spans="1:11" ht="18.75" customHeight="1" x14ac:dyDescent="0.35">
      <c r="A156" s="116">
        <v>2025</v>
      </c>
      <c r="B156" t="s">
        <v>11</v>
      </c>
      <c r="C156" s="124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64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172</v>
      </c>
      <c r="H156" t="s">
        <v>172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16">
        <v>554</v>
      </c>
    </row>
    <row r="157" spans="1:11" ht="18.75" customHeight="1" x14ac:dyDescent="0.35">
      <c r="A157" s="116">
        <v>2025</v>
      </c>
      <c r="B157" t="s">
        <v>11</v>
      </c>
      <c r="C157" s="124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124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172</v>
      </c>
      <c r="H157" t="s">
        <v>172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16">
        <v>37</v>
      </c>
    </row>
    <row r="158" spans="1:11" ht="18.75" customHeight="1" x14ac:dyDescent="0.35">
      <c r="A158" s="116">
        <v>2025</v>
      </c>
      <c r="B158" t="s">
        <v>11</v>
      </c>
      <c r="C158" s="124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65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172</v>
      </c>
      <c r="H158" t="s">
        <v>172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16">
        <v>1349</v>
      </c>
    </row>
    <row r="159" spans="1:11" ht="18.75" customHeight="1" x14ac:dyDescent="0.35">
      <c r="A159" s="116">
        <v>2025</v>
      </c>
      <c r="B159" t="s">
        <v>11</v>
      </c>
      <c r="C159" s="124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128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172</v>
      </c>
      <c r="H159" t="s">
        <v>172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16">
        <v>14860443</v>
      </c>
    </row>
    <row r="160" spans="1:11" ht="18.75" customHeight="1" x14ac:dyDescent="0.35">
      <c r="A160" s="116">
        <v>2025</v>
      </c>
      <c r="B160" t="s">
        <v>11</v>
      </c>
      <c r="C160" s="124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204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172</v>
      </c>
      <c r="H160" t="s">
        <v>172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16">
        <v>0</v>
      </c>
    </row>
    <row r="161" spans="1:11" ht="18.75" customHeight="1" x14ac:dyDescent="0.35">
      <c r="A161" s="116">
        <v>2025</v>
      </c>
      <c r="B161" t="s">
        <v>11</v>
      </c>
      <c r="C161" s="124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205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172</v>
      </c>
      <c r="H161" t="s">
        <v>172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16">
        <v>0</v>
      </c>
    </row>
    <row r="162" spans="1:11" ht="18.75" customHeight="1" x14ac:dyDescent="0.35">
      <c r="A162" s="116">
        <v>2025</v>
      </c>
      <c r="B162" t="s">
        <v>11</v>
      </c>
      <c r="C162" s="124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207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172</v>
      </c>
      <c r="H162" t="s">
        <v>172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16">
        <v>0</v>
      </c>
    </row>
    <row r="163" spans="1:11" ht="18.75" customHeight="1" x14ac:dyDescent="0.35">
      <c r="A163" s="116">
        <v>2025</v>
      </c>
      <c r="B163" t="s">
        <v>11</v>
      </c>
      <c r="C163" s="124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206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172</v>
      </c>
      <c r="H163" t="s">
        <v>172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16">
        <v>22</v>
      </c>
    </row>
    <row r="164" spans="1:11" ht="18.75" customHeight="1" x14ac:dyDescent="0.35">
      <c r="A164" s="116">
        <v>2025</v>
      </c>
      <c r="B164" t="s">
        <v>12</v>
      </c>
      <c r="C164" s="124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127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172</v>
      </c>
      <c r="H164" t="s">
        <v>172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16">
        <v>-1817</v>
      </c>
    </row>
    <row r="165" spans="1:11" ht="18.75" customHeight="1" x14ac:dyDescent="0.35">
      <c r="A165" s="116">
        <v>2025</v>
      </c>
      <c r="B165" t="s">
        <v>12</v>
      </c>
      <c r="C165" s="124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202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172</v>
      </c>
      <c r="H165" t="s">
        <v>172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16">
        <v>15</v>
      </c>
    </row>
    <row r="166" spans="1:11" ht="18.75" customHeight="1" x14ac:dyDescent="0.35">
      <c r="A166" s="116">
        <v>2025</v>
      </c>
      <c r="B166" t="s">
        <v>12</v>
      </c>
      <c r="C166" s="124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66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172</v>
      </c>
      <c r="H166" t="s">
        <v>172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16">
        <v>394034</v>
      </c>
    </row>
    <row r="167" spans="1:11" ht="18.75" customHeight="1" x14ac:dyDescent="0.35">
      <c r="A167" s="116">
        <v>2025</v>
      </c>
      <c r="B167" t="s">
        <v>12</v>
      </c>
      <c r="C167" s="124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125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172</v>
      </c>
      <c r="H167" t="s">
        <v>172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16">
        <v>4548433</v>
      </c>
    </row>
    <row r="168" spans="1:11" ht="18.75" customHeight="1" x14ac:dyDescent="0.35">
      <c r="A168" s="116">
        <v>2025</v>
      </c>
      <c r="B168" t="s">
        <v>12</v>
      </c>
      <c r="C168" s="124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64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172</v>
      </c>
      <c r="H168" t="s">
        <v>172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16">
        <v>550</v>
      </c>
    </row>
    <row r="169" spans="1:11" ht="18.75" customHeight="1" x14ac:dyDescent="0.35">
      <c r="A169" s="116">
        <v>2025</v>
      </c>
      <c r="B169" t="s">
        <v>12</v>
      </c>
      <c r="C169" s="124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124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172</v>
      </c>
      <c r="H169" t="s">
        <v>172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16">
        <v>37</v>
      </c>
    </row>
    <row r="170" spans="1:11" ht="18.75" customHeight="1" x14ac:dyDescent="0.35">
      <c r="A170" s="116">
        <v>2025</v>
      </c>
      <c r="B170" t="s">
        <v>12</v>
      </c>
      <c r="C170" s="124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65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172</v>
      </c>
      <c r="H170" t="s">
        <v>172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16">
        <v>1323</v>
      </c>
    </row>
    <row r="171" spans="1:11" ht="18.75" customHeight="1" x14ac:dyDescent="0.35">
      <c r="A171" s="116">
        <v>2025</v>
      </c>
      <c r="B171" t="s">
        <v>12</v>
      </c>
      <c r="C171" s="124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128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172</v>
      </c>
      <c r="H171" t="s">
        <v>172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16">
        <v>15642727</v>
      </c>
    </row>
    <row r="172" spans="1:11" ht="18.75" customHeight="1" x14ac:dyDescent="0.35">
      <c r="A172" s="116">
        <v>2025</v>
      </c>
      <c r="B172" t="s">
        <v>12</v>
      </c>
      <c r="C172" s="124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204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172</v>
      </c>
      <c r="H172" t="s">
        <v>172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16">
        <v>4</v>
      </c>
    </row>
    <row r="173" spans="1:11" ht="18.75" customHeight="1" x14ac:dyDescent="0.35">
      <c r="A173" s="116">
        <v>2025</v>
      </c>
      <c r="B173" t="s">
        <v>12</v>
      </c>
      <c r="C173" s="124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203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172</v>
      </c>
      <c r="H173" t="s">
        <v>172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16">
        <v>2</v>
      </c>
    </row>
    <row r="174" spans="1:11" ht="18.75" customHeight="1" x14ac:dyDescent="0.35">
      <c r="A174" s="116">
        <v>2025</v>
      </c>
      <c r="B174" t="s">
        <v>12</v>
      </c>
      <c r="C174" s="124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205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172</v>
      </c>
      <c r="H174" t="s">
        <v>172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16">
        <v>1</v>
      </c>
    </row>
    <row r="175" spans="1:11" ht="18.75" customHeight="1" x14ac:dyDescent="0.35">
      <c r="A175" s="116">
        <v>2025</v>
      </c>
      <c r="B175" t="s">
        <v>12</v>
      </c>
      <c r="C175" s="124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206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172</v>
      </c>
      <c r="H175" t="s">
        <v>172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16">
        <v>21</v>
      </c>
    </row>
    <row r="176" spans="1:11" ht="18.75" customHeight="1" x14ac:dyDescent="0.35">
      <c r="A176" s="116">
        <v>2025</v>
      </c>
      <c r="B176" t="s">
        <v>12</v>
      </c>
      <c r="C176" s="124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207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172</v>
      </c>
      <c r="H176" t="s">
        <v>172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16">
        <v>2</v>
      </c>
    </row>
    <row r="177" spans="1:11" ht="18.75" customHeight="1" x14ac:dyDescent="0.35">
      <c r="A177" s="116">
        <v>2025</v>
      </c>
      <c r="B177" t="s">
        <v>13</v>
      </c>
      <c r="C177" s="124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127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172</v>
      </c>
      <c r="H177" t="s">
        <v>172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16">
        <v>-3157</v>
      </c>
    </row>
    <row r="178" spans="1:11" ht="18.75" customHeight="1" x14ac:dyDescent="0.35">
      <c r="A178" s="116">
        <v>2025</v>
      </c>
      <c r="B178" t="s">
        <v>13</v>
      </c>
      <c r="C178" s="124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202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172</v>
      </c>
      <c r="H178" t="s">
        <v>172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16">
        <v>14</v>
      </c>
    </row>
    <row r="179" spans="1:11" ht="18.75" customHeight="1" x14ac:dyDescent="0.35">
      <c r="A179" s="116">
        <v>2025</v>
      </c>
      <c r="B179" t="s">
        <v>13</v>
      </c>
      <c r="C179" s="124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66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172</v>
      </c>
      <c r="H179" t="s">
        <v>172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16">
        <v>394034</v>
      </c>
    </row>
    <row r="180" spans="1:11" ht="18.75" customHeight="1" x14ac:dyDescent="0.35">
      <c r="A180" s="116">
        <v>2025</v>
      </c>
      <c r="B180" t="s">
        <v>13</v>
      </c>
      <c r="C180" s="124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125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172</v>
      </c>
      <c r="H180" t="s">
        <v>172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16">
        <v>4548433</v>
      </c>
    </row>
    <row r="181" spans="1:11" ht="18.75" customHeight="1" x14ac:dyDescent="0.35">
      <c r="A181" s="116">
        <v>2025</v>
      </c>
      <c r="B181" t="s">
        <v>13</v>
      </c>
      <c r="C181" s="124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203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172</v>
      </c>
      <c r="H181" t="s">
        <v>172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16">
        <v>6</v>
      </c>
    </row>
    <row r="182" spans="1:11" ht="18.75" customHeight="1" x14ac:dyDescent="0.35">
      <c r="A182" s="116">
        <v>2025</v>
      </c>
      <c r="B182" t="s">
        <v>13</v>
      </c>
      <c r="C182" s="124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64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172</v>
      </c>
      <c r="H182" t="s">
        <v>172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16">
        <v>570</v>
      </c>
    </row>
    <row r="183" spans="1:11" ht="18.75" customHeight="1" x14ac:dyDescent="0.35">
      <c r="A183" s="116">
        <v>2025</v>
      </c>
      <c r="B183" t="s">
        <v>13</v>
      </c>
      <c r="C183" s="124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124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172</v>
      </c>
      <c r="H183" t="s">
        <v>172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16">
        <v>37</v>
      </c>
    </row>
    <row r="184" spans="1:11" ht="18.75" customHeight="1" x14ac:dyDescent="0.35">
      <c r="A184" s="116">
        <v>2025</v>
      </c>
      <c r="B184" t="s">
        <v>13</v>
      </c>
      <c r="C184" s="124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65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172</v>
      </c>
      <c r="H184" t="s">
        <v>172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16">
        <v>1350</v>
      </c>
    </row>
    <row r="185" spans="1:11" ht="18.75" customHeight="1" x14ac:dyDescent="0.35">
      <c r="A185" s="116">
        <v>2025</v>
      </c>
      <c r="B185" t="s">
        <v>13</v>
      </c>
      <c r="C185" s="124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128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172</v>
      </c>
      <c r="H185" t="s">
        <v>172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16">
        <v>8888922</v>
      </c>
    </row>
    <row r="186" spans="1:11" ht="18.75" customHeight="1" x14ac:dyDescent="0.35">
      <c r="A186" s="116">
        <v>2025</v>
      </c>
      <c r="B186" t="s">
        <v>13</v>
      </c>
      <c r="C186" s="124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205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172</v>
      </c>
      <c r="H186" t="s">
        <v>172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16">
        <v>1</v>
      </c>
    </row>
    <row r="187" spans="1:11" ht="18.75" customHeight="1" x14ac:dyDescent="0.35">
      <c r="A187" s="116">
        <v>2025</v>
      </c>
      <c r="B187" t="s">
        <v>13</v>
      </c>
      <c r="C187" s="124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204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172</v>
      </c>
      <c r="H187" t="s">
        <v>172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16">
        <v>0</v>
      </c>
    </row>
    <row r="188" spans="1:11" ht="18.75" customHeight="1" x14ac:dyDescent="0.35">
      <c r="A188" s="116">
        <v>2025</v>
      </c>
      <c r="B188" t="s">
        <v>13</v>
      </c>
      <c r="C188" s="124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207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172</v>
      </c>
      <c r="H188" t="s">
        <v>172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16">
        <v>1</v>
      </c>
    </row>
    <row r="189" spans="1:11" ht="18.75" customHeight="1" x14ac:dyDescent="0.35">
      <c r="A189" s="116">
        <v>2025</v>
      </c>
      <c r="B189" t="s">
        <v>13</v>
      </c>
      <c r="C189" s="124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206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172</v>
      </c>
      <c r="H189" t="s">
        <v>172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16">
        <v>34</v>
      </c>
    </row>
    <row r="190" spans="1:11" ht="18.75" customHeight="1" x14ac:dyDescent="0.35">
      <c r="A190" s="116">
        <v>2025</v>
      </c>
      <c r="B190" t="s">
        <v>14</v>
      </c>
      <c r="C190" s="124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127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172</v>
      </c>
      <c r="H190" t="s">
        <v>172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16">
        <v>-2848</v>
      </c>
    </row>
    <row r="191" spans="1:11" ht="18.75" customHeight="1" x14ac:dyDescent="0.35">
      <c r="A191" s="116">
        <v>2025</v>
      </c>
      <c r="B191" t="s">
        <v>14</v>
      </c>
      <c r="C191" s="124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202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172</v>
      </c>
      <c r="H191" t="s">
        <v>172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16">
        <v>12</v>
      </c>
    </row>
    <row r="192" spans="1:11" ht="18.75" customHeight="1" x14ac:dyDescent="0.35">
      <c r="A192" s="116">
        <v>2025</v>
      </c>
      <c r="B192" t="s">
        <v>14</v>
      </c>
      <c r="C192" s="124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66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172</v>
      </c>
      <c r="H192" t="s">
        <v>172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16">
        <v>394034</v>
      </c>
    </row>
    <row r="193" spans="1:11" ht="18.75" customHeight="1" x14ac:dyDescent="0.35">
      <c r="A193" s="116">
        <v>2025</v>
      </c>
      <c r="B193" t="s">
        <v>14</v>
      </c>
      <c r="C193" s="124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125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172</v>
      </c>
      <c r="H193" t="s">
        <v>172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16">
        <v>4548433</v>
      </c>
    </row>
    <row r="194" spans="1:11" ht="18.75" customHeight="1" x14ac:dyDescent="0.35">
      <c r="A194" s="116">
        <v>2025</v>
      </c>
      <c r="B194" t="s">
        <v>14</v>
      </c>
      <c r="C194" s="124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64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172</v>
      </c>
      <c r="H194" t="s">
        <v>172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16">
        <v>572</v>
      </c>
    </row>
    <row r="195" spans="1:11" ht="18.75" customHeight="1" x14ac:dyDescent="0.35">
      <c r="A195" s="116">
        <v>2025</v>
      </c>
      <c r="B195" t="s">
        <v>14</v>
      </c>
      <c r="C195" s="124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124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172</v>
      </c>
      <c r="H195" t="s">
        <v>172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16">
        <v>37</v>
      </c>
    </row>
    <row r="196" spans="1:11" ht="18.75" customHeight="1" x14ac:dyDescent="0.35">
      <c r="A196" s="116">
        <v>2025</v>
      </c>
      <c r="B196" t="s">
        <v>14</v>
      </c>
      <c r="C196" s="124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65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172</v>
      </c>
      <c r="H196" t="s">
        <v>172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16">
        <v>1379</v>
      </c>
    </row>
    <row r="197" spans="1:11" ht="18.75" customHeight="1" x14ac:dyDescent="0.35">
      <c r="A197" s="116">
        <v>2025</v>
      </c>
      <c r="B197" t="s">
        <v>14</v>
      </c>
      <c r="C197" s="124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128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172</v>
      </c>
      <c r="H197" t="s">
        <v>172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16">
        <v>25651648</v>
      </c>
    </row>
    <row r="198" spans="1:11" ht="18.75" customHeight="1" x14ac:dyDescent="0.35">
      <c r="A198" s="116">
        <v>2025</v>
      </c>
      <c r="B198" t="s">
        <v>14</v>
      </c>
      <c r="C198" s="124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203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172</v>
      </c>
      <c r="H198" t="s">
        <v>172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16">
        <v>2</v>
      </c>
    </row>
    <row r="199" spans="1:11" ht="18.75" customHeight="1" x14ac:dyDescent="0.35">
      <c r="A199" s="116">
        <v>2025</v>
      </c>
      <c r="B199" t="s">
        <v>14</v>
      </c>
      <c r="C199" s="124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205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172</v>
      </c>
      <c r="H199" t="s">
        <v>172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16">
        <v>3</v>
      </c>
    </row>
    <row r="200" spans="1:11" ht="18.75" customHeight="1" x14ac:dyDescent="0.35">
      <c r="A200" s="116">
        <v>2025</v>
      </c>
      <c r="B200" t="s">
        <v>14</v>
      </c>
      <c r="C200" s="124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204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172</v>
      </c>
      <c r="H200" t="s">
        <v>172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16">
        <v>1</v>
      </c>
    </row>
    <row r="201" spans="1:11" ht="18.75" customHeight="1" x14ac:dyDescent="0.35">
      <c r="A201" s="116">
        <v>2025</v>
      </c>
      <c r="B201" t="s">
        <v>14</v>
      </c>
      <c r="C201" s="124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206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172</v>
      </c>
      <c r="H201" t="s">
        <v>172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16">
        <v>32</v>
      </c>
    </row>
    <row r="202" spans="1:11" ht="18.75" customHeight="1" x14ac:dyDescent="0.35">
      <c r="A202" s="116">
        <v>2025</v>
      </c>
      <c r="B202" t="s">
        <v>14</v>
      </c>
      <c r="C202" s="124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207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172</v>
      </c>
      <c r="H202" t="s">
        <v>172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16">
        <v>2</v>
      </c>
    </row>
    <row r="203" spans="1:11" ht="18.75" customHeight="1" x14ac:dyDescent="0.35">
      <c r="C203" s="124" t="str">
        <f>IF(OR(Fact_Analitica[[#This Row], [Año]]="",Fact_Analitica[[#This Row], [Mes]]=""),"",DATE(A203,MATCH(B203,{"enero","febrero","marzo","abril","mayo","junio","julio","agosto","septiembre","octubre","noviembre","diciembre"},0)+1,0))</f>
        <v/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I203" t="str">
        <f>+IFERROR(VLOOKUP(D203,Conceptos_Analítica_contraloría[#All],2,0),"")</f>
        <v/>
      </c>
      <c r="J203" t="str">
        <f>+IFERROR(VLOOKUP(D203,Conceptos_Analítica_contraloría[#All],3,0),"")</f>
        <v/>
      </c>
    </row>
    <row r="204" spans="1:11" ht="18.75" customHeight="1" x14ac:dyDescent="0.35">
      <c r="C204" s="124" t="str">
        <f>IF(OR(Fact_Analitica[[#This Row], [Año]]="",Fact_Analitica[[#This Row], [Mes]]=""),"",DATE(A204,MATCH(B204,{"enero","febrero","marzo","abril","mayo","junio","julio","agosto","septiembre","octubre","noviembre","diciembre"},0)+1,0))</f>
        <v/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I204" t="str">
        <f>+IFERROR(VLOOKUP(D204,Conceptos_Analítica_contraloría[#All],2,0),"")</f>
        <v/>
      </c>
      <c r="J204" t="str">
        <f>+IFERROR(VLOOKUP(D204,Conceptos_Analítica_contraloría[#All],3,0),"")</f>
        <v/>
      </c>
    </row>
    <row r="205" spans="1:11" ht="18.75" customHeight="1" x14ac:dyDescent="0.35">
      <c r="C205" s="124" t="str">
        <f>IF(OR(Fact_Analitica[[#This Row], [Año]]="",Fact_Analitica[[#This Row], [Mes]]=""),"",DATE(A205,MATCH(B205,{"enero","febrero","marzo","abril","mayo","junio","julio","agosto","septiembre","octubre","noviembre","diciembre"},0)+1,0))</f>
        <v/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I205" t="str">
        <f>+IFERROR(VLOOKUP(D205,Conceptos_Analítica_contraloría[#All],2,0),"")</f>
        <v/>
      </c>
      <c r="J205" t="str">
        <f>+IFERROR(VLOOKUP(D205,Conceptos_Analítica_contraloría[#All],3,0),"")</f>
        <v/>
      </c>
    </row>
    <row r="206" spans="1:11" ht="18.75" customHeight="1" x14ac:dyDescent="0.35">
      <c r="C206" s="124" t="str">
        <f>IF(OR(Fact_Analitica[[#This Row], [Año]]="",Fact_Analitica[[#This Row], [Mes]]=""),"",DATE(A206,MATCH(B206,{"enero","febrero","marzo","abril","mayo","junio","julio","agosto","septiembre","octubre","noviembre","diciembre"},0)+1,0))</f>
        <v/>
      </c>
      <c r="E206" t="str">
        <f>+IFERROR(VLOOKUP(Fact_Analitica[[#This Row], [Concepto Anterior]],Conceptos_Analítica_contraloría[#All],5,0),"")</f>
        <v/>
      </c>
      <c r="F206" t="str">
        <f>+IFERROR(VLOOKUP(Fact_Analitica[[#This Row], [Concepto Anterior]],Conceptos_Analítica_contraloría[#All],7,0),"")</f>
        <v/>
      </c>
      <c r="I206" t="str">
        <f>+IFERROR(VLOOKUP(D206,Conceptos_Analítica_contraloría[#All],2,0),"")</f>
        <v/>
      </c>
      <c r="J206" t="str">
        <f>+IFERROR(VLOOKUP(D206,Conceptos_Analítica_contraloría[#All],3,0),"")</f>
        <v/>
      </c>
    </row>
    <row r="207" spans="1:11" ht="18.75" customHeight="1" x14ac:dyDescent="0.35">
      <c r="C207" s="124" t="str">
        <f>IF(OR(Fact_Analitica[[#This Row], [Año]]="",Fact_Analitica[[#This Row], [Mes]]=""),"",DATE(A207,MATCH(B207,{"enero","febrero","marzo","abril","mayo","junio","julio","agosto","septiembre","octubre","noviembre","diciembre"},0)+1,0))</f>
        <v/>
      </c>
      <c r="E207" t="str">
        <f>+IFERROR(VLOOKUP(Fact_Analitica[[#This Row], [Concepto Anterior]],Conceptos_Analítica_contraloría[#All],5,0),"")</f>
        <v/>
      </c>
      <c r="F207" t="str">
        <f>+IFERROR(VLOOKUP(Fact_Analitica[[#This Row], [Concepto Anterior]],Conceptos_Analítica_contraloría[#All],7,0),"")</f>
        <v/>
      </c>
      <c r="I207" t="str">
        <f>+IFERROR(VLOOKUP(D207,Conceptos_Analítica_contraloría[#All],2,0),"")</f>
        <v/>
      </c>
      <c r="J207" t="str">
        <f>+IFERROR(VLOOKUP(D207,Conceptos_Analítica_contraloría[#All],3,0),"")</f>
        <v/>
      </c>
    </row>
    <row r="208" spans="1:11" ht="18.75" customHeight="1" x14ac:dyDescent="0.35">
      <c r="C208" s="124" t="str">
        <f>IF(OR(Fact_Analitica[[#This Row], [Año]]="",Fact_Analitica[[#This Row], [Mes]]=""),"",DATE(A208,MATCH(B208,{"enero","febrero","marzo","abril","mayo","junio","julio","agosto","septiembre","octubre","noviembre","diciembre"},0)+1,0))</f>
        <v/>
      </c>
      <c r="E208" t="str">
        <f>+IFERROR(VLOOKUP(Fact_Analitica[[#This Row], [Concepto Anterior]],Conceptos_Analítica_contraloría[#All],5,0),"")</f>
        <v/>
      </c>
      <c r="F208" t="str">
        <f>+IFERROR(VLOOKUP(Fact_Analitica[[#This Row], [Concepto Anterior]],Conceptos_Analítica_contraloría[#All],7,0),"")</f>
        <v/>
      </c>
      <c r="I208" t="str">
        <f>+IFERROR(VLOOKUP(D208,Conceptos_Analítica_contraloría[#All],2,0),"")</f>
        <v/>
      </c>
      <c r="J208" t="str">
        <f>+IFERROR(VLOOKUP(D208,Conceptos_Analítica_contraloría[#All],3,0),"")</f>
        <v/>
      </c>
    </row>
    <row r="209" spans="3:10" ht="18.75" customHeight="1" x14ac:dyDescent="0.35">
      <c r="C209" s="124" t="str">
        <f>IF(OR(Fact_Analitica[[#This Row], [Año]]="",Fact_Analitica[[#This Row], [Mes]]=""),"",DATE(A209,MATCH(B209,{"enero","febrero","marzo","abril","mayo","junio","julio","agosto","septiembre","octubre","noviembre","diciembre"},0)+1,0))</f>
        <v/>
      </c>
      <c r="E209" t="str">
        <f>+IFERROR(VLOOKUP(Fact_Analitica[[#This Row], [Concepto Anterior]],Conceptos_Analítica_contraloría[#All],5,0),"")</f>
        <v/>
      </c>
      <c r="F209" t="str">
        <f>+IFERROR(VLOOKUP(Fact_Analitica[[#This Row], [Concepto Anterior]],Conceptos_Analítica_contraloría[#All],7,0),"")</f>
        <v/>
      </c>
      <c r="I209" t="str">
        <f>+IFERROR(VLOOKUP(D209,Conceptos_Analítica_contraloría[#All],2,0),"")</f>
        <v/>
      </c>
      <c r="J209" t="str">
        <f>+IFERROR(VLOOKUP(D209,Conceptos_Analítica_contraloría[#All],3,0),"")</f>
        <v/>
      </c>
    </row>
    <row r="210" spans="3:10" ht="18.75" customHeight="1" x14ac:dyDescent="0.35">
      <c r="C210" s="124" t="str">
        <f>IF(OR(Fact_Analitica[[#This Row], [Año]]="",Fact_Analitica[[#This Row], [Mes]]=""),"",DATE(A210,MATCH(B210,{"enero","febrero","marzo","abril","mayo","junio","julio","agosto","septiembre","octubre","noviembre","diciembre"},0)+1,0))</f>
        <v/>
      </c>
      <c r="E210" t="str">
        <f>+IFERROR(VLOOKUP(Fact_Analitica[[#This Row], [Concepto Anterior]],Conceptos_Analítica_contraloría[#All],5,0),"")</f>
        <v/>
      </c>
      <c r="F210" t="str">
        <f>+IFERROR(VLOOKUP(Fact_Analitica[[#This Row], [Concepto Anterior]],Conceptos_Analítica_contraloría[#All],7,0),"")</f>
        <v/>
      </c>
      <c r="I210" t="str">
        <f>+IFERROR(VLOOKUP(D210,Conceptos_Analítica_contraloría[#All],2,0),"")</f>
        <v/>
      </c>
      <c r="J210" t="str">
        <f>+IFERROR(VLOOKUP(D210,Conceptos_Analítica_contraloría[#All],3,0),"")</f>
        <v/>
      </c>
    </row>
    <row r="211" spans="3:10" ht="18.75" customHeight="1" x14ac:dyDescent="0.35">
      <c r="C211" s="124" t="str">
        <f>IF(OR(Fact_Analitica[[#This Row], [Año]]="",Fact_Analitica[[#This Row], [Mes]]=""),"",DATE(A211,MATCH(B211,{"enero","febrero","marzo","abril","mayo","junio","julio","agosto","septiembre","octubre","noviembre","diciembre"},0)+1,0))</f>
        <v/>
      </c>
      <c r="E211" t="str">
        <f>+IFERROR(VLOOKUP(Fact_Analitica[[#This Row], [Concepto Anterior]],Conceptos_Analítica_contraloría[#All],5,0),"")</f>
        <v/>
      </c>
      <c r="F211" t="str">
        <f>+IFERROR(VLOOKUP(Fact_Analitica[[#This Row], [Concepto Anterior]],Conceptos_Analítica_contraloría[#All],7,0),"")</f>
        <v/>
      </c>
      <c r="I211" t="str">
        <f>+IFERROR(VLOOKUP(D211,Conceptos_Analítica_contraloría[#All],2,0),"")</f>
        <v/>
      </c>
      <c r="J211" t="str">
        <f>+IFERROR(VLOOKUP(D211,Conceptos_Analítica_contraloría[#All],3,0),"")</f>
        <v/>
      </c>
    </row>
    <row r="212" spans="3:10" ht="18.75" customHeight="1" x14ac:dyDescent="0.35">
      <c r="C212" s="124" t="str">
        <f>IF(OR(Fact_Analitica[[#This Row], [Año]]="",Fact_Analitica[[#This Row], [Mes]]=""),"",DATE(A212,MATCH(B212,{"enero","febrero","marzo","abril","mayo","junio","julio","agosto","septiembre","octubre","noviembre","diciembre"},0)+1,0))</f>
        <v/>
      </c>
      <c r="E212" t="str">
        <f>+IFERROR(VLOOKUP(Fact_Analitica[[#This Row], [Concepto Anterior]],Conceptos_Analítica_contraloría[#All],5,0),"")</f>
        <v/>
      </c>
      <c r="F212" t="str">
        <f>+IFERROR(VLOOKUP(Fact_Analitica[[#This Row], [Concepto Anterior]],Conceptos_Analítica_contraloría[#All],7,0),"")</f>
        <v/>
      </c>
      <c r="I212" t="str">
        <f>+IFERROR(VLOOKUP(D212,Conceptos_Analítica_contraloría[#All],2,0),"")</f>
        <v/>
      </c>
      <c r="J212" t="str">
        <f>+IFERROR(VLOOKUP(D212,Conceptos_Analítica_contraloría[#All],3,0),"")</f>
        <v/>
      </c>
    </row>
    <row r="213" spans="3:10" ht="18.75" customHeight="1" x14ac:dyDescent="0.35">
      <c r="C213" s="124" t="str">
        <f>IF(OR(Fact_Analitica[[#This Row], [Año]]="",Fact_Analitica[[#This Row], [Mes]]=""),"",DATE(A213,MATCH(B213,{"enero","febrero","marzo","abril","mayo","junio","julio","agosto","septiembre","octubre","noviembre","diciembre"},0)+1,0))</f>
        <v/>
      </c>
      <c r="E213" t="str">
        <f>+IFERROR(VLOOKUP(Fact_Analitica[[#This Row], [Concepto Anterior]],Conceptos_Analítica_contraloría[#All],5,0),"")</f>
        <v/>
      </c>
      <c r="F213" t="str">
        <f>+IFERROR(VLOOKUP(Fact_Analitica[[#This Row], [Concepto Anterior]],Conceptos_Analítica_contraloría[#All],7,0),"")</f>
        <v/>
      </c>
      <c r="I213" t="str">
        <f>+IFERROR(VLOOKUP(D213,Conceptos_Analítica_contraloría[#All],2,0),"")</f>
        <v/>
      </c>
      <c r="J213" t="str">
        <f>+IFERROR(VLOOKUP(D213,Conceptos_Analítica_contraloría[#All],3,0),"")</f>
        <v/>
      </c>
    </row>
    <row r="214" spans="3:10" ht="18.75" customHeight="1" x14ac:dyDescent="0.35">
      <c r="C214" s="124" t="str">
        <f>IF(OR(Fact_Analitica[[#This Row], [Año]]="",Fact_Analitica[[#This Row], [Mes]]=""),"",DATE(A214,MATCH(B214,{"enero","febrero","marzo","abril","mayo","junio","julio","agosto","septiembre","octubre","noviembre","diciembre"},0)+1,0))</f>
        <v/>
      </c>
      <c r="E214" t="str">
        <f>+IFERROR(VLOOKUP(Fact_Analitica[[#This Row], [Concepto Anterior]],Conceptos_Analítica_contraloría[#All],5,0),"")</f>
        <v/>
      </c>
      <c r="F214" t="str">
        <f>+IFERROR(VLOOKUP(Fact_Analitica[[#This Row], [Concepto Anterior]],Conceptos_Analítica_contraloría[#All],7,0),"")</f>
        <v/>
      </c>
      <c r="I214" t="str">
        <f>+IFERROR(VLOOKUP(D214,Conceptos_Analítica_contraloría[#All],2,0),"")</f>
        <v/>
      </c>
      <c r="J214" t="str">
        <f>+IFERROR(VLOOKUP(D214,Conceptos_Analítica_contraloría[#All],3,0),"")</f>
        <v/>
      </c>
    </row>
    <row r="215" spans="3:10" ht="18.75" customHeight="1" x14ac:dyDescent="0.35">
      <c r="C215" s="124" t="str">
        <f>IF(OR(Fact_Analitica[[#This Row], [Año]]="",Fact_Analitica[[#This Row], [Mes]]=""),"",DATE(A215,MATCH(B215,{"enero","febrero","marzo","abril","mayo","junio","julio","agosto","septiembre","octubre","noviembre","diciembre"},0)+1,0))</f>
        <v/>
      </c>
      <c r="E215" t="str">
        <f>+IFERROR(VLOOKUP(Fact_Analitica[[#This Row], [Concepto Anterior]],Conceptos_Analítica_contraloría[#All],5,0),"")</f>
        <v/>
      </c>
      <c r="F215" t="str">
        <f>+IFERROR(VLOOKUP(Fact_Analitica[[#This Row], [Concepto Anterior]],Conceptos_Analítica_contraloría[#All],7,0),"")</f>
        <v/>
      </c>
      <c r="I215" t="str">
        <f>+IFERROR(VLOOKUP(D215,Conceptos_Analítica_contraloría[#All],2,0),"")</f>
        <v/>
      </c>
      <c r="J215" t="str">
        <f>+IFERROR(VLOOKUP(D215,Conceptos_Analítica_contraloría[#All],3,0),"")</f>
        <v/>
      </c>
    </row>
    <row r="216" spans="3:10" ht="18.75" customHeight="1" x14ac:dyDescent="0.35">
      <c r="C216" s="124" t="str">
        <f>IF(OR(Fact_Analitica[[#This Row], [Año]]="",Fact_Analitica[[#This Row], [Mes]]=""),"",DATE(A216,MATCH(B216,{"enero","febrero","marzo","abril","mayo","junio","julio","agosto","septiembre","octubre","noviembre","diciembre"},0)+1,0))</f>
        <v/>
      </c>
      <c r="E216" t="str">
        <f>+IFERROR(VLOOKUP(Fact_Analitica[[#This Row], [Concepto Anterior]],Conceptos_Analítica_contraloría[#All],5,0),"")</f>
        <v/>
      </c>
      <c r="F216" t="str">
        <f>+IFERROR(VLOOKUP(Fact_Analitica[[#This Row], [Concepto Anterior]],Conceptos_Analítica_contraloría[#All],7,0),"")</f>
        <v/>
      </c>
      <c r="I216" t="str">
        <f>+IFERROR(VLOOKUP(D216,Conceptos_Analítica_contraloría[#All],2,0),"")</f>
        <v/>
      </c>
      <c r="J216" t="str">
        <f>+IFERROR(VLOOKUP(D216,Conceptos_Analítica_contraloría[#All],3,0),"")</f>
        <v/>
      </c>
    </row>
    <row r="217" spans="3:10" ht="18.75" customHeight="1" x14ac:dyDescent="0.35">
      <c r="C217" s="124" t="str">
        <f>IF(OR(Fact_Analitica[[#This Row], [Año]]="",Fact_Analitica[[#This Row], [Mes]]=""),"",DATE(A217,MATCH(B217,{"enero","febrero","marzo","abril","mayo","junio","julio","agosto","septiembre","octubre","noviembre","diciembre"},0)+1,0))</f>
        <v/>
      </c>
      <c r="E217" t="str">
        <f>+IFERROR(VLOOKUP(Fact_Analitica[[#This Row], [Concepto Anterior]],Conceptos_Analítica_contraloría[#All],5,0),"")</f>
        <v/>
      </c>
      <c r="F217" t="str">
        <f>+IFERROR(VLOOKUP(Fact_Analitica[[#This Row], 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3:10" ht="18.75" customHeight="1" x14ac:dyDescent="0.35">
      <c r="C218" s="124" t="str">
        <f>IF(OR(Fact_Analitica[[#This Row], [Año]]="",Fact_Analitica[[#This Row], [Mes]]=""),"",DATE(A218,MATCH(B218,{"enero","febrero","marzo","abril","mayo","junio","julio","agosto","septiembre","octubre","noviembre","diciembre"},0)+1,0))</f>
        <v/>
      </c>
      <c r="E218" t="str">
        <f>+IFERROR(VLOOKUP(Fact_Analitica[[#This Row], [Concepto Anterior]],Conceptos_Analítica_contraloría[#All],5,0),"")</f>
        <v/>
      </c>
      <c r="F218" t="str">
        <f>+IFERROR(VLOOKUP(Fact_Analitica[[#This Row], 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3:10" ht="18.75" customHeight="1" x14ac:dyDescent="0.35">
      <c r="C219" s="124" t="str">
        <f>IF(OR(Fact_Analitica[[#This Row], [Año]]="",Fact_Analitica[[#This Row], [Mes]]=""),"",DATE(A219,MATCH(B219,{"enero","febrero","marzo","abril","mayo","junio","julio","agosto","septiembre","octubre","noviembre","diciembre"},0)+1,0))</f>
        <v/>
      </c>
      <c r="E219" t="str">
        <f>+IFERROR(VLOOKUP(Fact_Analitica[[#This Row], [Concepto Anterior]],Conceptos_Analítica_contraloría[#All],5,0),"")</f>
        <v/>
      </c>
      <c r="F219" t="str">
        <f>+IFERROR(VLOOKUP(Fact_Analitica[[#This Row], 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3:10" ht="18.75" customHeight="1" x14ac:dyDescent="0.35">
      <c r="C220" s="124" t="str">
        <f>IF(OR(Fact_Analitica[[#This Row], [Año]]="",Fact_Analitica[[#This Row], [Mes]]=""),"",DATE(A220,MATCH(B220,{"enero","febrero","marzo","abril","mayo","junio","julio","agosto","septiembre","octubre","noviembre","diciembre"},0)+1,0))</f>
        <v/>
      </c>
      <c r="E220" t="str">
        <f>+IFERROR(VLOOKUP(Fact_Analitica[[#This Row], [Concepto Anterior]],Conceptos_Analítica_contraloría[#All],5,0),"")</f>
        <v/>
      </c>
      <c r="F220" t="str">
        <f>+IFERROR(VLOOKUP(Fact_Analitica[[#This Row], 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3:10" ht="18.75" customHeight="1" x14ac:dyDescent="0.35">
      <c r="C221" s="124" t="str">
        <f>IF(OR(Fact_Analitica[[#This Row], [Año]]="",Fact_Analitica[[#This Row], [Mes]]=""),"",DATE(A221,MATCH(B221,{"enero","febrero","marzo","abril","mayo","junio","julio","agosto","septiembre","octubre","noviembre","diciembre"},0)+1,0))</f>
        <v/>
      </c>
      <c r="E221" t="str">
        <f>+IFERROR(VLOOKUP(Fact_Analitica[[#This Row], [Concepto Anterior]],Conceptos_Analítica_contraloría[#All],5,0),"")</f>
        <v/>
      </c>
      <c r="F221" t="str">
        <f>+IFERROR(VLOOKUP(Fact_Analitica[[#This Row], 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3:10" ht="18.75" customHeight="1" x14ac:dyDescent="0.35">
      <c r="C222" s="124" t="str">
        <f>IF(OR(Fact_Analitica[[#This Row], [Año]]="",Fact_Analitica[[#This Row], [Mes]]=""),"",DATE(A222,MATCH(B222,{"enero","febrero","marzo","abril","mayo","junio","julio","agosto","septiembre","octubre","noviembre","diciembre"},0)+1,0))</f>
        <v/>
      </c>
      <c r="E222" t="str">
        <f>+IFERROR(VLOOKUP(Fact_Analitica[[#This Row], [Concepto Anterior]],Conceptos_Analítica_contraloría[#All],5,0),"")</f>
        <v/>
      </c>
      <c r="F222" t="str">
        <f>+IFERROR(VLOOKUP(Fact_Analitica[[#This Row], 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3:10" ht="18.75" customHeight="1" x14ac:dyDescent="0.35">
      <c r="C223" s="124" t="str">
        <f>IF(OR(Fact_Analitica[[#This Row], [Año]]="",Fact_Analitica[[#This Row], [Mes]]=""),"",DATE(A223,MATCH(B223,{"enero","febrero","marzo","abril","mayo","junio","julio","agosto","septiembre","octubre","noviembre","diciembre"},0)+1,0))</f>
        <v/>
      </c>
      <c r="E223" t="str">
        <f>+IFERROR(VLOOKUP(Fact_Analitica[[#This Row], [Concepto Anterior]],Conceptos_Analítica_contraloría[#All],5,0),"")</f>
        <v/>
      </c>
      <c r="F223" t="str">
        <f>+IFERROR(VLOOKUP(Fact_Analitica[[#This Row], 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3:10" ht="18.75" customHeight="1" x14ac:dyDescent="0.35">
      <c r="C224" s="124" t="str">
        <f>IF(OR(Fact_Analitica[[#This Row], [Año]]="",Fact_Analitica[[#This Row], [Mes]]=""),"",DATE(A224,MATCH(B224,{"enero","febrero","marzo","abril","mayo","junio","julio","agosto","septiembre","octubre","noviembre","diciembre"},0)+1,0))</f>
        <v/>
      </c>
      <c r="E224" t="str">
        <f>+IFERROR(VLOOKUP(Fact_Analitica[[#This Row], [Concepto Anterior]],Conceptos_Analítica_contraloría[#All],5,0),"")</f>
        <v/>
      </c>
      <c r="F224" t="str">
        <f>+IFERROR(VLOOKUP(Fact_Analitica[[#This Row], 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ht="18.75" customHeight="1" x14ac:dyDescent="0.35">
      <c r="C225" s="124" t="str">
        <f>IF(OR(Fact_Analitica[[#This Row], [Año]]="",Fact_Analitica[[#This Row], [Mes]]=""),"",DATE(A225,MATCH(B225,{"enero","febrero","marzo","abril","mayo","junio","julio","agosto","septiembre","octubre","noviembre","diciembre"},0)+1,0))</f>
        <v/>
      </c>
      <c r="E225" t="str">
        <f>+IFERROR(VLOOKUP(Fact_Analitica[[#This Row], [Concepto Anterior]],Conceptos_Analítica_contraloría[#All],5,0),"")</f>
        <v/>
      </c>
      <c r="F225" t="str">
        <f>+IFERROR(VLOOKUP(Fact_Analitica[[#This Row], 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ht="18.75" customHeight="1" x14ac:dyDescent="0.35">
      <c r="C226" s="124" t="str">
        <f>IF(OR(Fact_Analitica[[#This Row], [Año]]="",Fact_Analitica[[#This Row], [Mes]]=""),"",DATE(A226,MATCH(B226,{"enero","febrero","marzo","abril","mayo","junio","julio","agosto","septiembre","octubre","noviembre","diciembre"},0)+1,0))</f>
        <v/>
      </c>
      <c r="E226" t="str">
        <f>+IFERROR(VLOOKUP(Fact_Analitica[[#This Row], [Concepto Anterior]],Conceptos_Analítica_contraloría[#All],5,0),"")</f>
        <v/>
      </c>
      <c r="F226" t="str">
        <f>+IFERROR(VLOOKUP(Fact_Analitica[[#This Row], 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ht="18.75" customHeight="1" x14ac:dyDescent="0.35">
      <c r="C227" s="124" t="str">
        <f>IF(OR(Fact_Analitica[[#This Row], [Año]]="",Fact_Analitica[[#This Row], [Mes]]=""),"",DATE(A227,MATCH(B227,{"enero","febrero","marzo","abril","mayo","junio","julio","agosto","septiembre","octubre","noviembre","diciembre"},0)+1,0))</f>
        <v/>
      </c>
      <c r="E227" t="str">
        <f>+IFERROR(VLOOKUP(Fact_Analitica[[#This Row], [Concepto Anterior]],Conceptos_Analítica_contraloría[#All],5,0),"")</f>
        <v/>
      </c>
      <c r="F227" t="str">
        <f>+IFERROR(VLOOKUP(Fact_Analitica[[#This Row], 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ht="18.75" customHeight="1" x14ac:dyDescent="0.35">
      <c r="C228" s="124" t="str">
        <f>IF(OR(Fact_Analitica[[#This Row], [Año]]="",Fact_Analitica[[#This Row], [Mes]]=""),"",DATE(A228,MATCH(B228,{"enero","febrero","marzo","abril","mayo","junio","julio","agosto","septiembre","octubre","noviembre","diciembre"},0)+1,0))</f>
        <v/>
      </c>
      <c r="E228" t="str">
        <f>+IFERROR(VLOOKUP(Fact_Analitica[[#This Row], [Concepto Anterior]],Conceptos_Analítica_contraloría[#All],5,0),"")</f>
        <v/>
      </c>
      <c r="F228" t="str">
        <f>+IFERROR(VLOOKUP(Fact_Analitica[[#This Row], 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ht="18.75" customHeight="1" x14ac:dyDescent="0.35">
      <c r="C229" s="124" t="str">
        <f>IF(OR(Fact_Analitica[[#This Row], [Año]]="",Fact_Analitica[[#This Row], [Mes]]=""),"",DATE(A229,MATCH(B229,{"enero","febrero","marzo","abril","mayo","junio","julio","agosto","septiembre","octubre","noviembre","diciembre"},0)+1,0))</f>
        <v/>
      </c>
      <c r="E229" t="str">
        <f>+IFERROR(VLOOKUP(Fact_Analitica[[#This Row], [Concepto Anterior]],Conceptos_Analítica_contraloría[#All],5,0),"")</f>
        <v/>
      </c>
      <c r="F229" t="str">
        <f>+IFERROR(VLOOKUP(Fact_Analitica[[#This Row], 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ht="18.75" customHeight="1" x14ac:dyDescent="0.35">
      <c r="C230" s="124" t="str">
        <f>IF(OR(Fact_Analitica[[#This Row], [Año]]="",Fact_Analitica[[#This Row], [Mes]]=""),"",DATE(A230,MATCH(B230,{"enero","febrero","marzo","abril","mayo","junio","julio","agosto","septiembre","octubre","noviembre","diciembre"},0)+1,0))</f>
        <v/>
      </c>
      <c r="E230" t="str">
        <f>+IFERROR(VLOOKUP(Fact_Analitica[[#This Row], [Concepto Anterior]],Conceptos_Analítica_contraloría[#All],5,0),"")</f>
        <v/>
      </c>
      <c r="F230" t="str">
        <f>+IFERROR(VLOOKUP(Fact_Analitica[[#This Row], 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ht="18.75" customHeight="1" x14ac:dyDescent="0.35">
      <c r="C231" s="124" t="str">
        <f>IF(OR(Fact_Analitica[[#This Row], [Año]]="",Fact_Analitica[[#This Row], [Mes]]=""),"",DATE(A231,MATCH(B231,{"enero","febrero","marzo","abril","mayo","junio","julio","agosto","septiembre","octubre","noviembre","diciembre"},0)+1,0))</f>
        <v/>
      </c>
      <c r="E231" t="str">
        <f>+IFERROR(VLOOKUP(Fact_Analitica[[#This Row], [Concepto Anterior]],Conceptos_Analítica_contraloría[#All],5,0),"")</f>
        <v/>
      </c>
      <c r="F231" t="str">
        <f>+IFERROR(VLOOKUP(Fact_Analitica[[#This Row], 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ht="18.75" customHeight="1" x14ac:dyDescent="0.35">
      <c r="C232" s="124" t="str">
        <f>IF(OR(Fact_Analitica[[#This Row], [Año]]="",Fact_Analitica[[#This Row], [Mes]]=""),"",DATE(A232,MATCH(B232,{"enero","febrero","marzo","abril","mayo","junio","julio","agosto","septiembre","octubre","noviembre","diciembre"},0)+1,0))</f>
        <v/>
      </c>
      <c r="E232" t="str">
        <f>+IFERROR(VLOOKUP(Fact_Analitica[[#This Row], [Concepto Anterior]],Conceptos_Analítica_contraloría[#All],5,0),"")</f>
        <v/>
      </c>
      <c r="F232" t="str">
        <f>+IFERROR(VLOOKUP(Fact_Analitica[[#This Row], 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ht="18.75" customHeight="1" x14ac:dyDescent="0.35">
      <c r="C233" s="124" t="str">
        <f>IF(OR(Fact_Analitica[[#This Row], [Año]]="",Fact_Analitica[[#This Row], [Mes]]=""),"",DATE(A233,MATCH(B233,{"enero","febrero","marzo","abril","mayo","junio","julio","agosto","septiembre","octubre","noviembre","diciembre"},0)+1,0))</f>
        <v/>
      </c>
      <c r="E233" t="str">
        <f>+IFERROR(VLOOKUP(Fact_Analitica[[#This Row], [Concepto Anterior]],Conceptos_Analítica_contraloría[#All],5,0),"")</f>
        <v/>
      </c>
      <c r="F233" t="str">
        <f>+IFERROR(VLOOKUP(Fact_Analitica[[#This Row], 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ht="18.75" customHeight="1" x14ac:dyDescent="0.35">
      <c r="C234" s="124" t="str">
        <f>IF(OR(Fact_Analitica[[#This Row], [Año]]="",Fact_Analitica[[#This Row], [Mes]]=""),"",DATE(A234,MATCH(B234,{"enero","febrero","marzo","abril","mayo","junio","julio","agosto","septiembre","octubre","noviembre","diciembre"},0)+1,0))</f>
        <v/>
      </c>
      <c r="E234" t="str">
        <f>+IFERROR(VLOOKUP(Fact_Analitica[[#This Row], [Concepto Anterior]],Conceptos_Analítica_contraloría[#All],5,0),"")</f>
        <v/>
      </c>
      <c r="F234" t="str">
        <f>+IFERROR(VLOOKUP(Fact_Analitica[[#This Row], 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ht="18.75" customHeight="1" x14ac:dyDescent="0.35">
      <c r="C235" s="124" t="str">
        <f>IF(OR(Fact_Analitica[[#This Row], [Año]]="",Fact_Analitica[[#This Row], [Mes]]=""),"",DATE(A235,MATCH(B235,{"enero","febrero","marzo","abril","mayo","junio","julio","agosto","septiembre","octubre","noviembre","diciembre"},0)+1,0))</f>
        <v/>
      </c>
      <c r="E235" t="str">
        <f>+IFERROR(VLOOKUP(Fact_Analitica[[#This Row], [Concepto Anterior]],Conceptos_Analítica_contraloría[#All],5,0),"")</f>
        <v/>
      </c>
      <c r="F235" t="str">
        <f>+IFERROR(VLOOKUP(Fact_Analitica[[#This Row], 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ht="18.75" customHeight="1" x14ac:dyDescent="0.35">
      <c r="C236" s="124" t="str">
        <f>IF(OR(Fact_Analitica[[#This Row], [Año]]="",Fact_Analitica[[#This Row], [Mes]]=""),"",DATE(A236,MATCH(B236,{"enero","febrero","marzo","abril","mayo","junio","julio","agosto","septiembre","octubre","noviembre","diciembre"},0)+1,0))</f>
        <v/>
      </c>
      <c r="E236" t="str">
        <f>+IFERROR(VLOOKUP(Fact_Analitica[[#This Row], [Concepto Anterior]],Conceptos_Analítica_contraloría[#All],5,0),"")</f>
        <v/>
      </c>
      <c r="F236" t="str">
        <f>+IFERROR(VLOOKUP(Fact_Analitica[[#This Row], 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ht="18.75" customHeight="1" x14ac:dyDescent="0.35">
      <c r="C237" s="124" t="str">
        <f>IF(OR(Fact_Analitica[[#This Row], [Año]]="",Fact_Analitica[[#This Row], [Mes]]=""),"",DATE(A237,MATCH(B237,{"enero","febrero","marzo","abril","mayo","junio","julio","agosto","septiembre","octubre","noviembre","diciembre"},0)+1,0))</f>
        <v/>
      </c>
      <c r="E237" t="str">
        <f>+IFERROR(VLOOKUP(Fact_Analitica[[#This Row], [Concepto Anterior]],Conceptos_Analítica_contraloría[#All],5,0),"")</f>
        <v/>
      </c>
      <c r="F237" t="str">
        <f>+IFERROR(VLOOKUP(Fact_Analitica[[#This Row], 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ht="18.75" customHeight="1" x14ac:dyDescent="0.35">
      <c r="C238" s="124" t="str">
        <f>IF(OR(Fact_Analitica[[#This Row], [Año]]="",Fact_Analitica[[#This Row], [Mes]]=""),"",DATE(A238,MATCH(B238,{"enero","febrero","marzo","abril","mayo","junio","julio","agosto","septiembre","octubre","noviembre","diciembre"},0)+1,0))</f>
        <v/>
      </c>
      <c r="E238" t="str">
        <f>+IFERROR(VLOOKUP(Fact_Analitica[[#This Row], [Concepto Anterior]],Conceptos_Analítica_contraloría[#All],5,0),"")</f>
        <v/>
      </c>
      <c r="F238" t="str">
        <f>+IFERROR(VLOOKUP(Fact_Analitica[[#This Row], 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ht="18.75" customHeight="1" x14ac:dyDescent="0.35">
      <c r="C239" s="124" t="str">
        <f>IF(OR(Fact_Analitica[[#This Row], [Año]]="",Fact_Analitica[[#This Row], [Mes]]=""),"",DATE(A239,MATCH(B239,{"enero","febrero","marzo","abril","mayo","junio","julio","agosto","septiembre","octubre","noviembre","diciembre"},0)+1,0))</f>
        <v/>
      </c>
      <c r="E239" t="str">
        <f>+IFERROR(VLOOKUP(Fact_Analitica[[#This Row], [Concepto Anterior]],Conceptos_Analítica_contraloría[#All],5,0),"")</f>
        <v/>
      </c>
      <c r="F239" t="str">
        <f>+IFERROR(VLOOKUP(Fact_Analitica[[#This Row], 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ht="18.75" customHeight="1" x14ac:dyDescent="0.35">
      <c r="C240" s="124" t="str">
        <f>IF(OR(Fact_Analitica[[#This Row], [Año]]="",Fact_Analitica[[#This Row], [Mes]]=""),"",DATE(A240,MATCH(B240,{"enero","febrero","marzo","abril","mayo","junio","julio","agosto","septiembre","octubre","noviembre","diciembre"},0)+1,0))</f>
        <v/>
      </c>
      <c r="E240" t="str">
        <f>+IFERROR(VLOOKUP(Fact_Analitica[[#This Row], [Concepto Anterior]],Conceptos_Analítica_contraloría[#All],5,0),"")</f>
        <v/>
      </c>
      <c r="F240" t="str">
        <f>+IFERROR(VLOOKUP(Fact_Analitica[[#This Row], 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ht="18.75" customHeight="1" x14ac:dyDescent="0.35">
      <c r="C241" s="124" t="str">
        <f>IF(OR(Fact_Analitica[[#This Row], [Año]]="",Fact_Analitica[[#This Row], [Mes]]=""),"",DATE(A241,MATCH(B241,{"enero","febrero","marzo","abril","mayo","junio","julio","agosto","septiembre","octubre","noviembre","diciembre"},0)+1,0))</f>
        <v/>
      </c>
      <c r="E241" t="str">
        <f>+IFERROR(VLOOKUP(Fact_Analitica[[#This Row], [Concepto Anterior]],Conceptos_Analítica_contraloría[#All],5,0),"")</f>
        <v/>
      </c>
      <c r="F241" t="str">
        <f>+IFERROR(VLOOKUP(Fact_Analitica[[#This Row], 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ht="18.75" customHeight="1" x14ac:dyDescent="0.35">
      <c r="C242" s="124" t="str">
        <f>IF(OR(Fact_Analitica[[#This Row], [Año]]="",Fact_Analitica[[#This Row], [Mes]]=""),"",DATE(A242,MATCH(B242,{"enero","febrero","marzo","abril","mayo","junio","julio","agosto","septiembre","octubre","noviembre","diciembre"},0)+1,0))</f>
        <v/>
      </c>
      <c r="E242" t="str">
        <f>+IFERROR(VLOOKUP(Fact_Analitica[[#This Row], [Concepto Anterior]],Conceptos_Analítica_contraloría[#All],5,0),"")</f>
        <v/>
      </c>
      <c r="F242" t="str">
        <f>+IFERROR(VLOOKUP(Fact_Analitica[[#This Row], 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ht="18.75" customHeight="1" x14ac:dyDescent="0.35">
      <c r="C243" s="124" t="str">
        <f>IF(OR(Fact_Analitica[[#This Row], [Año]]="",Fact_Analitica[[#This Row], [Mes]]=""),"",DATE(A243,MATCH(B243,{"enero","febrero","marzo","abril","mayo","junio","julio","agosto","septiembre","octubre","noviembre","diciembre"},0)+1,0))</f>
        <v/>
      </c>
      <c r="E243" t="str">
        <f>+IFERROR(VLOOKUP(Fact_Analitica[[#This Row], [Concepto Anterior]],Conceptos_Analítica_contraloría[#All],5,0),"")</f>
        <v/>
      </c>
      <c r="F243" t="str">
        <f>+IFERROR(VLOOKUP(Fact_Analitica[[#This Row], 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ht="18.75" customHeight="1" x14ac:dyDescent="0.35">
      <c r="C244" s="124" t="str">
        <f>IF(OR(Fact_Analitica[[#This Row], [Año]]="",Fact_Analitica[[#This Row], [Mes]]=""),"",DATE(A244,MATCH(B244,{"enero","febrero","marzo","abril","mayo","junio","julio","agosto","septiembre","octubre","noviembre","diciembre"},0)+1,0))</f>
        <v/>
      </c>
      <c r="E244" t="str">
        <f>+IFERROR(VLOOKUP(Fact_Analitica[[#This Row], [Concepto Anterior]],Conceptos_Analítica_contraloría[#All],5,0),"")</f>
        <v/>
      </c>
      <c r="F244" t="str">
        <f>+IFERROR(VLOOKUP(Fact_Analitica[[#This Row], 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ht="18.75" customHeight="1" x14ac:dyDescent="0.35">
      <c r="C245" s="124" t="str">
        <f>IF(OR(Fact_Analitica[[#This Row], [Año]]="",Fact_Analitica[[#This Row], [Mes]]=""),"",DATE(A245,MATCH(B245,{"enero","febrero","marzo","abril","mayo","junio","julio","agosto","septiembre","octubre","noviembre","diciembre"},0)+1,0))</f>
        <v/>
      </c>
      <c r="E245" t="str">
        <f>+IFERROR(VLOOKUP(Fact_Analitica[[#This Row], [Concepto Anterior]],Conceptos_Analítica_contraloría[#All],5,0),"")</f>
        <v/>
      </c>
      <c r="F245" t="str">
        <f>+IFERROR(VLOOKUP(Fact_Analitica[[#This Row], 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ht="18.75" customHeight="1" x14ac:dyDescent="0.35">
      <c r="C246" s="124" t="str">
        <f>IF(OR(Fact_Analitica[[#This Row], [Año]]="",Fact_Analitica[[#This Row], [Mes]]=""),"",DATE(A246,MATCH(B246,{"enero","febrero","marzo","abril","mayo","junio","julio","agosto","septiembre","octubre","noviembre","diciembre"},0)+1,0))</f>
        <v/>
      </c>
      <c r="E246" t="str">
        <f>+IFERROR(VLOOKUP(Fact_Analitica[[#This Row], [Concepto Anterior]],Conceptos_Analítica_contraloría[#All],5,0),"")</f>
        <v/>
      </c>
      <c r="F246" t="str">
        <f>+IFERROR(VLOOKUP(Fact_Analitica[[#This Row], 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ht="18.75" customHeight="1" x14ac:dyDescent="0.35">
      <c r="C247" s="124" t="str">
        <f>IF(OR(Fact_Analitica[[#This Row], [Año]]="",Fact_Analitica[[#This Row], [Mes]]=""),"",DATE(A247,MATCH(B247,{"enero","febrero","marzo","abril","mayo","junio","julio","agosto","septiembre","octubre","noviembre","diciembre"},0)+1,0))</f>
        <v/>
      </c>
      <c r="E247" t="str">
        <f>+IFERROR(VLOOKUP(Fact_Analitica[[#This Row], [Concepto Anterior]],Conceptos_Analítica_contraloría[#All],5,0),"")</f>
        <v/>
      </c>
      <c r="F247" t="str">
        <f>+IFERROR(VLOOKUP(Fact_Analitica[[#This Row], 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ht="18.75" customHeight="1" x14ac:dyDescent="0.35">
      <c r="C248" s="124" t="str">
        <f>IF(OR(Fact_Analitica[[#This Row], [Año]]="",Fact_Analitica[[#This Row], [Mes]]=""),"",DATE(A248,MATCH(B248,{"enero","febrero","marzo","abril","mayo","junio","julio","agosto","septiembre","octubre","noviembre","diciembre"},0)+1,0))</f>
        <v/>
      </c>
      <c r="E248" t="str">
        <f>+IFERROR(VLOOKUP(Fact_Analitica[[#This Row], [Concepto Anterior]],Conceptos_Analítica_contraloría[#All],5,0),"")</f>
        <v/>
      </c>
      <c r="F248" t="str">
        <f>+IFERROR(VLOOKUP(Fact_Analitica[[#This Row], 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ht="18.75" customHeight="1" x14ac:dyDescent="0.35">
      <c r="C249" s="124" t="str">
        <f>IF(OR(Fact_Analitica[[#This Row], [Año]]="",Fact_Analitica[[#This Row], [Mes]]=""),"",DATE(A249,MATCH(B249,{"enero","febrero","marzo","abril","mayo","junio","julio","agosto","septiembre","octubre","noviembre","diciembre"},0)+1,0))</f>
        <v/>
      </c>
      <c r="E249" t="str">
        <f>+IFERROR(VLOOKUP(Fact_Analitica[[#This Row], [Concepto Anterior]],Conceptos_Analítica_contraloría[#All],5,0),"")</f>
        <v/>
      </c>
      <c r="F249" t="str">
        <f>+IFERROR(VLOOKUP(Fact_Analitica[[#This Row], 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ht="18.75" customHeight="1" x14ac:dyDescent="0.35">
      <c r="C250" s="124" t="str">
        <f>IF(OR(Fact_Analitica[[#This Row], [Año]]="",Fact_Analitica[[#This Row], [Mes]]=""),"",DATE(A250,MATCH(B250,{"enero","febrero","marzo","abril","mayo","junio","julio","agosto","septiembre","octubre","noviembre","diciembre"},0)+1,0))</f>
        <v/>
      </c>
      <c r="E250" t="str">
        <f>+IFERROR(VLOOKUP(Fact_Analitica[[#This Row], [Concepto Anterior]],Conceptos_Analítica_contraloría[#All],5,0),"")</f>
        <v/>
      </c>
      <c r="F250" t="str">
        <f>+IFERROR(VLOOKUP(Fact_Analitica[[#This Row], 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ht="18.75" customHeight="1" x14ac:dyDescent="0.35">
      <c r="C251" s="124" t="str">
        <f>IF(OR(Fact_Analitica[[#This Row], [Año]]="",Fact_Analitica[[#This Row], [Mes]]=""),"",DATE(A251,MATCH(B251,{"enero","febrero","marzo","abril","mayo","junio","julio","agosto","septiembre","octubre","noviembre","diciembre"},0)+1,0))</f>
        <v/>
      </c>
      <c r="E251" t="str">
        <f>+IFERROR(VLOOKUP(Fact_Analitica[[#This Row], [Concepto Anterior]],Conceptos_Analítica_contraloría[#All],5,0),"")</f>
        <v/>
      </c>
      <c r="F251" t="str">
        <f>+IFERROR(VLOOKUP(Fact_Analitica[[#This Row], 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ht="18.75" customHeight="1" x14ac:dyDescent="0.35">
      <c r="C252" s="124" t="str">
        <f>IF(OR(Fact_Analitica[[#This Row], [Año]]="",Fact_Analitica[[#This Row], [Mes]]=""),"",DATE(A252,MATCH(B252,{"enero","febrero","marzo","abril","mayo","junio","julio","agosto","septiembre","octubre","noviembre","diciembre"},0)+1,0))</f>
        <v/>
      </c>
      <c r="E252" t="str">
        <f>+IFERROR(VLOOKUP(Fact_Analitica[[#This Row], [Concepto Anterior]],Conceptos_Analítica_contraloría[#All],5,0),"")</f>
        <v/>
      </c>
      <c r="F252" t="str">
        <f>+IFERROR(VLOOKUP(Fact_Analitica[[#This Row], 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ht="18.75" customHeight="1" x14ac:dyDescent="0.35">
      <c r="C253" s="124" t="str">
        <f>IF(OR(Fact_Analitica[[#This Row], [Año]]="",Fact_Analitica[[#This Row], [Mes]]=""),"",DATE(A253,MATCH(B253,{"enero","febrero","marzo","abril","mayo","junio","julio","agosto","septiembre","octubre","noviembre","diciembre"},0)+1,0))</f>
        <v/>
      </c>
      <c r="E253" t="str">
        <f>+IFERROR(VLOOKUP(Fact_Analitica[[#This Row], [Concepto Anterior]],Conceptos_Analítica_contraloría[#All],5,0),"")</f>
        <v/>
      </c>
      <c r="F253" t="str">
        <f>+IFERROR(VLOOKUP(Fact_Analitica[[#This Row], 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ht="18.75" customHeight="1" x14ac:dyDescent="0.35">
      <c r="C254" s="124" t="str">
        <f>IF(OR(Fact_Analitica[[#This Row], [Año]]="",Fact_Analitica[[#This Row], [Mes]]=""),"",DATE(A254,MATCH(B254,{"enero","febrero","marzo","abril","mayo","junio","julio","agosto","septiembre","octubre","noviembre","diciembre"},0)+1,0))</f>
        <v/>
      </c>
      <c r="E254" t="str">
        <f>+IFERROR(VLOOKUP(Fact_Analitica[[#This Row], [Concepto Anterior]],Conceptos_Analítica_contraloría[#All],5,0),"")</f>
        <v/>
      </c>
      <c r="F254" t="str">
        <f>+IFERROR(VLOOKUP(Fact_Analitica[[#This Row], 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ht="18.75" customHeight="1" x14ac:dyDescent="0.35">
      <c r="C255" s="124" t="str">
        <f>IF(OR(Fact_Analitica[[#This Row], [Año]]="",Fact_Analitica[[#This Row], [Mes]]=""),"",DATE(A255,MATCH(B255,{"enero","febrero","marzo","abril","mayo","junio","julio","agosto","septiembre","octubre","noviembre","diciembre"},0)+1,0))</f>
        <v/>
      </c>
      <c r="E255" t="str">
        <f>+IFERROR(VLOOKUP(Fact_Analitica[[#This Row], [Concepto Anterior]],Conceptos_Analítica_contraloría[#All],5,0),"")</f>
        <v/>
      </c>
      <c r="F255" t="str">
        <f>+IFERROR(VLOOKUP(Fact_Analitica[[#This Row], 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ht="18.75" customHeight="1" x14ac:dyDescent="0.35">
      <c r="C256" s="124" t="str">
        <f>IF(OR(Fact_Analitica[[#This Row], [Año]]="",Fact_Analitica[[#This Row], [Mes]]=""),"",DATE(A256,MATCH(B256,{"enero","febrero","marzo","abril","mayo","junio","julio","agosto","septiembre","octubre","noviembre","diciembre"},0)+1,0))</f>
        <v/>
      </c>
      <c r="E256" t="str">
        <f>+IFERROR(VLOOKUP(Fact_Analitica[[#This Row], [Concepto Anterior]],Conceptos_Analítica_contraloría[#All],5,0),"")</f>
        <v/>
      </c>
      <c r="F256" t="str">
        <f>+IFERROR(VLOOKUP(Fact_Analitica[[#This Row], 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ht="18.75" customHeight="1" x14ac:dyDescent="0.35">
      <c r="C257" s="124" t="str">
        <f>IF(OR(Fact_Analitica[[#This Row], [Año]]="",Fact_Analitica[[#This Row], [Mes]]=""),"",DATE(A257,MATCH(B257,{"enero","febrero","marzo","abril","mayo","junio","julio","agosto","septiembre","octubre","noviembre","diciembre"},0)+1,0))</f>
        <v/>
      </c>
      <c r="E257" t="str">
        <f>+IFERROR(VLOOKUP(Fact_Analitica[[#This Row], [Concepto Anterior]],Conceptos_Analítica_contraloría[#All],5,0),"")</f>
        <v/>
      </c>
      <c r="F257" t="str">
        <f>+IFERROR(VLOOKUP(Fact_Analitica[[#This Row], 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ht="18.75" customHeight="1" x14ac:dyDescent="0.35">
      <c r="C258" s="124" t="str">
        <f>IF(OR(Fact_Analitica[[#This Row], [Año]]="",Fact_Analitica[[#This Row], [Mes]]=""),"",DATE(A258,MATCH(B258,{"enero","febrero","marzo","abril","mayo","junio","julio","agosto","septiembre","octubre","noviembre","diciembre"},0)+1,0))</f>
        <v/>
      </c>
      <c r="E258" t="str">
        <f>+IFERROR(VLOOKUP(Fact_Analitica[[#This Row], [Concepto Anterior]],Conceptos_Analítica_contraloría[#All],5,0),"")</f>
        <v/>
      </c>
      <c r="F258" t="str">
        <f>+IFERROR(VLOOKUP(Fact_Analitica[[#This Row], 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ht="18.75" customHeight="1" x14ac:dyDescent="0.35">
      <c r="C259" s="124" t="str">
        <f>IF(OR(Fact_Analitica[[#This Row], [Año]]="",Fact_Analitica[[#This Row], [Mes]]=""),"",DATE(A259,MATCH(B259,{"enero","febrero","marzo","abril","mayo","junio","julio","agosto","septiembre","octubre","noviembre","diciembre"},0)+1,0))</f>
        <v/>
      </c>
      <c r="E259" t="str">
        <f>+IFERROR(VLOOKUP(Fact_Analitica[[#This Row], [Concepto Anterior]],Conceptos_Analítica_contraloría[#All],5,0),"")</f>
        <v/>
      </c>
      <c r="F259" t="str">
        <f>+IFERROR(VLOOKUP(Fact_Analitica[[#This Row], 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ht="18.75" customHeight="1" x14ac:dyDescent="0.35">
      <c r="C260" s="124" t="str">
        <f>IF(OR(Fact_Analitica[[#This Row], [Año]]="",Fact_Analitica[[#This Row], [Mes]]=""),"",DATE(A260,MATCH(B260,{"enero","febrero","marzo","abril","mayo","junio","julio","agosto","septiembre","octubre","noviembre","diciembre"},0)+1,0))</f>
        <v/>
      </c>
      <c r="E260" t="str">
        <f>+IFERROR(VLOOKUP(Fact_Analitica[[#This Row], [Concepto Anterior]],Conceptos_Analítica_contraloría[#All],5,0),"")</f>
        <v/>
      </c>
      <c r="F260" t="str">
        <f>+IFERROR(VLOOKUP(Fact_Analitica[[#This Row], 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ht="18.75" customHeight="1" x14ac:dyDescent="0.35">
      <c r="C261" s="124" t="str">
        <f>IF(OR(Fact_Analitica[[#This Row], [Año]]="",Fact_Analitica[[#This Row], [Mes]]=""),"",DATE(A261,MATCH(B261,{"enero","febrero","marzo","abril","mayo","junio","julio","agosto","septiembre","octubre","noviembre","diciembre"},0)+1,0))</f>
        <v/>
      </c>
      <c r="E261" t="str">
        <f>+IFERROR(VLOOKUP(Fact_Analitica[[#This Row], [Concepto Anterior]],Conceptos_Analítica_contraloría[#All],5,0),"")</f>
        <v/>
      </c>
      <c r="F261" t="str">
        <f>+IFERROR(VLOOKUP(Fact_Analitica[[#This Row], 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ht="18.75" customHeight="1" x14ac:dyDescent="0.35">
      <c r="C262" s="124" t="str">
        <f>IF(OR(Fact_Analitica[[#This Row], [Año]]="",Fact_Analitica[[#This Row], [Mes]]=""),"",DATE(A262,MATCH(B262,{"enero","febrero","marzo","abril","mayo","junio","julio","agosto","septiembre","octubre","noviembre","diciembre"},0)+1,0))</f>
        <v/>
      </c>
      <c r="E262" t="str">
        <f>+IFERROR(VLOOKUP(Fact_Analitica[[#This Row], [Concepto Anterior]],Conceptos_Analítica_contraloría[#All],5,0),"")</f>
        <v/>
      </c>
      <c r="F262" t="str">
        <f>+IFERROR(VLOOKUP(Fact_Analitica[[#This Row], 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ht="18.75" customHeight="1" x14ac:dyDescent="0.35">
      <c r="C263" s="124" t="str">
        <f>IF(OR(Fact_Analitica[[#This Row], [Año]]="",Fact_Analitica[[#This Row], [Mes]]=""),"",DATE(A263,MATCH(B263,{"enero","febrero","marzo","abril","mayo","junio","julio","agosto","septiembre","octubre","noviembre","diciembre"},0)+1,0))</f>
        <v/>
      </c>
      <c r="E263" t="str">
        <f>+IFERROR(VLOOKUP(Fact_Analitica[[#This Row], [Concepto Anterior]],Conceptos_Analítica_contraloría[#All],5,0),"")</f>
        <v/>
      </c>
      <c r="F263" t="str">
        <f>+IFERROR(VLOOKUP(Fact_Analitica[[#This Row], 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ht="18.75" customHeight="1" x14ac:dyDescent="0.35">
      <c r="C264" s="124" t="str">
        <f>IF(OR(Fact_Analitica[[#This Row], [Año]]="",Fact_Analitica[[#This Row], [Mes]]=""),"",DATE(A264,MATCH(B264,{"enero","febrero","marzo","abril","mayo","junio","julio","agosto","septiembre","octubre","noviembre","diciembre"},0)+1,0))</f>
        <v/>
      </c>
      <c r="E264" t="str">
        <f>+IFERROR(VLOOKUP(Fact_Analitica[[#This Row], [Concepto Anterior]],Conceptos_Analítica_contraloría[#All],5,0),"")</f>
        <v/>
      </c>
      <c r="F264" t="str">
        <f>+IFERROR(VLOOKUP(Fact_Analitica[[#This Row], 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ht="18.75" customHeight="1" x14ac:dyDescent="0.35">
      <c r="C265" s="124" t="str">
        <f>IF(OR(Fact_Analitica[[#This Row], [Año]]="",Fact_Analitica[[#This Row], [Mes]]=""),"",DATE(A265,MATCH(B265,{"enero","febrero","marzo","abril","mayo","junio","julio","agosto","septiembre","octubre","noviembre","diciembre"},0)+1,0))</f>
        <v/>
      </c>
      <c r="E265" t="str">
        <f>+IFERROR(VLOOKUP(Fact_Analitica[[#This Row], [Concepto Anterior]],Conceptos_Analítica_contraloría[#All],5,0),"")</f>
        <v/>
      </c>
      <c r="F265" t="str">
        <f>+IFERROR(VLOOKUP(Fact_Analitica[[#This Row], 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ht="18.75" customHeight="1" x14ac:dyDescent="0.35">
      <c r="C266" s="124" t="str">
        <f>IF(OR(Fact_Analitica[[#This Row], [Año]]="",Fact_Analitica[[#This Row], [Mes]]=""),"",DATE(A266,MATCH(B266,{"enero","febrero","marzo","abril","mayo","junio","julio","agosto","septiembre","octubre","noviembre","diciembre"},0)+1,0))</f>
        <v/>
      </c>
      <c r="E266" t="str">
        <f>+IFERROR(VLOOKUP(Fact_Analitica[[#This Row], [Concepto Anterior]],Conceptos_Analítica_contraloría[#All],5,0),"")</f>
        <v/>
      </c>
      <c r="F266" t="str">
        <f>+IFERROR(VLOOKUP(Fact_Analitica[[#This Row], 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ht="18.75" customHeight="1" x14ac:dyDescent="0.35">
      <c r="C267" s="124" t="str">
        <f>IF(OR(Fact_Analitica[[#This Row], [Año]]="",Fact_Analitica[[#This Row], [Mes]]=""),"",DATE(A267,MATCH(B267,{"enero","febrero","marzo","abril","mayo","junio","julio","agosto","septiembre","octubre","noviembre","diciembre"},0)+1,0))</f>
        <v/>
      </c>
      <c r="E267" t="str">
        <f>+IFERROR(VLOOKUP(Fact_Analitica[[#This Row], [Concepto Anterior]],Conceptos_Analítica_contraloría[#All],5,0),"")</f>
        <v/>
      </c>
      <c r="F267" t="str">
        <f>+IFERROR(VLOOKUP(Fact_Analitica[[#This Row], 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ht="18.75" customHeight="1" x14ac:dyDescent="0.35">
      <c r="C268" s="124" t="str">
        <f>IF(OR(Fact_Analitica[[#This Row], [Año]]="",Fact_Analitica[[#This Row], [Mes]]=""),"",DATE(A268,MATCH(B268,{"enero","febrero","marzo","abril","mayo","junio","julio","agosto","septiembre","octubre","noviembre","diciembre"},0)+1,0))</f>
        <v/>
      </c>
      <c r="E268" t="str">
        <f>+IFERROR(VLOOKUP(Fact_Analitica[[#This Row], [Concepto Anterior]],Conceptos_Analítica_contraloría[#All],5,0),"")</f>
        <v/>
      </c>
      <c r="F268" t="str">
        <f>+IFERROR(VLOOKUP(Fact_Analitica[[#This Row], 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ht="18.75" customHeight="1" x14ac:dyDescent="0.35">
      <c r="C269" s="124" t="str">
        <f>IF(OR(Fact_Analitica[[#This Row], [Año]]="",Fact_Analitica[[#This Row], [Mes]]=""),"",DATE(A269,MATCH(B269,{"enero","febrero","marzo","abril","mayo","junio","julio","agosto","septiembre","octubre","noviembre","diciembre"},0)+1,0))</f>
        <v/>
      </c>
      <c r="E269" t="str">
        <f>+IFERROR(VLOOKUP(Fact_Analitica[[#This Row], [Concepto Anterior]],Conceptos_Analítica_contraloría[#All],5,0),"")</f>
        <v/>
      </c>
      <c r="F269" t="str">
        <f>+IFERROR(VLOOKUP(Fact_Analitica[[#This Row], 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ht="18.75" customHeight="1" x14ac:dyDescent="0.35">
      <c r="C270" s="124" t="str">
        <f>IF(OR(Fact_Analitica[[#This Row], [Año]]="",Fact_Analitica[[#This Row], [Mes]]=""),"",DATE(A270,MATCH(B270,{"enero","febrero","marzo","abril","mayo","junio","julio","agosto","septiembre","octubre","noviembre","diciembre"},0)+1,0))</f>
        <v/>
      </c>
      <c r="E270" t="str">
        <f>+IFERROR(VLOOKUP(Fact_Analitica[[#This Row], [Concepto Anterior]],Conceptos_Analítica_contraloría[#All],5,0),"")</f>
        <v/>
      </c>
      <c r="F270" t="str">
        <f>+IFERROR(VLOOKUP(Fact_Analitica[[#This Row], 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ht="18.75" customHeight="1" x14ac:dyDescent="0.35">
      <c r="C271" s="124" t="str">
        <f>IF(OR(Fact_Analitica[[#This Row], [Año]]="",Fact_Analitica[[#This Row], [Mes]]=""),"",DATE(A271,MATCH(B271,{"enero","febrero","marzo","abril","mayo","junio","julio","agosto","septiembre","octubre","noviembre","diciembre"},0)+1,0))</f>
        <v/>
      </c>
      <c r="E271" t="str">
        <f>+IFERROR(VLOOKUP(Fact_Analitica[[#This Row], [Concepto Anterior]],Conceptos_Analítica_contraloría[#All],5,0),"")</f>
        <v/>
      </c>
      <c r="F271" t="str">
        <f>+IFERROR(VLOOKUP(Fact_Analitica[[#This Row], 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ht="18.75" customHeight="1" x14ac:dyDescent="0.35">
      <c r="C272" s="124" t="str">
        <f>IF(OR(Fact_Analitica[[#This Row], [Año]]="",Fact_Analitica[[#This Row], [Mes]]=""),"",DATE(A272,MATCH(B272,{"enero","febrero","marzo","abril","mayo","junio","julio","agosto","septiembre","octubre","noviembre","diciembre"},0)+1,0))</f>
        <v/>
      </c>
      <c r="E272" t="str">
        <f>+IFERROR(VLOOKUP(Fact_Analitica[[#This Row], [Concepto Anterior]],Conceptos_Analítica_contraloría[#All],5,0),"")</f>
        <v/>
      </c>
      <c r="F272" t="str">
        <f>+IFERROR(VLOOKUP(Fact_Analitica[[#This Row], 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ht="18.75" customHeight="1" x14ac:dyDescent="0.35">
      <c r="C273" s="124" t="str">
        <f>IF(OR(Fact_Analitica[[#This Row], [Año]]="",Fact_Analitica[[#This Row], [Mes]]=""),"",DATE(A273,MATCH(B273,{"enero","febrero","marzo","abril","mayo","junio","julio","agosto","septiembre","octubre","noviembre","diciembre"},0)+1,0))</f>
        <v/>
      </c>
      <c r="E273" t="str">
        <f>+IFERROR(VLOOKUP(Fact_Analitica[[#This Row], [Concepto Anterior]],Conceptos_Analítica_contraloría[#All],5,0),"")</f>
        <v/>
      </c>
      <c r="F273" t="str">
        <f>+IFERROR(VLOOKUP(Fact_Analitica[[#This Row], 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ht="18.75" customHeight="1" x14ac:dyDescent="0.35">
      <c r="C274" s="124" t="str">
        <f>IF(OR(Fact_Analitica[[#This Row], [Año]]="",Fact_Analitica[[#This Row], [Mes]]=""),"",DATE(A274,MATCH(B274,{"enero","febrero","marzo","abril","mayo","junio","julio","agosto","septiembre","octubre","noviembre","diciembre"},0)+1,0))</f>
        <v/>
      </c>
      <c r="E274" t="str">
        <f>+IFERROR(VLOOKUP(Fact_Analitica[[#This Row], [Concepto Anterior]],Conceptos_Analítica_contraloría[#All],5,0),"")</f>
        <v/>
      </c>
      <c r="F274" t="str">
        <f>+IFERROR(VLOOKUP(Fact_Analitica[[#This Row], 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ht="18.75" customHeight="1" x14ac:dyDescent="0.35">
      <c r="C275" s="124" t="str">
        <f>IF(OR(Fact_Analitica[[#This Row], [Año]]="",Fact_Analitica[[#This Row], [Mes]]=""),"",DATE(A275,MATCH(B275,{"enero","febrero","marzo","abril","mayo","junio","julio","agosto","septiembre","octubre","noviembre","diciembre"},0)+1,0))</f>
        <v/>
      </c>
      <c r="E275" t="str">
        <f>+IFERROR(VLOOKUP(Fact_Analitica[[#This Row], [Concepto Anterior]],Conceptos_Analítica_contraloría[#All],5,0),"")</f>
        <v/>
      </c>
      <c r="F275" t="str">
        <f>+IFERROR(VLOOKUP(Fact_Analitica[[#This Row], 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ht="18.75" customHeight="1" x14ac:dyDescent="0.35">
      <c r="C276" s="124" t="str">
        <f>IF(OR(Fact_Analitica[[#This Row], [Año]]="",Fact_Analitica[[#This Row], [Mes]]=""),"",DATE(A276,MATCH(B276,{"enero","febrero","marzo","abril","mayo","junio","julio","agosto","septiembre","octubre","noviembre","diciembre"},0)+1,0))</f>
        <v/>
      </c>
      <c r="E276" t="str">
        <f>+IFERROR(VLOOKUP(Fact_Analitica[[#This Row], [Concepto Anterior]],Conceptos_Analítica_contraloría[#All],5,0),"")</f>
        <v/>
      </c>
      <c r="F276" t="str">
        <f>+IFERROR(VLOOKUP(Fact_Analitica[[#This Row], 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ht="18.75" customHeight="1" x14ac:dyDescent="0.35">
      <c r="C277" s="124" t="str">
        <f>IF(OR(Fact_Analitica[[#This Row], [Año]]="",Fact_Analitica[[#This Row], [Mes]]=""),"",DATE(A277,MATCH(B277,{"enero","febrero","marzo","abril","mayo","junio","julio","agosto","septiembre","octubre","noviembre","diciembre"},0)+1,0))</f>
        <v/>
      </c>
      <c r="E277" t="str">
        <f>+IFERROR(VLOOKUP(Fact_Analitica[[#This Row], [Concepto Anterior]],Conceptos_Analítica_contraloría[#All],5,0),"")</f>
        <v/>
      </c>
      <c r="F277" t="str">
        <f>+IFERROR(VLOOKUP(Fact_Analitica[[#This Row], 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ht="18.75" customHeight="1" x14ac:dyDescent="0.35">
      <c r="C278" s="124" t="str">
        <f>IF(OR(Fact_Analitica[[#This Row], [Año]]="",Fact_Analitica[[#This Row], [Mes]]=""),"",DATE(A278,MATCH(B278,{"enero","febrero","marzo","abril","mayo","junio","julio","agosto","septiembre","octubre","noviembre","diciembre"},0)+1,0))</f>
        <v/>
      </c>
      <c r="E278" t="str">
        <f>+IFERROR(VLOOKUP(Fact_Analitica[[#This Row], [Concepto Anterior]],Conceptos_Analítica_contraloría[#All],5,0),"")</f>
        <v/>
      </c>
      <c r="F278" t="str">
        <f>+IFERROR(VLOOKUP(Fact_Analitica[[#This Row], 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ht="18.75" customHeight="1" x14ac:dyDescent="0.35">
      <c r="C279" s="124" t="str">
        <f>IF(OR(Fact_Analitica[[#This Row], [Año]]="",Fact_Analitica[[#This Row], [Mes]]=""),"",DATE(A279,MATCH(B279,{"enero","febrero","marzo","abril","mayo","junio","julio","agosto","septiembre","octubre","noviembre","diciembre"},0)+1,0))</f>
        <v/>
      </c>
      <c r="E279" t="str">
        <f>+IFERROR(VLOOKUP(Fact_Analitica[[#This Row], [Concepto Anterior]],Conceptos_Analítica_contraloría[#All],5,0),"")</f>
        <v/>
      </c>
      <c r="F279" t="str">
        <f>+IFERROR(VLOOKUP(Fact_Analitica[[#This Row], 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ht="18.75" customHeight="1" x14ac:dyDescent="0.35">
      <c r="C280" s="124" t="str">
        <f>IF(OR(Fact_Analitica[[#This Row], [Año]]="",Fact_Analitica[[#This Row], [Mes]]=""),"",DATE(A280,MATCH(B280,{"enero","febrero","marzo","abril","mayo","junio","julio","agosto","septiembre","octubre","noviembre","diciembre"},0)+1,0))</f>
        <v/>
      </c>
      <c r="E280" t="str">
        <f>+IFERROR(VLOOKUP(Fact_Analitica[[#This Row], [Concepto Anterior]],Conceptos_Analítica_contraloría[#All],5,0),"")</f>
        <v/>
      </c>
      <c r="F280" t="str">
        <f>+IFERROR(VLOOKUP(Fact_Analitica[[#This Row], 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ht="18.75" customHeight="1" x14ac:dyDescent="0.35">
      <c r="C281" s="124" t="str">
        <f>IF(OR(Fact_Analitica[[#This Row], [Año]]="",Fact_Analitica[[#This Row], [Mes]]=""),"",DATE(A281,MATCH(B281,{"enero","febrero","marzo","abril","mayo","junio","julio","agosto","septiembre","octubre","noviembre","diciembre"},0)+1,0))</f>
        <v/>
      </c>
      <c r="E281" t="str">
        <f>+IFERROR(VLOOKUP(Fact_Analitica[[#This Row], [Concepto Anterior]],Conceptos_Analítica_contraloría[#All],5,0),"")</f>
        <v/>
      </c>
      <c r="F281" t="str">
        <f>+IFERROR(VLOOKUP(Fact_Analitica[[#This Row], 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ht="18.75" customHeight="1" x14ac:dyDescent="0.35">
      <c r="C282" s="124" t="str">
        <f>IF(OR(Fact_Analitica[[#This Row], [Año]]="",Fact_Analitica[[#This Row], [Mes]]=""),"",DATE(A282,MATCH(B282,{"enero","febrero","marzo","abril","mayo","junio","julio","agosto","septiembre","octubre","noviembre","diciembre"},0)+1,0))</f>
        <v/>
      </c>
      <c r="E282" t="str">
        <f>+IFERROR(VLOOKUP(Fact_Analitica[[#This Row], [Concepto Anterior]],Conceptos_Analítica_contraloría[#All],5,0),"")</f>
        <v/>
      </c>
      <c r="F282" t="str">
        <f>+IFERROR(VLOOKUP(Fact_Analitica[[#This Row], 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ht="18.75" customHeight="1" x14ac:dyDescent="0.35">
      <c r="C283" s="124" t="str">
        <f>IF(OR(Fact_Analitica[[#This Row], [Año]]="",Fact_Analitica[[#This Row], [Mes]]=""),"",DATE(A283,MATCH(B283,{"enero","febrero","marzo","abril","mayo","junio","julio","agosto","septiembre","octubre","noviembre","diciembre"},0)+1,0))</f>
        <v/>
      </c>
      <c r="E283" t="str">
        <f>+IFERROR(VLOOKUP(Fact_Analitica[[#This Row], [Concepto Anterior]],Conceptos_Analítica_contraloría[#All],5,0),"")</f>
        <v/>
      </c>
      <c r="F283" t="str">
        <f>+IFERROR(VLOOKUP(Fact_Analitica[[#This Row], 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ht="18.75" customHeight="1" x14ac:dyDescent="0.35">
      <c r="C284" s="124" t="str">
        <f>IF(OR(Fact_Analitica[[#This Row], [Año]]="",Fact_Analitica[[#This Row], [Mes]]=""),"",DATE(A284,MATCH(B284,{"enero","febrero","marzo","abril","mayo","junio","julio","agosto","septiembre","octubre","noviembre","diciembre"},0)+1,0))</f>
        <v/>
      </c>
      <c r="E284" t="str">
        <f>+IFERROR(VLOOKUP(Fact_Analitica[[#This Row], [Concepto Anterior]],Conceptos_Analítica_contraloría[#All],5,0),"")</f>
        <v/>
      </c>
      <c r="F284" t="str">
        <f>+IFERROR(VLOOKUP(Fact_Analitica[[#This Row], 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ht="18.75" customHeight="1" x14ac:dyDescent="0.35">
      <c r="C285" s="124" t="str">
        <f>IF(OR(Fact_Analitica[[#This Row], [Año]]="",Fact_Analitica[[#This Row], [Mes]]=""),"",DATE(A285,MATCH(B285,{"enero","febrero","marzo","abril","mayo","junio","julio","agosto","septiembre","octubre","noviembre","diciembre"},0)+1,0))</f>
        <v/>
      </c>
      <c r="E285" t="str">
        <f>+IFERROR(VLOOKUP(Fact_Analitica[[#This Row], [Concepto Anterior]],Conceptos_Analítica_contraloría[#All],5,0),"")</f>
        <v/>
      </c>
      <c r="F285" t="str">
        <f>+IFERROR(VLOOKUP(Fact_Analitica[[#This Row], 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ht="18.75" customHeight="1" x14ac:dyDescent="0.35">
      <c r="C286" s="124" t="str">
        <f>IF(OR(Fact_Analitica[[#This Row], [Año]]="",Fact_Analitica[[#This Row], [Mes]]=""),"",DATE(A286,MATCH(B286,{"enero","febrero","marzo","abril","mayo","junio","julio","agosto","septiembre","octubre","noviembre","diciembre"},0)+1,0))</f>
        <v/>
      </c>
      <c r="E286" t="str">
        <f>+IFERROR(VLOOKUP(Fact_Analitica[[#This Row], [Concepto Anterior]],Conceptos_Analítica_contraloría[#All],5,0),"")</f>
        <v/>
      </c>
      <c r="F286" t="str">
        <f>+IFERROR(VLOOKUP(Fact_Analitica[[#This Row], 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ht="18.75" customHeight="1" x14ac:dyDescent="0.35">
      <c r="C287" s="124" t="str">
        <f>IF(OR(Fact_Analitica[[#This Row], [Año]]="",Fact_Analitica[[#This Row], [Mes]]=""),"",DATE(A287,MATCH(B287,{"enero","febrero","marzo","abril","mayo","junio","julio","agosto","septiembre","octubre","noviembre","diciembre"},0)+1,0))</f>
        <v/>
      </c>
      <c r="E287" t="str">
        <f>+IFERROR(VLOOKUP(Fact_Analitica[[#This Row], [Concepto Anterior]],Conceptos_Analítica_contraloría[#All],5,0),"")</f>
        <v/>
      </c>
      <c r="F287" t="str">
        <f>+IFERROR(VLOOKUP(Fact_Analitica[[#This Row], 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ht="18.75" customHeight="1" x14ac:dyDescent="0.35">
      <c r="C288" s="124" t="str">
        <f>IF(OR(Fact_Analitica[[#This Row], [Año]]="",Fact_Analitica[[#This Row], [Mes]]=""),"",DATE(A288,MATCH(B288,{"enero","febrero","marzo","abril","mayo","junio","julio","agosto","septiembre","octubre","noviembre","diciembre"},0)+1,0))</f>
        <v/>
      </c>
      <c r="E288" t="str">
        <f>+IFERROR(VLOOKUP(Fact_Analitica[[#This Row], [Concepto Anterior]],Conceptos_Analítica_contraloría[#All],5,0),"")</f>
        <v/>
      </c>
      <c r="F288" t="str">
        <f>+IFERROR(VLOOKUP(Fact_Analitica[[#This Row], 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ht="18.75" customHeight="1" x14ac:dyDescent="0.35">
      <c r="C289" s="124" t="str">
        <f>IF(OR(Fact_Analitica[[#This Row], [Año]]="",Fact_Analitica[[#This Row], [Mes]]=""),"",DATE(A289,MATCH(B289,{"enero","febrero","marzo","abril","mayo","junio","julio","agosto","septiembre","octubre","noviembre","diciembre"},0)+1,0))</f>
        <v/>
      </c>
      <c r="E289" t="str">
        <f>+IFERROR(VLOOKUP(Fact_Analitica[[#This Row], [Concepto Anterior]],Conceptos_Analítica_contraloría[#All],5,0),"")</f>
        <v/>
      </c>
      <c r="F289" t="str">
        <f>+IFERROR(VLOOKUP(Fact_Analitica[[#This Row], 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ht="18.75" customHeight="1" x14ac:dyDescent="0.35">
      <c r="C290" s="124" t="str">
        <f>IF(OR(Fact_Analitica[[#This Row], [Año]]="",Fact_Analitica[[#This Row], [Mes]]=""),"",DATE(A290,MATCH(B290,{"enero","febrero","marzo","abril","mayo","junio","julio","agosto","septiembre","octubre","noviembre","diciembre"},0)+1,0))</f>
        <v/>
      </c>
      <c r="E290" t="str">
        <f>+IFERROR(VLOOKUP(Fact_Analitica[[#This Row], [Concepto Anterior]],Conceptos_Analítica_contraloría[#All],5,0),"")</f>
        <v/>
      </c>
      <c r="F290" t="str">
        <f>+IFERROR(VLOOKUP(Fact_Analitica[[#This Row], 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ht="18.75" customHeight="1" x14ac:dyDescent="0.35">
      <c r="C291" s="124" t="str">
        <f>IF(OR(Fact_Analitica[[#This Row], [Año]]="",Fact_Analitica[[#This Row], [Mes]]=""),"",DATE(A291,MATCH(B291,{"enero","febrero","marzo","abril","mayo","junio","julio","agosto","septiembre","octubre","noviembre","diciembre"},0)+1,0))</f>
        <v/>
      </c>
      <c r="E291" t="str">
        <f>+IFERROR(VLOOKUP(Fact_Analitica[[#This Row], [Concepto Anterior]],Conceptos_Analítica_contraloría[#All],5,0),"")</f>
        <v/>
      </c>
      <c r="F291" t="str">
        <f>+IFERROR(VLOOKUP(Fact_Analitica[[#This Row], 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ht="18.75" customHeight="1" x14ac:dyDescent="0.35">
      <c r="C292" s="124" t="str">
        <f>IF(OR(Fact_Analitica[[#This Row], [Año]]="",Fact_Analitica[[#This Row], [Mes]]=""),"",DATE(A292,MATCH(B292,{"enero","febrero","marzo","abril","mayo","junio","julio","agosto","septiembre","octubre","noviembre","diciembre"},0)+1,0))</f>
        <v/>
      </c>
      <c r="E292" t="str">
        <f>+IFERROR(VLOOKUP(Fact_Analitica[[#This Row], [Concepto Anterior]],Conceptos_Analítica_contraloría[#All],5,0),"")</f>
        <v/>
      </c>
      <c r="F292" t="str">
        <f>+IFERROR(VLOOKUP(Fact_Analitica[[#This Row], 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ht="18.75" customHeight="1" x14ac:dyDescent="0.35">
      <c r="C293" s="124" t="str">
        <f>IF(OR(Fact_Analitica[[#This Row], [Año]]="",Fact_Analitica[[#This Row], [Mes]]=""),"",DATE(A293,MATCH(B293,{"enero","febrero","marzo","abril","mayo","junio","julio","agosto","septiembre","octubre","noviembre","diciembre"},0)+1,0))</f>
        <v/>
      </c>
      <c r="E293" t="str">
        <f>+IFERROR(VLOOKUP(Fact_Analitica[[#This Row], [Concepto Anterior]],Conceptos_Analítica_contraloría[#All],5,0),"")</f>
        <v/>
      </c>
      <c r="F293" t="str">
        <f>+IFERROR(VLOOKUP(Fact_Analitica[[#This Row], 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ht="18.75" customHeight="1" x14ac:dyDescent="0.35">
      <c r="C294" s="124" t="str">
        <f>IF(OR(Fact_Analitica[[#This Row], [Año]]="",Fact_Analitica[[#This Row], [Mes]]=""),"",DATE(A294,MATCH(B294,{"enero","febrero","marzo","abril","mayo","junio","julio","agosto","septiembre","octubre","noviembre","diciembre"},0)+1,0))</f>
        <v/>
      </c>
      <c r="E294" t="str">
        <f>+IFERROR(VLOOKUP(Fact_Analitica[[#This Row], [Concepto Anterior]],Conceptos_Analítica_contraloría[#All],5,0),"")</f>
        <v/>
      </c>
      <c r="F294" t="str">
        <f>+IFERROR(VLOOKUP(Fact_Analitica[[#This Row], 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ht="18.75" customHeight="1" x14ac:dyDescent="0.35">
      <c r="C295" s="124" t="str">
        <f>IF(OR(Fact_Analitica[[#This Row], [Año]]="",Fact_Analitica[[#This Row], [Mes]]=""),"",DATE(A295,MATCH(B295,{"enero","febrero","marzo","abril","mayo","junio","julio","agosto","septiembre","octubre","noviembre","diciembre"},0)+1,0))</f>
        <v/>
      </c>
      <c r="E295" t="str">
        <f>+IFERROR(VLOOKUP(Fact_Analitica[[#This Row], [Concepto Anterior]],Conceptos_Analítica_contraloría[#All],5,0),"")</f>
        <v/>
      </c>
      <c r="F295" t="str">
        <f>+IFERROR(VLOOKUP(Fact_Analitica[[#This Row], 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ht="18.75" customHeight="1" x14ac:dyDescent="0.35">
      <c r="C296" s="124" t="str">
        <f>IF(OR(Fact_Analitica[[#This Row], [Año]]="",Fact_Analitica[[#This Row], [Mes]]=""),"",DATE(A296,MATCH(B296,{"enero","febrero","marzo","abril","mayo","junio","julio","agosto","septiembre","octubre","noviembre","diciembre"},0)+1,0))</f>
        <v/>
      </c>
      <c r="E296" t="str">
        <f>+IFERROR(VLOOKUP(Fact_Analitica[[#This Row], [Concepto Anterior]],Conceptos_Analítica_contraloría[#All],5,0),"")</f>
        <v/>
      </c>
      <c r="F296" t="str">
        <f>+IFERROR(VLOOKUP(Fact_Analitica[[#This Row], 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ht="18.75" customHeight="1" x14ac:dyDescent="0.35">
      <c r="C297" s="124" t="str">
        <f>IF(OR(Fact_Analitica[[#This Row], [Año]]="",Fact_Analitica[[#This Row], [Mes]]=""),"",DATE(A297,MATCH(B297,{"enero","febrero","marzo","abril","mayo","junio","julio","agosto","septiembre","octubre","noviembre","diciembre"},0)+1,0))</f>
        <v/>
      </c>
      <c r="E297" t="str">
        <f>+IFERROR(VLOOKUP(Fact_Analitica[[#This Row], [Concepto Anterior]],Conceptos_Analítica_contraloría[#All],5,0),"")</f>
        <v/>
      </c>
      <c r="F297" t="str">
        <f>+IFERROR(VLOOKUP(Fact_Analitica[[#This Row], 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ht="18.75" customHeight="1" x14ac:dyDescent="0.35">
      <c r="C298" s="124" t="str">
        <f>IF(OR(Fact_Analitica[[#This Row], [Año]]="",Fact_Analitica[[#This Row], [Mes]]=""),"",DATE(A298,MATCH(B298,{"enero","febrero","marzo","abril","mayo","junio","julio","agosto","septiembre","octubre","noviembre","diciembre"},0)+1,0))</f>
        <v/>
      </c>
      <c r="E298" t="str">
        <f>+IFERROR(VLOOKUP(Fact_Analitica[[#This Row], [Concepto Anterior]],Conceptos_Analítica_contraloría[#All],5,0),"")</f>
        <v/>
      </c>
      <c r="F298" t="str">
        <f>+IFERROR(VLOOKUP(Fact_Analitica[[#This Row], 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ht="18.75" customHeight="1" x14ac:dyDescent="0.35">
      <c r="C299" s="124" t="str">
        <f>IF(OR(Fact_Analitica[[#This Row], [Año]]="",Fact_Analitica[[#This Row], [Mes]]=""),"",DATE(A299,MATCH(B299,{"enero","febrero","marzo","abril","mayo","junio","julio","agosto","septiembre","octubre","noviembre","diciembre"},0)+1,0))</f>
        <v/>
      </c>
      <c r="E299" t="str">
        <f>+IFERROR(VLOOKUP(Fact_Analitica[[#This Row], [Concepto Anterior]],Conceptos_Analítica_contraloría[#All],5,0),"")</f>
        <v/>
      </c>
      <c r="F299" t="str">
        <f>+IFERROR(VLOOKUP(Fact_Analitica[[#This Row], 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ht="18.75" customHeight="1" x14ac:dyDescent="0.35">
      <c r="C300" s="124" t="str">
        <f>IF(OR(Fact_Analitica[[#This Row], [Año]]="",Fact_Analitica[[#This Row], [Mes]]=""),"",DATE(A300,MATCH(B300,{"enero","febrero","marzo","abril","mayo","junio","julio","agosto","septiembre","octubre","noviembre","diciembre"},0)+1,0))</f>
        <v/>
      </c>
      <c r="E300" t="str">
        <f>+IFERROR(VLOOKUP(Fact_Analitica[[#This Row], [Concepto Anterior]],Conceptos_Analítica_contraloría[#All],5,0),"")</f>
        <v/>
      </c>
      <c r="F300" t="str">
        <f>+IFERROR(VLOOKUP(Fact_Analitica[[#This Row], 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ht="18.75" customHeight="1" x14ac:dyDescent="0.35">
      <c r="C301" s="124" t="str">
        <f>IF(OR(Fact_Analitica[[#This Row], [Año]]="",Fact_Analitica[[#This Row], [Mes]]=""),"",DATE(A301,MATCH(B301,{"enero","febrero","marzo","abril","mayo","junio","julio","agosto","septiembre","octubre","noviembre","diciembre"},0)+1,0))</f>
        <v/>
      </c>
      <c r="E301" t="str">
        <f>+IFERROR(VLOOKUP(Fact_Analitica[[#This Row], [Concepto Anterior]],Conceptos_Analítica_contraloría[#All],5,0),"")</f>
        <v/>
      </c>
      <c r="F301" t="str">
        <f>+IFERROR(VLOOKUP(Fact_Analitica[[#This Row], 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ht="18.75" customHeight="1" x14ac:dyDescent="0.35">
      <c r="C302" s="124" t="str">
        <f>IF(OR(Fact_Analitica[[#This Row], [Año]]="",Fact_Analitica[[#This Row], [Mes]]=""),"",DATE(A302,MATCH(B302,{"enero","febrero","marzo","abril","mayo","junio","julio","agosto","septiembre","octubre","noviembre","diciembre"},0)+1,0))</f>
        <v/>
      </c>
      <c r="E302" t="str">
        <f>+IFERROR(VLOOKUP(Fact_Analitica[[#This Row], [Concepto Anterior]],Conceptos_Analítica_contraloría[#All],5,0),"")</f>
        <v/>
      </c>
      <c r="F302" t="str">
        <f>+IFERROR(VLOOKUP(Fact_Analitica[[#This Row], 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ht="18.75" customHeight="1" x14ac:dyDescent="0.35">
      <c r="C303" s="124" t="str">
        <f>IF(OR(Fact_Analitica[[#This Row], [Año]]="",Fact_Analitica[[#This Row], [Mes]]=""),"",DATE(A303,MATCH(B303,{"enero","febrero","marzo","abril","mayo","junio","julio","agosto","septiembre","octubre","noviembre","diciembre"},0)+1,0))</f>
        <v/>
      </c>
      <c r="E303" t="str">
        <f>+IFERROR(VLOOKUP(Fact_Analitica[[#This Row], [Concepto Anterior]],Conceptos_Analítica_contraloría[#All],5,0),"")</f>
        <v/>
      </c>
      <c r="F303" t="str">
        <f>+IFERROR(VLOOKUP(Fact_Analitica[[#This Row], 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ht="18.75" customHeight="1" x14ac:dyDescent="0.35">
      <c r="C304" s="124" t="str">
        <f>IF(OR(Fact_Analitica[[#This Row], [Año]]="",Fact_Analitica[[#This Row], [Mes]]=""),"",DATE(A304,MATCH(B304,{"enero","febrero","marzo","abril","mayo","junio","julio","agosto","septiembre","octubre","noviembre","diciembre"},0)+1,0))</f>
        <v/>
      </c>
      <c r="E304" t="str">
        <f>+IFERROR(VLOOKUP(Fact_Analitica[[#This Row], [Concepto Anterior]],Conceptos_Analítica_contraloría[#All],5,0),"")</f>
        <v/>
      </c>
      <c r="F304" t="str">
        <f>+IFERROR(VLOOKUP(Fact_Analitica[[#This Row], 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ht="18.75" customHeight="1" x14ac:dyDescent="0.35">
      <c r="C305" s="124" t="str">
        <f>IF(OR(Fact_Analitica[[#This Row], [Año]]="",Fact_Analitica[[#This Row], [Mes]]=""),"",DATE(A305,MATCH(B305,{"enero","febrero","marzo","abril","mayo","junio","julio","agosto","septiembre","octubre","noviembre","diciembre"},0)+1,0))</f>
        <v/>
      </c>
      <c r="E305" t="str">
        <f>+IFERROR(VLOOKUP(Fact_Analitica[[#This Row], [Concepto Anterior]],Conceptos_Analítica_contraloría[#All],5,0),"")</f>
        <v/>
      </c>
      <c r="F305" t="str">
        <f>+IFERROR(VLOOKUP(Fact_Analitica[[#This Row], 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ht="18.75" customHeight="1" x14ac:dyDescent="0.35">
      <c r="C306" s="124" t="str">
        <f>IF(OR(Fact_Analitica[[#This Row], [Año]]="",Fact_Analitica[[#This Row], [Mes]]=""),"",DATE(A306,MATCH(B306,{"enero","febrero","marzo","abril","mayo","junio","julio","agosto","septiembre","octubre","noviembre","diciembre"},0)+1,0))</f>
        <v/>
      </c>
      <c r="E306" t="str">
        <f>+IFERROR(VLOOKUP(Fact_Analitica[[#This Row], [Concepto Anterior]],Conceptos_Analítica_contraloría[#All],5,0),"")</f>
        <v/>
      </c>
      <c r="F306" t="str">
        <f>+IFERROR(VLOOKUP(Fact_Analitica[[#This Row], 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ht="18.75" customHeight="1" x14ac:dyDescent="0.35">
      <c r="C307" s="124" t="str">
        <f>IF(OR(Fact_Analitica[[#This Row], [Año]]="",Fact_Analitica[[#This Row], [Mes]]=""),"",DATE(A307,MATCH(B307,{"enero","febrero","marzo","abril","mayo","junio","julio","agosto","septiembre","octubre","noviembre","diciembre"},0)+1,0))</f>
        <v/>
      </c>
      <c r="E307" t="str">
        <f>+IFERROR(VLOOKUP(Fact_Analitica[[#This Row], [Concepto Anterior]],Conceptos_Analítica_contraloría[#All],5,0),"")</f>
        <v/>
      </c>
      <c r="F307" t="str">
        <f>+IFERROR(VLOOKUP(Fact_Analitica[[#This Row], 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ht="18.75" customHeight="1" x14ac:dyDescent="0.35">
      <c r="C308" s="124" t="str">
        <f>IF(OR(Fact_Analitica[[#This Row], [Año]]="",Fact_Analitica[[#This Row], [Mes]]=""),"",DATE(A308,MATCH(B308,{"enero","febrero","marzo","abril","mayo","junio","julio","agosto","septiembre","octubre","noviembre","diciembre"},0)+1,0))</f>
        <v/>
      </c>
      <c r="E308" t="str">
        <f>+IFERROR(VLOOKUP(Fact_Analitica[[#This Row], [Concepto Anterior]],Conceptos_Analítica_contraloría[#All],5,0),"")</f>
        <v/>
      </c>
      <c r="F308" t="str">
        <f>+IFERROR(VLOOKUP(Fact_Analitica[[#This Row], 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ht="18.75" customHeight="1" x14ac:dyDescent="0.35">
      <c r="C309" s="124" t="str">
        <f>IF(OR(Fact_Analitica[[#This Row], [Año]]="",Fact_Analitica[[#This Row], [Mes]]=""),"",DATE(A309,MATCH(B309,{"enero","febrero","marzo","abril","mayo","junio","julio","agosto","septiembre","octubre","noviembre","diciembre"},0)+1,0))</f>
        <v/>
      </c>
      <c r="E309" t="str">
        <f>+IFERROR(VLOOKUP(Fact_Analitica[[#This Row], [Concepto Anterior]],Conceptos_Analítica_contraloría[#All],5,0),"")</f>
        <v/>
      </c>
      <c r="F309" t="str">
        <f>+IFERROR(VLOOKUP(Fact_Analitica[[#This Row], 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ht="18.75" customHeight="1" x14ac:dyDescent="0.35">
      <c r="C310" s="124" t="str">
        <f>IF(OR(Fact_Analitica[[#This Row], [Año]]="",Fact_Analitica[[#This Row], [Mes]]=""),"",DATE(A310,MATCH(B310,{"enero","febrero","marzo","abril","mayo","junio","julio","agosto","septiembre","octubre","noviembre","diciembre"},0)+1,0))</f>
        <v/>
      </c>
      <c r="E310" t="str">
        <f>+IFERROR(VLOOKUP(Fact_Analitica[[#This Row], [Concepto Anterior]],Conceptos_Analítica_contraloría[#All],5,0),"")</f>
        <v/>
      </c>
      <c r="F310" t="str">
        <f>+IFERROR(VLOOKUP(Fact_Analitica[[#This Row], 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ht="18.75" customHeight="1" x14ac:dyDescent="0.35">
      <c r="C311" s="124" t="str">
        <f>IF(OR(Fact_Analitica[[#This Row], [Año]]="",Fact_Analitica[[#This Row], [Mes]]=""),"",DATE(A311,MATCH(B311,{"enero","febrero","marzo","abril","mayo","junio","julio","agosto","septiembre","octubre","noviembre","diciembre"},0)+1,0))</f>
        <v/>
      </c>
      <c r="E311" t="str">
        <f>+IFERROR(VLOOKUP(Fact_Analitica[[#This Row], [Concepto Anterior]],Conceptos_Analítica_contraloría[#All],5,0),"")</f>
        <v/>
      </c>
      <c r="F311" t="str">
        <f>+IFERROR(VLOOKUP(Fact_Analitica[[#This Row], 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ht="18.75" customHeight="1" x14ac:dyDescent="0.35">
      <c r="C312" s="124" t="str">
        <f>IF(OR(Fact_Analitica[[#This Row], [Año]]="",Fact_Analitica[[#This Row], [Mes]]=""),"",DATE(A312,MATCH(B312,{"enero","febrero","marzo","abril","mayo","junio","julio","agosto","septiembre","octubre","noviembre","diciembre"},0)+1,0))</f>
        <v/>
      </c>
      <c r="E312" t="str">
        <f>+IFERROR(VLOOKUP(Fact_Analitica[[#This Row], [Concepto Anterior]],Conceptos_Analítica_contraloría[#All],5,0),"")</f>
        <v/>
      </c>
      <c r="F312" t="str">
        <f>+IFERROR(VLOOKUP(Fact_Analitica[[#This Row], 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ht="18.75" customHeight="1" x14ac:dyDescent="0.35">
      <c r="C313" s="124" t="str">
        <f>IF(OR(Fact_Analitica[[#This Row], [Año]]="",Fact_Analitica[[#This Row], [Mes]]=""),"",DATE(A313,MATCH(B313,{"enero","febrero","marzo","abril","mayo","junio","julio","agosto","septiembre","octubre","noviembre","diciembre"},0)+1,0))</f>
        <v/>
      </c>
      <c r="E313" t="str">
        <f>+IFERROR(VLOOKUP(Fact_Analitica[[#This Row], [Concepto Anterior]],Conceptos_Analítica_contraloría[#All],5,0),"")</f>
        <v/>
      </c>
      <c r="F313" t="str">
        <f>+IFERROR(VLOOKUP(Fact_Analitica[[#This Row], 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ht="18.75" customHeight="1" x14ac:dyDescent="0.35">
      <c r="C314" s="124" t="str">
        <f>IF(OR(Fact_Analitica[[#This Row], [Año]]="",Fact_Analitica[[#This Row], [Mes]]=""),"",DATE(A314,MATCH(B314,{"enero","febrero","marzo","abril","mayo","junio","julio","agosto","septiembre","octubre","noviembre","diciembre"},0)+1,0))</f>
        <v/>
      </c>
      <c r="E314" t="str">
        <f>+IFERROR(VLOOKUP(Fact_Analitica[[#This Row], [Concepto Anterior]],Conceptos_Analítica_contraloría[#All],5,0),"")</f>
        <v/>
      </c>
      <c r="F314" t="str">
        <f>+IFERROR(VLOOKUP(Fact_Analitica[[#This Row], 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ht="18.75" customHeight="1" x14ac:dyDescent="0.35">
      <c r="C315" s="124" t="str">
        <f>IF(OR(Fact_Analitica[[#This Row], [Año]]="",Fact_Analitica[[#This Row], [Mes]]=""),"",DATE(A315,MATCH(B315,{"enero","febrero","marzo","abril","mayo","junio","julio","agosto","septiembre","octubre","noviembre","diciembre"},0)+1,0))</f>
        <v/>
      </c>
      <c r="E315" t="str">
        <f>+IFERROR(VLOOKUP(Fact_Analitica[[#This Row], [Concepto Anterior]],Conceptos_Analítica_contraloría[#All],5,0),"")</f>
        <v/>
      </c>
      <c r="F315" t="str">
        <f>+IFERROR(VLOOKUP(Fact_Analitica[[#This Row], 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ht="18.75" customHeight="1" x14ac:dyDescent="0.35">
      <c r="C316" s="124" t="str">
        <f>IF(OR(Fact_Analitica[[#This Row], [Año]]="",Fact_Analitica[[#This Row], [Mes]]=""),"",DATE(A316,MATCH(B316,{"enero","febrero","marzo","abril","mayo","junio","julio","agosto","septiembre","octubre","noviembre","diciembre"},0)+1,0))</f>
        <v/>
      </c>
      <c r="E316" t="str">
        <f>+IFERROR(VLOOKUP(Fact_Analitica[[#This Row], [Concepto Anterior]],Conceptos_Analítica_contraloría[#All],5,0),"")</f>
        <v/>
      </c>
      <c r="F316" t="str">
        <f>+IFERROR(VLOOKUP(Fact_Analitica[[#This Row], 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ht="18.75" customHeight="1" x14ac:dyDescent="0.35">
      <c r="C317" s="124" t="str">
        <f>IF(OR(Fact_Analitica[[#This Row], [Año]]="",Fact_Analitica[[#This Row], [Mes]]=""),"",DATE(A317,MATCH(B317,{"enero","febrero","marzo","abril","mayo","junio","julio","agosto","septiembre","octubre","noviembre","diciembre"},0)+1,0))</f>
        <v/>
      </c>
      <c r="E317" t="str">
        <f>+IFERROR(VLOOKUP(Fact_Analitica[[#This Row], [Concepto Anterior]],Conceptos_Analítica_contraloría[#All],5,0),"")</f>
        <v/>
      </c>
      <c r="F317" t="str">
        <f>+IFERROR(VLOOKUP(Fact_Analitica[[#This Row], 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ht="18.75" customHeight="1" x14ac:dyDescent="0.35">
      <c r="C318" s="124" t="str">
        <f>IF(OR(Fact_Analitica[[#This Row], [Año]]="",Fact_Analitica[[#This Row], [Mes]]=""),"",DATE(A318,MATCH(B318,{"enero","febrero","marzo","abril","mayo","junio","julio","agosto","septiembre","octubre","noviembre","diciembre"},0)+1,0))</f>
        <v/>
      </c>
      <c r="E318" t="str">
        <f>+IFERROR(VLOOKUP(Fact_Analitica[[#This Row], [Concepto Anterior]],Conceptos_Analítica_contraloría[#All],5,0),"")</f>
        <v/>
      </c>
      <c r="F318" t="str">
        <f>+IFERROR(VLOOKUP(Fact_Analitica[[#This Row], 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ht="18.75" customHeight="1" x14ac:dyDescent="0.35">
      <c r="C319" s="124" t="str">
        <f>IF(OR(Fact_Analitica[[#This Row], [Año]]="",Fact_Analitica[[#This Row], [Mes]]=""),"",DATE(A319,MATCH(B319,{"enero","febrero","marzo","abril","mayo","junio","julio","agosto","septiembre","octubre","noviembre","diciembre"},0)+1,0))</f>
        <v/>
      </c>
      <c r="E319" t="str">
        <f>+IFERROR(VLOOKUP(Fact_Analitica[[#This Row], [Concepto Anterior]],Conceptos_Analítica_contraloría[#All],5,0),"")</f>
        <v/>
      </c>
      <c r="F319" t="str">
        <f>+IFERROR(VLOOKUP(Fact_Analitica[[#This Row], 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ht="18.75" customHeight="1" x14ac:dyDescent="0.35">
      <c r="C320" s="124" t="str">
        <f>IF(OR(Fact_Analitica[[#This Row], [Año]]="",Fact_Analitica[[#This Row], [Mes]]=""),"",DATE(A320,MATCH(B320,{"enero","febrero","marzo","abril","mayo","junio","julio","agosto","septiembre","octubre","noviembre","diciembre"},0)+1,0))</f>
        <v/>
      </c>
      <c r="E320" t="str">
        <f>+IFERROR(VLOOKUP(Fact_Analitica[[#This Row], [Concepto Anterior]],Conceptos_Analítica_contraloría[#All],5,0),"")</f>
        <v/>
      </c>
      <c r="F320" t="str">
        <f>+IFERROR(VLOOKUP(Fact_Analitica[[#This Row], 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ht="18.75" customHeight="1" x14ac:dyDescent="0.35">
      <c r="C321" s="124" t="str">
        <f>IF(OR(Fact_Analitica[[#This Row], [Año]]="",Fact_Analitica[[#This Row], [Mes]]=""),"",DATE(A321,MATCH(B321,{"enero","febrero","marzo","abril","mayo","junio","julio","agosto","septiembre","octubre","noviembre","diciembre"},0)+1,0))</f>
        <v/>
      </c>
      <c r="E321" t="str">
        <f>+IFERROR(VLOOKUP(Fact_Analitica[[#This Row], [Concepto Anterior]],Conceptos_Analítica_contraloría[#All],5,0),"")</f>
        <v/>
      </c>
      <c r="F321" t="str">
        <f>+IFERROR(VLOOKUP(Fact_Analitica[[#This Row], 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ht="18.75" customHeight="1" x14ac:dyDescent="0.35">
      <c r="C322" s="124" t="str">
        <f>IF(OR(Fact_Analitica[[#This Row], [Año]]="",Fact_Analitica[[#This Row], [Mes]]=""),"",DATE(A322,MATCH(B322,{"enero","febrero","marzo","abril","mayo","junio","julio","agosto","septiembre","octubre","noviembre","diciembre"},0)+1,0))</f>
        <v/>
      </c>
      <c r="E322" t="str">
        <f>+IFERROR(VLOOKUP(Fact_Analitica[[#This Row], [Concepto Anterior]],Conceptos_Analítica_contraloría[#All],5,0),"")</f>
        <v/>
      </c>
      <c r="F322" t="str">
        <f>+IFERROR(VLOOKUP(Fact_Analitica[[#This Row], 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ht="18.75" customHeight="1" x14ac:dyDescent="0.35">
      <c r="C323" s="124" t="str">
        <f>IF(OR(Fact_Analitica[[#This Row], [Año]]="",Fact_Analitica[[#This Row], [Mes]]=""),"",DATE(A323,MATCH(B323,{"enero","febrero","marzo","abril","mayo","junio","julio","agosto","septiembre","octubre","noviembre","diciembre"},0)+1,0))</f>
        <v/>
      </c>
      <c r="E323" t="str">
        <f>+IFERROR(VLOOKUP(Fact_Analitica[[#This Row], [Concepto Anterior]],Conceptos_Analítica_contraloría[#All],5,0),"")</f>
        <v/>
      </c>
      <c r="F323" t="str">
        <f>+IFERROR(VLOOKUP(Fact_Analitica[[#This Row], 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ht="18.75" customHeight="1" x14ac:dyDescent="0.35">
      <c r="C324" s="124" t="str">
        <f>IF(OR(Fact_Analitica[[#This Row], [Año]]="",Fact_Analitica[[#This Row], [Mes]]=""),"",DATE(A324,MATCH(B324,{"enero","febrero","marzo","abril","mayo","junio","julio","agosto","septiembre","octubre","noviembre","diciembre"},0)+1,0))</f>
        <v/>
      </c>
      <c r="E324" t="str">
        <f>+IFERROR(VLOOKUP(Fact_Analitica[[#This Row], [Concepto Anterior]],Conceptos_Analítica_contraloría[#All],5,0),"")</f>
        <v/>
      </c>
      <c r="F324" t="str">
        <f>+IFERROR(VLOOKUP(Fact_Analitica[[#This Row], 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ht="18.75" customHeight="1" x14ac:dyDescent="0.35">
      <c r="C325" s="124" t="str">
        <f>IF(OR(Fact_Analitica[[#This Row], [Año]]="",Fact_Analitica[[#This Row], [Mes]]=""),"",DATE(A325,MATCH(B325,{"enero","febrero","marzo","abril","mayo","junio","julio","agosto","septiembre","octubre","noviembre","diciembre"},0)+1,0))</f>
        <v/>
      </c>
      <c r="E325" t="str">
        <f>+IFERROR(VLOOKUP(Fact_Analitica[[#This Row], [Concepto Anterior]],Conceptos_Analítica_contraloría[#All],5,0),"")</f>
        <v/>
      </c>
      <c r="F325" t="str">
        <f>+IFERROR(VLOOKUP(Fact_Analitica[[#This Row], 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ht="18.75" customHeight="1" x14ac:dyDescent="0.35">
      <c r="C326" s="124" t="str">
        <f>IF(OR(Fact_Analitica[[#This Row], [Año]]="",Fact_Analitica[[#This Row], [Mes]]=""),"",DATE(A326,MATCH(B326,{"enero","febrero","marzo","abril","mayo","junio","julio","agosto","septiembre","octubre","noviembre","diciembre"},0)+1,0))</f>
        <v/>
      </c>
      <c r="E326" t="str">
        <f>+IFERROR(VLOOKUP(Fact_Analitica[[#This Row], [Concepto Anterior]],Conceptos_Analítica_contraloría[#All],5,0),"")</f>
        <v/>
      </c>
      <c r="F326" t="str">
        <f>+IFERROR(VLOOKUP(Fact_Analitica[[#This Row], 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ht="18.75" customHeight="1" x14ac:dyDescent="0.35">
      <c r="C327" s="124" t="str">
        <f>IF(OR(Fact_Analitica[[#This Row], [Año]]="",Fact_Analitica[[#This Row], [Mes]]=""),"",DATE(A327,MATCH(B327,{"enero","febrero","marzo","abril","mayo","junio","julio","agosto","septiembre","octubre","noviembre","diciembre"},0)+1,0))</f>
        <v/>
      </c>
      <c r="E327" t="str">
        <f>+IFERROR(VLOOKUP(Fact_Analitica[[#This Row], [Concepto Anterior]],Conceptos_Analítica_contraloría[#All],5,0),"")</f>
        <v/>
      </c>
      <c r="F327" t="str">
        <f>+IFERROR(VLOOKUP(Fact_Analitica[[#This Row], 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ht="18.75" customHeight="1" x14ac:dyDescent="0.35">
      <c r="C328" s="124" t="str">
        <f>IF(OR(Fact_Analitica[[#This Row], [Año]]="",Fact_Analitica[[#This Row], [Mes]]=""),"",DATE(A328,MATCH(B328,{"enero","febrero","marzo","abril","mayo","junio","julio","agosto","septiembre","octubre","noviembre","diciembre"},0)+1,0))</f>
        <v/>
      </c>
      <c r="E328" t="str">
        <f>+IFERROR(VLOOKUP(Fact_Analitica[[#This Row], [Concepto Anterior]],Conceptos_Analítica_contraloría[#All],5,0),"")</f>
        <v/>
      </c>
      <c r="F328" t="str">
        <f>+IFERROR(VLOOKUP(Fact_Analitica[[#This Row], 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ht="18.75" customHeight="1" x14ac:dyDescent="0.35">
      <c r="C329" s="124" t="str">
        <f>IF(OR(Fact_Analitica[[#This Row], [Año]]="",Fact_Analitica[[#This Row], [Mes]]=""),"",DATE(A329,MATCH(B329,{"enero","febrero","marzo","abril","mayo","junio","julio","agosto","septiembre","octubre","noviembre","diciembre"},0)+1,0))</f>
        <v/>
      </c>
      <c r="E329" t="str">
        <f>+IFERROR(VLOOKUP(Fact_Analitica[[#This Row], [Concepto Anterior]],Conceptos_Analítica_contraloría[#All],5,0),"")</f>
        <v/>
      </c>
      <c r="F329" t="str">
        <f>+IFERROR(VLOOKUP(Fact_Analitica[[#This Row], 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ht="18.75" customHeight="1" x14ac:dyDescent="0.35">
      <c r="C330" s="124" t="str">
        <f>IF(OR(Fact_Analitica[[#This Row], [Año]]="",Fact_Analitica[[#This Row], [Mes]]=""),"",DATE(A330,MATCH(B330,{"enero","febrero","marzo","abril","mayo","junio","julio","agosto","septiembre","octubre","noviembre","diciembre"},0)+1,0))</f>
        <v/>
      </c>
      <c r="E330" t="str">
        <f>+IFERROR(VLOOKUP(Fact_Analitica[[#This Row], [Concepto Anterior]],Conceptos_Analítica_contraloría[#All],5,0),"")</f>
        <v/>
      </c>
      <c r="F330" t="str">
        <f>+IFERROR(VLOOKUP(Fact_Analitica[[#This Row], 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ht="18.75" customHeight="1" x14ac:dyDescent="0.35">
      <c r="C331" s="124" t="str">
        <f>IF(OR(Fact_Analitica[[#This Row], [Año]]="",Fact_Analitica[[#This Row], [Mes]]=""),"",DATE(A331,MATCH(B331,{"enero","febrero","marzo","abril","mayo","junio","julio","agosto","septiembre","octubre","noviembre","diciembre"},0)+1,0))</f>
        <v/>
      </c>
      <c r="E331" t="str">
        <f>+IFERROR(VLOOKUP(Fact_Analitica[[#This Row], [Concepto Anterior]],Conceptos_Analítica_contraloría[#All],5,0),"")</f>
        <v/>
      </c>
      <c r="F331" t="str">
        <f>+IFERROR(VLOOKUP(Fact_Analitica[[#This Row], 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ht="18.75" customHeight="1" x14ac:dyDescent="0.35">
      <c r="C332" s="124" t="str">
        <f>IF(OR(Fact_Analitica[[#This Row], [Año]]="",Fact_Analitica[[#This Row], [Mes]]=""),"",DATE(A332,MATCH(B332,{"enero","febrero","marzo","abril","mayo","junio","julio","agosto","septiembre","octubre","noviembre","diciembre"},0)+1,0))</f>
        <v/>
      </c>
      <c r="E332" t="str">
        <f>+IFERROR(VLOOKUP(Fact_Analitica[[#This Row], [Concepto Anterior]],Conceptos_Analítica_contraloría[#All],5,0),"")</f>
        <v/>
      </c>
      <c r="F332" t="str">
        <f>+IFERROR(VLOOKUP(Fact_Analitica[[#This Row], 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ht="18.75" customHeight="1" x14ac:dyDescent="0.35">
      <c r="C333" s="124" t="str">
        <f>IF(OR(Fact_Analitica[[#This Row], [Año]]="",Fact_Analitica[[#This Row], [Mes]]=""),"",DATE(A333,MATCH(B333,{"enero","febrero","marzo","abril","mayo","junio","julio","agosto","septiembre","octubre","noviembre","diciembre"},0)+1,0))</f>
        <v/>
      </c>
      <c r="E333" t="str">
        <f>+IFERROR(VLOOKUP(Fact_Analitica[[#This Row], [Concepto Anterior]],Conceptos_Analítica_contraloría[#All],5,0),"")</f>
        <v/>
      </c>
      <c r="F333" t="str">
        <f>+IFERROR(VLOOKUP(Fact_Analitica[[#This Row], 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ht="18.75" customHeight="1" x14ac:dyDescent="0.35">
      <c r="C334" s="124" t="str">
        <f>IF(OR(Fact_Analitica[[#This Row], [Año]]="",Fact_Analitica[[#This Row], [Mes]]=""),"",DATE(A334,MATCH(B334,{"enero","febrero","marzo","abril","mayo","junio","julio","agosto","septiembre","octubre","noviembre","diciembre"},0)+1,0))</f>
        <v/>
      </c>
      <c r="E334" t="str">
        <f>+IFERROR(VLOOKUP(Fact_Analitica[[#This Row], [Concepto Anterior]],Conceptos_Analítica_contraloría[#All],5,0),"")</f>
        <v/>
      </c>
      <c r="F334" t="str">
        <f>+IFERROR(VLOOKUP(Fact_Analitica[[#This Row], 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ht="18.75" customHeight="1" x14ac:dyDescent="0.35">
      <c r="C335" s="124" t="str">
        <f>IF(OR(Fact_Analitica[[#This Row], [Año]]="",Fact_Analitica[[#This Row], [Mes]]=""),"",DATE(A335,MATCH(B335,{"enero","febrero","marzo","abril","mayo","junio","julio","agosto","septiembre","octubre","noviembre","diciembre"},0)+1,0))</f>
        <v/>
      </c>
      <c r="E335" t="str">
        <f>+IFERROR(VLOOKUP(Fact_Analitica[[#This Row], [Concepto Anterior]],Conceptos_Analítica_contraloría[#All],5,0),"")</f>
        <v/>
      </c>
      <c r="F335" t="str">
        <f>+IFERROR(VLOOKUP(Fact_Analitica[[#This Row], 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ht="18.75" customHeight="1" x14ac:dyDescent="0.35">
      <c r="C336" s="124" t="str">
        <f>IF(OR(Fact_Analitica[[#This Row], [Año]]="",Fact_Analitica[[#This Row], [Mes]]=""),"",DATE(A336,MATCH(B336,{"enero","febrero","marzo","abril","mayo","junio","julio","agosto","septiembre","octubre","noviembre","diciembre"},0)+1,0))</f>
        <v/>
      </c>
      <c r="E336" t="str">
        <f>+IFERROR(VLOOKUP(Fact_Analitica[[#This Row], [Concepto Anterior]],Conceptos_Analítica_contraloría[#All],5,0),"")</f>
        <v/>
      </c>
      <c r="F336" t="str">
        <f>+IFERROR(VLOOKUP(Fact_Analitica[[#This Row], 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ht="18.75" customHeight="1" x14ac:dyDescent="0.35">
      <c r="C337" s="124" t="str">
        <f>IF(OR(Fact_Analitica[[#This Row], [Año]]="",Fact_Analitica[[#This Row], [Mes]]=""),"",DATE(A337,MATCH(B337,{"enero","febrero","marzo","abril","mayo","junio","julio","agosto","septiembre","octubre","noviembre","diciembre"},0)+1,0))</f>
        <v/>
      </c>
      <c r="E337" t="str">
        <f>+IFERROR(VLOOKUP(Fact_Analitica[[#This Row], [Concepto Anterior]],Conceptos_Analítica_contraloría[#All],5,0),"")</f>
        <v/>
      </c>
      <c r="F337" t="str">
        <f>+IFERROR(VLOOKUP(Fact_Analitica[[#This Row], 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ht="18.75" customHeight="1" x14ac:dyDescent="0.35">
      <c r="C338" s="124" t="str">
        <f>IF(OR(Fact_Analitica[[#This Row], [Año]]="",Fact_Analitica[[#This Row], [Mes]]=""),"",DATE(A338,MATCH(B338,{"enero","febrero","marzo","abril","mayo","junio","julio","agosto","septiembre","octubre","noviembre","diciembre"},0)+1,0))</f>
        <v/>
      </c>
      <c r="E338" t="str">
        <f>+IFERROR(VLOOKUP(Fact_Analitica[[#This Row], [Concepto Anterior]],Conceptos_Analítica_contraloría[#All],5,0),"")</f>
        <v/>
      </c>
      <c r="F338" t="str">
        <f>+IFERROR(VLOOKUP(Fact_Analitica[[#This Row], 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ht="18.75" customHeight="1" x14ac:dyDescent="0.35">
      <c r="C339" s="124" t="str">
        <f>IF(OR(Fact_Analitica[[#This Row], [Año]]="",Fact_Analitica[[#This Row], [Mes]]=""),"",DATE(A339,MATCH(B339,{"enero","febrero","marzo","abril","mayo","junio","julio","agosto","septiembre","octubre","noviembre","diciembre"},0)+1,0))</f>
        <v/>
      </c>
      <c r="E339" t="str">
        <f>+IFERROR(VLOOKUP(Fact_Analitica[[#This Row], [Concepto Anterior]],Conceptos_Analítica_contraloría[#All],5,0),"")</f>
        <v/>
      </c>
      <c r="F339" t="str">
        <f>+IFERROR(VLOOKUP(Fact_Analitica[[#This Row], 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ht="18.75" customHeight="1" x14ac:dyDescent="0.35">
      <c r="C340" s="124" t="str">
        <f>IF(OR(Fact_Analitica[[#This Row], [Año]]="",Fact_Analitica[[#This Row], [Mes]]=""),"",DATE(A340,MATCH(B340,{"enero","febrero","marzo","abril","mayo","junio","julio","agosto","septiembre","octubre","noviembre","diciembre"},0)+1,0))</f>
        <v/>
      </c>
      <c r="E340" t="str">
        <f>+IFERROR(VLOOKUP(Fact_Analitica[[#This Row], [Concepto Anterior]],Conceptos_Analítica_contraloría[#All],5,0),"")</f>
        <v/>
      </c>
      <c r="F340" t="str">
        <f>+IFERROR(VLOOKUP(Fact_Analitica[[#This Row], 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ht="18.75" customHeight="1" x14ac:dyDescent="0.35">
      <c r="C341" s="124" t="str">
        <f>IF(OR(Fact_Analitica[[#This Row], [Año]]="",Fact_Analitica[[#This Row], [Mes]]=""),"",DATE(A341,MATCH(B341,{"enero","febrero","marzo","abril","mayo","junio","julio","agosto","septiembre","octubre","noviembre","diciembre"},0)+1,0))</f>
        <v/>
      </c>
      <c r="E341" t="str">
        <f>+IFERROR(VLOOKUP(Fact_Analitica[[#This Row], [Concepto Anterior]],Conceptos_Analítica_contraloría[#All],5,0),"")</f>
        <v/>
      </c>
      <c r="F341" t="str">
        <f>+IFERROR(VLOOKUP(Fact_Analitica[[#This Row], 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ht="18.75" customHeight="1" x14ac:dyDescent="0.35">
      <c r="C342" s="124" t="str">
        <f>IF(OR(Fact_Analitica[[#This Row], [Año]]="",Fact_Analitica[[#This Row], [Mes]]=""),"",DATE(A342,MATCH(B342,{"enero","febrero","marzo","abril","mayo","junio","julio","agosto","septiembre","octubre","noviembre","diciembre"},0)+1,0))</f>
        <v/>
      </c>
      <c r="E342" t="str">
        <f>+IFERROR(VLOOKUP(Fact_Analitica[[#This Row], [Concepto Anterior]],Conceptos_Analítica_contraloría[#All],5,0),"")</f>
        <v/>
      </c>
      <c r="F342" t="str">
        <f>+IFERROR(VLOOKUP(Fact_Analitica[[#This Row], 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ht="18.75" customHeight="1" x14ac:dyDescent="0.35">
      <c r="C343" s="124" t="str">
        <f>IF(OR(Fact_Analitica[[#This Row], [Año]]="",Fact_Analitica[[#This Row], [Mes]]=""),"",DATE(A343,MATCH(B343,{"enero","febrero","marzo","abril","mayo","junio","julio","agosto","septiembre","octubre","noviembre","diciembre"},0)+1,0))</f>
        <v/>
      </c>
      <c r="E343" t="str">
        <f>+IFERROR(VLOOKUP(Fact_Analitica[[#This Row], [Concepto Anterior]],Conceptos_Analítica_contraloría[#All],5,0),"")</f>
        <v/>
      </c>
      <c r="F343" t="str">
        <f>+IFERROR(VLOOKUP(Fact_Analitica[[#This Row], 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ht="18.75" customHeight="1" x14ac:dyDescent="0.35">
      <c r="C344" s="124" t="str">
        <f>IF(OR(Fact_Analitica[[#This Row], [Año]]="",Fact_Analitica[[#This Row], [Mes]]=""),"",DATE(A344,MATCH(B344,{"enero","febrero","marzo","abril","mayo","junio","julio","agosto","septiembre","octubre","noviembre","diciembre"},0)+1,0))</f>
        <v/>
      </c>
      <c r="E344" t="str">
        <f>+IFERROR(VLOOKUP(Fact_Analitica[[#This Row], [Concepto Anterior]],Conceptos_Analítica_contraloría[#All],5,0),"")</f>
        <v/>
      </c>
      <c r="F344" t="str">
        <f>+IFERROR(VLOOKUP(Fact_Analitica[[#This Row], 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ht="18.75" customHeight="1" x14ac:dyDescent="0.35">
      <c r="C345" s="124" t="str">
        <f>IF(OR(Fact_Analitica[[#This Row], [Año]]="",Fact_Analitica[[#This Row], [Mes]]=""),"",DATE(A345,MATCH(B345,{"enero","febrero","marzo","abril","mayo","junio","julio","agosto","septiembre","octubre","noviembre","diciembre"},0)+1,0))</f>
        <v/>
      </c>
      <c r="E345" t="str">
        <f>+IFERROR(VLOOKUP(Fact_Analitica[[#This Row], [Concepto Anterior]],Conceptos_Analítica_contraloría[#All],5,0),"")</f>
        <v/>
      </c>
      <c r="F345" t="str">
        <f>+IFERROR(VLOOKUP(Fact_Analitica[[#This Row], 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ht="18.75" customHeight="1" x14ac:dyDescent="0.35">
      <c r="C346" s="124" t="str">
        <f>IF(OR(Fact_Analitica[[#This Row], [Año]]="",Fact_Analitica[[#This Row], [Mes]]=""),"",DATE(A346,MATCH(B346,{"enero","febrero","marzo","abril","mayo","junio","julio","agosto","septiembre","octubre","noviembre","diciembre"},0)+1,0))</f>
        <v/>
      </c>
      <c r="E346" t="str">
        <f>+IFERROR(VLOOKUP(Fact_Analitica[[#This Row], [Concepto Anterior]],Conceptos_Analítica_contraloría[#All],5,0),"")</f>
        <v/>
      </c>
      <c r="F346" t="str">
        <f>+IFERROR(VLOOKUP(Fact_Analitica[[#This Row], 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ht="18.75" customHeight="1" x14ac:dyDescent="0.35">
      <c r="C347" s="124" t="str">
        <f>IF(OR(Fact_Analitica[[#This Row], [Año]]="",Fact_Analitica[[#This Row], [Mes]]=""),"",DATE(A347,MATCH(B347,{"enero","febrero","marzo","abril","mayo","junio","julio","agosto","septiembre","octubre","noviembre","diciembre"},0)+1,0))</f>
        <v/>
      </c>
      <c r="E347" t="str">
        <f>+IFERROR(VLOOKUP(Fact_Analitica[[#This Row], [Concepto Anterior]],Conceptos_Analítica_contraloría[#All],5,0),"")</f>
        <v/>
      </c>
      <c r="F347" t="str">
        <f>+IFERROR(VLOOKUP(Fact_Analitica[[#This Row], 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ht="18.75" customHeight="1" x14ac:dyDescent="0.35">
      <c r="C348" s="124" t="str">
        <f>IF(OR(Fact_Analitica[[#This Row], [Año]]="",Fact_Analitica[[#This Row], [Mes]]=""),"",DATE(A348,MATCH(B348,{"enero","febrero","marzo","abril","mayo","junio","julio","agosto","septiembre","octubre","noviembre","diciembre"},0)+1,0))</f>
        <v/>
      </c>
      <c r="E348" t="str">
        <f>+IFERROR(VLOOKUP(Fact_Analitica[[#This Row], [Concepto Anterior]],Conceptos_Analítica_contraloría[#All],5,0),"")</f>
        <v/>
      </c>
      <c r="F348" t="str">
        <f>+IFERROR(VLOOKUP(Fact_Analitica[[#This Row], 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ht="18.75" customHeight="1" x14ac:dyDescent="0.35">
      <c r="C349" s="124" t="str">
        <f>IF(OR(Fact_Analitica[[#This Row], [Año]]="",Fact_Analitica[[#This Row], [Mes]]=""),"",DATE(A349,MATCH(B349,{"enero","febrero","marzo","abril","mayo","junio","julio","agosto","septiembre","octubre","noviembre","diciembre"},0)+1,0))</f>
        <v/>
      </c>
      <c r="E349" t="str">
        <f>+IFERROR(VLOOKUP(Fact_Analitica[[#This Row], [Concepto Anterior]],Conceptos_Analítica_contraloría[#All],5,0),"")</f>
        <v/>
      </c>
      <c r="F349" t="str">
        <f>+IFERROR(VLOOKUP(Fact_Analitica[[#This Row], 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ht="18.75" customHeight="1" x14ac:dyDescent="0.35">
      <c r="C350" s="124" t="str">
        <f>IF(OR(Fact_Analitica[[#This Row], [Año]]="",Fact_Analitica[[#This Row], [Mes]]=""),"",DATE(A350,MATCH(B350,{"enero","febrero","marzo","abril","mayo","junio","julio","agosto","septiembre","octubre","noviembre","diciembre"},0)+1,0))</f>
        <v/>
      </c>
      <c r="E350" t="str">
        <f>+IFERROR(VLOOKUP(Fact_Analitica[[#This Row], [Concepto Anterior]],Conceptos_Analítica_contraloría[#All],5,0),"")</f>
        <v/>
      </c>
      <c r="F350" t="str">
        <f>+IFERROR(VLOOKUP(Fact_Analitica[[#This Row], 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ht="18.75" customHeight="1" x14ac:dyDescent="0.35">
      <c r="C351" s="124" t="str">
        <f>IF(OR(Fact_Analitica[[#This Row], [Año]]="",Fact_Analitica[[#This Row], [Mes]]=""),"",DATE(A351,MATCH(B351,{"enero","febrero","marzo","abril","mayo","junio","julio","agosto","septiembre","octubre","noviembre","diciembre"},0)+1,0))</f>
        <v/>
      </c>
      <c r="E351" t="str">
        <f>+IFERROR(VLOOKUP(Fact_Analitica[[#This Row], [Concepto Anterior]],Conceptos_Analítica_contraloría[#All],5,0),"")</f>
        <v/>
      </c>
      <c r="F351" t="str">
        <f>+IFERROR(VLOOKUP(Fact_Analitica[[#This Row], 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ht="18.75" customHeight="1" x14ac:dyDescent="0.35">
      <c r="C352" s="124" t="str">
        <f>IF(OR(Fact_Analitica[[#This Row], [Año]]="",Fact_Analitica[[#This Row], [Mes]]=""),"",DATE(A352,MATCH(B352,{"enero","febrero","marzo","abril","mayo","junio","julio","agosto","septiembre","octubre","noviembre","diciembre"},0)+1,0))</f>
        <v/>
      </c>
      <c r="E352" t="str">
        <f>+IFERROR(VLOOKUP(Fact_Analitica[[#This Row], [Concepto Anterior]],Conceptos_Analítica_contraloría[#All],5,0),"")</f>
        <v/>
      </c>
      <c r="F352" t="str">
        <f>+IFERROR(VLOOKUP(Fact_Analitica[[#This Row], 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ht="18.75" customHeight="1" x14ac:dyDescent="0.35">
      <c r="C353" s="124" t="str">
        <f>IF(OR(Fact_Analitica[[#This Row], [Año]]="",Fact_Analitica[[#This Row], [Mes]]=""),"",DATE(A353,MATCH(B353,{"enero","febrero","marzo","abril","mayo","junio","julio","agosto","septiembre","octubre","noviembre","diciembre"},0)+1,0))</f>
        <v/>
      </c>
      <c r="E353" t="str">
        <f>+IFERROR(VLOOKUP(Fact_Analitica[[#This Row], [Concepto Anterior]],Conceptos_Analítica_contraloría[#All],5,0),"")</f>
        <v/>
      </c>
      <c r="F353" t="str">
        <f>+IFERROR(VLOOKUP(Fact_Analitica[[#This Row], 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ht="18.75" customHeight="1" x14ac:dyDescent="0.35">
      <c r="C354" s="124" t="str">
        <f>IF(OR(Fact_Analitica[[#This Row], [Año]]="",Fact_Analitica[[#This Row], [Mes]]=""),"",DATE(A354,MATCH(B354,{"enero","febrero","marzo","abril","mayo","junio","julio","agosto","septiembre","octubre","noviembre","diciembre"},0)+1,0))</f>
        <v/>
      </c>
      <c r="E354" t="str">
        <f>+IFERROR(VLOOKUP(Fact_Analitica[[#This Row], [Concepto Anterior]],Conceptos_Analítica_contraloría[#All],5,0),"")</f>
        <v/>
      </c>
      <c r="F354" t="str">
        <f>+IFERROR(VLOOKUP(Fact_Analitica[[#This Row], 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ht="18.75" customHeight="1" x14ac:dyDescent="0.35">
      <c r="C355" s="124" t="str">
        <f>IF(OR(Fact_Analitica[[#This Row], [Año]]="",Fact_Analitica[[#This Row], [Mes]]=""),"",DATE(A355,MATCH(B355,{"enero","febrero","marzo","abril","mayo","junio","julio","agosto","septiembre","octubre","noviembre","diciembre"},0)+1,0))</f>
        <v/>
      </c>
      <c r="E355" t="str">
        <f>+IFERROR(VLOOKUP(Fact_Analitica[[#This Row], [Concepto Anterior]],Conceptos_Analítica_contraloría[#All],5,0),"")</f>
        <v/>
      </c>
      <c r="F355" t="str">
        <f>+IFERROR(VLOOKUP(Fact_Analitica[[#This Row], 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ht="18.75" customHeight="1" x14ac:dyDescent="0.35">
      <c r="C356" s="124" t="str">
        <f>IF(OR(Fact_Analitica[[#This Row], [Año]]="",Fact_Analitica[[#This Row], [Mes]]=""),"",DATE(A356,MATCH(B356,{"enero","febrero","marzo","abril","mayo","junio","julio","agosto","septiembre","octubre","noviembre","diciembre"},0)+1,0))</f>
        <v/>
      </c>
      <c r="E356" t="str">
        <f>+IFERROR(VLOOKUP(Fact_Analitica[[#This Row], [Concepto Anterior]],Conceptos_Analítica_contraloría[#All],5,0),"")</f>
        <v/>
      </c>
      <c r="F356" t="str">
        <f>+IFERROR(VLOOKUP(Fact_Analitica[[#This Row], 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ht="18.75" customHeight="1" x14ac:dyDescent="0.35">
      <c r="C357" s="124" t="str">
        <f>IF(OR(Fact_Analitica[[#This Row], [Año]]="",Fact_Analitica[[#This Row], [Mes]]=""),"",DATE(A357,MATCH(B357,{"enero","febrero","marzo","abril","mayo","junio","julio","agosto","septiembre","octubre","noviembre","diciembre"},0)+1,0))</f>
        <v/>
      </c>
      <c r="E357" t="str">
        <f>+IFERROR(VLOOKUP(Fact_Analitica[[#This Row], [Concepto Anterior]],Conceptos_Analítica_contraloría[#All],5,0),"")</f>
        <v/>
      </c>
      <c r="F357" t="str">
        <f>+IFERROR(VLOOKUP(Fact_Analitica[[#This Row], 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ht="18.75" customHeight="1" x14ac:dyDescent="0.35">
      <c r="C358" s="124" t="str">
        <f>IF(OR(Fact_Analitica[[#This Row], [Año]]="",Fact_Analitica[[#This Row], [Mes]]=""),"",DATE(A358,MATCH(B358,{"enero","febrero","marzo","abril","mayo","junio","julio","agosto","septiembre","octubre","noviembre","diciembre"},0)+1,0))</f>
        <v/>
      </c>
      <c r="E358" t="str">
        <f>+IFERROR(VLOOKUP(Fact_Analitica[[#This Row], [Concepto Anterior]],Conceptos_Analítica_contraloría[#All],5,0),"")</f>
        <v/>
      </c>
      <c r="F358" t="str">
        <f>+IFERROR(VLOOKUP(Fact_Analitica[[#This Row], 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ht="18.75" customHeight="1" x14ac:dyDescent="0.35">
      <c r="C359" s="124" t="str">
        <f>IF(OR(Fact_Analitica[[#This Row], [Año]]="",Fact_Analitica[[#This Row], [Mes]]=""),"",DATE(A359,MATCH(B359,{"enero","febrero","marzo","abril","mayo","junio","julio","agosto","septiembre","octubre","noviembre","diciembre"},0)+1,0))</f>
        <v/>
      </c>
      <c r="E359" t="str">
        <f>+IFERROR(VLOOKUP(Fact_Analitica[[#This Row], [Concepto Anterior]],Conceptos_Analítica_contraloría[#All],5,0),"")</f>
        <v/>
      </c>
      <c r="F359" t="str">
        <f>+IFERROR(VLOOKUP(Fact_Analitica[[#This Row], 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ht="18.75" customHeight="1" x14ac:dyDescent="0.35">
      <c r="C360" s="124" t="str">
        <f>IF(OR(Fact_Analitica[[#This Row], [Año]]="",Fact_Analitica[[#This Row], [Mes]]=""),"",DATE(A360,MATCH(B360,{"enero","febrero","marzo","abril","mayo","junio","julio","agosto","septiembre","octubre","noviembre","diciembre"},0)+1,0))</f>
        <v/>
      </c>
      <c r="E360" t="str">
        <f>+IFERROR(VLOOKUP(Fact_Analitica[[#This Row], [Concepto Anterior]],Conceptos_Analítica_contraloría[#All],5,0),"")</f>
        <v/>
      </c>
      <c r="F360" t="str">
        <f>+IFERROR(VLOOKUP(Fact_Analitica[[#This Row], 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ht="18.75" customHeight="1" x14ac:dyDescent="0.35">
      <c r="C361" s="124" t="str">
        <f>IF(OR(Fact_Analitica[[#This Row], [Año]]="",Fact_Analitica[[#This Row], [Mes]]=""),"",DATE(A361,MATCH(B361,{"enero","febrero","marzo","abril","mayo","junio","julio","agosto","septiembre","octubre","noviembre","diciembre"},0)+1,0))</f>
        <v/>
      </c>
      <c r="E361" t="str">
        <f>+IFERROR(VLOOKUP(Fact_Analitica[[#This Row], [Concepto Anterior]],Conceptos_Analítica_contraloría[#All],5,0),"")</f>
        <v/>
      </c>
      <c r="F361" t="str">
        <f>+IFERROR(VLOOKUP(Fact_Analitica[[#This Row], 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ht="18.75" customHeight="1" x14ac:dyDescent="0.35">
      <c r="C362" s="124" t="str">
        <f>IF(OR(Fact_Analitica[[#This Row], [Año]]="",Fact_Analitica[[#This Row], [Mes]]=""),"",DATE(A362,MATCH(B362,{"enero","febrero","marzo","abril","mayo","junio","julio","agosto","septiembre","octubre","noviembre","diciembre"},0)+1,0))</f>
        <v/>
      </c>
      <c r="E362" t="str">
        <f>+IFERROR(VLOOKUP(Fact_Analitica[[#This Row], [Concepto Anterior]],Conceptos_Analítica_contraloría[#All],5,0),"")</f>
        <v/>
      </c>
      <c r="F362" t="str">
        <f>+IFERROR(VLOOKUP(Fact_Analitica[[#This Row], 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ht="18.75" customHeight="1" x14ac:dyDescent="0.35">
      <c r="C363" s="124" t="str">
        <f>IF(OR(Fact_Analitica[[#This Row], [Año]]="",Fact_Analitica[[#This Row], [Mes]]=""),"",DATE(A363,MATCH(B363,{"enero","febrero","marzo","abril","mayo","junio","julio","agosto","septiembre","octubre","noviembre","diciembre"},0)+1,0))</f>
        <v/>
      </c>
      <c r="E363" t="str">
        <f>+IFERROR(VLOOKUP(Fact_Analitica[[#This Row], [Concepto Anterior]],Conceptos_Analítica_contraloría[#All],5,0),"")</f>
        <v/>
      </c>
      <c r="F363" t="str">
        <f>+IFERROR(VLOOKUP(Fact_Analitica[[#This Row], 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ht="18.75" customHeight="1" x14ac:dyDescent="0.35">
      <c r="C364" s="124" t="str">
        <f>IF(OR(Fact_Analitica[[#This Row], [Año]]="",Fact_Analitica[[#This Row], [Mes]]=""),"",DATE(A364,MATCH(B364,{"enero","febrero","marzo","abril","mayo","junio","julio","agosto","septiembre","octubre","noviembre","diciembre"},0)+1,0))</f>
        <v/>
      </c>
      <c r="E364" t="str">
        <f>+IFERROR(VLOOKUP(Fact_Analitica[[#This Row], [Concepto Anterior]],Conceptos_Analítica_contraloría[#All],5,0),"")</f>
        <v/>
      </c>
      <c r="F364" t="str">
        <f>+IFERROR(VLOOKUP(Fact_Analitica[[#This Row], 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ht="18.75" customHeight="1" x14ac:dyDescent="0.35">
      <c r="C365" s="124" t="str">
        <f>IF(OR(Fact_Analitica[[#This Row], [Año]]="",Fact_Analitica[[#This Row], [Mes]]=""),"",DATE(A365,MATCH(B365,{"enero","febrero","marzo","abril","mayo","junio","julio","agosto","septiembre","octubre","noviembre","diciembre"},0)+1,0))</f>
        <v/>
      </c>
      <c r="E365" t="str">
        <f>+IFERROR(VLOOKUP(Fact_Analitica[[#This Row], [Concepto Anterior]],Conceptos_Analítica_contraloría[#All],5,0),"")</f>
        <v/>
      </c>
      <c r="F365" t="str">
        <f>+IFERROR(VLOOKUP(Fact_Analitica[[#This Row], 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ht="18.75" customHeight="1" x14ac:dyDescent="0.35">
      <c r="C366" s="124" t="str">
        <f>IF(OR(Fact_Analitica[[#This Row], [Año]]="",Fact_Analitica[[#This Row], [Mes]]=""),"",DATE(A366,MATCH(B366,{"enero","febrero","marzo","abril","mayo","junio","julio","agosto","septiembre","octubre","noviembre","diciembre"},0)+1,0))</f>
        <v/>
      </c>
      <c r="E366" t="str">
        <f>+IFERROR(VLOOKUP(Fact_Analitica[[#This Row], [Concepto Anterior]],Conceptos_Analítica_contraloría[#All],5,0),"")</f>
        <v/>
      </c>
      <c r="F366" t="str">
        <f>+IFERROR(VLOOKUP(Fact_Analitica[[#This Row], 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ht="18.75" customHeight="1" x14ac:dyDescent="0.35">
      <c r="C367" s="124" t="str">
        <f>IF(OR(Fact_Analitica[[#This Row], [Año]]="",Fact_Analitica[[#This Row], [Mes]]=""),"",DATE(A367,MATCH(B367,{"enero","febrero","marzo","abril","mayo","junio","julio","agosto","septiembre","octubre","noviembre","diciembre"},0)+1,0))</f>
        <v/>
      </c>
      <c r="E367" t="str">
        <f>+IFERROR(VLOOKUP(Fact_Analitica[[#This Row], [Concepto Anterior]],Conceptos_Analítica_contraloría[#All],5,0),"")</f>
        <v/>
      </c>
      <c r="F367" t="str">
        <f>+IFERROR(VLOOKUP(Fact_Analitica[[#This Row], 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ht="18.75" customHeight="1" x14ac:dyDescent="0.35">
      <c r="C368" s="124" t="str">
        <f>IF(OR(Fact_Analitica[[#This Row], [Año]]="",Fact_Analitica[[#This Row], [Mes]]=""),"",DATE(A368,MATCH(B368,{"enero","febrero","marzo","abril","mayo","junio","julio","agosto","septiembre","octubre","noviembre","diciembre"},0)+1,0))</f>
        <v/>
      </c>
      <c r="E368" t="str">
        <f>+IFERROR(VLOOKUP(Fact_Analitica[[#This Row], [Concepto Anterior]],Conceptos_Analítica_contraloría[#All],5,0),"")</f>
        <v/>
      </c>
      <c r="F368" t="str">
        <f>+IFERROR(VLOOKUP(Fact_Analitica[[#This Row], 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ht="18.75" customHeight="1" x14ac:dyDescent="0.35">
      <c r="C369" s="124" t="str">
        <f>IF(OR(Fact_Analitica[[#This Row], [Año]]="",Fact_Analitica[[#This Row], [Mes]]=""),"",DATE(A369,MATCH(B369,{"enero","febrero","marzo","abril","mayo","junio","julio","agosto","septiembre","octubre","noviembre","diciembre"},0)+1,0))</f>
        <v/>
      </c>
      <c r="E369" t="str">
        <f>+IFERROR(VLOOKUP(Fact_Analitica[[#This Row], [Concepto Anterior]],Conceptos_Analítica_contraloría[#All],5,0),"")</f>
        <v/>
      </c>
      <c r="F369" t="str">
        <f>+IFERROR(VLOOKUP(Fact_Analitica[[#This Row], 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ht="18.75" customHeight="1" x14ac:dyDescent="0.35">
      <c r="C370" s="124" t="str">
        <f>IF(OR(Fact_Analitica[[#This Row], [Año]]="",Fact_Analitica[[#This Row], [Mes]]=""),"",DATE(A370,MATCH(B370,{"enero","febrero","marzo","abril","mayo","junio","julio","agosto","septiembre","octubre","noviembre","diciembre"},0)+1,0))</f>
        <v/>
      </c>
      <c r="E370" t="str">
        <f>+IFERROR(VLOOKUP(Fact_Analitica[[#This Row], [Concepto Anterior]],Conceptos_Analítica_contraloría[#All],5,0),"")</f>
        <v/>
      </c>
      <c r="F370" t="str">
        <f>+IFERROR(VLOOKUP(Fact_Analitica[[#This Row], 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ht="18.75" customHeight="1" x14ac:dyDescent="0.35">
      <c r="C371" s="124" t="str">
        <f>IF(OR(Fact_Analitica[[#This Row], [Año]]="",Fact_Analitica[[#This Row], [Mes]]=""),"",DATE(A371,MATCH(B371,{"enero","febrero","marzo","abril","mayo","junio","julio","agosto","septiembre","octubre","noviembre","diciembre"},0)+1,0))</f>
        <v/>
      </c>
      <c r="E371" t="str">
        <f>+IFERROR(VLOOKUP(Fact_Analitica[[#This Row], [Concepto Anterior]],Conceptos_Analítica_contraloría[#All],5,0),"")</f>
        <v/>
      </c>
      <c r="F371" t="str">
        <f>+IFERROR(VLOOKUP(Fact_Analitica[[#This Row], 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ht="18.75" customHeight="1" x14ac:dyDescent="0.35">
      <c r="C372" s="124" t="str">
        <f>IF(OR(Fact_Analitica[[#This Row], [Año]]="",Fact_Analitica[[#This Row], [Mes]]=""),"",DATE(A372,MATCH(B372,{"enero","febrero","marzo","abril","mayo","junio","julio","agosto","septiembre","octubre","noviembre","diciembre"},0)+1,0))</f>
        <v/>
      </c>
      <c r="E372" t="str">
        <f>+IFERROR(VLOOKUP(Fact_Analitica[[#This Row], [Concepto Anterior]],Conceptos_Analítica_contraloría[#All],5,0),"")</f>
        <v/>
      </c>
      <c r="F372" t="str">
        <f>+IFERROR(VLOOKUP(Fact_Analitica[[#This Row], 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ht="18.75" customHeight="1" x14ac:dyDescent="0.35">
      <c r="C373" s="124" t="str">
        <f>IF(OR(Fact_Analitica[[#This Row], [Año]]="",Fact_Analitica[[#This Row], [Mes]]=""),"",DATE(A373,MATCH(B373,{"enero","febrero","marzo","abril","mayo","junio","julio","agosto","septiembre","octubre","noviembre","diciembre"},0)+1,0))</f>
        <v/>
      </c>
      <c r="E373" t="str">
        <f>+IFERROR(VLOOKUP(Fact_Analitica[[#This Row], [Concepto Anterior]],Conceptos_Analítica_contraloría[#All],5,0),"")</f>
        <v/>
      </c>
      <c r="F373" t="str">
        <f>+IFERROR(VLOOKUP(Fact_Analitica[[#This Row], 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ht="18.75" customHeight="1" x14ac:dyDescent="0.35">
      <c r="C374" s="124" t="str">
        <f>IF(OR(Fact_Analitica[[#This Row], [Año]]="",Fact_Analitica[[#This Row], [Mes]]=""),"",DATE(A374,MATCH(B374,{"enero","febrero","marzo","abril","mayo","junio","julio","agosto","septiembre","octubre","noviembre","diciembre"},0)+1,0))</f>
        <v/>
      </c>
      <c r="E374" t="str">
        <f>+IFERROR(VLOOKUP(Fact_Analitica[[#This Row], [Concepto Anterior]],Conceptos_Analítica_contraloría[#All],5,0),"")</f>
        <v/>
      </c>
      <c r="F374" t="str">
        <f>+IFERROR(VLOOKUP(Fact_Analitica[[#This Row], 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ht="18.75" customHeight="1" x14ac:dyDescent="0.35">
      <c r="C375" s="124" t="str">
        <f>IF(OR(Fact_Analitica[[#This Row], [Año]]="",Fact_Analitica[[#This Row], [Mes]]=""),"",DATE(A375,MATCH(B375,{"enero","febrero","marzo","abril","mayo","junio","julio","agosto","septiembre","octubre","noviembre","diciembre"},0)+1,0))</f>
        <v/>
      </c>
      <c r="E375" t="str">
        <f>+IFERROR(VLOOKUP(Fact_Analitica[[#This Row], [Concepto Anterior]],Conceptos_Analítica_contraloría[#All],5,0),"")</f>
        <v/>
      </c>
      <c r="F375" t="str">
        <f>+IFERROR(VLOOKUP(Fact_Analitica[[#This Row], 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ht="18.75" customHeight="1" x14ac:dyDescent="0.35">
      <c r="C376" s="124" t="str">
        <f>IF(OR(Fact_Analitica[[#This Row], [Año]]="",Fact_Analitica[[#This Row], [Mes]]=""),"",DATE(A376,MATCH(B376,{"enero","febrero","marzo","abril","mayo","junio","julio","agosto","septiembre","octubre","noviembre","diciembre"},0)+1,0))</f>
        <v/>
      </c>
      <c r="E376" t="str">
        <f>+IFERROR(VLOOKUP(Fact_Analitica[[#This Row], [Concepto Anterior]],Conceptos_Analítica_contraloría[#All],5,0),"")</f>
        <v/>
      </c>
      <c r="F376" t="str">
        <f>+IFERROR(VLOOKUP(Fact_Analitica[[#This Row], 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ht="18.75" customHeight="1" x14ac:dyDescent="0.35">
      <c r="C377" s="124" t="str">
        <f>IF(OR(Fact_Analitica[[#This Row], [Año]]="",Fact_Analitica[[#This Row], [Mes]]=""),"",DATE(A377,MATCH(B377,{"enero","febrero","marzo","abril","mayo","junio","julio","agosto","septiembre","octubre","noviembre","diciembre"},0)+1,0))</f>
        <v/>
      </c>
      <c r="E377" t="str">
        <f>+IFERROR(VLOOKUP(Fact_Analitica[[#This Row], [Concepto Anterior]],Conceptos_Analítica_contraloría[#All],5,0),"")</f>
        <v/>
      </c>
      <c r="F377" t="str">
        <f>+IFERROR(VLOOKUP(Fact_Analitica[[#This Row], 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ht="18.75" customHeight="1" x14ac:dyDescent="0.35">
      <c r="C378" s="124" t="str">
        <f>IF(OR(Fact_Analitica[[#This Row], [Año]]="",Fact_Analitica[[#This Row], [Mes]]=""),"",DATE(A378,MATCH(B378,{"enero","febrero","marzo","abril","mayo","junio","julio","agosto","septiembre","octubre","noviembre","diciembre"},0)+1,0))</f>
        <v/>
      </c>
      <c r="E378" t="str">
        <f>+IFERROR(VLOOKUP(Fact_Analitica[[#This Row], [Concepto Anterior]],Conceptos_Analítica_contraloría[#All],5,0),"")</f>
        <v/>
      </c>
      <c r="F378" t="str">
        <f>+IFERROR(VLOOKUP(Fact_Analitica[[#This Row], 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ht="18.75" customHeight="1" x14ac:dyDescent="0.35">
      <c r="C379" s="124" t="str">
        <f>IF(OR(Fact_Analitica[[#This Row], [Año]]="",Fact_Analitica[[#This Row], [Mes]]=""),"",DATE(A379,MATCH(B379,{"enero","febrero","marzo","abril","mayo","junio","julio","agosto","septiembre","octubre","noviembre","diciembre"},0)+1,0))</f>
        <v/>
      </c>
      <c r="E379" t="str">
        <f>+IFERROR(VLOOKUP(Fact_Analitica[[#This Row], [Concepto Anterior]],Conceptos_Analítica_contraloría[#All],5,0),"")</f>
        <v/>
      </c>
      <c r="F379" t="str">
        <f>+IFERROR(VLOOKUP(Fact_Analitica[[#This Row], 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ht="18.75" customHeight="1" x14ac:dyDescent="0.35">
      <c r="C380" s="124" t="str">
        <f>IF(OR(Fact_Analitica[[#This Row], [Año]]="",Fact_Analitica[[#This Row], [Mes]]=""),"",DATE(A380,MATCH(B380,{"enero","febrero","marzo","abril","mayo","junio","julio","agosto","septiembre","octubre","noviembre","diciembre"},0)+1,0))</f>
        <v/>
      </c>
      <c r="E380" t="str">
        <f>+IFERROR(VLOOKUP(Fact_Analitica[[#This Row], [Concepto Anterior]],Conceptos_Analítica_contraloría[#All],5,0),"")</f>
        <v/>
      </c>
      <c r="F380" t="str">
        <f>+IFERROR(VLOOKUP(Fact_Analitica[[#This Row], 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ht="18.75" customHeight="1" x14ac:dyDescent="0.35">
      <c r="C381" s="124" t="str">
        <f>IF(OR(Fact_Analitica[[#This Row], [Año]]="",Fact_Analitica[[#This Row], [Mes]]=""),"",DATE(A381,MATCH(B381,{"enero","febrero","marzo","abril","mayo","junio","julio","agosto","septiembre","octubre","noviembre","diciembre"},0)+1,0))</f>
        <v/>
      </c>
      <c r="E381" t="str">
        <f>+IFERROR(VLOOKUP(Fact_Analitica[[#This Row], [Concepto Anterior]],Conceptos_Analítica_contraloría[#All],5,0),"")</f>
        <v/>
      </c>
      <c r="F381" t="str">
        <f>+IFERROR(VLOOKUP(Fact_Analitica[[#This Row], 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ht="18.75" customHeight="1" x14ac:dyDescent="0.35">
      <c r="C382" s="124" t="str">
        <f>IF(OR(Fact_Analitica[[#This Row], [Año]]="",Fact_Analitica[[#This Row], [Mes]]=""),"",DATE(A382,MATCH(B382,{"enero","febrero","marzo","abril","mayo","junio","julio","agosto","septiembre","octubre","noviembre","diciembre"},0)+1,0))</f>
        <v/>
      </c>
      <c r="E382" t="str">
        <f>+IFERROR(VLOOKUP(Fact_Analitica[[#This Row], [Concepto Anterior]],Conceptos_Analítica_contraloría[#All],5,0),"")</f>
        <v/>
      </c>
      <c r="F382" t="str">
        <f>+IFERROR(VLOOKUP(Fact_Analitica[[#This Row], 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ht="18.75" customHeight="1" x14ac:dyDescent="0.35">
      <c r="C383" s="124" t="str">
        <f>IF(OR(Fact_Analitica[[#This Row], [Año]]="",Fact_Analitica[[#This Row], [Mes]]=""),"",DATE(A383,MATCH(B383,{"enero","febrero","marzo","abril","mayo","junio","julio","agosto","septiembre","octubre","noviembre","diciembre"},0)+1,0))</f>
        <v/>
      </c>
      <c r="E383" t="str">
        <f>+IFERROR(VLOOKUP(Fact_Analitica[[#This Row], [Concepto Anterior]],Conceptos_Analítica_contraloría[#All],5,0),"")</f>
        <v/>
      </c>
      <c r="F383" t="str">
        <f>+IFERROR(VLOOKUP(Fact_Analitica[[#This Row], 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ht="18.75" customHeight="1" x14ac:dyDescent="0.35">
      <c r="C384" s="124" t="str">
        <f>IF(OR(Fact_Analitica[[#This Row], [Año]]="",Fact_Analitica[[#This Row], [Mes]]=""),"",DATE(A384,MATCH(B384,{"enero","febrero","marzo","abril","mayo","junio","julio","agosto","septiembre","octubre","noviembre","diciembre"},0)+1,0))</f>
        <v/>
      </c>
      <c r="E384" t="str">
        <f>+IFERROR(VLOOKUP(Fact_Analitica[[#This Row], [Concepto Anterior]],Conceptos_Analítica_contraloría[#All],5,0),"")</f>
        <v/>
      </c>
      <c r="F384" t="str">
        <f>+IFERROR(VLOOKUP(Fact_Analitica[[#This Row], 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ht="18.75" customHeight="1" x14ac:dyDescent="0.35">
      <c r="C385" s="124" t="str">
        <f>IF(OR(Fact_Analitica[[#This Row], [Año]]="",Fact_Analitica[[#This Row], [Mes]]=""),"",DATE(A385,MATCH(B385,{"enero","febrero","marzo","abril","mayo","junio","julio","agosto","septiembre","octubre","noviembre","diciembre"},0)+1,0))</f>
        <v/>
      </c>
      <c r="E385" t="str">
        <f>+IFERROR(VLOOKUP(Fact_Analitica[[#This Row], [Concepto Anterior]],Conceptos_Analítica_contraloría[#All],5,0),"")</f>
        <v/>
      </c>
      <c r="F385" t="str">
        <f>+IFERROR(VLOOKUP(Fact_Analitica[[#This Row], 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ht="18.75" customHeight="1" x14ac:dyDescent="0.35">
      <c r="C386" s="124" t="str">
        <f>IF(OR(Fact_Analitica[[#This Row], [Año]]="",Fact_Analitica[[#This Row], [Mes]]=""),"",DATE(A386,MATCH(B386,{"enero","febrero","marzo","abril","mayo","junio","julio","agosto","septiembre","octubre","noviembre","diciembre"},0)+1,0))</f>
        <v/>
      </c>
      <c r="E386" t="str">
        <f>+IFERROR(VLOOKUP(Fact_Analitica[[#This Row], [Concepto Anterior]],Conceptos_Analítica_contraloría[#All],5,0),"")</f>
        <v/>
      </c>
      <c r="F386" t="str">
        <f>+IFERROR(VLOOKUP(Fact_Analitica[[#This Row], 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ht="18.75" customHeight="1" x14ac:dyDescent="0.35">
      <c r="C387" s="124" t="str">
        <f>IF(OR(Fact_Analitica[[#This Row], [Año]]="",Fact_Analitica[[#This Row], [Mes]]=""),"",DATE(A387,MATCH(B387,{"enero","febrero","marzo","abril","mayo","junio","julio","agosto","septiembre","octubre","noviembre","diciembre"},0)+1,0))</f>
        <v/>
      </c>
      <c r="E387" t="str">
        <f>+IFERROR(VLOOKUP(Fact_Analitica[[#This Row], [Concepto Anterior]],Conceptos_Analítica_contraloría[#All],5,0),"")</f>
        <v/>
      </c>
      <c r="F387" t="str">
        <f>+IFERROR(VLOOKUP(Fact_Analitica[[#This Row], 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ht="18.75" customHeight="1" x14ac:dyDescent="0.35">
      <c r="C388" s="124" t="str">
        <f>IF(OR(Fact_Analitica[[#This Row], [Año]]="",Fact_Analitica[[#This Row], [Mes]]=""),"",DATE(A388,MATCH(B388,{"enero","febrero","marzo","abril","mayo","junio","julio","agosto","septiembre","octubre","noviembre","diciembre"},0)+1,0))</f>
        <v/>
      </c>
      <c r="E388" t="str">
        <f>+IFERROR(VLOOKUP(Fact_Analitica[[#This Row], [Concepto Anterior]],Conceptos_Analítica_contraloría[#All],5,0),"")</f>
        <v/>
      </c>
      <c r="F388" t="str">
        <f>+IFERROR(VLOOKUP(Fact_Analitica[[#This Row], 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ht="18.75" customHeight="1" x14ac:dyDescent="0.35">
      <c r="C389" s="124" t="str">
        <f>IF(OR(Fact_Analitica[[#This Row], [Año]]="",Fact_Analitica[[#This Row], [Mes]]=""),"",DATE(A389,MATCH(B389,{"enero","febrero","marzo","abril","mayo","junio","julio","agosto","septiembre","octubre","noviembre","diciembre"},0)+1,0))</f>
        <v/>
      </c>
      <c r="E389" t="str">
        <f>+IFERROR(VLOOKUP(Fact_Analitica[[#This Row], [Concepto Anterior]],Conceptos_Analítica_contraloría[#All],5,0),"")</f>
        <v/>
      </c>
      <c r="F389" t="str">
        <f>+IFERROR(VLOOKUP(Fact_Analitica[[#This Row], 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ht="18.75" customHeight="1" x14ac:dyDescent="0.35">
      <c r="C390" s="124" t="str">
        <f>IF(OR(Fact_Analitica[[#This Row], [Año]]="",Fact_Analitica[[#This Row], [Mes]]=""),"",DATE(A390,MATCH(B390,{"enero","febrero","marzo","abril","mayo","junio","julio","agosto","septiembre","octubre","noviembre","diciembre"},0)+1,0))</f>
        <v/>
      </c>
      <c r="E390" t="str">
        <f>+IFERROR(VLOOKUP(Fact_Analitica[[#This Row], [Concepto Anterior]],Conceptos_Analítica_contraloría[#All],5,0),"")</f>
        <v/>
      </c>
      <c r="F390" t="str">
        <f>+IFERROR(VLOOKUP(Fact_Analitica[[#This Row], 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ht="18.75" customHeight="1" x14ac:dyDescent="0.35">
      <c r="C391" s="124" t="str">
        <f>IF(OR(Fact_Analitica[[#This Row], [Año]]="",Fact_Analitica[[#This Row], [Mes]]=""),"",DATE(A391,MATCH(B391,{"enero","febrero","marzo","abril","mayo","junio","julio","agosto","septiembre","octubre","noviembre","diciembre"},0)+1,0))</f>
        <v/>
      </c>
      <c r="E391" t="str">
        <f>+IFERROR(VLOOKUP(Fact_Analitica[[#This Row], [Concepto Anterior]],Conceptos_Analítica_contraloría[#All],5,0),"")</f>
        <v/>
      </c>
      <c r="F391" t="str">
        <f>+IFERROR(VLOOKUP(Fact_Analitica[[#This Row], 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ht="18.75" customHeight="1" x14ac:dyDescent="0.35">
      <c r="C392" s="124" t="str">
        <f>IF(OR(Fact_Analitica[[#This Row], [Año]]="",Fact_Analitica[[#This Row], [Mes]]=""),"",DATE(A392,MATCH(B392,{"enero","febrero","marzo","abril","mayo","junio","julio","agosto","septiembre","octubre","noviembre","diciembre"},0)+1,0))</f>
        <v/>
      </c>
      <c r="E392" t="str">
        <f>+IFERROR(VLOOKUP(Fact_Analitica[[#This Row], [Concepto Anterior]],Conceptos_Analítica_contraloría[#All],5,0),"")</f>
        <v/>
      </c>
      <c r="F392" t="str">
        <f>+IFERROR(VLOOKUP(Fact_Analitica[[#This Row], 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ht="18.75" customHeight="1" x14ac:dyDescent="0.35">
      <c r="C393" s="124" t="str">
        <f>IF(OR(Fact_Analitica[[#This Row], [Año]]="",Fact_Analitica[[#This Row], [Mes]]=""),"",DATE(A393,MATCH(B393,{"enero","febrero","marzo","abril","mayo","junio","julio","agosto","septiembre","octubre","noviembre","diciembre"},0)+1,0))</f>
        <v/>
      </c>
      <c r="E393" t="str">
        <f>+IFERROR(VLOOKUP(Fact_Analitica[[#This Row], [Concepto Anterior]],Conceptos_Analítica_contraloría[#All],5,0),"")</f>
        <v/>
      </c>
      <c r="F393" t="str">
        <f>+IFERROR(VLOOKUP(Fact_Analitica[[#This Row], 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ht="18.75" customHeight="1" x14ac:dyDescent="0.35">
      <c r="C394" s="124" t="str">
        <f>IF(OR(Fact_Analitica[[#This Row], [Año]]="",Fact_Analitica[[#This Row], [Mes]]=""),"",DATE(A394,MATCH(B394,{"enero","febrero","marzo","abril","mayo","junio","julio","agosto","septiembre","octubre","noviembre","diciembre"},0)+1,0))</f>
        <v/>
      </c>
      <c r="E394" t="str">
        <f>+IFERROR(VLOOKUP(Fact_Analitica[[#This Row], [Concepto Anterior]],Conceptos_Analítica_contraloría[#All],5,0),"")</f>
        <v/>
      </c>
      <c r="F394" t="str">
        <f>+IFERROR(VLOOKUP(Fact_Analitica[[#This Row], 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ht="18.75" customHeight="1" x14ac:dyDescent="0.35">
      <c r="C395" s="124" t="str">
        <f>IF(OR(Fact_Analitica[[#This Row], [Año]]="",Fact_Analitica[[#This Row], [Mes]]=""),"",DATE(A395,MATCH(B395,{"enero","febrero","marzo","abril","mayo","junio","julio","agosto","septiembre","octubre","noviembre","diciembre"},0)+1,0))</f>
        <v/>
      </c>
      <c r="E395" t="str">
        <f>+IFERROR(VLOOKUP(Fact_Analitica[[#This Row], [Concepto Anterior]],Conceptos_Analítica_contraloría[#All],5,0),"")</f>
        <v/>
      </c>
      <c r="F395" t="str">
        <f>+IFERROR(VLOOKUP(Fact_Analitica[[#This Row], 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ht="18.75" customHeight="1" x14ac:dyDescent="0.35">
      <c r="C396" s="124" t="str">
        <f>IF(OR(Fact_Analitica[[#This Row], [Año]]="",Fact_Analitica[[#This Row], [Mes]]=""),"",DATE(A396,MATCH(B396,{"enero","febrero","marzo","abril","mayo","junio","julio","agosto","septiembre","octubre","noviembre","diciembre"},0)+1,0))</f>
        <v/>
      </c>
      <c r="E396" t="str">
        <f>+IFERROR(VLOOKUP(Fact_Analitica[[#This Row], [Concepto Anterior]],Conceptos_Analítica_contraloría[#All],5,0),"")</f>
        <v/>
      </c>
      <c r="F396" t="str">
        <f>+IFERROR(VLOOKUP(Fact_Analitica[[#This Row], 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ht="18.75" customHeight="1" x14ac:dyDescent="0.35">
      <c r="C397" s="124" t="str">
        <f>IF(OR(Fact_Analitica[[#This Row], [Año]]="",Fact_Analitica[[#This Row], [Mes]]=""),"",DATE(A397,MATCH(B397,{"enero","febrero","marzo","abril","mayo","junio","julio","agosto","septiembre","octubre","noviembre","diciembre"},0)+1,0))</f>
        <v/>
      </c>
      <c r="E397" t="str">
        <f>+IFERROR(VLOOKUP(Fact_Analitica[[#This Row], [Concepto Anterior]],Conceptos_Analítica_contraloría[#All],5,0),"")</f>
        <v/>
      </c>
      <c r="F397" t="str">
        <f>+IFERROR(VLOOKUP(Fact_Analitica[[#This Row], 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ht="18.75" customHeight="1" x14ac:dyDescent="0.35">
      <c r="C398" s="124" t="str">
        <f>IF(OR(Fact_Analitica[[#This Row], [Año]]="",Fact_Analitica[[#This Row], [Mes]]=""),"",DATE(A398,MATCH(B398,{"enero","febrero","marzo","abril","mayo","junio","julio","agosto","septiembre","octubre","noviembre","diciembre"},0)+1,0))</f>
        <v/>
      </c>
      <c r="E398" t="str">
        <f>+IFERROR(VLOOKUP(Fact_Analitica[[#This Row], [Concepto Anterior]],Conceptos_Analítica_contraloría[#All],5,0),"")</f>
        <v/>
      </c>
      <c r="F398" t="str">
        <f>+IFERROR(VLOOKUP(Fact_Analitica[[#This Row], 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ht="18.75" customHeight="1" x14ac:dyDescent="0.35">
      <c r="C399" s="124" t="str">
        <f>IF(OR(Fact_Analitica[[#This Row], [Año]]="",Fact_Analitica[[#This Row], [Mes]]=""),"",DATE(A399,MATCH(B399,{"enero","febrero","marzo","abril","mayo","junio","julio","agosto","septiembre","octubre","noviembre","diciembre"},0)+1,0))</f>
        <v/>
      </c>
      <c r="E399" t="str">
        <f>+IFERROR(VLOOKUP(Fact_Analitica[[#This Row], [Concepto Anterior]],Conceptos_Analítica_contraloría[#All],5,0),"")</f>
        <v/>
      </c>
      <c r="F399" t="str">
        <f>+IFERROR(VLOOKUP(Fact_Analitica[[#This Row], 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ht="18.75" customHeight="1" x14ac:dyDescent="0.35">
      <c r="C400" s="124" t="str">
        <f>IF(OR(Fact_Analitica[[#This Row], [Año]]="",Fact_Analitica[[#This Row], [Mes]]=""),"",DATE(A400,MATCH(B400,{"enero","febrero","marzo","abril","mayo","junio","julio","agosto","septiembre","octubre","noviembre","diciembre"},0)+1,0))</f>
        <v/>
      </c>
      <c r="E400" t="str">
        <f>+IFERROR(VLOOKUP(Fact_Analitica[[#This Row], [Concepto Anterior]],Conceptos_Analítica_contraloría[#All],5,0),"")</f>
        <v/>
      </c>
      <c r="F400" t="str">
        <f>+IFERROR(VLOOKUP(Fact_Analitica[[#This Row], 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ht="18.75" customHeight="1" x14ac:dyDescent="0.35">
      <c r="C401" s="124" t="str">
        <f>IF(OR(Fact_Analitica[[#This Row], [Año]]="",Fact_Analitica[[#This Row], [Mes]]=""),"",DATE(A401,MATCH(B401,{"enero","febrero","marzo","abril","mayo","junio","julio","agosto","septiembre","octubre","noviembre","diciembre"},0)+1,0))</f>
        <v/>
      </c>
      <c r="E401" t="str">
        <f>+IFERROR(VLOOKUP(Fact_Analitica[[#This Row], [Concepto Anterior]],Conceptos_Analítica_contraloría[#All],5,0),"")</f>
        <v/>
      </c>
      <c r="F401" t="str">
        <f>+IFERROR(VLOOKUP(Fact_Analitica[[#This Row], 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ht="18.75" customHeight="1" x14ac:dyDescent="0.35">
      <c r="C402" s="124" t="str">
        <f>IF(OR(Fact_Analitica[[#This Row], [Año]]="",Fact_Analitica[[#This Row], [Mes]]=""),"",DATE(A402,MATCH(B402,{"enero","febrero","marzo","abril","mayo","junio","julio","agosto","septiembre","octubre","noviembre","diciembre"},0)+1,0))</f>
        <v/>
      </c>
      <c r="E402" t="str">
        <f>+IFERROR(VLOOKUP(Fact_Analitica[[#This Row], [Concepto Anterior]],Conceptos_Analítica_contraloría[#All],5,0),"")</f>
        <v/>
      </c>
      <c r="F402" t="str">
        <f>+IFERROR(VLOOKUP(Fact_Analitica[[#This Row], 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ht="18.75" customHeight="1" x14ac:dyDescent="0.35">
      <c r="C403" s="124" t="str">
        <f>IF(OR(Fact_Analitica[[#This Row], [Año]]="",Fact_Analitica[[#This Row], [Mes]]=""),"",DATE(A403,MATCH(B403,{"enero","febrero","marzo","abril","mayo","junio","julio","agosto","septiembre","octubre","noviembre","diciembre"},0)+1,0))</f>
        <v/>
      </c>
      <c r="E403" t="str">
        <f>+IFERROR(VLOOKUP(Fact_Analitica[[#This Row], [Concepto Anterior]],Conceptos_Analítica_contraloría[#All],5,0),"")</f>
        <v/>
      </c>
      <c r="F403" t="str">
        <f>+IFERROR(VLOOKUP(Fact_Analitica[[#This Row], 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ht="18.75" customHeight="1" x14ac:dyDescent="0.35">
      <c r="C404" s="124" t="str">
        <f>IF(OR(Fact_Analitica[[#This Row], [Año]]="",Fact_Analitica[[#This Row], [Mes]]=""),"",DATE(A404,MATCH(B404,{"enero","febrero","marzo","abril","mayo","junio","julio","agosto","septiembre","octubre","noviembre","diciembre"},0)+1,0))</f>
        <v/>
      </c>
      <c r="E404" t="str">
        <f>+IFERROR(VLOOKUP(Fact_Analitica[[#This Row], [Concepto Anterior]],Conceptos_Analítica_contraloría[#All],5,0),"")</f>
        <v/>
      </c>
      <c r="F404" t="str">
        <f>+IFERROR(VLOOKUP(Fact_Analitica[[#This Row], 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ht="18.75" customHeight="1" x14ac:dyDescent="0.35">
      <c r="C405" s="124" t="str">
        <f>IF(OR(Fact_Analitica[[#This Row], [Año]]="",Fact_Analitica[[#This Row], [Mes]]=""),"",DATE(A405,MATCH(B405,{"enero","febrero","marzo","abril","mayo","junio","julio","agosto","septiembre","octubre","noviembre","diciembre"},0)+1,0))</f>
        <v/>
      </c>
      <c r="E405" t="str">
        <f>+IFERROR(VLOOKUP(Fact_Analitica[[#This Row], [Concepto Anterior]],Conceptos_Analítica_contraloría[#All],5,0),"")</f>
        <v/>
      </c>
      <c r="F405" t="str">
        <f>+IFERROR(VLOOKUP(Fact_Analitica[[#This Row], 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ht="18.75" customHeight="1" x14ac:dyDescent="0.35">
      <c r="C406" s="124" t="str">
        <f>IF(OR(Fact_Analitica[[#This Row], [Año]]="",Fact_Analitica[[#This Row], [Mes]]=""),"",DATE(A406,MATCH(B406,{"enero","febrero","marzo","abril","mayo","junio","julio","agosto","septiembre","octubre","noviembre","diciembre"},0)+1,0))</f>
        <v/>
      </c>
      <c r="E406" t="str">
        <f>+IFERROR(VLOOKUP(Fact_Analitica[[#This Row], [Concepto Anterior]],Conceptos_Analítica_contraloría[#All],5,0),"")</f>
        <v/>
      </c>
      <c r="F406" t="str">
        <f>+IFERROR(VLOOKUP(Fact_Analitica[[#This Row], 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ht="18.75" customHeight="1" x14ac:dyDescent="0.35">
      <c r="C407" s="124" t="str">
        <f>IF(OR(Fact_Analitica[[#This Row], [Año]]="",Fact_Analitica[[#This Row], [Mes]]=""),"",DATE(A407,MATCH(B407,{"enero","febrero","marzo","abril","mayo","junio","julio","agosto","septiembre","octubre","noviembre","diciembre"},0)+1,0))</f>
        <v/>
      </c>
      <c r="E407" t="str">
        <f>+IFERROR(VLOOKUP(Fact_Analitica[[#This Row], [Concepto Anterior]],Conceptos_Analítica_contraloría[#All],5,0),"")</f>
        <v/>
      </c>
      <c r="F407" t="str">
        <f>+IFERROR(VLOOKUP(Fact_Analitica[[#This Row], 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ht="18.75" customHeight="1" x14ac:dyDescent="0.35">
      <c r="C408" s="124" t="str">
        <f>IF(OR(Fact_Analitica[[#This Row], [Año]]="",Fact_Analitica[[#This Row], [Mes]]=""),"",DATE(A408,MATCH(B408,{"enero","febrero","marzo","abril","mayo","junio","julio","agosto","septiembre","octubre","noviembre","diciembre"},0)+1,0))</f>
        <v/>
      </c>
      <c r="E408" t="str">
        <f>+IFERROR(VLOOKUP(Fact_Analitica[[#This Row], [Concepto Anterior]],Conceptos_Analítica_contraloría[#All],5,0),"")</f>
        <v/>
      </c>
      <c r="F408" t="str">
        <f>+IFERROR(VLOOKUP(Fact_Analitica[[#This Row], 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ht="18.75" customHeight="1" x14ac:dyDescent="0.35">
      <c r="C409" s="124" t="str">
        <f>IF(OR(Fact_Analitica[[#This Row], [Año]]="",Fact_Analitica[[#This Row], [Mes]]=""),"",DATE(A409,MATCH(B409,{"enero","febrero","marzo","abril","mayo","junio","julio","agosto","septiembre","octubre","noviembre","diciembre"},0)+1,0))</f>
        <v/>
      </c>
      <c r="E409" t="str">
        <f>+IFERROR(VLOOKUP(Fact_Analitica[[#This Row], [Concepto Anterior]],Conceptos_Analítica_contraloría[#All],5,0),"")</f>
        <v/>
      </c>
      <c r="F409" t="str">
        <f>+IFERROR(VLOOKUP(Fact_Analitica[[#This Row], 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ht="18.75" customHeight="1" x14ac:dyDescent="0.35">
      <c r="C410" s="124" t="str">
        <f>IF(OR(Fact_Analitica[[#This Row], [Año]]="",Fact_Analitica[[#This Row], [Mes]]=""),"",DATE(A410,MATCH(B410,{"enero","febrero","marzo","abril","mayo","junio","julio","agosto","septiembre","octubre","noviembre","diciembre"},0)+1,0))</f>
        <v/>
      </c>
      <c r="E410" t="str">
        <f>+IFERROR(VLOOKUP(Fact_Analitica[[#This Row], [Concepto Anterior]],Conceptos_Analítica_contraloría[#All],5,0),"")</f>
        <v/>
      </c>
      <c r="F410" t="str">
        <f>+IFERROR(VLOOKUP(Fact_Analitica[[#This Row], 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ht="18.75" customHeight="1" x14ac:dyDescent="0.35">
      <c r="C411" s="124" t="str">
        <f>IF(OR(Fact_Analitica[[#This Row], [Año]]="",Fact_Analitica[[#This Row], [Mes]]=""),"",DATE(A411,MATCH(B411,{"enero","febrero","marzo","abril","mayo","junio","julio","agosto","septiembre","octubre","noviembre","diciembre"},0)+1,0))</f>
        <v/>
      </c>
      <c r="E411" t="str">
        <f>+IFERROR(VLOOKUP(Fact_Analitica[[#This Row], [Concepto Anterior]],Conceptos_Analítica_contraloría[#All],5,0),"")</f>
        <v/>
      </c>
      <c r="F411" t="str">
        <f>+IFERROR(VLOOKUP(Fact_Analitica[[#This Row], 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ht="18.75" customHeight="1" x14ac:dyDescent="0.35">
      <c r="C412" s="124" t="str">
        <f>IF(OR(Fact_Analitica[[#This Row], [Año]]="",Fact_Analitica[[#This Row], [Mes]]=""),"",DATE(A412,MATCH(B412,{"enero","febrero","marzo","abril","mayo","junio","julio","agosto","septiembre","octubre","noviembre","diciembre"},0)+1,0))</f>
        <v/>
      </c>
      <c r="E412" t="str">
        <f>+IFERROR(VLOOKUP(Fact_Analitica[[#This Row], [Concepto Anterior]],Conceptos_Analítica_contraloría[#All],5,0),"")</f>
        <v/>
      </c>
      <c r="F412" t="str">
        <f>+IFERROR(VLOOKUP(Fact_Analitica[[#This Row], 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ht="18.75" customHeight="1" x14ac:dyDescent="0.35">
      <c r="C413" s="124" t="str">
        <f>IF(OR(Fact_Analitica[[#This Row], [Año]]="",Fact_Analitica[[#This Row], [Mes]]=""),"",DATE(A413,MATCH(B413,{"enero","febrero","marzo","abril","mayo","junio","julio","agosto","septiembre","octubre","noviembre","diciembre"},0)+1,0))</f>
        <v/>
      </c>
      <c r="E413" t="str">
        <f>+IFERROR(VLOOKUP(Fact_Analitica[[#This Row], [Concepto Anterior]],Conceptos_Analítica_contraloría[#All],5,0),"")</f>
        <v/>
      </c>
      <c r="F413" t="str">
        <f>+IFERROR(VLOOKUP(Fact_Analitica[[#This Row], 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ht="18.75" customHeight="1" x14ac:dyDescent="0.35">
      <c r="C414" s="124" t="str">
        <f>IF(OR(Fact_Analitica[[#This Row], [Año]]="",Fact_Analitica[[#This Row], [Mes]]=""),"",DATE(A414,MATCH(B414,{"enero","febrero","marzo","abril","mayo","junio","julio","agosto","septiembre","octubre","noviembre","diciembre"},0)+1,0))</f>
        <v/>
      </c>
      <c r="E414" t="str">
        <f>+IFERROR(VLOOKUP(Fact_Analitica[[#This Row], [Concepto Anterior]],Conceptos_Analítica_contraloría[#All],5,0),"")</f>
        <v/>
      </c>
      <c r="F414" t="str">
        <f>+IFERROR(VLOOKUP(Fact_Analitica[[#This Row], 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ht="18.75" customHeight="1" x14ac:dyDescent="0.35">
      <c r="C415" s="124" t="str">
        <f>IF(OR(Fact_Analitica[[#This Row], [Año]]="",Fact_Analitica[[#This Row], [Mes]]=""),"",DATE(A415,MATCH(B415,{"enero","febrero","marzo","abril","mayo","junio","julio","agosto","septiembre","octubre","noviembre","diciembre"},0)+1,0))</f>
        <v/>
      </c>
      <c r="E415" t="str">
        <f>+IFERROR(VLOOKUP(Fact_Analitica[[#This Row], [Concepto Anterior]],Conceptos_Analítica_contraloría[#All],5,0),"")</f>
        <v/>
      </c>
      <c r="F415" t="str">
        <f>+IFERROR(VLOOKUP(Fact_Analitica[[#This Row], 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ht="18.75" customHeight="1" x14ac:dyDescent="0.35">
      <c r="C416" s="124" t="str">
        <f>IF(OR(Fact_Analitica[[#This Row], [Año]]="",Fact_Analitica[[#This Row], [Mes]]=""),"",DATE(A416,MATCH(B416,{"enero","febrero","marzo","abril","mayo","junio","julio","agosto","septiembre","octubre","noviembre","diciembre"},0)+1,0))</f>
        <v/>
      </c>
      <c r="E416" t="str">
        <f>+IFERROR(VLOOKUP(Fact_Analitica[[#This Row], [Concepto Anterior]],Conceptos_Analítica_contraloría[#All],5,0),"")</f>
        <v/>
      </c>
      <c r="F416" t="str">
        <f>+IFERROR(VLOOKUP(Fact_Analitica[[#This Row], 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ht="18.75" customHeight="1" x14ac:dyDescent="0.35">
      <c r="C417" s="124" t="str">
        <f>IF(OR(Fact_Analitica[[#This Row], [Año]]="",Fact_Analitica[[#This Row], [Mes]]=""),"",DATE(A417,MATCH(B417,{"enero","febrero","marzo","abril","mayo","junio","julio","agosto","septiembre","octubre","noviembre","diciembre"},0)+1,0))</f>
        <v/>
      </c>
      <c r="E417" t="str">
        <f>+IFERROR(VLOOKUP(Fact_Analitica[[#This Row], [Concepto Anterior]],Conceptos_Analítica_contraloría[#All],5,0),"")</f>
        <v/>
      </c>
      <c r="F417" t="str">
        <f>+IFERROR(VLOOKUP(Fact_Analitica[[#This Row], 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ht="18.75" customHeight="1" x14ac:dyDescent="0.35">
      <c r="C418" s="124" t="str">
        <f>IF(OR(Fact_Analitica[[#This Row], [Año]]="",Fact_Analitica[[#This Row], [Mes]]=""),"",DATE(A418,MATCH(B418,{"enero","febrero","marzo","abril","mayo","junio","julio","agosto","septiembre","octubre","noviembre","diciembre"},0)+1,0))</f>
        <v/>
      </c>
      <c r="E418" t="str">
        <f>+IFERROR(VLOOKUP(Fact_Analitica[[#This Row], [Concepto Anterior]],Conceptos_Analítica_contraloría[#All],5,0),"")</f>
        <v/>
      </c>
      <c r="F418" t="str">
        <f>+IFERROR(VLOOKUP(Fact_Analitica[[#This Row], 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ht="18.75" customHeight="1" x14ac:dyDescent="0.35">
      <c r="C419" s="124" t="str">
        <f>IF(OR(Fact_Analitica[[#This Row], [Año]]="",Fact_Analitica[[#This Row], [Mes]]=""),"",DATE(A419,MATCH(B419,{"enero","febrero","marzo","abril","mayo","junio","julio","agosto","septiembre","octubre","noviembre","diciembre"},0)+1,0))</f>
        <v/>
      </c>
      <c r="E419" t="str">
        <f>+IFERROR(VLOOKUP(Fact_Analitica[[#This Row], [Concepto Anterior]],Conceptos_Analítica_contraloría[#All],5,0),"")</f>
        <v/>
      </c>
      <c r="F419" t="str">
        <f>+IFERROR(VLOOKUP(Fact_Analitica[[#This Row], 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ht="18.75" customHeight="1" x14ac:dyDescent="0.35">
      <c r="C420" s="124" t="str">
        <f>IF(OR(Fact_Analitica[[#This Row], [Año]]="",Fact_Analitica[[#This Row], [Mes]]=""),"",DATE(A420,MATCH(B420,{"enero","febrero","marzo","abril","mayo","junio","julio","agosto","septiembre","octubre","noviembre","diciembre"},0)+1,0))</f>
        <v/>
      </c>
      <c r="E420" t="str">
        <f>+IFERROR(VLOOKUP(Fact_Analitica[[#This Row], [Concepto Anterior]],Conceptos_Analítica_contraloría[#All],5,0),"")</f>
        <v/>
      </c>
      <c r="F420" t="str">
        <f>+IFERROR(VLOOKUP(Fact_Analitica[[#This Row], 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ht="18.75" customHeight="1" x14ac:dyDescent="0.35">
      <c r="C421" s="124" t="str">
        <f>IF(OR(Fact_Analitica[[#This Row], [Año]]="",Fact_Analitica[[#This Row], [Mes]]=""),"",DATE(A421,MATCH(B421,{"enero","febrero","marzo","abril","mayo","junio","julio","agosto","septiembre","octubre","noviembre","diciembre"},0)+1,0))</f>
        <v/>
      </c>
      <c r="E421" t="str">
        <f>+IFERROR(VLOOKUP(Fact_Analitica[[#This Row], [Concepto Anterior]],Conceptos_Analítica_contraloría[#All],5,0),"")</f>
        <v/>
      </c>
      <c r="F421" t="str">
        <f>+IFERROR(VLOOKUP(Fact_Analitica[[#This Row], 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ht="18.75" customHeight="1" x14ac:dyDescent="0.35">
      <c r="C422" s="124" t="str">
        <f>IF(OR(Fact_Analitica[[#This Row], [Año]]="",Fact_Analitica[[#This Row], [Mes]]=""),"",DATE(A422,MATCH(B422,{"enero","febrero","marzo","abril","mayo","junio","julio","agosto","septiembre","octubre","noviembre","diciembre"},0)+1,0))</f>
        <v/>
      </c>
      <c r="E422" t="str">
        <f>+IFERROR(VLOOKUP(Fact_Analitica[[#This Row], [Concepto Anterior]],Conceptos_Analítica_contraloría[#All],5,0),"")</f>
        <v/>
      </c>
      <c r="F422" t="str">
        <f>+IFERROR(VLOOKUP(Fact_Analitica[[#This Row], 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ht="18.75" customHeight="1" x14ac:dyDescent="0.35">
      <c r="C423" s="124" t="str">
        <f>IF(OR(Fact_Analitica[[#This Row], [Año]]="",Fact_Analitica[[#This Row], [Mes]]=""),"",DATE(A423,MATCH(B423,{"enero","febrero","marzo","abril","mayo","junio","julio","agosto","septiembre","octubre","noviembre","diciembre"},0)+1,0))</f>
        <v/>
      </c>
      <c r="E423" t="str">
        <f>+IFERROR(VLOOKUP(Fact_Analitica[[#This Row], [Concepto Anterior]],Conceptos_Analítica_contraloría[#All],5,0),"")</f>
        <v/>
      </c>
      <c r="F423" t="str">
        <f>+IFERROR(VLOOKUP(Fact_Analitica[[#This Row], 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ht="18.75" customHeight="1" x14ac:dyDescent="0.35">
      <c r="C424" s="124" t="str">
        <f>IF(OR(Fact_Analitica[[#This Row], [Año]]="",Fact_Analitica[[#This Row], [Mes]]=""),"",DATE(A424,MATCH(B424,{"enero","febrero","marzo","abril","mayo","junio","julio","agosto","septiembre","octubre","noviembre","diciembre"},0)+1,0))</f>
        <v/>
      </c>
      <c r="E424" t="str">
        <f>+IFERROR(VLOOKUP(Fact_Analitica[[#This Row], [Concepto Anterior]],Conceptos_Analítica_contraloría[#All],5,0),"")</f>
        <v/>
      </c>
      <c r="F424" t="str">
        <f>+IFERROR(VLOOKUP(Fact_Analitica[[#This Row], 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ht="18.75" customHeight="1" x14ac:dyDescent="0.35">
      <c r="C425" s="124" t="str">
        <f>IF(OR(Fact_Analitica[[#This Row], [Año]]="",Fact_Analitica[[#This Row], [Mes]]=""),"",DATE(A425,MATCH(B425,{"enero","febrero","marzo","abril","mayo","junio","julio","agosto","septiembre","octubre","noviembre","diciembre"},0)+1,0))</f>
        <v/>
      </c>
      <c r="E425" t="str">
        <f>+IFERROR(VLOOKUP(Fact_Analitica[[#This Row], [Concepto Anterior]],Conceptos_Analítica_contraloría[#All],5,0),"")</f>
        <v/>
      </c>
      <c r="F425" t="str">
        <f>+IFERROR(VLOOKUP(Fact_Analitica[[#This Row], 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ht="18.75" customHeight="1" x14ac:dyDescent="0.35">
      <c r="C426" s="124" t="str">
        <f>IF(OR(Fact_Analitica[[#This Row], [Año]]="",Fact_Analitica[[#This Row], [Mes]]=""),"",DATE(A426,MATCH(B426,{"enero","febrero","marzo","abril","mayo","junio","julio","agosto","septiembre","octubre","noviembre","diciembre"},0)+1,0))</f>
        <v/>
      </c>
      <c r="E426" t="str">
        <f>+IFERROR(VLOOKUP(Fact_Analitica[[#This Row], [Concepto Anterior]],Conceptos_Analítica_contraloría[#All],5,0),"")</f>
        <v/>
      </c>
      <c r="F426" t="str">
        <f>+IFERROR(VLOOKUP(Fact_Analitica[[#This Row], 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ht="18.75" customHeight="1" x14ac:dyDescent="0.35">
      <c r="C427" s="124" t="str">
        <f>IF(OR(Fact_Analitica[[#This Row], [Año]]="",Fact_Analitica[[#This Row], [Mes]]=""),"",DATE(A427,MATCH(B427,{"enero","febrero","marzo","abril","mayo","junio","julio","agosto","septiembre","octubre","noviembre","diciembre"},0)+1,0))</f>
        <v/>
      </c>
      <c r="E427" t="str">
        <f>+IFERROR(VLOOKUP(Fact_Analitica[[#This Row], [Concepto Anterior]],Conceptos_Analítica_contraloría[#All],5,0),"")</f>
        <v/>
      </c>
      <c r="F427" t="str">
        <f>+IFERROR(VLOOKUP(Fact_Analitica[[#This Row], 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ht="18.75" customHeight="1" x14ac:dyDescent="0.35">
      <c r="C428" s="124" t="str">
        <f>IF(OR(Fact_Analitica[[#This Row], [Año]]="",Fact_Analitica[[#This Row], [Mes]]=""),"",DATE(A428,MATCH(B428,{"enero","febrero","marzo","abril","mayo","junio","julio","agosto","septiembre","octubre","noviembre","diciembre"},0)+1,0))</f>
        <v/>
      </c>
      <c r="E428" t="str">
        <f>+IFERROR(VLOOKUP(Fact_Analitica[[#This Row], [Concepto Anterior]],Conceptos_Analítica_contraloría[#All],5,0),"")</f>
        <v/>
      </c>
      <c r="F428" t="str">
        <f>+IFERROR(VLOOKUP(Fact_Analitica[[#This Row], 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ht="18.75" customHeight="1" x14ac:dyDescent="0.35">
      <c r="C429" s="124" t="str">
        <f>IF(OR(Fact_Analitica[[#This Row], [Año]]="",Fact_Analitica[[#This Row], [Mes]]=""),"",DATE(A429,MATCH(B429,{"enero","febrero","marzo","abril","mayo","junio","julio","agosto","septiembre","octubre","noviembre","diciembre"},0)+1,0))</f>
        <v/>
      </c>
      <c r="E429" t="str">
        <f>+IFERROR(VLOOKUP(Fact_Analitica[[#This Row], [Concepto Anterior]],Conceptos_Analítica_contraloría[#All],5,0),"")</f>
        <v/>
      </c>
      <c r="F429" t="str">
        <f>+IFERROR(VLOOKUP(Fact_Analitica[[#This Row], 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ht="18.75" customHeight="1" x14ac:dyDescent="0.35">
      <c r="C430" s="124" t="str">
        <f>IF(OR(Fact_Analitica[[#This Row], [Año]]="",Fact_Analitica[[#This Row], [Mes]]=""),"",DATE(A430,MATCH(B430,{"enero","febrero","marzo","abril","mayo","junio","julio","agosto","septiembre","octubre","noviembre","diciembre"},0)+1,0))</f>
        <v/>
      </c>
      <c r="E430" t="str">
        <f>+IFERROR(VLOOKUP(Fact_Analitica[[#This Row], [Concepto Anterior]],Conceptos_Analítica_contraloría[#All],5,0),"")</f>
        <v/>
      </c>
      <c r="F430" t="str">
        <f>+IFERROR(VLOOKUP(Fact_Analitica[[#This Row], 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ht="18.75" customHeight="1" x14ac:dyDescent="0.35">
      <c r="C431" s="124" t="str">
        <f>IF(OR(Fact_Analitica[[#This Row], [Año]]="",Fact_Analitica[[#This Row], [Mes]]=""),"",DATE(A431,MATCH(B431,{"enero","febrero","marzo","abril","mayo","junio","julio","agosto","septiembre","octubre","noviembre","diciembre"},0)+1,0))</f>
        <v/>
      </c>
      <c r="E431" t="str">
        <f>+IFERROR(VLOOKUP(Fact_Analitica[[#This Row], [Concepto Anterior]],Conceptos_Analítica_contraloría[#All],5,0),"")</f>
        <v/>
      </c>
      <c r="F431" t="str">
        <f>+IFERROR(VLOOKUP(Fact_Analitica[[#This Row], 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ht="18.75" customHeight="1" x14ac:dyDescent="0.35">
      <c r="C432" s="124" t="str">
        <f>IF(OR(Fact_Analitica[[#This Row], [Año]]="",Fact_Analitica[[#This Row], [Mes]]=""),"",DATE(A432,MATCH(B432,{"enero","febrero","marzo","abril","mayo","junio","julio","agosto","septiembre","octubre","noviembre","diciembre"},0)+1,0))</f>
        <v/>
      </c>
      <c r="E432" t="str">
        <f>+IFERROR(VLOOKUP(Fact_Analitica[[#This Row], [Concepto Anterior]],Conceptos_Analítica_contraloría[#All],5,0),"")</f>
        <v/>
      </c>
      <c r="F432" t="str">
        <f>+IFERROR(VLOOKUP(Fact_Analitica[[#This Row], 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ht="18.75" customHeight="1" x14ac:dyDescent="0.35">
      <c r="C433" s="124" t="str">
        <f>IF(OR(Fact_Analitica[[#This Row], [Año]]="",Fact_Analitica[[#This Row], [Mes]]=""),"",DATE(A433,MATCH(B433,{"enero","febrero","marzo","abril","mayo","junio","julio","agosto","septiembre","octubre","noviembre","diciembre"},0)+1,0))</f>
        <v/>
      </c>
      <c r="E433" t="str">
        <f>+IFERROR(VLOOKUP(Fact_Analitica[[#This Row], [Concepto Anterior]],Conceptos_Analítica_contraloría[#All],5,0),"")</f>
        <v/>
      </c>
      <c r="F433" t="str">
        <f>+IFERROR(VLOOKUP(Fact_Analitica[[#This Row], 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ht="18.75" customHeight="1" x14ac:dyDescent="0.35">
      <c r="C434" s="124" t="str">
        <f>IF(OR(Fact_Analitica[[#This Row], [Año]]="",Fact_Analitica[[#This Row], [Mes]]=""),"",DATE(A434,MATCH(B434,{"enero","febrero","marzo","abril","mayo","junio","julio","agosto","septiembre","octubre","noviembre","diciembre"},0)+1,0))</f>
        <v/>
      </c>
      <c r="E434" t="str">
        <f>+IFERROR(VLOOKUP(Fact_Analitica[[#This Row], [Concepto Anterior]],Conceptos_Analítica_contraloría[#All],5,0),"")</f>
        <v/>
      </c>
      <c r="F434" t="str">
        <f>+IFERROR(VLOOKUP(Fact_Analitica[[#This Row], 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ht="18.75" customHeight="1" x14ac:dyDescent="0.35">
      <c r="C435" s="124" t="str">
        <f>IF(OR(Fact_Analitica[[#This Row], [Año]]="",Fact_Analitica[[#This Row], [Mes]]=""),"",DATE(A435,MATCH(B435,{"enero","febrero","marzo","abril","mayo","junio","julio","agosto","septiembre","octubre","noviembre","diciembre"},0)+1,0))</f>
        <v/>
      </c>
      <c r="E435" t="str">
        <f>+IFERROR(VLOOKUP(Fact_Analitica[[#This Row], [Concepto Anterior]],Conceptos_Analítica_contraloría[#All],5,0),"")</f>
        <v/>
      </c>
      <c r="F435" t="str">
        <f>+IFERROR(VLOOKUP(Fact_Analitica[[#This Row], 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ht="18.75" customHeight="1" x14ac:dyDescent="0.35">
      <c r="C436" s="124" t="str">
        <f>IF(OR(Fact_Analitica[[#This Row], [Año]]="",Fact_Analitica[[#This Row], [Mes]]=""),"",DATE(A436,MATCH(B436,{"enero","febrero","marzo","abril","mayo","junio","julio","agosto","septiembre","octubre","noviembre","diciembre"},0)+1,0))</f>
        <v/>
      </c>
      <c r="E436" t="str">
        <f>+IFERROR(VLOOKUP(Fact_Analitica[[#This Row], [Concepto Anterior]],Conceptos_Analítica_contraloría[#All],5,0),"")</f>
        <v/>
      </c>
      <c r="F436" t="str">
        <f>+IFERROR(VLOOKUP(Fact_Analitica[[#This Row], 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ht="18.75" customHeight="1" x14ac:dyDescent="0.35">
      <c r="C437" s="124" t="str">
        <f>IF(OR(Fact_Analitica[[#This Row], [Año]]="",Fact_Analitica[[#This Row], [Mes]]=""),"",DATE(A437,MATCH(B437,{"enero","febrero","marzo","abril","mayo","junio","julio","agosto","septiembre","octubre","noviembre","diciembre"},0)+1,0))</f>
        <v/>
      </c>
      <c r="E437" t="str">
        <f>+IFERROR(VLOOKUP(Fact_Analitica[[#This Row], [Concepto Anterior]],Conceptos_Analítica_contraloría[#All],5,0),"")</f>
        <v/>
      </c>
      <c r="F437" t="str">
        <f>+IFERROR(VLOOKUP(Fact_Analitica[[#This Row], 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ht="18.75" customHeight="1" x14ac:dyDescent="0.35">
      <c r="C438" s="124" t="str">
        <f>IF(OR(Fact_Analitica[[#This Row], [Año]]="",Fact_Analitica[[#This Row], [Mes]]=""),"",DATE(A438,MATCH(B438,{"enero","febrero","marzo","abril","mayo","junio","julio","agosto","septiembre","octubre","noviembre","diciembre"},0)+1,0))</f>
        <v/>
      </c>
      <c r="E438" t="str">
        <f>+IFERROR(VLOOKUP(Fact_Analitica[[#This Row], [Concepto Anterior]],Conceptos_Analítica_contraloría[#All],5,0),"")</f>
        <v/>
      </c>
      <c r="F438" t="str">
        <f>+IFERROR(VLOOKUP(Fact_Analitica[[#This Row], 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ht="18.75" customHeight="1" x14ac:dyDescent="0.35">
      <c r="C439" s="124" t="str">
        <f>IF(OR(Fact_Analitica[[#This Row], [Año]]="",Fact_Analitica[[#This Row], [Mes]]=""),"",DATE(A439,MATCH(B439,{"enero","febrero","marzo","abril","mayo","junio","julio","agosto","septiembre","octubre","noviembre","diciembre"},0)+1,0))</f>
        <v/>
      </c>
      <c r="E439" t="str">
        <f>+IFERROR(VLOOKUP(Fact_Analitica[[#This Row], [Concepto Anterior]],Conceptos_Analítica_contraloría[#All],5,0),"")</f>
        <v/>
      </c>
      <c r="F439" t="str">
        <f>+IFERROR(VLOOKUP(Fact_Analitica[[#This Row], 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ht="18.75" customHeight="1" x14ac:dyDescent="0.35">
      <c r="C440" s="124" t="str">
        <f>IF(OR(Fact_Analitica[[#This Row], [Año]]="",Fact_Analitica[[#This Row], [Mes]]=""),"",DATE(A440,MATCH(B440,{"enero","febrero","marzo","abril","mayo","junio","julio","agosto","septiembre","octubre","noviembre","diciembre"},0)+1,0))</f>
        <v/>
      </c>
      <c r="E440" t="str">
        <f>+IFERROR(VLOOKUP(Fact_Analitica[[#This Row], [Concepto Anterior]],Conceptos_Analítica_contraloría[#All],5,0),"")</f>
        <v/>
      </c>
      <c r="F440" t="str">
        <f>+IFERROR(VLOOKUP(Fact_Analitica[[#This Row], 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ht="18.75" customHeight="1" x14ac:dyDescent="0.35">
      <c r="C441" s="124" t="str">
        <f>IF(OR(Fact_Analitica[[#This Row], [Año]]="",Fact_Analitica[[#This Row], [Mes]]=""),"",DATE(A441,MATCH(B441,{"enero","febrero","marzo","abril","mayo","junio","julio","agosto","septiembre","octubre","noviembre","diciembre"},0)+1,0))</f>
        <v/>
      </c>
      <c r="E441" t="str">
        <f>+IFERROR(VLOOKUP(Fact_Analitica[[#This Row], [Concepto Anterior]],Conceptos_Analítica_contraloría[#All],5,0),"")</f>
        <v/>
      </c>
      <c r="F441" t="str">
        <f>+IFERROR(VLOOKUP(Fact_Analitica[[#This Row], 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ht="18.75" customHeight="1" x14ac:dyDescent="0.35">
      <c r="C442" s="124" t="str">
        <f>IF(OR(Fact_Analitica[[#This Row], [Año]]="",Fact_Analitica[[#This Row], [Mes]]=""),"",DATE(A442,MATCH(B442,{"enero","febrero","marzo","abril","mayo","junio","julio","agosto","septiembre","octubre","noviembre","diciembre"},0)+1,0))</f>
        <v/>
      </c>
      <c r="E442" t="str">
        <f>+IFERROR(VLOOKUP(Fact_Analitica[[#This Row], [Concepto Anterior]],Conceptos_Analítica_contraloría[#All],5,0),"")</f>
        <v/>
      </c>
      <c r="F442" t="str">
        <f>+IFERROR(VLOOKUP(Fact_Analitica[[#This Row], 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ht="18.75" customHeight="1" x14ac:dyDescent="0.35">
      <c r="C443" s="124" t="str">
        <f>IF(OR(Fact_Analitica[[#This Row], [Año]]="",Fact_Analitica[[#This Row], [Mes]]=""),"",DATE(A443,MATCH(B443,{"enero","febrero","marzo","abril","mayo","junio","julio","agosto","septiembre","octubre","noviembre","diciembre"},0)+1,0))</f>
        <v/>
      </c>
      <c r="E443" t="str">
        <f>+IFERROR(VLOOKUP(Fact_Analitica[[#This Row], [Concepto Anterior]],Conceptos_Analítica_contraloría[#All],5,0),"")</f>
        <v/>
      </c>
      <c r="F443" t="str">
        <f>+IFERROR(VLOOKUP(Fact_Analitica[[#This Row], 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ht="18.75" customHeight="1" x14ac:dyDescent="0.35">
      <c r="C444" s="124" t="str">
        <f>IF(OR(Fact_Analitica[[#This Row], [Año]]="",Fact_Analitica[[#This Row], [Mes]]=""),"",DATE(A444,MATCH(B444,{"enero","febrero","marzo","abril","mayo","junio","julio","agosto","septiembre","octubre","noviembre","diciembre"},0)+1,0))</f>
        <v/>
      </c>
      <c r="E444" t="str">
        <f>+IFERROR(VLOOKUP(Fact_Analitica[[#This Row], [Concepto Anterior]],Conceptos_Analítica_contraloría[#All],5,0),"")</f>
        <v/>
      </c>
      <c r="F444" t="str">
        <f>+IFERROR(VLOOKUP(Fact_Analitica[[#This Row], 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ht="18.75" customHeight="1" x14ac:dyDescent="0.35">
      <c r="C445" s="124" t="str">
        <f>IF(OR(Fact_Analitica[[#This Row], [Año]]="",Fact_Analitica[[#This Row], [Mes]]=""),"",DATE(A445,MATCH(B445,{"enero","febrero","marzo","abril","mayo","junio","julio","agosto","septiembre","octubre","noviembre","diciembre"},0)+1,0))</f>
        <v/>
      </c>
      <c r="E445" t="str">
        <f>+IFERROR(VLOOKUP(Fact_Analitica[[#This Row], [Concepto Anterior]],Conceptos_Analítica_contraloría[#All],5,0),"")</f>
        <v/>
      </c>
      <c r="F445" t="str">
        <f>+IFERROR(VLOOKUP(Fact_Analitica[[#This Row], 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ht="18.75" customHeight="1" x14ac:dyDescent="0.35">
      <c r="C446" s="124" t="str">
        <f>IF(OR(Fact_Analitica[[#This Row], [Año]]="",Fact_Analitica[[#This Row], [Mes]]=""),"",DATE(A446,MATCH(B446,{"enero","febrero","marzo","abril","mayo","junio","julio","agosto","septiembre","octubre","noviembre","diciembre"},0)+1,0))</f>
        <v/>
      </c>
      <c r="E446" t="str">
        <f>+IFERROR(VLOOKUP(Fact_Analitica[[#This Row], [Concepto Anterior]],Conceptos_Analítica_contraloría[#All],5,0),"")</f>
        <v/>
      </c>
      <c r="F446" t="str">
        <f>+IFERROR(VLOOKUP(Fact_Analitica[[#This Row], 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ht="18.75" customHeight="1" x14ac:dyDescent="0.35">
      <c r="C447" s="124" t="str">
        <f>IF(OR(Fact_Analitica[[#This Row], [Año]]="",Fact_Analitica[[#This Row], [Mes]]=""),"",DATE(A447,MATCH(B447,{"enero","febrero","marzo","abril","mayo","junio","julio","agosto","septiembre","octubre","noviembre","diciembre"},0)+1,0))</f>
        <v/>
      </c>
      <c r="E447" t="str">
        <f>+IFERROR(VLOOKUP(Fact_Analitica[[#This Row], [Concepto Anterior]],Conceptos_Analítica_contraloría[#All],5,0),"")</f>
        <v/>
      </c>
      <c r="F447" t="str">
        <f>+IFERROR(VLOOKUP(Fact_Analitica[[#This Row], 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ht="18.75" customHeight="1" x14ac:dyDescent="0.35">
      <c r="C448" s="124" t="str">
        <f>IF(OR(Fact_Analitica[[#This Row], [Año]]="",Fact_Analitica[[#This Row], [Mes]]=""),"",DATE(A448,MATCH(B448,{"enero","febrero","marzo","abril","mayo","junio","julio","agosto","septiembre","octubre","noviembre","diciembre"},0)+1,0))</f>
        <v/>
      </c>
      <c r="E448" t="str">
        <f>+IFERROR(VLOOKUP(Fact_Analitica[[#This Row], [Concepto Anterior]],Conceptos_Analítica_contraloría[#All],5,0),"")</f>
        <v/>
      </c>
      <c r="F448" t="str">
        <f>+IFERROR(VLOOKUP(Fact_Analitica[[#This Row], 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ht="18.75" customHeight="1" x14ac:dyDescent="0.35">
      <c r="C449" s="124" t="str">
        <f>IF(OR(Fact_Analitica[[#This Row], [Año]]="",Fact_Analitica[[#This Row], [Mes]]=""),"",DATE(A449,MATCH(B449,{"enero","febrero","marzo","abril","mayo","junio","julio","agosto","septiembre","octubre","noviembre","diciembre"},0)+1,0))</f>
        <v/>
      </c>
      <c r="E449" t="str">
        <f>+IFERROR(VLOOKUP(Fact_Analitica[[#This Row], [Concepto Anterior]],Conceptos_Analítica_contraloría[#All],5,0),"")</f>
        <v/>
      </c>
      <c r="F449" t="str">
        <f>+IFERROR(VLOOKUP(Fact_Analitica[[#This Row], 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ht="18.75" customHeight="1" x14ac:dyDescent="0.35">
      <c r="C450" s="124" t="str">
        <f>IF(OR(Fact_Analitica[[#This Row], [Año]]="",Fact_Analitica[[#This Row], [Mes]]=""),"",DATE(A450,MATCH(B450,{"enero","febrero","marzo","abril","mayo","junio","julio","agosto","septiembre","octubre","noviembre","diciembre"},0)+1,0))</f>
        <v/>
      </c>
      <c r="E450" t="str">
        <f>+IFERROR(VLOOKUP(Fact_Analitica[[#This Row], [Concepto Anterior]],Conceptos_Analítica_contraloría[#All],5,0),"")</f>
        <v/>
      </c>
      <c r="F450" t="str">
        <f>+IFERROR(VLOOKUP(Fact_Analitica[[#This Row], 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ht="18.75" customHeight="1" x14ac:dyDescent="0.35">
      <c r="C451" s="124" t="str">
        <f>IF(OR(Fact_Analitica[[#This Row], [Año]]="",Fact_Analitica[[#This Row], [Mes]]=""),"",DATE(A451,MATCH(B451,{"enero","febrero","marzo","abril","mayo","junio","julio","agosto","septiembre","octubre","noviembre","diciembre"},0)+1,0))</f>
        <v/>
      </c>
      <c r="E451" t="str">
        <f>+IFERROR(VLOOKUP(Fact_Analitica[[#This Row], [Concepto Anterior]],Conceptos_Analítica_contraloría[#All],5,0),"")</f>
        <v/>
      </c>
      <c r="F451" t="str">
        <f>+IFERROR(VLOOKUP(Fact_Analitica[[#This Row], 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ht="18.75" customHeight="1" x14ac:dyDescent="0.35">
      <c r="C452" s="124" t="str">
        <f>IF(OR(Fact_Analitica[[#This Row], [Año]]="",Fact_Analitica[[#This Row], [Mes]]=""),"",DATE(A452,MATCH(B452,{"enero","febrero","marzo","abril","mayo","junio","julio","agosto","septiembre","octubre","noviembre","diciembre"},0)+1,0))</f>
        <v/>
      </c>
      <c r="E452" t="str">
        <f>+IFERROR(VLOOKUP(Fact_Analitica[[#This Row], [Concepto Anterior]],Conceptos_Analítica_contraloría[#All],5,0),"")</f>
        <v/>
      </c>
      <c r="F452" t="str">
        <f>+IFERROR(VLOOKUP(Fact_Analitica[[#This Row], 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ht="18.75" customHeight="1" x14ac:dyDescent="0.35">
      <c r="C453" s="124" t="str">
        <f>IF(OR(Fact_Analitica[[#This Row], [Año]]="",Fact_Analitica[[#This Row], [Mes]]=""),"",DATE(A453,MATCH(B453,{"enero","febrero","marzo","abril","mayo","junio","julio","agosto","septiembre","octubre","noviembre","diciembre"},0)+1,0))</f>
        <v/>
      </c>
      <c r="E453" t="str">
        <f>+IFERROR(VLOOKUP(Fact_Analitica[[#This Row], [Concepto Anterior]],Conceptos_Analítica_contraloría[#All],5,0),"")</f>
        <v/>
      </c>
      <c r="F453" t="str">
        <f>+IFERROR(VLOOKUP(Fact_Analitica[[#This Row], 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ht="18.75" customHeight="1" x14ac:dyDescent="0.35">
      <c r="C454" s="124" t="str">
        <f>IF(OR(Fact_Analitica[[#This Row], [Año]]="",Fact_Analitica[[#This Row], [Mes]]=""),"",DATE(A454,MATCH(B454,{"enero","febrero","marzo","abril","mayo","junio","julio","agosto","septiembre","octubre","noviembre","diciembre"},0)+1,0))</f>
        <v/>
      </c>
      <c r="E454" t="str">
        <f>+IFERROR(VLOOKUP(Fact_Analitica[[#This Row], [Concepto Anterior]],Conceptos_Analítica_contraloría[#All],5,0),"")</f>
        <v/>
      </c>
      <c r="F454" t="str">
        <f>+IFERROR(VLOOKUP(Fact_Analitica[[#This Row], 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ht="18.75" customHeight="1" x14ac:dyDescent="0.35">
      <c r="C455" s="124" t="str">
        <f>IF(OR(Fact_Analitica[[#This Row], [Año]]="",Fact_Analitica[[#This Row], [Mes]]=""),"",DATE(A455,MATCH(B455,{"enero","febrero","marzo","abril","mayo","junio","julio","agosto","septiembre","octubre","noviembre","diciembre"},0)+1,0))</f>
        <v/>
      </c>
      <c r="E455" t="str">
        <f>+IFERROR(VLOOKUP(Fact_Analitica[[#This Row], [Concepto Anterior]],Conceptos_Analítica_contraloría[#All],5,0),"")</f>
        <v/>
      </c>
      <c r="F455" t="str">
        <f>+IFERROR(VLOOKUP(Fact_Analitica[[#This Row], 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ht="18.75" customHeight="1" x14ac:dyDescent="0.35">
      <c r="C456" s="124" t="str">
        <f>IF(OR(Fact_Analitica[[#This Row], [Año]]="",Fact_Analitica[[#This Row], [Mes]]=""),"",DATE(A456,MATCH(B456,{"enero","febrero","marzo","abril","mayo","junio","julio","agosto","septiembre","octubre","noviembre","diciembre"},0)+1,0))</f>
        <v/>
      </c>
      <c r="E456" t="str">
        <f>+IFERROR(VLOOKUP(Fact_Analitica[[#This Row], [Concepto Anterior]],Conceptos_Analítica_contraloría[#All],5,0),"")</f>
        <v/>
      </c>
      <c r="F456" t="str">
        <f>+IFERROR(VLOOKUP(Fact_Analitica[[#This Row], 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ht="18.75" customHeight="1" x14ac:dyDescent="0.35">
      <c r="C457" s="124" t="str">
        <f>IF(OR(Fact_Analitica[[#This Row], [Año]]="",Fact_Analitica[[#This Row], [Mes]]=""),"",DATE(A457,MATCH(B457,{"enero","febrero","marzo","abril","mayo","junio","julio","agosto","septiembre","octubre","noviembre","diciembre"},0)+1,0))</f>
        <v/>
      </c>
      <c r="E457" t="str">
        <f>+IFERROR(VLOOKUP(Fact_Analitica[[#This Row], [Concepto Anterior]],Conceptos_Analítica_contraloría[#All],5,0),"")</f>
        <v/>
      </c>
      <c r="F457" t="str">
        <f>+IFERROR(VLOOKUP(Fact_Analitica[[#This Row], 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ht="18.75" customHeight="1" x14ac:dyDescent="0.35">
      <c r="C458" s="124" t="str">
        <f>IF(OR(Fact_Analitica[[#This Row], [Año]]="",Fact_Analitica[[#This Row], [Mes]]=""),"",DATE(A458,MATCH(B458,{"enero","febrero","marzo","abril","mayo","junio","julio","agosto","septiembre","octubre","noviembre","diciembre"},0)+1,0))</f>
        <v/>
      </c>
      <c r="E458" t="str">
        <f>+IFERROR(VLOOKUP(Fact_Analitica[[#This Row], [Concepto Anterior]],Conceptos_Analítica_contraloría[#All],5,0),"")</f>
        <v/>
      </c>
      <c r="F458" t="str">
        <f>+IFERROR(VLOOKUP(Fact_Analitica[[#This Row], 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ht="18.75" customHeight="1" x14ac:dyDescent="0.35">
      <c r="C459" s="124" t="str">
        <f>IF(OR(Fact_Analitica[[#This Row], [Año]]="",Fact_Analitica[[#This Row], [Mes]]=""),"",DATE(A459,MATCH(B459,{"enero","febrero","marzo","abril","mayo","junio","julio","agosto","septiembre","octubre","noviembre","diciembre"},0)+1,0))</f>
        <v/>
      </c>
      <c r="E459" t="str">
        <f>+IFERROR(VLOOKUP(Fact_Analitica[[#This Row], [Concepto Anterior]],Conceptos_Analítica_contraloría[#All],5,0),"")</f>
        <v/>
      </c>
      <c r="F459" t="str">
        <f>+IFERROR(VLOOKUP(Fact_Analitica[[#This Row], 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ht="18.75" customHeight="1" x14ac:dyDescent="0.35">
      <c r="C460" s="124" t="str">
        <f>IF(OR(Fact_Analitica[[#This Row], [Año]]="",Fact_Analitica[[#This Row], [Mes]]=""),"",DATE(A460,MATCH(B460,{"enero","febrero","marzo","abril","mayo","junio","julio","agosto","septiembre","octubre","noviembre","diciembre"},0)+1,0))</f>
        <v/>
      </c>
      <c r="E460" t="str">
        <f>+IFERROR(VLOOKUP(Fact_Analitica[[#This Row], [Concepto Anterior]],Conceptos_Analítica_contraloría[#All],5,0),"")</f>
        <v/>
      </c>
      <c r="F460" t="str">
        <f>+IFERROR(VLOOKUP(Fact_Analitica[[#This Row], 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ht="18.75" customHeight="1" x14ac:dyDescent="0.35">
      <c r="C461" s="124" t="str">
        <f>IF(OR(Fact_Analitica[[#This Row], [Año]]="",Fact_Analitica[[#This Row], [Mes]]=""),"",DATE(A461,MATCH(B461,{"enero","febrero","marzo","abril","mayo","junio","julio","agosto","septiembre","octubre","noviembre","diciembre"},0)+1,0))</f>
        <v/>
      </c>
      <c r="E461" t="str">
        <f>+IFERROR(VLOOKUP(Fact_Analitica[[#This Row], [Concepto Anterior]],Conceptos_Analítica_contraloría[#All],5,0),"")</f>
        <v/>
      </c>
      <c r="F461" t="str">
        <f>+IFERROR(VLOOKUP(Fact_Analitica[[#This Row], 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ht="18.75" customHeight="1" x14ac:dyDescent="0.35">
      <c r="C462" s="124" t="str">
        <f>IF(OR(Fact_Analitica[[#This Row], [Año]]="",Fact_Analitica[[#This Row], [Mes]]=""),"",DATE(A462,MATCH(B462,{"enero","febrero","marzo","abril","mayo","junio","julio","agosto","septiembre","octubre","noviembre","diciembre"},0)+1,0))</f>
        <v/>
      </c>
      <c r="E462" t="str">
        <f>+IFERROR(VLOOKUP(Fact_Analitica[[#This Row], [Concepto Anterior]],Conceptos_Analítica_contraloría[#All],5,0),"")</f>
        <v/>
      </c>
      <c r="F462" t="str">
        <f>+IFERROR(VLOOKUP(Fact_Analitica[[#This Row], 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ht="18.75" customHeight="1" x14ac:dyDescent="0.35">
      <c r="C463" s="124" t="str">
        <f>IF(OR(Fact_Analitica[[#This Row], [Año]]="",Fact_Analitica[[#This Row], [Mes]]=""),"",DATE(A463,MATCH(B463,{"enero","febrero","marzo","abril","mayo","junio","julio","agosto","septiembre","octubre","noviembre","diciembre"},0)+1,0))</f>
        <v/>
      </c>
      <c r="E463" t="str">
        <f>+IFERROR(VLOOKUP(Fact_Analitica[[#This Row], [Concepto Anterior]],Conceptos_Analítica_contraloría[#All],5,0),"")</f>
        <v/>
      </c>
      <c r="F463" t="str">
        <f>+IFERROR(VLOOKUP(Fact_Analitica[[#This Row], 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ht="18.75" customHeight="1" x14ac:dyDescent="0.35">
      <c r="C464" s="124" t="str">
        <f>IF(OR(Fact_Analitica[[#This Row], [Año]]="",Fact_Analitica[[#This Row], [Mes]]=""),"",DATE(A464,MATCH(B464,{"enero","febrero","marzo","abril","mayo","junio","julio","agosto","septiembre","octubre","noviembre","diciembre"},0)+1,0))</f>
        <v/>
      </c>
      <c r="E464" t="str">
        <f>+IFERROR(VLOOKUP(Fact_Analitica[[#This Row], [Concepto Anterior]],Conceptos_Analítica_contraloría[#All],5,0),"")</f>
        <v/>
      </c>
      <c r="F464" t="str">
        <f>+IFERROR(VLOOKUP(Fact_Analitica[[#This Row], 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ht="18.75" customHeight="1" x14ac:dyDescent="0.35">
      <c r="C465" s="124" t="str">
        <f>IF(OR(Fact_Analitica[[#This Row], [Año]]="",Fact_Analitica[[#This Row], [Mes]]=""),"",DATE(A465,MATCH(B465,{"enero","febrero","marzo","abril","mayo","junio","julio","agosto","septiembre","octubre","noviembre","diciembre"},0)+1,0))</f>
        <v/>
      </c>
      <c r="E465" t="str">
        <f>+IFERROR(VLOOKUP(Fact_Analitica[[#This Row], [Concepto Anterior]],Conceptos_Analítica_contraloría[#All],5,0),"")</f>
        <v/>
      </c>
      <c r="F465" t="str">
        <f>+IFERROR(VLOOKUP(Fact_Analitica[[#This Row], 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ht="18.75" customHeight="1" x14ac:dyDescent="0.35">
      <c r="C466" s="124" t="str">
        <f>IF(OR(Fact_Analitica[[#This Row], [Año]]="",Fact_Analitica[[#This Row], [Mes]]=""),"",DATE(A466,MATCH(B466,{"enero","febrero","marzo","abril","mayo","junio","julio","agosto","septiembre","octubre","noviembre","diciembre"},0)+1,0))</f>
        <v/>
      </c>
      <c r="E466" t="str">
        <f>+IFERROR(VLOOKUP(Fact_Analitica[[#This Row], [Concepto Anterior]],Conceptos_Analítica_contraloría[#All],5,0),"")</f>
        <v/>
      </c>
      <c r="F466" t="str">
        <f>+IFERROR(VLOOKUP(Fact_Analitica[[#This Row], 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ht="18.75" customHeight="1" x14ac:dyDescent="0.35">
      <c r="C467" s="124" t="str">
        <f>IF(OR(Fact_Analitica[[#This Row], [Año]]="",Fact_Analitica[[#This Row], [Mes]]=""),"",DATE(A467,MATCH(B467,{"enero","febrero","marzo","abril","mayo","junio","julio","agosto","septiembre","octubre","noviembre","diciembre"},0)+1,0))</f>
        <v/>
      </c>
      <c r="E467" t="str">
        <f>+IFERROR(VLOOKUP(Fact_Analitica[[#This Row], [Concepto Anterior]],Conceptos_Analítica_contraloría[#All],5,0),"")</f>
        <v/>
      </c>
      <c r="F467" t="str">
        <f>+IFERROR(VLOOKUP(Fact_Analitica[[#This Row], 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ht="18.75" customHeight="1" x14ac:dyDescent="0.35">
      <c r="C468" s="124" t="str">
        <f>IF(OR(Fact_Analitica[[#This Row], [Año]]="",Fact_Analitica[[#This Row], [Mes]]=""),"",DATE(A468,MATCH(B468,{"enero","febrero","marzo","abril","mayo","junio","julio","agosto","septiembre","octubre","noviembre","diciembre"},0)+1,0))</f>
        <v/>
      </c>
      <c r="E468" t="str">
        <f>+IFERROR(VLOOKUP(Fact_Analitica[[#This Row], [Concepto Anterior]],Conceptos_Analítica_contraloría[#All],5,0),"")</f>
        <v/>
      </c>
      <c r="F468" t="str">
        <f>+IFERROR(VLOOKUP(Fact_Analitica[[#This Row], 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ht="18.75" customHeight="1" x14ac:dyDescent="0.35">
      <c r="C469" s="124" t="str">
        <f>IF(OR(Fact_Analitica[[#This Row], [Año]]="",Fact_Analitica[[#This Row], [Mes]]=""),"",DATE(A469,MATCH(B469,{"enero","febrero","marzo","abril","mayo","junio","julio","agosto","septiembre","octubre","noviembre","diciembre"},0)+1,0))</f>
        <v/>
      </c>
      <c r="E469" t="str">
        <f>+IFERROR(VLOOKUP(Fact_Analitica[[#This Row], [Concepto Anterior]],Conceptos_Analítica_contraloría[#All],5,0),"")</f>
        <v/>
      </c>
      <c r="F469" t="str">
        <f>+IFERROR(VLOOKUP(Fact_Analitica[[#This Row], 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ht="18.75" customHeight="1" x14ac:dyDescent="0.35">
      <c r="C470" s="124" t="str">
        <f>IF(OR(Fact_Analitica[[#This Row], [Año]]="",Fact_Analitica[[#This Row], [Mes]]=""),"",DATE(A470,MATCH(B470,{"enero","febrero","marzo","abril","mayo","junio","julio","agosto","septiembre","octubre","noviembre","diciembre"},0)+1,0))</f>
        <v/>
      </c>
      <c r="E470" t="str">
        <f>+IFERROR(VLOOKUP(Fact_Analitica[[#This Row], [Concepto Anterior]],Conceptos_Analítica_contraloría[#All],5,0),"")</f>
        <v/>
      </c>
      <c r="F470" t="str">
        <f>+IFERROR(VLOOKUP(Fact_Analitica[[#This Row], 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ht="18.75" customHeight="1" x14ac:dyDescent="0.35">
      <c r="C471" s="124" t="str">
        <f>IF(OR(Fact_Analitica[[#This Row], [Año]]="",Fact_Analitica[[#This Row], [Mes]]=""),"",DATE(A471,MATCH(B471,{"enero","febrero","marzo","abril","mayo","junio","julio","agosto","septiembre","octubre","noviembre","diciembre"},0)+1,0))</f>
        <v/>
      </c>
      <c r="E471" t="str">
        <f>+IFERROR(VLOOKUP(Fact_Analitica[[#This Row], [Concepto Anterior]],Conceptos_Analítica_contraloría[#All],5,0),"")</f>
        <v/>
      </c>
      <c r="F471" t="str">
        <f>+IFERROR(VLOOKUP(Fact_Analitica[[#This Row], 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ht="18.75" customHeight="1" x14ac:dyDescent="0.35">
      <c r="C472" s="124" t="str">
        <f>IF(OR(Fact_Analitica[[#This Row], [Año]]="",Fact_Analitica[[#This Row], [Mes]]=""),"",DATE(A472,MATCH(B472,{"enero","febrero","marzo","abril","mayo","junio","julio","agosto","septiembre","octubre","noviembre","diciembre"},0)+1,0))</f>
        <v/>
      </c>
      <c r="E472" t="str">
        <f>+IFERROR(VLOOKUP(Fact_Analitica[[#This Row], [Concepto Anterior]],Conceptos_Analítica_contraloría[#All],5,0),"")</f>
        <v/>
      </c>
      <c r="F472" t="str">
        <f>+IFERROR(VLOOKUP(Fact_Analitica[[#This Row], 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ht="18.75" customHeight="1" x14ac:dyDescent="0.35">
      <c r="C473" s="124" t="str">
        <f>IF(OR(Fact_Analitica[[#This Row], [Año]]="",Fact_Analitica[[#This Row], [Mes]]=""),"",DATE(A473,MATCH(B473,{"enero","febrero","marzo","abril","mayo","junio","julio","agosto","septiembre","octubre","noviembre","diciembre"},0)+1,0))</f>
        <v/>
      </c>
      <c r="E473" t="str">
        <f>+IFERROR(VLOOKUP(Fact_Analitica[[#This Row], [Concepto Anterior]],Conceptos_Analítica_contraloría[#All],5,0),"")</f>
        <v/>
      </c>
      <c r="F473" t="str">
        <f>+IFERROR(VLOOKUP(Fact_Analitica[[#This Row], 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ht="18.75" customHeight="1" x14ac:dyDescent="0.35">
      <c r="C474" s="124" t="str">
        <f>IF(OR(Fact_Analitica[[#This Row], [Año]]="",Fact_Analitica[[#This Row], [Mes]]=""),"",DATE(A474,MATCH(B474,{"enero","febrero","marzo","abril","mayo","junio","julio","agosto","septiembre","octubre","noviembre","diciembre"},0)+1,0))</f>
        <v/>
      </c>
      <c r="E474" t="str">
        <f>+IFERROR(VLOOKUP(Fact_Analitica[[#This Row], [Concepto Anterior]],Conceptos_Analítica_contraloría[#All],5,0),"")</f>
        <v/>
      </c>
      <c r="F474" t="str">
        <f>+IFERROR(VLOOKUP(Fact_Analitica[[#This Row], 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ht="18.75" customHeight="1" x14ac:dyDescent="0.35">
      <c r="C475" s="124" t="str">
        <f>IF(OR(Fact_Analitica[[#This Row], [Año]]="",Fact_Analitica[[#This Row], [Mes]]=""),"",DATE(A475,MATCH(B475,{"enero","febrero","marzo","abril","mayo","junio","julio","agosto","septiembre","octubre","noviembre","diciembre"},0)+1,0))</f>
        <v/>
      </c>
      <c r="E475" t="str">
        <f>+IFERROR(VLOOKUP(Fact_Analitica[[#This Row], [Concepto Anterior]],Conceptos_Analítica_contraloría[#All],5,0),"")</f>
        <v/>
      </c>
      <c r="F475" t="str">
        <f>+IFERROR(VLOOKUP(Fact_Analitica[[#This Row], 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ht="18.75" customHeight="1" x14ac:dyDescent="0.35">
      <c r="C476" s="124" t="str">
        <f>IF(OR(Fact_Analitica[[#This Row], [Año]]="",Fact_Analitica[[#This Row], [Mes]]=""),"",DATE(A476,MATCH(B476,{"enero","febrero","marzo","abril","mayo","junio","julio","agosto","septiembre","octubre","noviembre","diciembre"},0)+1,0))</f>
        <v/>
      </c>
      <c r="E476" t="str">
        <f>+IFERROR(VLOOKUP(Fact_Analitica[[#This Row], [Concepto Anterior]],Conceptos_Analítica_contraloría[#All],5,0),"")</f>
        <v/>
      </c>
      <c r="F476" t="str">
        <f>+IFERROR(VLOOKUP(Fact_Analitica[[#This Row], 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ht="18.75" customHeight="1" x14ac:dyDescent="0.35">
      <c r="C477" s="124" t="str">
        <f>IF(OR(Fact_Analitica[[#This Row], [Año]]="",Fact_Analitica[[#This Row], [Mes]]=""),"",DATE(A477,MATCH(B477,{"enero","febrero","marzo","abril","mayo","junio","julio","agosto","septiembre","octubre","noviembre","diciembre"},0)+1,0))</f>
        <v/>
      </c>
      <c r="E477" t="str">
        <f>+IFERROR(VLOOKUP(Fact_Analitica[[#This Row], [Concepto Anterior]],Conceptos_Analítica_contraloría[#All],5,0),"")</f>
        <v/>
      </c>
      <c r="F477" t="str">
        <f>+IFERROR(VLOOKUP(Fact_Analitica[[#This Row], 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ht="18.75" customHeight="1" x14ac:dyDescent="0.35">
      <c r="C478" s="124" t="str">
        <f>IF(OR(Fact_Analitica[[#This Row], [Año]]="",Fact_Analitica[[#This Row], [Mes]]=""),"",DATE(A478,MATCH(B478,{"enero","febrero","marzo","abril","mayo","junio","julio","agosto","septiembre","octubre","noviembre","diciembre"},0)+1,0))</f>
        <v/>
      </c>
      <c r="E478" t="str">
        <f>+IFERROR(VLOOKUP(Fact_Analitica[[#This Row], [Concepto Anterior]],Conceptos_Analítica_contraloría[#All],5,0),"")</f>
        <v/>
      </c>
      <c r="F478" t="str">
        <f>+IFERROR(VLOOKUP(Fact_Analitica[[#This Row], 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ht="18.75" customHeight="1" x14ac:dyDescent="0.35">
      <c r="C479" s="124" t="str">
        <f>IF(OR(Fact_Analitica[[#This Row], [Año]]="",Fact_Analitica[[#This Row], [Mes]]=""),"",DATE(A479,MATCH(B479,{"enero","febrero","marzo","abril","mayo","junio","julio","agosto","septiembre","octubre","noviembre","diciembre"},0)+1,0))</f>
        <v/>
      </c>
      <c r="E479" t="str">
        <f>+IFERROR(VLOOKUP(Fact_Analitica[[#This Row], [Concepto Anterior]],Conceptos_Analítica_contraloría[#All],5,0),"")</f>
        <v/>
      </c>
      <c r="F479" t="str">
        <f>+IFERROR(VLOOKUP(Fact_Analitica[[#This Row], 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ht="18.75" customHeight="1" x14ac:dyDescent="0.35">
      <c r="C480" s="124" t="str">
        <f>IF(OR(Fact_Analitica[[#This Row], [Año]]="",Fact_Analitica[[#This Row], [Mes]]=""),"",DATE(A480,MATCH(B480,{"enero","febrero","marzo","abril","mayo","junio","julio","agosto","septiembre","octubre","noviembre","diciembre"},0)+1,0))</f>
        <v/>
      </c>
      <c r="E480" t="str">
        <f>+IFERROR(VLOOKUP(Fact_Analitica[[#This Row], [Concepto Anterior]],Conceptos_Analítica_contraloría[#All],5,0),"")</f>
        <v/>
      </c>
      <c r="F480" t="str">
        <f>+IFERROR(VLOOKUP(Fact_Analitica[[#This Row], 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ht="18.75" customHeight="1" x14ac:dyDescent="0.35">
      <c r="C481" s="124" t="str">
        <f>IF(OR(Fact_Analitica[[#This Row], [Año]]="",Fact_Analitica[[#This Row], [Mes]]=""),"",DATE(A481,MATCH(B481,{"enero","febrero","marzo","abril","mayo","junio","julio","agosto","septiembre","octubre","noviembre","diciembre"},0)+1,0))</f>
        <v/>
      </c>
      <c r="E481" t="str">
        <f>+IFERROR(VLOOKUP(Fact_Analitica[[#This Row], [Concepto Anterior]],Conceptos_Analítica_contraloría[#All],5,0),"")</f>
        <v/>
      </c>
      <c r="F481" t="str">
        <f>+IFERROR(VLOOKUP(Fact_Analitica[[#This Row], 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ht="18.75" customHeight="1" x14ac:dyDescent="0.35">
      <c r="C482" s="124" t="str">
        <f>IF(OR(Fact_Analitica[[#This Row], [Año]]="",Fact_Analitica[[#This Row], [Mes]]=""),"",DATE(A482,MATCH(B482,{"enero","febrero","marzo","abril","mayo","junio","julio","agosto","septiembre","octubre","noviembre","diciembre"},0)+1,0))</f>
        <v/>
      </c>
      <c r="E482" t="str">
        <f>+IFERROR(VLOOKUP(Fact_Analitica[[#This Row], [Concepto Anterior]],Conceptos_Analítica_contraloría[#All],5,0),"")</f>
        <v/>
      </c>
      <c r="F482" t="str">
        <f>+IFERROR(VLOOKUP(Fact_Analitica[[#This Row], 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ht="18.75" customHeight="1" x14ac:dyDescent="0.35">
      <c r="C483" s="124" t="str">
        <f>IF(OR(Fact_Analitica[[#This Row], [Año]]="",Fact_Analitica[[#This Row], [Mes]]=""),"",DATE(A483,MATCH(B483,{"enero","febrero","marzo","abril","mayo","junio","julio","agosto","septiembre","octubre","noviembre","diciembre"},0)+1,0))</f>
        <v/>
      </c>
      <c r="E483" t="str">
        <f>+IFERROR(VLOOKUP(Fact_Analitica[[#This Row], [Concepto Anterior]],Conceptos_Analítica_contraloría[#All],5,0),"")</f>
        <v/>
      </c>
      <c r="F483" t="str">
        <f>+IFERROR(VLOOKUP(Fact_Analitica[[#This Row], 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ht="18.75" customHeight="1" x14ac:dyDescent="0.35">
      <c r="C484" s="124" t="str">
        <f>IF(OR(Fact_Analitica[[#This Row], [Año]]="",Fact_Analitica[[#This Row], [Mes]]=""),"",DATE(A484,MATCH(B484,{"enero","febrero","marzo","abril","mayo","junio","julio","agosto","septiembre","octubre","noviembre","diciembre"},0)+1,0))</f>
        <v/>
      </c>
      <c r="E484" t="str">
        <f>+IFERROR(VLOOKUP(Fact_Analitica[[#This Row], [Concepto Anterior]],Conceptos_Analítica_contraloría[#All],5,0),"")</f>
        <v/>
      </c>
      <c r="F484" t="str">
        <f>+IFERROR(VLOOKUP(Fact_Analitica[[#This Row], 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ht="18.75" customHeight="1" x14ac:dyDescent="0.35">
      <c r="C485" s="124" t="str">
        <f>IF(OR(Fact_Analitica[[#This Row], [Año]]="",Fact_Analitica[[#This Row], [Mes]]=""),"",DATE(A485,MATCH(B485,{"enero","febrero","marzo","abril","mayo","junio","julio","agosto","septiembre","octubre","noviembre","diciembre"},0)+1,0))</f>
        <v/>
      </c>
      <c r="E485" t="str">
        <f>+IFERROR(VLOOKUP(Fact_Analitica[[#This Row], [Concepto Anterior]],Conceptos_Analítica_contraloría[#All],5,0),"")</f>
        <v/>
      </c>
      <c r="F485" t="str">
        <f>+IFERROR(VLOOKUP(Fact_Analitica[[#This Row], 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ht="18.75" customHeight="1" x14ac:dyDescent="0.35">
      <c r="C486" s="124" t="str">
        <f>IF(OR(Fact_Analitica[[#This Row], [Año]]="",Fact_Analitica[[#This Row], [Mes]]=""),"",DATE(A486,MATCH(B486,{"enero","febrero","marzo","abril","mayo","junio","julio","agosto","septiembre","octubre","noviembre","diciembre"},0)+1,0))</f>
        <v/>
      </c>
      <c r="E486" t="str">
        <f>+IFERROR(VLOOKUP(Fact_Analitica[[#This Row], [Concepto Anterior]],Conceptos_Analítica_contraloría[#All],5,0),"")</f>
        <v/>
      </c>
      <c r="F486" t="str">
        <f>+IFERROR(VLOOKUP(Fact_Analitica[[#This Row], 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ht="18.75" customHeight="1" x14ac:dyDescent="0.35">
      <c r="C487" s="124" t="str">
        <f>IF(OR(Fact_Analitica[[#This Row], [Año]]="",Fact_Analitica[[#This Row], [Mes]]=""),"",DATE(A487,MATCH(B487,{"enero","febrero","marzo","abril","mayo","junio","julio","agosto","septiembre","octubre","noviembre","diciembre"},0)+1,0))</f>
        <v/>
      </c>
      <c r="E487" t="str">
        <f>+IFERROR(VLOOKUP(Fact_Analitica[[#This Row], [Concepto Anterior]],Conceptos_Analítica_contraloría[#All],5,0),"")</f>
        <v/>
      </c>
      <c r="F487" t="str">
        <f>+IFERROR(VLOOKUP(Fact_Analitica[[#This Row], 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ht="18.75" customHeight="1" x14ac:dyDescent="0.35">
      <c r="C488" s="124" t="str">
        <f>IF(OR(Fact_Analitica[[#This Row], [Año]]="",Fact_Analitica[[#This Row], [Mes]]=""),"",DATE(A488,MATCH(B488,{"enero","febrero","marzo","abril","mayo","junio","julio","agosto","septiembre","octubre","noviembre","diciembre"},0)+1,0))</f>
        <v/>
      </c>
      <c r="E488" t="str">
        <f>+IFERROR(VLOOKUP(Fact_Analitica[[#This Row], [Concepto Anterior]],Conceptos_Analítica_contraloría[#All],5,0),"")</f>
        <v/>
      </c>
      <c r="F488" t="str">
        <f>+IFERROR(VLOOKUP(Fact_Analitica[[#This Row], 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ht="18.75" customHeight="1" x14ac:dyDescent="0.35">
      <c r="C489" s="124" t="str">
        <f>IF(OR(Fact_Analitica[[#This Row], [Año]]="",Fact_Analitica[[#This Row], [Mes]]=""),"",DATE(A489,MATCH(B489,{"enero","febrero","marzo","abril","mayo","junio","julio","agosto","septiembre","octubre","noviembre","diciembre"},0)+1,0))</f>
        <v/>
      </c>
      <c r="E489" t="str">
        <f>+IFERROR(VLOOKUP(Fact_Analitica[[#This Row], [Concepto Anterior]],Conceptos_Analítica_contraloría[#All],5,0),"")</f>
        <v/>
      </c>
      <c r="F489" t="str">
        <f>+IFERROR(VLOOKUP(Fact_Analitica[[#This Row], 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ht="18.75" customHeight="1" x14ac:dyDescent="0.35">
      <c r="C490" s="124" t="str">
        <f>IF(OR(Fact_Analitica[[#This Row], [Año]]="",Fact_Analitica[[#This Row], [Mes]]=""),"",DATE(A490,MATCH(B490,{"enero","febrero","marzo","abril","mayo","junio","julio","agosto","septiembre","octubre","noviembre","diciembre"},0)+1,0))</f>
        <v/>
      </c>
      <c r="E490" t="str">
        <f>+IFERROR(VLOOKUP(Fact_Analitica[[#This Row], [Concepto Anterior]],Conceptos_Analítica_contraloría[#All],5,0),"")</f>
        <v/>
      </c>
      <c r="F490" t="str">
        <f>+IFERROR(VLOOKUP(Fact_Analitica[[#This Row], 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ht="18.75" customHeight="1" x14ac:dyDescent="0.35">
      <c r="C491" s="124" t="str">
        <f>IF(OR(Fact_Analitica[[#This Row], [Año]]="",Fact_Analitica[[#This Row], [Mes]]=""),"",DATE(A491,MATCH(B491,{"enero","febrero","marzo","abril","mayo","junio","julio","agosto","septiembre","octubre","noviembre","diciembre"},0)+1,0))</f>
        <v/>
      </c>
      <c r="E491" t="str">
        <f>+IFERROR(VLOOKUP(Fact_Analitica[[#This Row], [Concepto Anterior]],Conceptos_Analítica_contraloría[#All],5,0),"")</f>
        <v/>
      </c>
      <c r="F491" t="str">
        <f>+IFERROR(VLOOKUP(Fact_Analitica[[#This Row], 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ht="18.75" customHeight="1" x14ac:dyDescent="0.35">
      <c r="C492" s="124" t="str">
        <f>IF(OR(Fact_Analitica[[#This Row], [Año]]="",Fact_Analitica[[#This Row], [Mes]]=""),"",DATE(A492,MATCH(B492,{"enero","febrero","marzo","abril","mayo","junio","julio","agosto","septiembre","octubre","noviembre","diciembre"},0)+1,0))</f>
        <v/>
      </c>
      <c r="E492" t="str">
        <f>+IFERROR(VLOOKUP(Fact_Analitica[[#This Row], [Concepto Anterior]],Conceptos_Analítica_contraloría[#All],5,0),"")</f>
        <v/>
      </c>
      <c r="F492" t="str">
        <f>+IFERROR(VLOOKUP(Fact_Analitica[[#This Row], 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ht="18.75" customHeight="1" x14ac:dyDescent="0.35">
      <c r="C493" s="124" t="str">
        <f>IF(OR(Fact_Analitica[[#This Row], [Año]]="",Fact_Analitica[[#This Row], [Mes]]=""),"",DATE(A493,MATCH(B493,{"enero","febrero","marzo","abril","mayo","junio","julio","agosto","septiembre","octubre","noviembre","diciembre"},0)+1,0))</f>
        <v/>
      </c>
      <c r="E493" t="str">
        <f>+IFERROR(VLOOKUP(Fact_Analitica[[#This Row], [Concepto Anterior]],Conceptos_Analítica_contraloría[#All],5,0),"")</f>
        <v/>
      </c>
      <c r="F493" t="str">
        <f>+IFERROR(VLOOKUP(Fact_Analitica[[#This Row], 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ht="18.75" customHeight="1" x14ac:dyDescent="0.35">
      <c r="C494" s="124" t="str">
        <f>IF(OR(Fact_Analitica[[#This Row], [Año]]="",Fact_Analitica[[#This Row], [Mes]]=""),"",DATE(A494,MATCH(B494,{"enero","febrero","marzo","abril","mayo","junio","julio","agosto","septiembre","octubre","noviembre","diciembre"},0)+1,0))</f>
        <v/>
      </c>
      <c r="E494" t="str">
        <f>+IFERROR(VLOOKUP(Fact_Analitica[[#This Row], [Concepto Anterior]],Conceptos_Analítica_contraloría[#All],5,0),"")</f>
        <v/>
      </c>
      <c r="F494" t="str">
        <f>+IFERROR(VLOOKUP(Fact_Analitica[[#This Row], 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ht="18.75" customHeight="1" x14ac:dyDescent="0.35">
      <c r="C495" s="124" t="str">
        <f>IF(OR(Fact_Analitica[[#This Row], [Año]]="",Fact_Analitica[[#This Row], [Mes]]=""),"",DATE(A495,MATCH(B495,{"enero","febrero","marzo","abril","mayo","junio","julio","agosto","septiembre","octubre","noviembre","diciembre"},0)+1,0))</f>
        <v/>
      </c>
      <c r="E495" t="str">
        <f>+IFERROR(VLOOKUP(Fact_Analitica[[#This Row], [Concepto Anterior]],Conceptos_Analítica_contraloría[#All],5,0),"")</f>
        <v/>
      </c>
      <c r="F495" t="str">
        <f>+IFERROR(VLOOKUP(Fact_Analitica[[#This Row], 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ht="18.75" customHeight="1" x14ac:dyDescent="0.35">
      <c r="C496" s="124" t="str">
        <f>IF(OR(Fact_Analitica[[#This Row], [Año]]="",Fact_Analitica[[#This Row], [Mes]]=""),"",DATE(A496,MATCH(B496,{"enero","febrero","marzo","abril","mayo","junio","julio","agosto","septiembre","octubre","noviembre","diciembre"},0)+1,0))</f>
        <v/>
      </c>
      <c r="E496" t="str">
        <f>+IFERROR(VLOOKUP(Fact_Analitica[[#This Row], [Concepto Anterior]],Conceptos_Analítica_contraloría[#All],5,0),"")</f>
        <v/>
      </c>
      <c r="F496" t="str">
        <f>+IFERROR(VLOOKUP(Fact_Analitica[[#This Row], 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ht="18.75" customHeight="1" x14ac:dyDescent="0.35">
      <c r="C497" s="124" t="str">
        <f>IF(OR(Fact_Analitica[[#This Row], [Año]]="",Fact_Analitica[[#This Row], [Mes]]=""),"",DATE(A497,MATCH(B497,{"enero","febrero","marzo","abril","mayo","junio","julio","agosto","septiembre","octubre","noviembre","diciembre"},0)+1,0))</f>
        <v/>
      </c>
      <c r="E497" t="str">
        <f>+IFERROR(VLOOKUP(Fact_Analitica[[#This Row], [Concepto Anterior]],Conceptos_Analítica_contraloría[#All],5,0),"")</f>
        <v/>
      </c>
      <c r="F497" t="str">
        <f>+IFERROR(VLOOKUP(Fact_Analitica[[#This Row], 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ht="18.75" customHeight="1" x14ac:dyDescent="0.35">
      <c r="C498" s="124" t="str">
        <f>IF(OR(Fact_Analitica[[#This Row], [Año]]="",Fact_Analitica[[#This Row], [Mes]]=""),"",DATE(A498,MATCH(B498,{"enero","febrero","marzo","abril","mayo","junio","julio","agosto","septiembre","octubre","noviembre","diciembre"},0)+1,0))</f>
        <v/>
      </c>
      <c r="E498" t="str">
        <f>+IFERROR(VLOOKUP(Fact_Analitica[[#This Row], [Concepto Anterior]],Conceptos_Analítica_contraloría[#All],5,0),"")</f>
        <v/>
      </c>
      <c r="F498" t="str">
        <f>+IFERROR(VLOOKUP(Fact_Analitica[[#This Row], 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ht="18.75" customHeight="1" x14ac:dyDescent="0.35">
      <c r="C499" s="124" t="str">
        <f>IF(OR(Fact_Analitica[[#This Row], [Año]]="",Fact_Analitica[[#This Row], [Mes]]=""),"",DATE(A499,MATCH(B499,{"enero","febrero","marzo","abril","mayo","junio","julio","agosto","septiembre","octubre","noviembre","diciembre"},0)+1,0))</f>
        <v/>
      </c>
      <c r="E499" t="str">
        <f>+IFERROR(VLOOKUP(Fact_Analitica[[#This Row], [Concepto Anterior]],Conceptos_Analítica_contraloría[#All],5,0),"")</f>
        <v/>
      </c>
      <c r="F499" t="str">
        <f>+IFERROR(VLOOKUP(Fact_Analitica[[#This Row], 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ht="18.75" customHeight="1" x14ac:dyDescent="0.35">
      <c r="C500" s="124" t="str">
        <f>IF(OR(Fact_Analitica[[#This Row], [Año]]="",Fact_Analitica[[#This Row], [Mes]]=""),"",DATE(A500,MATCH(B500,{"enero","febrero","marzo","abril","mayo","junio","julio","agosto","septiembre","octubre","noviembre","diciembre"},0)+1,0))</f>
        <v/>
      </c>
      <c r="E500" t="str">
        <f>+IFERROR(VLOOKUP(Fact_Analitica[[#This Row], [Concepto Anterior]],Conceptos_Analítica_contraloría[#All],5,0),"")</f>
        <v/>
      </c>
      <c r="F500" t="str">
        <f>+IFERROR(VLOOKUP(Fact_Analitica[[#This Row], 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ht="18.75" customHeight="1" x14ac:dyDescent="0.35">
      <c r="C501" s="124" t="str">
        <f>IF(OR(Fact_Analitica[[#This Row], [Año]]="",Fact_Analitica[[#This Row], [Mes]]=""),"",DATE(A501,MATCH(B501,{"enero","febrero","marzo","abril","mayo","junio","julio","agosto","septiembre","octubre","noviembre","diciembre"},0)+1,0))</f>
        <v/>
      </c>
      <c r="E501" t="str">
        <f>+IFERROR(VLOOKUP(Fact_Analitica[[#This Row], [Concepto Anterior]],Conceptos_Analítica_contraloría[#All],5,0),"")</f>
        <v/>
      </c>
      <c r="F501" t="str">
        <f>+IFERROR(VLOOKUP(Fact_Analitica[[#This Row], 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ht="18.75" customHeight="1" x14ac:dyDescent="0.35">
      <c r="C502" s="124" t="str">
        <f>IF(OR(Fact_Analitica[[#This Row], [Año]]="",Fact_Analitica[[#This Row], [Mes]]=""),"",DATE(A502,MATCH(B502,{"enero","febrero","marzo","abril","mayo","junio","julio","agosto","septiembre","octubre","noviembre","diciembre"},0)+1,0))</f>
        <v/>
      </c>
      <c r="E502" t="str">
        <f>+IFERROR(VLOOKUP(Fact_Analitica[[#This Row], [Concepto Anterior]],Conceptos_Analítica_contraloría[#All],5,0),"")</f>
        <v/>
      </c>
      <c r="F502" t="str">
        <f>+IFERROR(VLOOKUP(Fact_Analitica[[#This Row], 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ht="18.75" customHeight="1" x14ac:dyDescent="0.35">
      <c r="C503" s="124" t="str">
        <f>IF(OR(Fact_Analitica[[#This Row], [Año]]="",Fact_Analitica[[#This Row], [Mes]]=""),"",DATE(A503,MATCH(B503,{"enero","febrero","marzo","abril","mayo","junio","julio","agosto","septiembre","octubre","noviembre","diciembre"},0)+1,0))</f>
        <v/>
      </c>
      <c r="E503" t="str">
        <f>+IFERROR(VLOOKUP(Fact_Analitica[[#This Row], [Concepto Anterior]],Conceptos_Analítica_contraloría[#All],5,0),"")</f>
        <v/>
      </c>
      <c r="F503" t="str">
        <f>+IFERROR(VLOOKUP(Fact_Analitica[[#This Row], 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ht="18.75" customHeight="1" x14ac:dyDescent="0.35">
      <c r="C504" s="124" t="str">
        <f>IF(OR(Fact_Analitica[[#This Row], [Año]]="",Fact_Analitica[[#This Row], [Mes]]=""),"",DATE(A504,MATCH(B504,{"enero","febrero","marzo","abril","mayo","junio","julio","agosto","septiembre","octubre","noviembre","diciembre"},0)+1,0))</f>
        <v/>
      </c>
      <c r="E504" t="str">
        <f>+IFERROR(VLOOKUP(Fact_Analitica[[#This Row], [Concepto Anterior]],Conceptos_Analítica_contraloría[#All],5,0),"")</f>
        <v/>
      </c>
      <c r="F504" t="str">
        <f>+IFERROR(VLOOKUP(Fact_Analitica[[#This Row], 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ht="18.75" customHeight="1" x14ac:dyDescent="0.35">
      <c r="C505" s="124" t="str">
        <f>IF(OR(Fact_Analitica[[#This Row], [Año]]="",Fact_Analitica[[#This Row], [Mes]]=""),"",DATE(A505,MATCH(B505,{"enero","febrero","marzo","abril","mayo","junio","julio","agosto","septiembre","octubre","noviembre","diciembre"},0)+1,0))</f>
        <v/>
      </c>
      <c r="E505" t="str">
        <f>+IFERROR(VLOOKUP(Fact_Analitica[[#This Row], [Concepto Anterior]],Conceptos_Analítica_contraloría[#All],5,0),"")</f>
        <v/>
      </c>
      <c r="F505" t="str">
        <f>+IFERROR(VLOOKUP(Fact_Analitica[[#This Row], 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ht="18.75" customHeight="1" x14ac:dyDescent="0.35">
      <c r="C506" s="124" t="str">
        <f>IF(OR(Fact_Analitica[[#This Row], [Año]]="",Fact_Analitica[[#This Row], [Mes]]=""),"",DATE(A506,MATCH(B506,{"enero","febrero","marzo","abril","mayo","junio","julio","agosto","septiembre","octubre","noviembre","diciembre"},0)+1,0))</f>
        <v/>
      </c>
      <c r="E506" t="str">
        <f>+IFERROR(VLOOKUP(Fact_Analitica[[#This Row], [Concepto Anterior]],Conceptos_Analítica_contraloría[#All],5,0),"")</f>
        <v/>
      </c>
      <c r="F506" t="str">
        <f>+IFERROR(VLOOKUP(Fact_Analitica[[#This Row], 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ht="18.75" customHeight="1" x14ac:dyDescent="0.35">
      <c r="C507" s="124" t="str">
        <f>IF(OR(Fact_Analitica[[#This Row], [Año]]="",Fact_Analitica[[#This Row], [Mes]]=""),"",DATE(A507,MATCH(B507,{"enero","febrero","marzo","abril","mayo","junio","julio","agosto","septiembre","octubre","noviembre","diciembre"},0)+1,0))</f>
        <v/>
      </c>
      <c r="E507" t="str">
        <f>+IFERROR(VLOOKUP(Fact_Analitica[[#This Row], [Concepto Anterior]],Conceptos_Analítica_contraloría[#All],5,0),"")</f>
        <v/>
      </c>
      <c r="F507" t="str">
        <f>+IFERROR(VLOOKUP(Fact_Analitica[[#This Row], 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ht="18.75" customHeight="1" x14ac:dyDescent="0.35">
      <c r="C508" s="124" t="str">
        <f>IF(OR(Fact_Analitica[[#This Row], [Año]]="",Fact_Analitica[[#This Row], [Mes]]=""),"",DATE(A508,MATCH(B508,{"enero","febrero","marzo","abril","mayo","junio","julio","agosto","septiembre","octubre","noviembre","diciembre"},0)+1,0))</f>
        <v/>
      </c>
      <c r="E508" t="str">
        <f>+IFERROR(VLOOKUP(Fact_Analitica[[#This Row], [Concepto Anterior]],Conceptos_Analítica_contraloría[#All],5,0),"")</f>
        <v/>
      </c>
      <c r="F508" t="str">
        <f>+IFERROR(VLOOKUP(Fact_Analitica[[#This Row], 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ht="18.75" customHeight="1" x14ac:dyDescent="0.35">
      <c r="C509" s="124" t="str">
        <f>IF(OR(Fact_Analitica[[#This Row], [Año]]="",Fact_Analitica[[#This Row], [Mes]]=""),"",DATE(A509,MATCH(B509,{"enero","febrero","marzo","abril","mayo","junio","julio","agosto","septiembre","octubre","noviembre","diciembre"},0)+1,0))</f>
        <v/>
      </c>
      <c r="E509" t="str">
        <f>+IFERROR(VLOOKUP(Fact_Analitica[[#This Row], [Concepto Anterior]],Conceptos_Analítica_contraloría[#All],5,0),"")</f>
        <v/>
      </c>
      <c r="F509" t="str">
        <f>+IFERROR(VLOOKUP(Fact_Analitica[[#This Row], 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ht="18.75" customHeight="1" x14ac:dyDescent="0.35">
      <c r="C510" s="124" t="str">
        <f>IF(OR(Fact_Analitica[[#This Row], [Año]]="",Fact_Analitica[[#This Row], [Mes]]=""),"",DATE(A510,MATCH(B510,{"enero","febrero","marzo","abril","mayo","junio","julio","agosto","septiembre","octubre","noviembre","diciembre"},0)+1,0))</f>
        <v/>
      </c>
      <c r="E510" t="str">
        <f>+IFERROR(VLOOKUP(Fact_Analitica[[#This Row], [Concepto Anterior]],Conceptos_Analítica_contraloría[#All],5,0),"")</f>
        <v/>
      </c>
      <c r="F510" t="str">
        <f>+IFERROR(VLOOKUP(Fact_Analitica[[#This Row], 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ht="18.75" customHeight="1" x14ac:dyDescent="0.35">
      <c r="C511" s="124" t="str">
        <f>IF(OR(Fact_Analitica[[#This Row], [Año]]="",Fact_Analitica[[#This Row], [Mes]]=""),"",DATE(A511,MATCH(B511,{"enero","febrero","marzo","abril","mayo","junio","julio","agosto","septiembre","octubre","noviembre","diciembre"},0)+1,0))</f>
        <v/>
      </c>
      <c r="E511" t="str">
        <f>+IFERROR(VLOOKUP(Fact_Analitica[[#This Row], [Concepto Anterior]],Conceptos_Analítica_contraloría[#All],5,0),"")</f>
        <v/>
      </c>
      <c r="F511" t="str">
        <f>+IFERROR(VLOOKUP(Fact_Analitica[[#This Row], 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ht="18.75" customHeight="1" x14ac:dyDescent="0.35">
      <c r="C512" s="124" t="str">
        <f>IF(OR(Fact_Analitica[[#This Row], [Año]]="",Fact_Analitica[[#This Row], [Mes]]=""),"",DATE(A512,MATCH(B512,{"enero","febrero","marzo","abril","mayo","junio","julio","agosto","septiembre","octubre","noviembre","diciembre"},0)+1,0))</f>
        <v/>
      </c>
      <c r="E512" t="str">
        <f>+IFERROR(VLOOKUP(Fact_Analitica[[#This Row], [Concepto Anterior]],Conceptos_Analítica_contraloría[#All],5,0),"")</f>
        <v/>
      </c>
      <c r="F512" t="str">
        <f>+IFERROR(VLOOKUP(Fact_Analitica[[#This Row], 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ht="18.75" customHeight="1" x14ac:dyDescent="0.35">
      <c r="C513" s="124" t="str">
        <f>IF(OR(Fact_Analitica[[#This Row], [Año]]="",Fact_Analitica[[#This Row], [Mes]]=""),"",DATE(A513,MATCH(B513,{"enero","febrero","marzo","abril","mayo","junio","julio","agosto","septiembre","octubre","noviembre","diciembre"},0)+1,0))</f>
        <v/>
      </c>
      <c r="E513" t="str">
        <f>+IFERROR(VLOOKUP(Fact_Analitica[[#This Row], [Concepto Anterior]],Conceptos_Analítica_contraloría[#All],5,0),"")</f>
        <v/>
      </c>
      <c r="F513" t="str">
        <f>+IFERROR(VLOOKUP(Fact_Analitica[[#This Row], 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ht="18.75" customHeight="1" x14ac:dyDescent="0.35">
      <c r="C514" s="124" t="str">
        <f>IF(OR(Fact_Analitica[[#This Row], [Año]]="",Fact_Analitica[[#This Row], [Mes]]=""),"",DATE(A514,MATCH(B514,{"enero","febrero","marzo","abril","mayo","junio","julio","agosto","septiembre","octubre","noviembre","diciembre"},0)+1,0))</f>
        <v/>
      </c>
      <c r="E514" t="str">
        <f>+IFERROR(VLOOKUP(Fact_Analitica[[#This Row], [Concepto Anterior]],Conceptos_Analítica_contraloría[#All],5,0),"")</f>
        <v/>
      </c>
      <c r="F514" t="str">
        <f>+IFERROR(VLOOKUP(Fact_Analitica[[#This Row], 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ht="18.75" customHeight="1" x14ac:dyDescent="0.35">
      <c r="C515" s="124" t="str">
        <f>IF(OR(Fact_Analitica[[#This Row], [Año]]="",Fact_Analitica[[#This Row], [Mes]]=""),"",DATE(A515,MATCH(B515,{"enero","febrero","marzo","abril","mayo","junio","julio","agosto","septiembre","octubre","noviembre","diciembre"},0)+1,0))</f>
        <v/>
      </c>
      <c r="E515" t="str">
        <f>+IFERROR(VLOOKUP(Fact_Analitica[[#This Row], [Concepto Anterior]],Conceptos_Analítica_contraloría[#All],5,0),"")</f>
        <v/>
      </c>
      <c r="F515" t="str">
        <f>+IFERROR(VLOOKUP(Fact_Analitica[[#This Row], 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ht="18.75" customHeight="1" x14ac:dyDescent="0.35">
      <c r="C516" s="124" t="str">
        <f>IF(OR(Fact_Analitica[[#This Row], [Año]]="",Fact_Analitica[[#This Row], [Mes]]=""),"",DATE(A516,MATCH(B516,{"enero","febrero","marzo","abril","mayo","junio","julio","agosto","septiembre","octubre","noviembre","diciembre"},0)+1,0))</f>
        <v/>
      </c>
      <c r="E516" t="str">
        <f>+IFERROR(VLOOKUP(Fact_Analitica[[#This Row], [Concepto Anterior]],Conceptos_Analítica_contraloría[#All],5,0),"")</f>
        <v/>
      </c>
      <c r="F516" t="str">
        <f>+IFERROR(VLOOKUP(Fact_Analitica[[#This Row], 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ht="18.75" customHeight="1" x14ac:dyDescent="0.35">
      <c r="C517" s="124" t="str">
        <f>IF(OR(Fact_Analitica[[#This Row], [Año]]="",Fact_Analitica[[#This Row], [Mes]]=""),"",DATE(A517,MATCH(B517,{"enero","febrero","marzo","abril","mayo","junio","julio","agosto","septiembre","octubre","noviembre","diciembre"},0)+1,0))</f>
        <v/>
      </c>
      <c r="E517" t="str">
        <f>+IFERROR(VLOOKUP(Fact_Analitica[[#This Row], [Concepto Anterior]],Conceptos_Analítica_contraloría[#All],5,0),"")</f>
        <v/>
      </c>
      <c r="F517" t="str">
        <f>+IFERROR(VLOOKUP(Fact_Analitica[[#This Row], 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ht="18.75" customHeight="1" x14ac:dyDescent="0.35">
      <c r="C518" s="124" t="str">
        <f>IF(OR(Fact_Analitica[[#This Row], [Año]]="",Fact_Analitica[[#This Row], [Mes]]=""),"",DATE(A518,MATCH(B518,{"enero","febrero","marzo","abril","mayo","junio","julio","agosto","septiembre","octubre","noviembre","diciembre"},0)+1,0))</f>
        <v/>
      </c>
      <c r="E518" t="str">
        <f>+IFERROR(VLOOKUP(Fact_Analitica[[#This Row], [Concepto Anterior]],Conceptos_Analítica_contraloría[#All],5,0),"")</f>
        <v/>
      </c>
      <c r="F518" t="str">
        <f>+IFERROR(VLOOKUP(Fact_Analitica[[#This Row], 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ht="18.75" customHeight="1" x14ac:dyDescent="0.35">
      <c r="C519" s="124" t="str">
        <f>IF(OR(Fact_Analitica[[#This Row], [Año]]="",Fact_Analitica[[#This Row], [Mes]]=""),"",DATE(A519,MATCH(B519,{"enero","febrero","marzo","abril","mayo","junio","julio","agosto","septiembre","octubre","noviembre","diciembre"},0)+1,0))</f>
        <v/>
      </c>
      <c r="E519" t="str">
        <f>+IFERROR(VLOOKUP(Fact_Analitica[[#This Row], [Concepto Anterior]],Conceptos_Analítica_contraloría[#All],5,0),"")</f>
        <v/>
      </c>
      <c r="F519" t="str">
        <f>+IFERROR(VLOOKUP(Fact_Analitica[[#This Row], 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ht="18.75" customHeight="1" x14ac:dyDescent="0.35">
      <c r="C520" s="124" t="str">
        <f>IF(OR(Fact_Analitica[[#This Row], [Año]]="",Fact_Analitica[[#This Row], [Mes]]=""),"",DATE(A520,MATCH(B520,{"enero","febrero","marzo","abril","mayo","junio","julio","agosto","septiembre","octubre","noviembre","diciembre"},0)+1,0))</f>
        <v/>
      </c>
      <c r="E520" t="str">
        <f>+IFERROR(VLOOKUP(Fact_Analitica[[#This Row], [Concepto Anterior]],Conceptos_Analítica_contraloría[#All],5,0),"")</f>
        <v/>
      </c>
      <c r="F520" t="str">
        <f>+IFERROR(VLOOKUP(Fact_Analitica[[#This Row], 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ht="18.75" customHeight="1" x14ac:dyDescent="0.35">
      <c r="C521" s="124" t="str">
        <f>IF(OR(Fact_Analitica[[#This Row], [Año]]="",Fact_Analitica[[#This Row], [Mes]]=""),"",DATE(A521,MATCH(B521,{"enero","febrero","marzo","abril","mayo","junio","julio","agosto","septiembre","octubre","noviembre","diciembre"},0)+1,0))</f>
        <v/>
      </c>
      <c r="E521" t="str">
        <f>+IFERROR(VLOOKUP(Fact_Analitica[[#This Row], [Concepto Anterior]],Conceptos_Analítica_contraloría[#All],5,0),"")</f>
        <v/>
      </c>
      <c r="F521" t="str">
        <f>+IFERROR(VLOOKUP(Fact_Analitica[[#This Row], 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ht="18.75" customHeight="1" x14ac:dyDescent="0.35">
      <c r="C522" s="124" t="str">
        <f>IF(OR(Fact_Analitica[[#This Row], [Año]]="",Fact_Analitica[[#This Row], [Mes]]=""),"",DATE(A522,MATCH(B522,{"enero","febrero","marzo","abril","mayo","junio","julio","agosto","septiembre","octubre","noviembre","diciembre"},0)+1,0))</f>
        <v/>
      </c>
      <c r="E522" t="str">
        <f>+IFERROR(VLOOKUP(Fact_Analitica[[#This Row], [Concepto Anterior]],Conceptos_Analítica_contraloría[#All],5,0),"")</f>
        <v/>
      </c>
      <c r="F522" t="str">
        <f>+IFERROR(VLOOKUP(Fact_Analitica[[#This Row], 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ht="18.75" customHeight="1" x14ac:dyDescent="0.35">
      <c r="C523" s="124" t="str">
        <f>IF(OR(Fact_Analitica[[#This Row], [Año]]="",Fact_Analitica[[#This Row], [Mes]]=""),"",DATE(A523,MATCH(B523,{"enero","febrero","marzo","abril","mayo","junio","julio","agosto","septiembre","octubre","noviembre","diciembre"},0)+1,0))</f>
        <v/>
      </c>
      <c r="E523" t="str">
        <f>+IFERROR(VLOOKUP(Fact_Analitica[[#This Row], [Concepto Anterior]],Conceptos_Analítica_contraloría[#All],5,0),"")</f>
        <v/>
      </c>
      <c r="F523" t="str">
        <f>+IFERROR(VLOOKUP(Fact_Analitica[[#This Row], 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ht="18.75" customHeight="1" x14ac:dyDescent="0.35">
      <c r="C524" s="124" t="str">
        <f>IF(OR(Fact_Analitica[[#This Row], [Año]]="",Fact_Analitica[[#This Row], [Mes]]=""),"",DATE(A524,MATCH(B524,{"enero","febrero","marzo","abril","mayo","junio","julio","agosto","septiembre","octubre","noviembre","diciembre"},0)+1,0))</f>
        <v/>
      </c>
      <c r="E524" t="str">
        <f>+IFERROR(VLOOKUP(Fact_Analitica[[#This Row], [Concepto Anterior]],Conceptos_Analítica_contraloría[#All],5,0),"")</f>
        <v/>
      </c>
      <c r="F524" t="str">
        <f>+IFERROR(VLOOKUP(Fact_Analitica[[#This Row], 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ht="18.75" customHeight="1" x14ac:dyDescent="0.35">
      <c r="C525" s="124" t="str">
        <f>IF(OR(Fact_Analitica[[#This Row], [Año]]="",Fact_Analitica[[#This Row], [Mes]]=""),"",DATE(A525,MATCH(B525,{"enero","febrero","marzo","abril","mayo","junio","julio","agosto","septiembre","octubre","noviembre","diciembre"},0)+1,0))</f>
        <v/>
      </c>
      <c r="E525" t="str">
        <f>+IFERROR(VLOOKUP(Fact_Analitica[[#This Row], [Concepto Anterior]],Conceptos_Analítica_contraloría[#All],5,0),"")</f>
        <v/>
      </c>
      <c r="F525" t="str">
        <f>+IFERROR(VLOOKUP(Fact_Analitica[[#This Row], 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ht="18.75" customHeight="1" x14ac:dyDescent="0.35">
      <c r="C526" s="124" t="str">
        <f>IF(OR(Fact_Analitica[[#This Row], [Año]]="",Fact_Analitica[[#This Row], [Mes]]=""),"",DATE(A526,MATCH(B526,{"enero","febrero","marzo","abril","mayo","junio","julio","agosto","septiembre","octubre","noviembre","diciembre"},0)+1,0))</f>
        <v/>
      </c>
      <c r="E526" t="str">
        <f>+IFERROR(VLOOKUP(Fact_Analitica[[#This Row], [Concepto Anterior]],Conceptos_Analítica_contraloría[#All],5,0),"")</f>
        <v/>
      </c>
      <c r="F526" t="str">
        <f>+IFERROR(VLOOKUP(Fact_Analitica[[#This Row], 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ht="18.75" customHeight="1" x14ac:dyDescent="0.35">
      <c r="C527" s="124" t="str">
        <f>IF(OR(Fact_Analitica[[#This Row], [Año]]="",Fact_Analitica[[#This Row], [Mes]]=""),"",DATE(A527,MATCH(B527,{"enero","febrero","marzo","abril","mayo","junio","julio","agosto","septiembre","octubre","noviembre","diciembre"},0)+1,0))</f>
        <v/>
      </c>
      <c r="E527" t="str">
        <f>+IFERROR(VLOOKUP(Fact_Analitica[[#This Row], [Concepto Anterior]],Conceptos_Analítica_contraloría[#All],5,0),"")</f>
        <v/>
      </c>
      <c r="F527" t="str">
        <f>+IFERROR(VLOOKUP(Fact_Analitica[[#This Row], 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ht="18.75" customHeight="1" x14ac:dyDescent="0.35">
      <c r="C528" s="124" t="str">
        <f>IF(OR(Fact_Analitica[[#This Row], [Año]]="",Fact_Analitica[[#This Row], [Mes]]=""),"",DATE(A528,MATCH(B528,{"enero","febrero","marzo","abril","mayo","junio","julio","agosto","septiembre","octubre","noviembre","diciembre"},0)+1,0))</f>
        <v/>
      </c>
      <c r="E528" t="str">
        <f>+IFERROR(VLOOKUP(Fact_Analitica[[#This Row], [Concepto Anterior]],Conceptos_Analítica_contraloría[#All],5,0),"")</f>
        <v/>
      </c>
      <c r="F528" t="str">
        <f>+IFERROR(VLOOKUP(Fact_Analitica[[#This Row], 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ht="18.75" customHeight="1" x14ac:dyDescent="0.35">
      <c r="C529" s="124" t="str">
        <f>IF(OR(Fact_Analitica[[#This Row], [Año]]="",Fact_Analitica[[#This Row], [Mes]]=""),"",DATE(A529,MATCH(B529,{"enero","febrero","marzo","abril","mayo","junio","julio","agosto","septiembre","octubre","noviembre","diciembre"},0)+1,0))</f>
        <v/>
      </c>
      <c r="E529" t="str">
        <f>+IFERROR(VLOOKUP(Fact_Analitica[[#This Row], [Concepto Anterior]],Conceptos_Analítica_contraloría[#All],5,0),"")</f>
        <v/>
      </c>
      <c r="F529" t="str">
        <f>+IFERROR(VLOOKUP(Fact_Analitica[[#This Row], 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ht="18.75" customHeight="1" x14ac:dyDescent="0.35">
      <c r="C530" s="124" t="str">
        <f>IF(OR(Fact_Analitica[[#This Row], [Año]]="",Fact_Analitica[[#This Row], [Mes]]=""),"",DATE(A530,MATCH(B530,{"enero","febrero","marzo","abril","mayo","junio","julio","agosto","septiembre","octubre","noviembre","diciembre"},0)+1,0))</f>
        <v/>
      </c>
      <c r="E530" t="str">
        <f>+IFERROR(VLOOKUP(Fact_Analitica[[#This Row], [Concepto Anterior]],Conceptos_Analítica_contraloría[#All],5,0),"")</f>
        <v/>
      </c>
      <c r="F530" t="str">
        <f>+IFERROR(VLOOKUP(Fact_Analitica[[#This Row], 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ht="18.75" customHeight="1" x14ac:dyDescent="0.35">
      <c r="C531" s="124" t="str">
        <f>IF(OR(Fact_Analitica[[#This Row], [Año]]="",Fact_Analitica[[#This Row], [Mes]]=""),"",DATE(A531,MATCH(B531,{"enero","febrero","marzo","abril","mayo","junio","julio","agosto","septiembre","octubre","noviembre","diciembre"},0)+1,0))</f>
        <v/>
      </c>
      <c r="E531" t="str">
        <f>+IFERROR(VLOOKUP(Fact_Analitica[[#This Row], [Concepto Anterior]],Conceptos_Analítica_contraloría[#All],5,0),"")</f>
        <v/>
      </c>
      <c r="F531" t="str">
        <f>+IFERROR(VLOOKUP(Fact_Analitica[[#This Row], 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ht="18.75" customHeight="1" x14ac:dyDescent="0.35">
      <c r="C532" s="124" t="str">
        <f>IF(OR(Fact_Analitica[[#This Row], [Año]]="",Fact_Analitica[[#This Row], [Mes]]=""),"",DATE(A532,MATCH(B532,{"enero","febrero","marzo","abril","mayo","junio","julio","agosto","septiembre","octubre","noviembre","diciembre"},0)+1,0))</f>
        <v/>
      </c>
      <c r="E532" t="str">
        <f>+IFERROR(VLOOKUP(Fact_Analitica[[#This Row], [Concepto Anterior]],Conceptos_Analítica_contraloría[#All],5,0),"")</f>
        <v/>
      </c>
      <c r="F532" t="str">
        <f>+IFERROR(VLOOKUP(Fact_Analitica[[#This Row], 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ht="18.75" customHeight="1" x14ac:dyDescent="0.35">
      <c r="C533" s="124" t="str">
        <f>IF(OR(Fact_Analitica[[#This Row], [Año]]="",Fact_Analitica[[#This Row], [Mes]]=""),"",DATE(A533,MATCH(B533,{"enero","febrero","marzo","abril","mayo","junio","julio","agosto","septiembre","octubre","noviembre","diciembre"},0)+1,0))</f>
        <v/>
      </c>
      <c r="E533" t="str">
        <f>+IFERROR(VLOOKUP(Fact_Analitica[[#This Row], [Concepto Anterior]],Conceptos_Analítica_contraloría[#All],5,0),"")</f>
        <v/>
      </c>
      <c r="F533" t="str">
        <f>+IFERROR(VLOOKUP(Fact_Analitica[[#This Row], 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ht="18.75" customHeight="1" x14ac:dyDescent="0.35">
      <c r="C534" s="124" t="str">
        <f>IF(OR(Fact_Analitica[[#This Row], [Año]]="",Fact_Analitica[[#This Row], [Mes]]=""),"",DATE(A534,MATCH(B534,{"enero","febrero","marzo","abril","mayo","junio","julio","agosto","septiembre","octubre","noviembre","diciembre"},0)+1,0))</f>
        <v/>
      </c>
      <c r="E534" t="str">
        <f>+IFERROR(VLOOKUP(Fact_Analitica[[#This Row], [Concepto Anterior]],Conceptos_Analítica_contraloría[#All],5,0),"")</f>
        <v/>
      </c>
      <c r="F534" t="str">
        <f>+IFERROR(VLOOKUP(Fact_Analitica[[#This Row], 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ht="18.75" customHeight="1" x14ac:dyDescent="0.35">
      <c r="C535" s="124" t="str">
        <f>IF(OR(Fact_Analitica[[#This Row], [Año]]="",Fact_Analitica[[#This Row], [Mes]]=""),"",DATE(A535,MATCH(B535,{"enero","febrero","marzo","abril","mayo","junio","julio","agosto","septiembre","octubre","noviembre","diciembre"},0)+1,0))</f>
        <v/>
      </c>
      <c r="E535" t="str">
        <f>+IFERROR(VLOOKUP(Fact_Analitica[[#This Row], [Concepto Anterior]],Conceptos_Analítica_contraloría[#All],5,0),"")</f>
        <v/>
      </c>
      <c r="F535" t="str">
        <f>+IFERROR(VLOOKUP(Fact_Analitica[[#This Row], 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ht="18.75" customHeight="1" x14ac:dyDescent="0.35">
      <c r="C536" s="124" t="str">
        <f>IF(OR(Fact_Analitica[[#This Row], [Año]]="",Fact_Analitica[[#This Row], [Mes]]=""),"",DATE(A536,MATCH(B536,{"enero","febrero","marzo","abril","mayo","junio","julio","agosto","septiembre","octubre","noviembre","diciembre"},0)+1,0))</f>
        <v/>
      </c>
      <c r="E536" t="str">
        <f>+IFERROR(VLOOKUP(Fact_Analitica[[#This Row], [Concepto Anterior]],Conceptos_Analítica_contraloría[#All],5,0),"")</f>
        <v/>
      </c>
      <c r="F536" t="str">
        <f>+IFERROR(VLOOKUP(Fact_Analitica[[#This Row], 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ht="18.75" customHeight="1" x14ac:dyDescent="0.35">
      <c r="C537" s="124" t="str">
        <f>IF(OR(Fact_Analitica[[#This Row], [Año]]="",Fact_Analitica[[#This Row], [Mes]]=""),"",DATE(A537,MATCH(B537,{"enero","febrero","marzo","abril","mayo","junio","julio","agosto","septiembre","octubre","noviembre","diciembre"},0)+1,0))</f>
        <v/>
      </c>
      <c r="E537" t="str">
        <f>+IFERROR(VLOOKUP(Fact_Analitica[[#This Row], [Concepto Anterior]],Conceptos_Analítica_contraloría[#All],5,0),"")</f>
        <v/>
      </c>
      <c r="F537" t="str">
        <f>+IFERROR(VLOOKUP(Fact_Analitica[[#This Row], 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ht="18.75" customHeight="1" x14ac:dyDescent="0.35">
      <c r="C538" s="124" t="str">
        <f>IF(OR(Fact_Analitica[[#This Row], [Año]]="",Fact_Analitica[[#This Row], [Mes]]=""),"",DATE(A538,MATCH(B538,{"enero","febrero","marzo","abril","mayo","junio","julio","agosto","septiembre","octubre","noviembre","diciembre"},0)+1,0))</f>
        <v/>
      </c>
      <c r="E538" t="str">
        <f>+IFERROR(VLOOKUP(Fact_Analitica[[#This Row], [Concepto Anterior]],Conceptos_Analítica_contraloría[#All],5,0),"")</f>
        <v/>
      </c>
      <c r="F538" t="str">
        <f>+IFERROR(VLOOKUP(Fact_Analitica[[#This Row], 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ht="18.75" customHeight="1" x14ac:dyDescent="0.35">
      <c r="C539" s="124" t="str">
        <f>IF(OR(Fact_Analitica[[#This Row], [Año]]="",Fact_Analitica[[#This Row], [Mes]]=""),"",DATE(A539,MATCH(B539,{"enero","febrero","marzo","abril","mayo","junio","julio","agosto","septiembre","octubre","noviembre","diciembre"},0)+1,0))</f>
        <v/>
      </c>
      <c r="E539" t="str">
        <f>+IFERROR(VLOOKUP(Fact_Analitica[[#This Row], [Concepto Anterior]],Conceptos_Analítica_contraloría[#All],5,0),"")</f>
        <v/>
      </c>
      <c r="F539" t="str">
        <f>+IFERROR(VLOOKUP(Fact_Analitica[[#This Row], 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ht="18.75" customHeight="1" x14ac:dyDescent="0.35">
      <c r="C540" s="124" t="str">
        <f>IF(OR(Fact_Analitica[[#This Row], [Año]]="",Fact_Analitica[[#This Row], [Mes]]=""),"",DATE(A540,MATCH(B540,{"enero","febrero","marzo","abril","mayo","junio","julio","agosto","septiembre","octubre","noviembre","diciembre"},0)+1,0))</f>
        <v/>
      </c>
      <c r="E540" t="str">
        <f>+IFERROR(VLOOKUP(Fact_Analitica[[#This Row], [Concepto Anterior]],Conceptos_Analítica_contraloría[#All],5,0),"")</f>
        <v/>
      </c>
      <c r="F540" t="str">
        <f>+IFERROR(VLOOKUP(Fact_Analitica[[#This Row], 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ht="18.75" customHeight="1" x14ac:dyDescent="0.35">
      <c r="C541" s="124" t="str">
        <f>IF(OR(Fact_Analitica[[#This Row], [Año]]="",Fact_Analitica[[#This Row], [Mes]]=""),"",DATE(A541,MATCH(B541,{"enero","febrero","marzo","abril","mayo","junio","julio","agosto","septiembre","octubre","noviembre","diciembre"},0)+1,0))</f>
        <v/>
      </c>
      <c r="E541" t="str">
        <f>+IFERROR(VLOOKUP(Fact_Analitica[[#This Row], [Concepto Anterior]],Conceptos_Analítica_contraloría[#All],5,0),"")</f>
        <v/>
      </c>
      <c r="F541" t="str">
        <f>+IFERROR(VLOOKUP(Fact_Analitica[[#This Row], 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ht="18.75" customHeight="1" x14ac:dyDescent="0.35">
      <c r="C542" s="124" t="str">
        <f>IF(OR(Fact_Analitica[[#This Row], [Año]]="",Fact_Analitica[[#This Row], [Mes]]=""),"",DATE(A542,MATCH(B542,{"enero","febrero","marzo","abril","mayo","junio","julio","agosto","septiembre","octubre","noviembre","diciembre"},0)+1,0))</f>
        <v/>
      </c>
      <c r="E542" t="str">
        <f>+IFERROR(VLOOKUP(Fact_Analitica[[#This Row], [Concepto Anterior]],Conceptos_Analítica_contraloría[#All],5,0),"")</f>
        <v/>
      </c>
      <c r="F542" t="str">
        <f>+IFERROR(VLOOKUP(Fact_Analitica[[#This Row], 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ht="18.75" customHeight="1" x14ac:dyDescent="0.35">
      <c r="C543" s="124" t="str">
        <f>IF(OR(Fact_Analitica[[#This Row], [Año]]="",Fact_Analitica[[#This Row], [Mes]]=""),"",DATE(A543,MATCH(B543,{"enero","febrero","marzo","abril","mayo","junio","julio","agosto","septiembre","octubre","noviembre","diciembre"},0)+1,0))</f>
        <v/>
      </c>
      <c r="E543" t="str">
        <f>+IFERROR(VLOOKUP(Fact_Analitica[[#This Row], [Concepto Anterior]],Conceptos_Analítica_contraloría[#All],5,0),"")</f>
        <v/>
      </c>
      <c r="F543" t="str">
        <f>+IFERROR(VLOOKUP(Fact_Analitica[[#This Row], 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ht="18.75" customHeight="1" x14ac:dyDescent="0.35">
      <c r="C544" s="124" t="str">
        <f>IF(OR(Fact_Analitica[[#This Row], [Año]]="",Fact_Analitica[[#This Row], [Mes]]=""),"",DATE(A544,MATCH(B544,{"enero","febrero","marzo","abril","mayo","junio","julio","agosto","septiembre","octubre","noviembre","diciembre"},0)+1,0))</f>
        <v/>
      </c>
      <c r="E544" t="str">
        <f>+IFERROR(VLOOKUP(Fact_Analitica[[#This Row], [Concepto Anterior]],Conceptos_Analítica_contraloría[#All],5,0),"")</f>
        <v/>
      </c>
      <c r="F544" t="str">
        <f>+IFERROR(VLOOKUP(Fact_Analitica[[#This Row], 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ht="18.75" customHeight="1" x14ac:dyDescent="0.35">
      <c r="C545" s="124" t="str">
        <f>IF(OR(Fact_Analitica[[#This Row], [Año]]="",Fact_Analitica[[#This Row], [Mes]]=""),"",DATE(A545,MATCH(B545,{"enero","febrero","marzo","abril","mayo","junio","julio","agosto","septiembre","octubre","noviembre","diciembre"},0)+1,0))</f>
        <v/>
      </c>
      <c r="E545" t="str">
        <f>+IFERROR(VLOOKUP(Fact_Analitica[[#This Row], [Concepto Anterior]],Conceptos_Analítica_contraloría[#All],5,0),"")</f>
        <v/>
      </c>
      <c r="F545" t="str">
        <f>+IFERROR(VLOOKUP(Fact_Analitica[[#This Row], 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ht="18.75" customHeight="1" x14ac:dyDescent="0.35">
      <c r="C546" s="124" t="str">
        <f>IF(OR(Fact_Analitica[[#This Row], [Año]]="",Fact_Analitica[[#This Row], [Mes]]=""),"",DATE(A546,MATCH(B546,{"enero","febrero","marzo","abril","mayo","junio","julio","agosto","septiembre","octubre","noviembre","diciembre"},0)+1,0))</f>
        <v/>
      </c>
      <c r="E546" t="str">
        <f>+IFERROR(VLOOKUP(Fact_Analitica[[#This Row], [Concepto Anterior]],Conceptos_Analítica_contraloría[#All],5,0),"")</f>
        <v/>
      </c>
      <c r="F546" t="str">
        <f>+IFERROR(VLOOKUP(Fact_Analitica[[#This Row], 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ht="18.75" customHeight="1" x14ac:dyDescent="0.35">
      <c r="C547" s="124" t="str">
        <f>IF(OR(Fact_Analitica[[#This Row], [Año]]="",Fact_Analitica[[#This Row], [Mes]]=""),"",DATE(A547,MATCH(B547,{"enero","febrero","marzo","abril","mayo","junio","julio","agosto","septiembre","octubre","noviembre","diciembre"},0)+1,0))</f>
        <v/>
      </c>
      <c r="E547" t="str">
        <f>+IFERROR(VLOOKUP(Fact_Analitica[[#This Row], [Concepto Anterior]],Conceptos_Analítica_contraloría[#All],5,0),"")</f>
        <v/>
      </c>
      <c r="F547" t="str">
        <f>+IFERROR(VLOOKUP(Fact_Analitica[[#This Row], 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ht="18.75" customHeight="1" x14ac:dyDescent="0.35">
      <c r="C548" s="124" t="str">
        <f>IF(OR(Fact_Analitica[[#This Row], [Año]]="",Fact_Analitica[[#This Row], [Mes]]=""),"",DATE(A548,MATCH(B548,{"enero","febrero","marzo","abril","mayo","junio","julio","agosto","septiembre","octubre","noviembre","diciembre"},0)+1,0))</f>
        <v/>
      </c>
      <c r="E548" t="str">
        <f>+IFERROR(VLOOKUP(Fact_Analitica[[#This Row], [Concepto Anterior]],Conceptos_Analítica_contraloría[#All],5,0),"")</f>
        <v/>
      </c>
      <c r="F548" t="str">
        <f>+IFERROR(VLOOKUP(Fact_Analitica[[#This Row], 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ht="18.75" customHeight="1" x14ac:dyDescent="0.35">
      <c r="C549" s="124" t="str">
        <f>IF(OR(Fact_Analitica[[#This Row], [Año]]="",Fact_Analitica[[#This Row], [Mes]]=""),"",DATE(A549,MATCH(B549,{"enero","febrero","marzo","abril","mayo","junio","julio","agosto","septiembre","octubre","noviembre","diciembre"},0)+1,0))</f>
        <v/>
      </c>
      <c r="E549" t="str">
        <f>+IFERROR(VLOOKUP(Fact_Analitica[[#This Row], [Concepto Anterior]],Conceptos_Analítica_contraloría[#All],5,0),"")</f>
        <v/>
      </c>
      <c r="F549" t="str">
        <f>+IFERROR(VLOOKUP(Fact_Analitica[[#This Row], 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ht="18.75" customHeight="1" x14ac:dyDescent="0.35">
      <c r="C550" s="124" t="str">
        <f>IF(OR(Fact_Analitica[[#This Row], [Año]]="",Fact_Analitica[[#This Row], [Mes]]=""),"",DATE(A550,MATCH(B550,{"enero","febrero","marzo","abril","mayo","junio","julio","agosto","septiembre","octubre","noviembre","diciembre"},0)+1,0))</f>
        <v/>
      </c>
      <c r="E550" t="str">
        <f>+IFERROR(VLOOKUP(Fact_Analitica[[#This Row], [Concepto Anterior]],Conceptos_Analítica_contraloría[#All],5,0),"")</f>
        <v/>
      </c>
      <c r="F550" t="str">
        <f>+IFERROR(VLOOKUP(Fact_Analitica[[#This Row], 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ht="18.75" customHeight="1" x14ac:dyDescent="0.35">
      <c r="C551" s="124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ht="18.75" customHeight="1" x14ac:dyDescent="0.35">
      <c r="C552" s="124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ht="18.75" customHeight="1" x14ac:dyDescent="0.35">
      <c r="C553" s="124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ht="18.75" customHeight="1" x14ac:dyDescent="0.35">
      <c r="C554" s="124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ht="18.75" customHeight="1" x14ac:dyDescent="0.35">
      <c r="C555" s="124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ht="18.75" customHeight="1" x14ac:dyDescent="0.35">
      <c r="C556" s="124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ht="18.75" customHeight="1" x14ac:dyDescent="0.35">
      <c r="C557" s="124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ht="18.75" customHeight="1" x14ac:dyDescent="0.35">
      <c r="C558" s="124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ht="18.75" customHeight="1" x14ac:dyDescent="0.35">
      <c r="C559" s="124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ht="18.75" customHeight="1" x14ac:dyDescent="0.35">
      <c r="C560" s="124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ht="18.75" customHeight="1" x14ac:dyDescent="0.35">
      <c r="C561" s="124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ht="18.75" customHeight="1" x14ac:dyDescent="0.35">
      <c r="C562" s="124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ht="18.75" customHeight="1" x14ac:dyDescent="0.35">
      <c r="C563" s="124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ht="18.75" customHeight="1" x14ac:dyDescent="0.35">
      <c r="C564" s="124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ht="18.75" customHeight="1" x14ac:dyDescent="0.35">
      <c r="C565" s="124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ht="18.75" customHeight="1" x14ac:dyDescent="0.35">
      <c r="C566" s="124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ht="18.75" customHeight="1" x14ac:dyDescent="0.35">
      <c r="C567" s="124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ht="18.75" customHeight="1" x14ac:dyDescent="0.35">
      <c r="C568" s="124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ht="18.75" customHeight="1" x14ac:dyDescent="0.35">
      <c r="C569" s="124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ht="18.75" customHeight="1" x14ac:dyDescent="0.35">
      <c r="C570" s="124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ht="18.75" customHeight="1" x14ac:dyDescent="0.35">
      <c r="C571" s="124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ht="18.75" customHeight="1" x14ac:dyDescent="0.35">
      <c r="C572" s="124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ht="18.75" customHeight="1" x14ac:dyDescent="0.35">
      <c r="C573" s="124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ht="18.75" customHeight="1" x14ac:dyDescent="0.35">
      <c r="C574" s="124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ht="18.75" customHeight="1" x14ac:dyDescent="0.35">
      <c r="C575" s="124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ht="18.75" customHeight="1" x14ac:dyDescent="0.35">
      <c r="C576" s="124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ht="18.75" customHeight="1" x14ac:dyDescent="0.35">
      <c r="C577" s="124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ht="18.75" customHeight="1" x14ac:dyDescent="0.35">
      <c r="C578" s="124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ht="18.75" customHeight="1" x14ac:dyDescent="0.35">
      <c r="C579" s="124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ht="18.75" customHeight="1" x14ac:dyDescent="0.35">
      <c r="C580" s="124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ht="18.75" customHeight="1" x14ac:dyDescent="0.35">
      <c r="C581" s="124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ht="18.75" customHeight="1" x14ac:dyDescent="0.35">
      <c r="C582" s="124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ht="18.75" customHeight="1" x14ac:dyDescent="0.35">
      <c r="C583" s="124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ht="18.75" customHeight="1" x14ac:dyDescent="0.35">
      <c r="C584" s="124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ht="18.75" customHeight="1" x14ac:dyDescent="0.35">
      <c r="C585" s="124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ht="18.75" customHeight="1" x14ac:dyDescent="0.35">
      <c r="C586" s="124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ht="18.75" customHeight="1" x14ac:dyDescent="0.35">
      <c r="C587" s="124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ht="18.75" customHeight="1" x14ac:dyDescent="0.35">
      <c r="C588" s="124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ht="18.75" customHeight="1" x14ac:dyDescent="0.35">
      <c r="C589" s="124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ht="18.75" customHeight="1" x14ac:dyDescent="0.35">
      <c r="C590" s="124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ht="18.75" customHeight="1" x14ac:dyDescent="0.35">
      <c r="C591" s="124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ht="18.75" customHeight="1" x14ac:dyDescent="0.35">
      <c r="C592" s="124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ht="18.75" customHeight="1" x14ac:dyDescent="0.35">
      <c r="C593" s="124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ht="18.75" customHeight="1" x14ac:dyDescent="0.35">
      <c r="C594" s="124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ht="18.75" customHeight="1" x14ac:dyDescent="0.35">
      <c r="C595" s="124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ht="18.75" customHeight="1" x14ac:dyDescent="0.35">
      <c r="C596" s="124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ht="18.75" customHeight="1" x14ac:dyDescent="0.35">
      <c r="C597" s="124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ht="18.75" customHeight="1" x14ac:dyDescent="0.35">
      <c r="C598" s="124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ht="18.75" customHeight="1" x14ac:dyDescent="0.35">
      <c r="C599" s="124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ht="18.75" customHeight="1" x14ac:dyDescent="0.35">
      <c r="C600" s="124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ht="18.75" customHeight="1" x14ac:dyDescent="0.35">
      <c r="C601" s="124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ht="18.75" customHeight="1" x14ac:dyDescent="0.35">
      <c r="C602" s="124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ht="18.75" customHeight="1" x14ac:dyDescent="0.35">
      <c r="C603" s="124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ht="18.75" customHeight="1" x14ac:dyDescent="0.35">
      <c r="C604" s="124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ht="18.75" customHeight="1" x14ac:dyDescent="0.35">
      <c r="C605" s="124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ht="18.75" customHeight="1" x14ac:dyDescent="0.35">
      <c r="C606" s="124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ht="18.75" customHeight="1" x14ac:dyDescent="0.35">
      <c r="C607" s="124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ht="18.75" customHeight="1" x14ac:dyDescent="0.35">
      <c r="C608" s="124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ht="18.75" customHeight="1" x14ac:dyDescent="0.35">
      <c r="C609" s="124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ht="18.75" customHeight="1" x14ac:dyDescent="0.35">
      <c r="C610" s="124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ht="18.75" customHeight="1" x14ac:dyDescent="0.35">
      <c r="C611" s="124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ht="18.75" customHeight="1" x14ac:dyDescent="0.35">
      <c r="C612" s="124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ht="18.75" customHeight="1" x14ac:dyDescent="0.35">
      <c r="C613" s="124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ht="18.75" customHeight="1" x14ac:dyDescent="0.35">
      <c r="C614" s="124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ht="18.75" customHeight="1" x14ac:dyDescent="0.35">
      <c r="C615" s="124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ht="18.75" customHeight="1" x14ac:dyDescent="0.35">
      <c r="C616" s="124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ht="18.75" customHeight="1" x14ac:dyDescent="0.35">
      <c r="C617" s="124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ht="18.75" customHeight="1" x14ac:dyDescent="0.35">
      <c r="C618" s="124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ht="18.75" customHeight="1" x14ac:dyDescent="0.35">
      <c r="C619" s="124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ht="18.75" customHeight="1" x14ac:dyDescent="0.35">
      <c r="C620" s="124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ht="18.75" customHeight="1" x14ac:dyDescent="0.35">
      <c r="C621" s="124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ht="18.75" customHeight="1" x14ac:dyDescent="0.35">
      <c r="C622" s="124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ht="18.75" customHeight="1" x14ac:dyDescent="0.35">
      <c r="C623" s="124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ht="18.75" customHeight="1" x14ac:dyDescent="0.35">
      <c r="C624" s="124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ht="18.75" customHeight="1" x14ac:dyDescent="0.35">
      <c r="C625" s="124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ht="18.75" customHeight="1" x14ac:dyDescent="0.35">
      <c r="C626" s="124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ht="18.75" customHeight="1" x14ac:dyDescent="0.35">
      <c r="C627" s="124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ht="18.75" customHeight="1" x14ac:dyDescent="0.35">
      <c r="C628" s="124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ht="18.75" customHeight="1" x14ac:dyDescent="0.35">
      <c r="C629" s="124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ht="18.75" customHeight="1" x14ac:dyDescent="0.35">
      <c r="C630" s="124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ht="18.75" customHeight="1" x14ac:dyDescent="0.35">
      <c r="C631" s="124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ht="18.75" customHeight="1" x14ac:dyDescent="0.35">
      <c r="C632" s="124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ht="18.75" customHeight="1" x14ac:dyDescent="0.35">
      <c r="C633" s="124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ht="18.75" customHeight="1" x14ac:dyDescent="0.35">
      <c r="C634" s="124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ht="18.75" customHeight="1" x14ac:dyDescent="0.35">
      <c r="C635" s="124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ht="18.75" customHeight="1" x14ac:dyDescent="0.35">
      <c r="C636" s="124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ht="18.75" customHeight="1" x14ac:dyDescent="0.35">
      <c r="C637" s="124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ht="18.75" customHeight="1" x14ac:dyDescent="0.35">
      <c r="C638" s="124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ht="18.75" customHeight="1" x14ac:dyDescent="0.35">
      <c r="C639" s="124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ht="18.75" customHeight="1" x14ac:dyDescent="0.35">
      <c r="C640" s="124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ht="18.75" customHeight="1" x14ac:dyDescent="0.35">
      <c r="C641" s="124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ht="18.75" customHeight="1" x14ac:dyDescent="0.35">
      <c r="C642" s="124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ht="18.75" customHeight="1" x14ac:dyDescent="0.35">
      <c r="C643" s="124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ht="18.75" customHeight="1" x14ac:dyDescent="0.35">
      <c r="C644" s="124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ht="18.75" customHeight="1" x14ac:dyDescent="0.35">
      <c r="C645" s="124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ht="18.75" customHeight="1" x14ac:dyDescent="0.35">
      <c r="C646" s="124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ht="18.75" customHeight="1" x14ac:dyDescent="0.35">
      <c r="C647" s="124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ht="18.75" customHeight="1" x14ac:dyDescent="0.35">
      <c r="C648" s="124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ht="18.75" customHeight="1" x14ac:dyDescent="0.35">
      <c r="C649" s="124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ht="18.75" customHeight="1" x14ac:dyDescent="0.35">
      <c r="C650" s="124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ht="18.75" customHeight="1" x14ac:dyDescent="0.35">
      <c r="C651" s="124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ht="18.75" customHeight="1" x14ac:dyDescent="0.35">
      <c r="C652" s="124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ht="18.75" customHeight="1" x14ac:dyDescent="0.35">
      <c r="C653" s="124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ht="18.75" customHeight="1" x14ac:dyDescent="0.35">
      <c r="C654" s="124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ht="18.75" customHeight="1" x14ac:dyDescent="0.35">
      <c r="C655" s="124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ht="18.75" customHeight="1" x14ac:dyDescent="0.35">
      <c r="C656" s="124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ht="18.75" customHeight="1" x14ac:dyDescent="0.35">
      <c r="C657" s="124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ht="18.75" customHeight="1" x14ac:dyDescent="0.35">
      <c r="C658" s="124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ht="18.75" customHeight="1" x14ac:dyDescent="0.35">
      <c r="C659" s="124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ht="18.75" customHeight="1" x14ac:dyDescent="0.35">
      <c r="C660" s="124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ht="18.75" customHeight="1" x14ac:dyDescent="0.35">
      <c r="C661" s="124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ht="18.75" customHeight="1" x14ac:dyDescent="0.35">
      <c r="C662" s="124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ht="18.75" customHeight="1" x14ac:dyDescent="0.35">
      <c r="C663" s="124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ht="18.75" customHeight="1" x14ac:dyDescent="0.35">
      <c r="C664" s="124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ht="18.75" customHeight="1" x14ac:dyDescent="0.35">
      <c r="C665" s="124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ht="18.75" customHeight="1" x14ac:dyDescent="0.35">
      <c r="C666" s="124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ht="18.75" customHeight="1" x14ac:dyDescent="0.35">
      <c r="C667" s="124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ht="18.75" customHeight="1" x14ac:dyDescent="0.35">
      <c r="C668" s="124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ht="18.75" customHeight="1" x14ac:dyDescent="0.35">
      <c r="C669" s="124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ht="18.75" customHeight="1" x14ac:dyDescent="0.35">
      <c r="C670" s="124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ht="18.75" customHeight="1" x14ac:dyDescent="0.35">
      <c r="C671" s="124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ht="18.75" customHeight="1" x14ac:dyDescent="0.35">
      <c r="C672" s="124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ht="18.75" customHeight="1" x14ac:dyDescent="0.35">
      <c r="C673" s="124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ht="18.75" customHeight="1" x14ac:dyDescent="0.35">
      <c r="C674" s="124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ht="18.75" customHeight="1" x14ac:dyDescent="0.35">
      <c r="C675" s="124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ht="18.75" customHeight="1" x14ac:dyDescent="0.35">
      <c r="C676" s="124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ht="18.75" customHeight="1" x14ac:dyDescent="0.35">
      <c r="C677" s="124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ht="18.75" customHeight="1" x14ac:dyDescent="0.35">
      <c r="C678" s="124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ht="18.75" customHeight="1" x14ac:dyDescent="0.35">
      <c r="C679" s="124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ht="18.75" customHeight="1" x14ac:dyDescent="0.35">
      <c r="C680" s="124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ht="18.75" customHeight="1" x14ac:dyDescent="0.35">
      <c r="C681" s="124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ht="18.75" customHeight="1" x14ac:dyDescent="0.35">
      <c r="C682" s="124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ht="18.75" customHeight="1" x14ac:dyDescent="0.35">
      <c r="C683" s="124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ht="18.75" customHeight="1" x14ac:dyDescent="0.35">
      <c r="C684" s="124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ht="18.75" customHeight="1" x14ac:dyDescent="0.35">
      <c r="C685" s="124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ht="18.75" customHeight="1" x14ac:dyDescent="0.35">
      <c r="C686" s="124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ht="18.75" customHeight="1" x14ac:dyDescent="0.35">
      <c r="C687" s="124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ht="18.75" customHeight="1" x14ac:dyDescent="0.35">
      <c r="C688" s="124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ht="18.75" customHeight="1" x14ac:dyDescent="0.35">
      <c r="C689" s="124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ht="18.75" customHeight="1" x14ac:dyDescent="0.35">
      <c r="C690" s="124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ht="18.75" customHeight="1" x14ac:dyDescent="0.35">
      <c r="C691" s="124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ht="18.75" customHeight="1" x14ac:dyDescent="0.35">
      <c r="C692" s="124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ht="18.75" customHeight="1" x14ac:dyDescent="0.35">
      <c r="C693" s="124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ht="18.75" customHeight="1" x14ac:dyDescent="0.35">
      <c r="C694" s="124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ht="18.75" customHeight="1" x14ac:dyDescent="0.35">
      <c r="C695" s="124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ht="18.75" customHeight="1" x14ac:dyDescent="0.35">
      <c r="C696" s="124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ht="18.75" customHeight="1" x14ac:dyDescent="0.35">
      <c r="C697" s="124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ht="18.75" customHeight="1" x14ac:dyDescent="0.35">
      <c r="C698" s="124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ht="18.75" customHeight="1" x14ac:dyDescent="0.35">
      <c r="C699" s="124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ht="18.75" customHeight="1" x14ac:dyDescent="0.35">
      <c r="C700" s="124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ht="18.75" customHeight="1" x14ac:dyDescent="0.35">
      <c r="C701" s="124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ht="18.75" customHeight="1" x14ac:dyDescent="0.35">
      <c r="C702" s="124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ht="18.75" customHeight="1" x14ac:dyDescent="0.35">
      <c r="C703" s="124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ht="18.75" customHeight="1" x14ac:dyDescent="0.35">
      <c r="C704" s="124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ht="18.75" customHeight="1" x14ac:dyDescent="0.35">
      <c r="C705" s="124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ht="18.75" customHeight="1" x14ac:dyDescent="0.35">
      <c r="C706" s="124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ht="18.75" customHeight="1" x14ac:dyDescent="0.35">
      <c r="C707" s="124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ht="18.75" customHeight="1" x14ac:dyDescent="0.35">
      <c r="C708" s="124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ht="18.75" customHeight="1" x14ac:dyDescent="0.35">
      <c r="C709" s="124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ht="18.75" customHeight="1" x14ac:dyDescent="0.35">
      <c r="C710" s="124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ht="18.75" customHeight="1" x14ac:dyDescent="0.35">
      <c r="C711" s="124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ht="18.75" customHeight="1" x14ac:dyDescent="0.35">
      <c r="C712" s="124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ht="18.75" customHeight="1" x14ac:dyDescent="0.35">
      <c r="C713" s="124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ht="18.75" customHeight="1" x14ac:dyDescent="0.35">
      <c r="C714" s="124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ht="18.75" customHeight="1" x14ac:dyDescent="0.35">
      <c r="C715" s="124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ht="18.75" customHeight="1" x14ac:dyDescent="0.35">
      <c r="C716" s="124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ht="18.75" customHeight="1" x14ac:dyDescent="0.35">
      <c r="C717" s="124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ht="18.75" customHeight="1" x14ac:dyDescent="0.35">
      <c r="C718" s="124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ht="18.75" customHeight="1" x14ac:dyDescent="0.35">
      <c r="C719" s="124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ht="18.75" customHeight="1" x14ac:dyDescent="0.35">
      <c r="C720" s="124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ht="18.75" customHeight="1" x14ac:dyDescent="0.35">
      <c r="C721" s="124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ht="18.75" customHeight="1" x14ac:dyDescent="0.35">
      <c r="C722" s="124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ht="18.75" customHeight="1" x14ac:dyDescent="0.35">
      <c r="C723" s="124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ht="18.75" customHeight="1" x14ac:dyDescent="0.35">
      <c r="C724" s="124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ht="18.75" customHeight="1" x14ac:dyDescent="0.35">
      <c r="C725" s="124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ht="18.75" customHeight="1" x14ac:dyDescent="0.35">
      <c r="C726" s="124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ht="18.75" customHeight="1" x14ac:dyDescent="0.35">
      <c r="C727" s="124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ht="18.75" customHeight="1" x14ac:dyDescent="0.35">
      <c r="C728" s="124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ht="18.75" customHeight="1" x14ac:dyDescent="0.35">
      <c r="C729" s="124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ht="18.75" customHeight="1" x14ac:dyDescent="0.35">
      <c r="C730" s="124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ht="18.75" customHeight="1" x14ac:dyDescent="0.35">
      <c r="C731" s="124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ht="18.75" customHeight="1" x14ac:dyDescent="0.35">
      <c r="C732" s="124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ht="18.75" customHeight="1" x14ac:dyDescent="0.35">
      <c r="C733" s="124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ht="18.75" customHeight="1" x14ac:dyDescent="0.35">
      <c r="C734" s="124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ht="18.75" customHeight="1" x14ac:dyDescent="0.35">
      <c r="C735" s="124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ht="18.75" customHeight="1" x14ac:dyDescent="0.35">
      <c r="C736" s="124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ht="18.75" customHeight="1" x14ac:dyDescent="0.35">
      <c r="C737" s="124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ht="18.75" customHeight="1" x14ac:dyDescent="0.35">
      <c r="C738" s="124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ht="18.75" customHeight="1" x14ac:dyDescent="0.35">
      <c r="C739" s="124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ht="18.75" customHeight="1" x14ac:dyDescent="0.35">
      <c r="C740" s="124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ht="18.75" customHeight="1" x14ac:dyDescent="0.35">
      <c r="C741" s="124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ht="18.75" customHeight="1" x14ac:dyDescent="0.35">
      <c r="C742" s="124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ht="18.75" customHeight="1" x14ac:dyDescent="0.35">
      <c r="C743" s="124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ht="18.75" customHeight="1" x14ac:dyDescent="0.35">
      <c r="C744" s="124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ht="18.75" customHeight="1" x14ac:dyDescent="0.35">
      <c r="C745" s="124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ht="18.75" customHeight="1" x14ac:dyDescent="0.35">
      <c r="C746" s="124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ht="18.75" customHeight="1" x14ac:dyDescent="0.35">
      <c r="C747" s="124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ht="18.75" customHeight="1" x14ac:dyDescent="0.35">
      <c r="C748" s="124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ht="18.75" customHeight="1" x14ac:dyDescent="0.35">
      <c r="C749" s="124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ht="18.75" customHeight="1" x14ac:dyDescent="0.35">
      <c r="C750" s="124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ht="18.75" customHeight="1" x14ac:dyDescent="0.35">
      <c r="C751" s="124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ht="18.75" customHeight="1" x14ac:dyDescent="0.35">
      <c r="C752" s="124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ht="18.75" customHeight="1" x14ac:dyDescent="0.35">
      <c r="C753" s="124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ht="18.75" customHeight="1" x14ac:dyDescent="0.35">
      <c r="C754" s="124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ht="18.75" customHeight="1" x14ac:dyDescent="0.35">
      <c r="C755" s="124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ht="18.75" customHeight="1" x14ac:dyDescent="0.35">
      <c r="C756" s="124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ht="18.75" customHeight="1" x14ac:dyDescent="0.35">
      <c r="C757" s="124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ht="18.75" customHeight="1" x14ac:dyDescent="0.35">
      <c r="C758" s="124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ht="18.75" customHeight="1" x14ac:dyDescent="0.35">
      <c r="C759" s="124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ht="18.75" customHeight="1" x14ac:dyDescent="0.35">
      <c r="C760" s="124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ht="18.75" customHeight="1" x14ac:dyDescent="0.35">
      <c r="C761" s="124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ht="18.75" customHeight="1" x14ac:dyDescent="0.35">
      <c r="C762" s="124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ht="18.75" customHeight="1" x14ac:dyDescent="0.35">
      <c r="C763" s="124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ht="18.75" customHeight="1" x14ac:dyDescent="0.35">
      <c r="C764" s="124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ht="18.75" customHeight="1" x14ac:dyDescent="0.35">
      <c r="C765" s="124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ht="18.75" customHeight="1" x14ac:dyDescent="0.35">
      <c r="C766" s="124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ht="18.75" customHeight="1" x14ac:dyDescent="0.35">
      <c r="C767" s="124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ht="18.75" customHeight="1" x14ac:dyDescent="0.35">
      <c r="C768" s="124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ht="18.75" customHeight="1" x14ac:dyDescent="0.35">
      <c r="C769" s="124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ht="18.75" customHeight="1" x14ac:dyDescent="0.35">
      <c r="C770" s="124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ht="18.75" customHeight="1" x14ac:dyDescent="0.35">
      <c r="C771" s="124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ht="18.75" customHeight="1" x14ac:dyDescent="0.35">
      <c r="C772" s="124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ht="18.75" customHeight="1" x14ac:dyDescent="0.35">
      <c r="C773" s="124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ht="18.75" customHeight="1" x14ac:dyDescent="0.35">
      <c r="C774" s="124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ht="18.75" customHeight="1" x14ac:dyDescent="0.35">
      <c r="C775" s="124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ht="18.75" customHeight="1" x14ac:dyDescent="0.35">
      <c r="C776" s="124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ht="18.75" customHeight="1" x14ac:dyDescent="0.35">
      <c r="C777" s="124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ht="18.75" customHeight="1" x14ac:dyDescent="0.35">
      <c r="C778" s="124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ht="18.75" customHeight="1" x14ac:dyDescent="0.35">
      <c r="C779" s="124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ht="18.75" customHeight="1" x14ac:dyDescent="0.35">
      <c r="C780" s="124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ht="18.75" customHeight="1" x14ac:dyDescent="0.35">
      <c r="C781" s="124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ht="18.75" customHeight="1" x14ac:dyDescent="0.35">
      <c r="C782" s="124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ht="18.75" customHeight="1" x14ac:dyDescent="0.35">
      <c r="C783" s="124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ht="18.75" customHeight="1" x14ac:dyDescent="0.35">
      <c r="C784" s="124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ht="18.75" customHeight="1" x14ac:dyDescent="0.35">
      <c r="C785" s="124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ht="18.75" customHeight="1" x14ac:dyDescent="0.35">
      <c r="C786" s="124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ht="18.75" customHeight="1" x14ac:dyDescent="0.35">
      <c r="C787" s="124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ht="18.75" customHeight="1" x14ac:dyDescent="0.35">
      <c r="C788" s="124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ht="18.75" customHeight="1" x14ac:dyDescent="0.35">
      <c r="C789" s="124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ht="18.75" customHeight="1" x14ac:dyDescent="0.35">
      <c r="C790" s="124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ht="18.75" customHeight="1" x14ac:dyDescent="0.35">
      <c r="C791" s="124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ht="18.75" customHeight="1" x14ac:dyDescent="0.35">
      <c r="C792" s="124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ht="18.75" customHeight="1" x14ac:dyDescent="0.35">
      <c r="C793" s="124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ht="18.75" customHeight="1" x14ac:dyDescent="0.35">
      <c r="C794" s="124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ht="18.75" customHeight="1" x14ac:dyDescent="0.35">
      <c r="C795" s="124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ht="18.75" customHeight="1" x14ac:dyDescent="0.35">
      <c r="C796" s="124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ht="18.75" customHeight="1" x14ac:dyDescent="0.35">
      <c r="C797" s="124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ht="18.75" customHeight="1" x14ac:dyDescent="0.35">
      <c r="C798" s="124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ht="18.75" customHeight="1" x14ac:dyDescent="0.35">
      <c r="C799" s="124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ht="18.75" customHeight="1" x14ac:dyDescent="0.35">
      <c r="C800" s="124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ht="18.75" customHeight="1" x14ac:dyDescent="0.35">
      <c r="C801" s="124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ht="18.75" customHeight="1" x14ac:dyDescent="0.35">
      <c r="C802" s="124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ht="18.75" customHeight="1" x14ac:dyDescent="0.35">
      <c r="C803" s="124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ht="18.75" customHeight="1" x14ac:dyDescent="0.35">
      <c r="C804" s="124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ht="18.75" customHeight="1" x14ac:dyDescent="0.35">
      <c r="C805" s="124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ht="18.75" customHeight="1" x14ac:dyDescent="0.35">
      <c r="C806" s="124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ht="18.75" customHeight="1" x14ac:dyDescent="0.35">
      <c r="C807" s="124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ht="18.75" customHeight="1" x14ac:dyDescent="0.35">
      <c r="C808" s="124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ht="18.75" customHeight="1" x14ac:dyDescent="0.35">
      <c r="C809" s="124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ht="18.75" customHeight="1" x14ac:dyDescent="0.35">
      <c r="C810" s="124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ht="18.75" customHeight="1" x14ac:dyDescent="0.35">
      <c r="C811" s="124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ht="18.75" customHeight="1" x14ac:dyDescent="0.35">
      <c r="C812" s="124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ht="18.75" customHeight="1" x14ac:dyDescent="0.35">
      <c r="C813" s="124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ht="18.75" customHeight="1" x14ac:dyDescent="0.35">
      <c r="C814" s="124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ht="18.75" customHeight="1" x14ac:dyDescent="0.35">
      <c r="C815" s="124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ht="18.75" customHeight="1" x14ac:dyDescent="0.35">
      <c r="C816" s="124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ht="18.75" customHeight="1" x14ac:dyDescent="0.35">
      <c r="C817" s="124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ht="18.75" customHeight="1" x14ac:dyDescent="0.35">
      <c r="C818" s="124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ht="18.75" customHeight="1" x14ac:dyDescent="0.35">
      <c r="C819" s="124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ht="18.75" customHeight="1" x14ac:dyDescent="0.35">
      <c r="C820" s="124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ht="18.75" customHeight="1" x14ac:dyDescent="0.35">
      <c r="C821" s="124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ht="18.75" customHeight="1" x14ac:dyDescent="0.35">
      <c r="C822" s="124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ht="18.75" customHeight="1" x14ac:dyDescent="0.35">
      <c r="C823" s="124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ht="18.75" customHeight="1" x14ac:dyDescent="0.35">
      <c r="C824" s="124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ht="18.75" customHeight="1" x14ac:dyDescent="0.35">
      <c r="C825" s="124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ht="18.75" customHeight="1" x14ac:dyDescent="0.35">
      <c r="C826" s="124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ht="18.75" customHeight="1" x14ac:dyDescent="0.35">
      <c r="C827" s="124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ht="18.75" customHeight="1" x14ac:dyDescent="0.35">
      <c r="C828" s="124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ht="18.75" customHeight="1" x14ac:dyDescent="0.35">
      <c r="C829" s="124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ht="18.75" customHeight="1" x14ac:dyDescent="0.35">
      <c r="C830" s="124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ht="18.75" customHeight="1" x14ac:dyDescent="0.35">
      <c r="C831" s="124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ht="18.75" customHeight="1" x14ac:dyDescent="0.35">
      <c r="C832" s="124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ht="18.75" customHeight="1" x14ac:dyDescent="0.35">
      <c r="C833" s="124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ht="18.75" customHeight="1" x14ac:dyDescent="0.35">
      <c r="C834" s="124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ht="18.75" customHeight="1" x14ac:dyDescent="0.35">
      <c r="C835" s="124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ht="18.75" customHeight="1" x14ac:dyDescent="0.35">
      <c r="C836" s="124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ht="18.75" customHeight="1" x14ac:dyDescent="0.35">
      <c r="C837" s="124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ht="18.75" customHeight="1" x14ac:dyDescent="0.35">
      <c r="C838" s="124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ht="18.75" customHeight="1" x14ac:dyDescent="0.35">
      <c r="C839" s="124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ht="18.75" customHeight="1" x14ac:dyDescent="0.35">
      <c r="C840" s="124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ht="18.75" customHeight="1" x14ac:dyDescent="0.35">
      <c r="C841" s="124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ht="18.75" customHeight="1" x14ac:dyDescent="0.35">
      <c r="C842" s="124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ht="18.75" customHeight="1" x14ac:dyDescent="0.35">
      <c r="C843" s="124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ht="18.75" customHeight="1" x14ac:dyDescent="0.35">
      <c r="C844" s="124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ht="18.75" customHeight="1" x14ac:dyDescent="0.35">
      <c r="C845" s="124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ht="18.75" customHeight="1" x14ac:dyDescent="0.35">
      <c r="C846" s="124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ht="18.75" customHeight="1" x14ac:dyDescent="0.35">
      <c r="C847" s="124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ht="18.75" customHeight="1" x14ac:dyDescent="0.35">
      <c r="C848" s="124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ht="18.75" customHeight="1" x14ac:dyDescent="0.35">
      <c r="C849" s="124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ht="18.75" customHeight="1" x14ac:dyDescent="0.35">
      <c r="C850" s="124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ht="18.75" customHeight="1" x14ac:dyDescent="0.35">
      <c r="C851" s="124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ht="18.75" customHeight="1" x14ac:dyDescent="0.35">
      <c r="C852" s="124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ht="18.75" customHeight="1" x14ac:dyDescent="0.35">
      <c r="C853" s="124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ht="18.75" customHeight="1" x14ac:dyDescent="0.35">
      <c r="C854" s="124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ht="18.75" customHeight="1" x14ac:dyDescent="0.35">
      <c r="C855" s="124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ht="18.75" customHeight="1" x14ac:dyDescent="0.35">
      <c r="C856" s="124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ht="18.75" customHeight="1" x14ac:dyDescent="0.35">
      <c r="C857" s="124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ht="18.75" customHeight="1" x14ac:dyDescent="0.35">
      <c r="C858" s="124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ht="18.75" customHeight="1" x14ac:dyDescent="0.35">
      <c r="C859" s="124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ht="18.75" customHeight="1" x14ac:dyDescent="0.35">
      <c r="C860" s="124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ht="18.75" customHeight="1" x14ac:dyDescent="0.35">
      <c r="C861" s="124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ht="18.75" customHeight="1" x14ac:dyDescent="0.35">
      <c r="C862" s="124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ht="18.75" customHeight="1" x14ac:dyDescent="0.35">
      <c r="C863" s="124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ht="18.75" customHeight="1" x14ac:dyDescent="0.35">
      <c r="C864" s="124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ht="18.75" customHeight="1" x14ac:dyDescent="0.35">
      <c r="C865" s="124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ht="18.75" customHeight="1" x14ac:dyDescent="0.35">
      <c r="C866" s="124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ht="18.75" customHeight="1" x14ac:dyDescent="0.35">
      <c r="C867" s="124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ht="18.75" customHeight="1" x14ac:dyDescent="0.35">
      <c r="C868" s="124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ht="18.75" customHeight="1" x14ac:dyDescent="0.35">
      <c r="C869" s="124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ht="18.75" customHeight="1" x14ac:dyDescent="0.35">
      <c r="C870" s="124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ht="18.75" customHeight="1" x14ac:dyDescent="0.35">
      <c r="C871" s="124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ht="18.75" customHeight="1" x14ac:dyDescent="0.35">
      <c r="C872" s="124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ht="18.75" customHeight="1" x14ac:dyDescent="0.35">
      <c r="C873" s="124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ht="18.75" customHeight="1" x14ac:dyDescent="0.35">
      <c r="C874" s="124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ht="18.75" customHeight="1" x14ac:dyDescent="0.35">
      <c r="C875" s="124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ht="18.75" customHeight="1" x14ac:dyDescent="0.35">
      <c r="C876" s="124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ht="18.75" customHeight="1" x14ac:dyDescent="0.35">
      <c r="C877" s="124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ht="18.75" customHeight="1" x14ac:dyDescent="0.35">
      <c r="C878" s="124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ht="18.75" customHeight="1" x14ac:dyDescent="0.35">
      <c r="C879" s="124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ht="18.75" customHeight="1" x14ac:dyDescent="0.35">
      <c r="C880" s="124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ht="18.75" customHeight="1" x14ac:dyDescent="0.35">
      <c r="C881" s="124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ht="18.75" customHeight="1" x14ac:dyDescent="0.35">
      <c r="C882" s="124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ht="18.75" customHeight="1" x14ac:dyDescent="0.35">
      <c r="C883" s="124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ht="18.75" customHeight="1" x14ac:dyDescent="0.35">
      <c r="C884" s="124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ht="18.75" customHeight="1" x14ac:dyDescent="0.35">
      <c r="C885" s="124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ht="18.75" customHeight="1" x14ac:dyDescent="0.35">
      <c r="C886" s="124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ht="18.75" customHeight="1" x14ac:dyDescent="0.35">
      <c r="C887" s="124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ht="18.75" customHeight="1" x14ac:dyDescent="0.35">
      <c r="C888" s="124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ht="18.75" customHeight="1" x14ac:dyDescent="0.35">
      <c r="C889" s="124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ht="18.75" customHeight="1" x14ac:dyDescent="0.35">
      <c r="C890" s="124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ht="18.75" customHeight="1" x14ac:dyDescent="0.35">
      <c r="C891" s="124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ht="18.75" customHeight="1" x14ac:dyDescent="0.35">
      <c r="C892" s="124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ht="18.75" customHeight="1" x14ac:dyDescent="0.35">
      <c r="C893" s="124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ht="18.75" customHeight="1" x14ac:dyDescent="0.35">
      <c r="C894" s="124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ht="18.75" customHeight="1" x14ac:dyDescent="0.35">
      <c r="C895" s="124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ht="18.75" customHeight="1" x14ac:dyDescent="0.35">
      <c r="C896" s="124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ht="18.75" customHeight="1" x14ac:dyDescent="0.35">
      <c r="C897" s="124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ht="18.75" customHeight="1" x14ac:dyDescent="0.35">
      <c r="C898" s="124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ht="18.75" customHeight="1" x14ac:dyDescent="0.35">
      <c r="C899" s="124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ht="18.75" customHeight="1" x14ac:dyDescent="0.35">
      <c r="C900" s="124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ht="18.75" customHeight="1" x14ac:dyDescent="0.35">
      <c r="C901" s="124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ht="18.75" customHeight="1" x14ac:dyDescent="0.35">
      <c r="C902" s="124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ht="18.75" customHeight="1" x14ac:dyDescent="0.35">
      <c r="C903" s="124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ht="18.75" customHeight="1" x14ac:dyDescent="0.35">
      <c r="C904" s="124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ht="18.75" customHeight="1" x14ac:dyDescent="0.35">
      <c r="C905" s="124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ht="18.75" customHeight="1" x14ac:dyDescent="0.35">
      <c r="C906" s="124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ht="18.75" customHeight="1" x14ac:dyDescent="0.35">
      <c r="C907" s="124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ht="18.75" customHeight="1" x14ac:dyDescent="0.35">
      <c r="C908" s="124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ht="18.75" customHeight="1" x14ac:dyDescent="0.35">
      <c r="C909" s="124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ht="18.75" customHeight="1" x14ac:dyDescent="0.35">
      <c r="C910" s="124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ht="18.75" customHeight="1" x14ac:dyDescent="0.35">
      <c r="C911" s="124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ht="18.75" customHeight="1" x14ac:dyDescent="0.35">
      <c r="C912" s="124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ht="18.75" customHeight="1" x14ac:dyDescent="0.35">
      <c r="C913" s="124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ht="18.75" customHeight="1" x14ac:dyDescent="0.35">
      <c r="C914" s="124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ht="18.75" customHeight="1" x14ac:dyDescent="0.35">
      <c r="C915" s="124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ht="18.75" customHeight="1" x14ac:dyDescent="0.35">
      <c r="C916" s="124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ht="18.75" customHeight="1" x14ac:dyDescent="0.35">
      <c r="C917" s="124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ht="18.75" customHeight="1" x14ac:dyDescent="0.35">
      <c r="C918" s="124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ht="18.75" customHeight="1" x14ac:dyDescent="0.35">
      <c r="C919" s="124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ht="18.75" customHeight="1" x14ac:dyDescent="0.35">
      <c r="C920" s="124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ht="18.75" customHeight="1" x14ac:dyDescent="0.35">
      <c r="C921" s="124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ht="18.75" customHeight="1" x14ac:dyDescent="0.35">
      <c r="C922" s="124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ht="18.75" customHeight="1" x14ac:dyDescent="0.35">
      <c r="C923" s="124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ht="18.75" customHeight="1" x14ac:dyDescent="0.35">
      <c r="C924" s="124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ht="18.75" customHeight="1" x14ac:dyDescent="0.35">
      <c r="C925" s="124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ht="18.75" customHeight="1" x14ac:dyDescent="0.35">
      <c r="C926" s="124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ht="18.75" customHeight="1" x14ac:dyDescent="0.35">
      <c r="C927" s="124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ht="18.75" customHeight="1" x14ac:dyDescent="0.35">
      <c r="C928" s="124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ht="18.75" customHeight="1" x14ac:dyDescent="0.35">
      <c r="C929" s="124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ht="18.75" customHeight="1" x14ac:dyDescent="0.35">
      <c r="C930" s="124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ht="18.75" customHeight="1" x14ac:dyDescent="0.35">
      <c r="C931" s="124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ht="18.75" customHeight="1" x14ac:dyDescent="0.35">
      <c r="C932" s="124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ht="18.75" customHeight="1" x14ac:dyDescent="0.35">
      <c r="C933" s="124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ht="18.75" customHeight="1" x14ac:dyDescent="0.35">
      <c r="C934" s="124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ht="18.75" customHeight="1" x14ac:dyDescent="0.35">
      <c r="C935" s="124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ht="18.75" customHeight="1" x14ac:dyDescent="0.35">
      <c r="C936" s="124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ht="18.75" customHeight="1" x14ac:dyDescent="0.35">
      <c r="C937" s="124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ht="18.75" customHeight="1" x14ac:dyDescent="0.35">
      <c r="C938" s="124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ht="18.75" customHeight="1" x14ac:dyDescent="0.35">
      <c r="C939" s="124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ht="18.75" customHeight="1" x14ac:dyDescent="0.35">
      <c r="C940" s="124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ht="18.75" customHeight="1" x14ac:dyDescent="0.35">
      <c r="C941" s="124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ht="18.75" customHeight="1" x14ac:dyDescent="0.35">
      <c r="C942" s="124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ht="18.75" customHeight="1" x14ac:dyDescent="0.35">
      <c r="C943" s="124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ht="18.75" customHeight="1" x14ac:dyDescent="0.35">
      <c r="C944" s="124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ht="18.75" customHeight="1" x14ac:dyDescent="0.35">
      <c r="C945" s="124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ht="18.75" customHeight="1" x14ac:dyDescent="0.35">
      <c r="C946" s="124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ht="18.75" customHeight="1" x14ac:dyDescent="0.35">
      <c r="C947" s="124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ht="18.75" customHeight="1" x14ac:dyDescent="0.35">
      <c r="C948" s="124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ht="18.75" customHeight="1" x14ac:dyDescent="0.35">
      <c r="C949" s="124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ht="18.75" customHeight="1" x14ac:dyDescent="0.35">
      <c r="C950" s="124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ht="18.75" customHeight="1" x14ac:dyDescent="0.35">
      <c r="C951" s="124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ht="18.75" customHeight="1" x14ac:dyDescent="0.35">
      <c r="C952" s="124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ht="18.75" customHeight="1" x14ac:dyDescent="0.35">
      <c r="C953" s="124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ht="18.75" customHeight="1" x14ac:dyDescent="0.35">
      <c r="C954" s="124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ht="18.75" customHeight="1" x14ac:dyDescent="0.35">
      <c r="C955" s="124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ht="18.75" customHeight="1" x14ac:dyDescent="0.35">
      <c r="C956" s="124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ht="18.75" customHeight="1" x14ac:dyDescent="0.35">
      <c r="C957" s="124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ht="18.75" customHeight="1" x14ac:dyDescent="0.35">
      <c r="C958" s="124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ht="18.75" customHeight="1" x14ac:dyDescent="0.35">
      <c r="C959" s="124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ht="18.75" customHeight="1" x14ac:dyDescent="0.35">
      <c r="C960" s="124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ht="18.75" customHeight="1" x14ac:dyDescent="0.35">
      <c r="C961" s="124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ht="18.75" customHeight="1" x14ac:dyDescent="0.35">
      <c r="C962" s="124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ht="18.75" customHeight="1" x14ac:dyDescent="0.35">
      <c r="C963" s="124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ht="18.75" customHeight="1" x14ac:dyDescent="0.35">
      <c r="C964" s="124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ht="18.75" customHeight="1" x14ac:dyDescent="0.35">
      <c r="C965" s="124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ht="18.75" customHeight="1" x14ac:dyDescent="0.35">
      <c r="C966" s="124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ht="18.75" customHeight="1" x14ac:dyDescent="0.35">
      <c r="C967" s="124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ht="18.75" customHeight="1" x14ac:dyDescent="0.35">
      <c r="C968" s="124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ht="18.75" customHeight="1" x14ac:dyDescent="0.35">
      <c r="C969" s="124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ht="18.75" customHeight="1" x14ac:dyDescent="0.35">
      <c r="C970" s="124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ht="18.75" customHeight="1" x14ac:dyDescent="0.35">
      <c r="C971" s="124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ht="18.75" customHeight="1" x14ac:dyDescent="0.35">
      <c r="C972" s="124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ht="18.75" customHeight="1" x14ac:dyDescent="0.35">
      <c r="C973" s="124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ht="18.75" customHeight="1" x14ac:dyDescent="0.35">
      <c r="C974" s="124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ht="18.75" customHeight="1" x14ac:dyDescent="0.35">
      <c r="C975" s="124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ht="18.75" customHeight="1" x14ac:dyDescent="0.35">
      <c r="C976" s="124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ht="18.75" customHeight="1" x14ac:dyDescent="0.35">
      <c r="C977" s="124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ht="18.75" customHeight="1" x14ac:dyDescent="0.35">
      <c r="C978" s="124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ht="18.75" customHeight="1" x14ac:dyDescent="0.35">
      <c r="C979" s="124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ht="18.75" customHeight="1" x14ac:dyDescent="0.35">
      <c r="C980" s="124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ht="18.75" customHeight="1" x14ac:dyDescent="0.35">
      <c r="C981" s="124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ht="18.75" customHeight="1" x14ac:dyDescent="0.35">
      <c r="C982" s="124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ht="18.75" customHeight="1" x14ac:dyDescent="0.35">
      <c r="C983" s="124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ht="18.75" customHeight="1" x14ac:dyDescent="0.35">
      <c r="C984" s="124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ht="18.75" customHeight="1" x14ac:dyDescent="0.35">
      <c r="C985" s="124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ht="18.75" customHeight="1" x14ac:dyDescent="0.35">
      <c r="C986" s="124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ht="18.75" customHeight="1" x14ac:dyDescent="0.35">
      <c r="C987" s="124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ht="18.75" customHeight="1" x14ac:dyDescent="0.35">
      <c r="C988" s="124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ht="18.75" customHeight="1" x14ac:dyDescent="0.35">
      <c r="C989" s="124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ht="18.75" customHeight="1" x14ac:dyDescent="0.35">
      <c r="C990" s="124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ht="18.75" customHeight="1" x14ac:dyDescent="0.35">
      <c r="C991" s="124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ht="18.75" customHeight="1" x14ac:dyDescent="0.35">
      <c r="C992" s="124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ht="18.75" customHeight="1" x14ac:dyDescent="0.35">
      <c r="C993" s="124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ht="18.75" customHeight="1" x14ac:dyDescent="0.35">
      <c r="C994" s="124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ht="18.75" customHeight="1" x14ac:dyDescent="0.35">
      <c r="C995" s="124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ht="18.75" customHeight="1" x14ac:dyDescent="0.35">
      <c r="C996" s="124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ht="18.75" customHeight="1" x14ac:dyDescent="0.35">
      <c r="C997" s="124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ht="18.75" customHeight="1" x14ac:dyDescent="0.35">
      <c r="C998" s="124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ht="18.75" customHeight="1" x14ac:dyDescent="0.35">
      <c r="C999" s="124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ht="18.75" customHeight="1" x14ac:dyDescent="0.35">
      <c r="C1000" s="124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ht="18.75" customHeight="1" x14ac:dyDescent="0.35">
      <c r="C1001" s="124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ht="18.75" customHeight="1" x14ac:dyDescent="0.35">
      <c r="C1002" s="124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ht="18.75" customHeight="1" x14ac:dyDescent="0.35">
      <c r="C1003" s="124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ht="18.75" customHeight="1" x14ac:dyDescent="0.35">
      <c r="C1004" s="124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ht="18.75" customHeight="1" x14ac:dyDescent="0.35">
      <c r="C1005" s="124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ht="18.75" customHeight="1" x14ac:dyDescent="0.35">
      <c r="C1006" s="124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ht="18.75" customHeight="1" x14ac:dyDescent="0.35">
      <c r="C1007" s="124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ht="18.75" customHeight="1" x14ac:dyDescent="0.35">
      <c r="C1008" s="124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ht="18.75" customHeight="1" x14ac:dyDescent="0.35">
      <c r="C1009" s="124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ht="18.75" customHeight="1" x14ac:dyDescent="0.35">
      <c r="C1010" s="124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ht="18.75" customHeight="1" x14ac:dyDescent="0.35">
      <c r="C1011" s="124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ht="18.75" customHeight="1" x14ac:dyDescent="0.35">
      <c r="C1012" s="124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ht="18.75" customHeight="1" x14ac:dyDescent="0.35">
      <c r="C1013" s="124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ht="18.75" customHeight="1" x14ac:dyDescent="0.35">
      <c r="C1014" s="124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ht="18.75" customHeight="1" x14ac:dyDescent="0.35">
      <c r="C1015" s="124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ht="18.75" customHeight="1" x14ac:dyDescent="0.35">
      <c r="C1016" s="124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ht="18.75" customHeight="1" x14ac:dyDescent="0.35">
      <c r="C1017" s="124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ht="18.75" customHeight="1" x14ac:dyDescent="0.35">
      <c r="C1018" s="124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ht="18.75" customHeight="1" x14ac:dyDescent="0.35">
      <c r="C1019" s="124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ht="18.75" customHeight="1" x14ac:dyDescent="0.35">
      <c r="C1020" s="124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ht="18.75" customHeight="1" x14ac:dyDescent="0.35">
      <c r="C1021" s="124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ht="18.75" customHeight="1" x14ac:dyDescent="0.35">
      <c r="C1022" s="124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ht="18.75" customHeight="1" x14ac:dyDescent="0.35">
      <c r="C1023" s="124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ht="18.75" customHeight="1" x14ac:dyDescent="0.35">
      <c r="C1024" s="124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ht="18.75" customHeight="1" x14ac:dyDescent="0.35">
      <c r="C1025" s="124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ht="18.75" customHeight="1" x14ac:dyDescent="0.35">
      <c r="C1026" s="124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ht="18.75" customHeight="1" x14ac:dyDescent="0.35">
      <c r="C1027" s="124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ht="18.75" customHeight="1" x14ac:dyDescent="0.35">
      <c r="C1028" s="124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ht="18.75" customHeight="1" x14ac:dyDescent="0.35">
      <c r="C1029" s="124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ht="18.75" customHeight="1" x14ac:dyDescent="0.35">
      <c r="C1030" s="124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ht="18.75" customHeight="1" x14ac:dyDescent="0.35">
      <c r="C1031" s="124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ht="18.75" customHeight="1" x14ac:dyDescent="0.35">
      <c r="C1032" s="124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ht="18.75" customHeight="1" x14ac:dyDescent="0.35">
      <c r="C1033" s="124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ht="18.75" customHeight="1" x14ac:dyDescent="0.35">
      <c r="C1034" s="124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ht="18.75" customHeight="1" x14ac:dyDescent="0.35">
      <c r="C1035" s="124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ht="18.75" customHeight="1" x14ac:dyDescent="0.35">
      <c r="C1036" s="124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ht="18.75" customHeight="1" x14ac:dyDescent="0.35">
      <c r="C1037" s="124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ht="18.75" customHeight="1" x14ac:dyDescent="0.35">
      <c r="C1038" s="124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ht="18.75" customHeight="1" x14ac:dyDescent="0.35">
      <c r="C1039" s="124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ht="18.75" customHeight="1" x14ac:dyDescent="0.35">
      <c r="C1040" s="124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ht="18.75" customHeight="1" x14ac:dyDescent="0.35">
      <c r="C1041" s="124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ht="18.75" customHeight="1" x14ac:dyDescent="0.35">
      <c r="C1042" s="124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ht="18.75" customHeight="1" x14ac:dyDescent="0.35">
      <c r="C1043" s="124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ht="18.75" customHeight="1" x14ac:dyDescent="0.35">
      <c r="C1044" s="124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ht="18.75" customHeight="1" x14ac:dyDescent="0.35">
      <c r="C1045" s="124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ht="18.75" customHeight="1" x14ac:dyDescent="0.35">
      <c r="C1046" s="124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ht="18.75" customHeight="1" x14ac:dyDescent="0.35">
      <c r="C1047" s="124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ht="18.75" customHeight="1" x14ac:dyDescent="0.35">
      <c r="C1048" s="124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ht="18.75" customHeight="1" x14ac:dyDescent="0.35">
      <c r="C1049" s="124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ht="18.75" customHeight="1" x14ac:dyDescent="0.35">
      <c r="C1050" s="124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ht="18.75" customHeight="1" x14ac:dyDescent="0.35">
      <c r="C1051" s="124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ht="18.75" customHeight="1" x14ac:dyDescent="0.35">
      <c r="C1052" s="124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ht="18.75" customHeight="1" x14ac:dyDescent="0.35">
      <c r="C1053" s="124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ht="18.75" customHeight="1" x14ac:dyDescent="0.35">
      <c r="C1054" s="124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ht="18.75" customHeight="1" x14ac:dyDescent="0.35">
      <c r="C1055" s="124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ht="18.75" customHeight="1" x14ac:dyDescent="0.35">
      <c r="C1056" s="124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ht="18.75" customHeight="1" x14ac:dyDescent="0.35">
      <c r="C1057" s="124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ht="18.75" customHeight="1" x14ac:dyDescent="0.35">
      <c r="C1058" s="124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ht="18.75" customHeight="1" x14ac:dyDescent="0.35">
      <c r="C1059" s="124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ht="18.75" customHeight="1" x14ac:dyDescent="0.35">
      <c r="C1060" s="124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ht="18.75" customHeight="1" x14ac:dyDescent="0.35">
      <c r="C1061" s="124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ht="18.75" customHeight="1" x14ac:dyDescent="0.35">
      <c r="C1062" s="124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ht="18.75" customHeight="1" x14ac:dyDescent="0.35">
      <c r="C1063" s="124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ht="18.75" customHeight="1" x14ac:dyDescent="0.35">
      <c r="C1064" s="124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ht="18.75" customHeight="1" x14ac:dyDescent="0.35">
      <c r="C1065" s="124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ht="18.75" customHeight="1" x14ac:dyDescent="0.35">
      <c r="C1066" s="124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ht="18.75" customHeight="1" x14ac:dyDescent="0.35">
      <c r="C1067" s="124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ht="18.75" customHeight="1" x14ac:dyDescent="0.35">
      <c r="C1068" s="124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ht="18.75" customHeight="1" x14ac:dyDescent="0.35">
      <c r="C1069" s="124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ht="18.75" customHeight="1" x14ac:dyDescent="0.35">
      <c r="C1070" s="124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ht="18.75" customHeight="1" x14ac:dyDescent="0.35">
      <c r="C1071" s="124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ht="18.75" customHeight="1" x14ac:dyDescent="0.35">
      <c r="C1072" s="124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ht="18.75" customHeight="1" x14ac:dyDescent="0.35">
      <c r="C1073" s="124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ht="18.75" customHeight="1" x14ac:dyDescent="0.35">
      <c r="C1074" s="124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ht="18.75" customHeight="1" x14ac:dyDescent="0.35">
      <c r="C1075" s="124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ht="18.75" customHeight="1" x14ac:dyDescent="0.35">
      <c r="C1076" s="124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ht="18.75" customHeight="1" x14ac:dyDescent="0.35">
      <c r="C1077" s="124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ht="18.75" customHeight="1" x14ac:dyDescent="0.35">
      <c r="C1078" s="124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ht="18.75" customHeight="1" x14ac:dyDescent="0.35">
      <c r="C1079" s="124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ht="18.75" customHeight="1" x14ac:dyDescent="0.35">
      <c r="C1080" s="124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ht="18.75" customHeight="1" x14ac:dyDescent="0.35">
      <c r="C1081" s="124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ht="18.75" customHeight="1" x14ac:dyDescent="0.35">
      <c r="C1082" s="124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ht="18.75" customHeight="1" x14ac:dyDescent="0.35">
      <c r="C1083" s="124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ht="18.75" customHeight="1" x14ac:dyDescent="0.35">
      <c r="C1084" s="124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ht="18.75" customHeight="1" x14ac:dyDescent="0.35">
      <c r="C1085" s="124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ht="18.75" customHeight="1" x14ac:dyDescent="0.35">
      <c r="C1086" s="124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ht="18.75" customHeight="1" x14ac:dyDescent="0.35">
      <c r="C1087" s="124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ht="18.75" customHeight="1" x14ac:dyDescent="0.35">
      <c r="C1088" s="124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ht="18.75" customHeight="1" x14ac:dyDescent="0.35">
      <c r="C1089" s="124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ht="18.75" customHeight="1" x14ac:dyDescent="0.35">
      <c r="C1090" s="124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ht="18.75" customHeight="1" x14ac:dyDescent="0.35">
      <c r="C1091" s="124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ht="18.75" customHeight="1" x14ac:dyDescent="0.35">
      <c r="C1092" s="124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ht="18.75" customHeight="1" x14ac:dyDescent="0.35">
      <c r="C1093" s="124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ht="18.75" customHeight="1" x14ac:dyDescent="0.35">
      <c r="C1094" s="124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ht="18.75" customHeight="1" x14ac:dyDescent="0.35">
      <c r="C1095" s="124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ht="18.75" customHeight="1" x14ac:dyDescent="0.35">
      <c r="C1096" s="124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ht="18.75" customHeight="1" x14ac:dyDescent="0.35">
      <c r="C1097" s="124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ht="18.75" customHeight="1" x14ac:dyDescent="0.35">
      <c r="C1098" s="124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ht="18.75" customHeight="1" x14ac:dyDescent="0.35">
      <c r="C1099" s="124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ht="18.75" customHeight="1" x14ac:dyDescent="0.35">
      <c r="C1100" s="124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ht="18.75" customHeight="1" x14ac:dyDescent="0.35">
      <c r="C1101" s="124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ht="18.75" customHeight="1" x14ac:dyDescent="0.35">
      <c r="C1102" s="124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ht="18.75" customHeight="1" x14ac:dyDescent="0.35">
      <c r="C1103" s="124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ht="18.75" customHeight="1" x14ac:dyDescent="0.35">
      <c r="C1104" s="124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ht="18.75" customHeight="1" x14ac:dyDescent="0.35">
      <c r="C1105" s="124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ht="18.75" customHeight="1" x14ac:dyDescent="0.35">
      <c r="C1106" s="124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ht="18.75" customHeight="1" x14ac:dyDescent="0.35">
      <c r="C1107" s="124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ht="18.75" customHeight="1" x14ac:dyDescent="0.35">
      <c r="C1108" s="124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ht="18.75" customHeight="1" x14ac:dyDescent="0.35">
      <c r="C1109" s="124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ht="18.75" customHeight="1" x14ac:dyDescent="0.35">
      <c r="C1110" s="124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ht="18.75" customHeight="1" x14ac:dyDescent="0.35">
      <c r="C1111" s="124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ht="18.75" customHeight="1" x14ac:dyDescent="0.35">
      <c r="C1112" s="124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ht="18.75" customHeight="1" x14ac:dyDescent="0.35">
      <c r="C1113" s="124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ht="18.75" customHeight="1" x14ac:dyDescent="0.35">
      <c r="C1114" s="124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ht="18.75" customHeight="1" x14ac:dyDescent="0.35">
      <c r="C1115" s="124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ht="18.75" customHeight="1" x14ac:dyDescent="0.35">
      <c r="C1116" s="124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ht="18.75" customHeight="1" x14ac:dyDescent="0.35">
      <c r="C1117" s="124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ht="18.75" customHeight="1" x14ac:dyDescent="0.35">
      <c r="C1118" s="124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ht="18.75" customHeight="1" x14ac:dyDescent="0.35">
      <c r="C1119" s="124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ht="18.75" customHeight="1" x14ac:dyDescent="0.35">
      <c r="C1120" s="124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ht="18.75" customHeight="1" x14ac:dyDescent="0.35">
      <c r="C1121" s="124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ht="18.75" customHeight="1" x14ac:dyDescent="0.35">
      <c r="C1122" s="124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ht="18.75" customHeight="1" x14ac:dyDescent="0.35">
      <c r="C1123" s="124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ht="18.75" customHeight="1" x14ac:dyDescent="0.35">
      <c r="C1124" s="124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ht="18.75" customHeight="1" x14ac:dyDescent="0.35">
      <c r="C1125" s="124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ht="18.75" customHeight="1" x14ac:dyDescent="0.35">
      <c r="C1126" s="124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ht="18.75" customHeight="1" x14ac:dyDescent="0.35">
      <c r="C1127" s="124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ht="18.75" customHeight="1" x14ac:dyDescent="0.35">
      <c r="C1128" s="124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ht="18.75" customHeight="1" x14ac:dyDescent="0.35">
      <c r="C1129" s="124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ht="18.75" customHeight="1" x14ac:dyDescent="0.35">
      <c r="C1130" s="124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ht="18.75" customHeight="1" x14ac:dyDescent="0.35">
      <c r="C1131" s="124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ht="18.75" customHeight="1" x14ac:dyDescent="0.35">
      <c r="C1132" s="124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ht="18.75" customHeight="1" x14ac:dyDescent="0.35">
      <c r="C1133" s="124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ht="18.75" customHeight="1" x14ac:dyDescent="0.35">
      <c r="C1134" s="124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ht="18.75" customHeight="1" x14ac:dyDescent="0.35">
      <c r="C1135" s="124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ht="18.75" customHeight="1" x14ac:dyDescent="0.35">
      <c r="C1136" s="124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ht="18.75" customHeight="1" x14ac:dyDescent="0.35">
      <c r="C1137" s="124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ht="18.75" customHeight="1" x14ac:dyDescent="0.35">
      <c r="C1138" s="124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ht="18.75" customHeight="1" x14ac:dyDescent="0.35">
      <c r="C1139" s="124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ht="18.75" customHeight="1" x14ac:dyDescent="0.35">
      <c r="C1140" s="124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ht="18.75" customHeight="1" x14ac:dyDescent="0.35">
      <c r="C1141" s="124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ht="18.75" customHeight="1" x14ac:dyDescent="0.35">
      <c r="C1142" s="124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ht="18.75" customHeight="1" x14ac:dyDescent="0.35">
      <c r="C1143" s="124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ht="18.75" customHeight="1" x14ac:dyDescent="0.35">
      <c r="C1144" s="124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ht="18.75" customHeight="1" x14ac:dyDescent="0.35">
      <c r="C1145" s="124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ht="18.75" customHeight="1" x14ac:dyDescent="0.35">
      <c r="C1146" s="124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ht="18.75" customHeight="1" x14ac:dyDescent="0.35">
      <c r="C1147" s="124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ht="18.75" customHeight="1" x14ac:dyDescent="0.35">
      <c r="C1148" s="124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ht="18.75" customHeight="1" x14ac:dyDescent="0.35">
      <c r="C1149" s="124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ht="18.75" customHeight="1" x14ac:dyDescent="0.35">
      <c r="C1150" s="124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ht="18.75" customHeight="1" x14ac:dyDescent="0.35">
      <c r="C1151" s="124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ht="18.75" customHeight="1" x14ac:dyDescent="0.35">
      <c r="C1152" s="124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ht="18.75" customHeight="1" x14ac:dyDescent="0.35">
      <c r="C1153" s="124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ht="18.75" customHeight="1" x14ac:dyDescent="0.35">
      <c r="C1154" s="124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ht="18.75" customHeight="1" x14ac:dyDescent="0.35">
      <c r="C1155" s="124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ht="18.75" customHeight="1" x14ac:dyDescent="0.35">
      <c r="C1156" s="124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ht="18.75" customHeight="1" x14ac:dyDescent="0.35">
      <c r="C1157" s="124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ht="18.75" customHeight="1" x14ac:dyDescent="0.35">
      <c r="C1158" s="124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ht="18.75" customHeight="1" x14ac:dyDescent="0.35">
      <c r="C1159" s="124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ht="18.75" customHeight="1" x14ac:dyDescent="0.35">
      <c r="C1160" s="124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ht="18.75" customHeight="1" x14ac:dyDescent="0.35">
      <c r="C1161" s="124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ht="18.75" customHeight="1" x14ac:dyDescent="0.35">
      <c r="C1162" s="124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ht="18.75" customHeight="1" x14ac:dyDescent="0.35">
      <c r="C1163" s="124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ht="18.75" customHeight="1" x14ac:dyDescent="0.35">
      <c r="C1164" s="124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ht="18.75" customHeight="1" x14ac:dyDescent="0.35">
      <c r="C1165" s="124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ht="18.75" customHeight="1" x14ac:dyDescent="0.35">
      <c r="C1166" s="124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ht="18.75" customHeight="1" x14ac:dyDescent="0.35">
      <c r="C1167" s="124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ht="18.75" customHeight="1" x14ac:dyDescent="0.35">
      <c r="C1168" s="124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ht="18.75" customHeight="1" x14ac:dyDescent="0.35">
      <c r="C1169" s="124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ht="18.75" customHeight="1" x14ac:dyDescent="0.35">
      <c r="C1170" s="124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ht="18.75" customHeight="1" x14ac:dyDescent="0.35">
      <c r="C1171" s="124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ht="18.75" customHeight="1" x14ac:dyDescent="0.35">
      <c r="C1172" s="124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ht="18.75" customHeight="1" x14ac:dyDescent="0.35">
      <c r="C1173" s="124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ht="18.75" customHeight="1" x14ac:dyDescent="0.35">
      <c r="C1174" s="124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ht="18.75" customHeight="1" x14ac:dyDescent="0.35">
      <c r="C1175" s="124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ht="18.75" customHeight="1" x14ac:dyDescent="0.35">
      <c r="C1176" s="124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ht="18.75" customHeight="1" x14ac:dyDescent="0.35">
      <c r="C1177" s="124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ht="18.75" customHeight="1" x14ac:dyDescent="0.35">
      <c r="C1178" s="124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ht="18.75" customHeight="1" x14ac:dyDescent="0.35">
      <c r="C1179" s="124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ht="18.75" customHeight="1" x14ac:dyDescent="0.35">
      <c r="C1180" s="124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ht="18.75" customHeight="1" x14ac:dyDescent="0.35">
      <c r="C1181" s="124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ht="18.75" customHeight="1" x14ac:dyDescent="0.35">
      <c r="C1182" s="124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ht="18.75" customHeight="1" x14ac:dyDescent="0.35">
      <c r="C1183" s="124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ht="18.75" customHeight="1" x14ac:dyDescent="0.35">
      <c r="C1184" s="124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ht="18.75" customHeight="1" x14ac:dyDescent="0.35">
      <c r="C1185" s="124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ht="18.75" customHeight="1" x14ac:dyDescent="0.35">
      <c r="C1186" s="124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ht="18.75" customHeight="1" x14ac:dyDescent="0.35">
      <c r="C1187" s="124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ht="18.75" customHeight="1" x14ac:dyDescent="0.35">
      <c r="C1188" s="124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ht="18.75" customHeight="1" x14ac:dyDescent="0.35">
      <c r="C1189" s="124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ht="18.75" customHeight="1" x14ac:dyDescent="0.35">
      <c r="C1190" s="124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ht="18.75" customHeight="1" x14ac:dyDescent="0.35">
      <c r="C1191" s="124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ht="18.75" customHeight="1" x14ac:dyDescent="0.35">
      <c r="C1192" s="124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ht="18.75" customHeight="1" x14ac:dyDescent="0.35">
      <c r="C1193" s="124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ht="18.75" customHeight="1" x14ac:dyDescent="0.35">
      <c r="C1194" s="124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ht="18.75" customHeight="1" x14ac:dyDescent="0.35">
      <c r="C1195" s="124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ht="18.75" customHeight="1" x14ac:dyDescent="0.35">
      <c r="C1196" s="124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ht="18.75" customHeight="1" x14ac:dyDescent="0.35">
      <c r="C1197" s="124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ht="18.75" customHeight="1" x14ac:dyDescent="0.35">
      <c r="C1198" s="124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ht="18.75" customHeight="1" x14ac:dyDescent="0.35">
      <c r="C1199" s="124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ht="18.75" customHeight="1" x14ac:dyDescent="0.35">
      <c r="C1200" s="124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ht="18.75" customHeight="1" x14ac:dyDescent="0.35">
      <c r="C1201" s="124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ht="18.75" customHeight="1" x14ac:dyDescent="0.35">
      <c r="C1202" s="124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ht="18.75" customHeight="1" x14ac:dyDescent="0.35">
      <c r="C1203" s="124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ht="18.75" customHeight="1" x14ac:dyDescent="0.35">
      <c r="C1204" s="124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ht="18.75" customHeight="1" x14ac:dyDescent="0.35">
      <c r="C1205" s="124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ht="18.75" customHeight="1" x14ac:dyDescent="0.35">
      <c r="C1206" s="124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ht="18.75" customHeight="1" x14ac:dyDescent="0.35">
      <c r="C1207" s="124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ht="18.75" customHeight="1" x14ac:dyDescent="0.35">
      <c r="C1208" s="124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ht="18.75" customHeight="1" x14ac:dyDescent="0.35">
      <c r="C1209" s="124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ht="18.75" customHeight="1" x14ac:dyDescent="0.35">
      <c r="C1210" s="124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ht="18.75" customHeight="1" x14ac:dyDescent="0.35">
      <c r="C1211" s="124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ht="18.75" customHeight="1" x14ac:dyDescent="0.35">
      <c r="C1212" s="124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ht="18.75" customHeight="1" x14ac:dyDescent="0.35">
      <c r="C1213" s="124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ht="18.75" customHeight="1" x14ac:dyDescent="0.35">
      <c r="C1214" s="124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ht="18.75" customHeight="1" x14ac:dyDescent="0.35">
      <c r="C1215" s="124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ht="18.75" customHeight="1" x14ac:dyDescent="0.35">
      <c r="C1216" s="124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ht="18.75" customHeight="1" x14ac:dyDescent="0.35">
      <c r="C1217" s="124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ht="18.75" customHeight="1" x14ac:dyDescent="0.35">
      <c r="C1218" s="124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ht="18.75" customHeight="1" x14ac:dyDescent="0.35">
      <c r="C1219" s="124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ht="18.75" customHeight="1" x14ac:dyDescent="0.35">
      <c r="C1220" s="124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ht="18.75" customHeight="1" x14ac:dyDescent="0.35">
      <c r="C1221" s="124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ht="18.75" customHeight="1" x14ac:dyDescent="0.35">
      <c r="C1222" s="124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ht="18.75" customHeight="1" x14ac:dyDescent="0.35">
      <c r="C1223" s="124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ht="18.75" customHeight="1" x14ac:dyDescent="0.35">
      <c r="C1224" s="124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ht="18.75" customHeight="1" x14ac:dyDescent="0.35">
      <c r="C1225" s="124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ht="18.75" customHeight="1" x14ac:dyDescent="0.35">
      <c r="C1226" s="124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ht="18.75" customHeight="1" x14ac:dyDescent="0.35">
      <c r="C1227" s="124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ht="18.75" customHeight="1" x14ac:dyDescent="0.35">
      <c r="C1228" s="124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ht="18.75" customHeight="1" x14ac:dyDescent="0.35">
      <c r="C1229" s="124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ht="18.75" customHeight="1" x14ac:dyDescent="0.35">
      <c r="C1230" s="124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ht="18.75" customHeight="1" x14ac:dyDescent="0.35">
      <c r="C1231" s="124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ht="18.75" customHeight="1" x14ac:dyDescent="0.35">
      <c r="C1232" s="124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ht="18.75" customHeight="1" x14ac:dyDescent="0.35">
      <c r="C1233" s="124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ht="18.75" customHeight="1" x14ac:dyDescent="0.35">
      <c r="C1234" s="124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ht="18.75" customHeight="1" x14ac:dyDescent="0.35">
      <c r="C1235" s="124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ht="18.75" customHeight="1" x14ac:dyDescent="0.35">
      <c r="C1236" s="124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ht="18.75" customHeight="1" x14ac:dyDescent="0.35">
      <c r="C1237" s="124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ht="18.75" customHeight="1" x14ac:dyDescent="0.35">
      <c r="C1238" s="124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ht="18.75" customHeight="1" x14ac:dyDescent="0.35">
      <c r="C1239" s="124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ht="18.75" customHeight="1" x14ac:dyDescent="0.35">
      <c r="C1240" s="124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ht="18.75" customHeight="1" x14ac:dyDescent="0.35">
      <c r="C1241" s="124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ht="18.75" customHeight="1" x14ac:dyDescent="0.35">
      <c r="C1242" s="124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ht="18.75" customHeight="1" x14ac:dyDescent="0.35">
      <c r="C1243" s="124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ht="18.75" customHeight="1" x14ac:dyDescent="0.35">
      <c r="C1244" s="124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ht="18.75" customHeight="1" x14ac:dyDescent="0.35">
      <c r="C1245" s="124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ht="18.75" customHeight="1" x14ac:dyDescent="0.35">
      <c r="C1246" s="124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ht="18.75" customHeight="1" x14ac:dyDescent="0.35">
      <c r="C1247" s="124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ht="18.75" customHeight="1" x14ac:dyDescent="0.35">
      <c r="C1248" s="124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ht="18.75" customHeight="1" x14ac:dyDescent="0.35">
      <c r="C1249" s="124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ht="18.75" customHeight="1" x14ac:dyDescent="0.35">
      <c r="C1250" s="124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ht="18.75" customHeight="1" x14ac:dyDescent="0.35">
      <c r="C1251" s="124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ht="18.75" customHeight="1" x14ac:dyDescent="0.35">
      <c r="C1252" s="124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ht="18.75" customHeight="1" x14ac:dyDescent="0.35">
      <c r="C1253" s="124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ht="18.75" customHeight="1" x14ac:dyDescent="0.35">
      <c r="C1254" s="124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ht="18.75" customHeight="1" x14ac:dyDescent="0.35">
      <c r="C1255" s="124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ht="18.75" customHeight="1" x14ac:dyDescent="0.35">
      <c r="C1256" s="124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ht="18.75" customHeight="1" x14ac:dyDescent="0.35">
      <c r="C1257" s="124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ht="18.75" customHeight="1" x14ac:dyDescent="0.35">
      <c r="C1258" s="124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ht="18.75" customHeight="1" x14ac:dyDescent="0.35">
      <c r="C1259" s="124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ht="18.75" customHeight="1" x14ac:dyDescent="0.35">
      <c r="C1260" s="124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ht="18.75" customHeight="1" x14ac:dyDescent="0.35">
      <c r="C1261" s="124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ht="18.75" customHeight="1" x14ac:dyDescent="0.35">
      <c r="C1262" s="124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ht="18.75" customHeight="1" x14ac:dyDescent="0.35">
      <c r="C1263" s="124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ht="18.75" customHeight="1" x14ac:dyDescent="0.35">
      <c r="C1264" s="124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ht="18.75" customHeight="1" x14ac:dyDescent="0.35">
      <c r="C1265" s="124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ht="18.75" customHeight="1" x14ac:dyDescent="0.35">
      <c r="C1266" s="124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ht="18.75" customHeight="1" x14ac:dyDescent="0.35">
      <c r="C1267" s="124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ht="18.75" customHeight="1" x14ac:dyDescent="0.35">
      <c r="C1268" s="124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ht="18.75" customHeight="1" x14ac:dyDescent="0.35">
      <c r="C1269" s="124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ht="18.75" customHeight="1" x14ac:dyDescent="0.35">
      <c r="C1270" s="124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ht="18.75" customHeight="1" x14ac:dyDescent="0.35">
      <c r="C1271" s="124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ht="18.75" customHeight="1" x14ac:dyDescent="0.35">
      <c r="C1272" s="124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ht="18.75" customHeight="1" x14ac:dyDescent="0.35">
      <c r="C1273" s="124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ht="18.75" customHeight="1" x14ac:dyDescent="0.35">
      <c r="C1274" s="124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ht="18.75" customHeight="1" x14ac:dyDescent="0.35">
      <c r="C1275" s="124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ht="18.75" customHeight="1" x14ac:dyDescent="0.35">
      <c r="C1276" s="124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ht="18.75" customHeight="1" x14ac:dyDescent="0.35">
      <c r="C1277" s="124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ht="18.75" customHeight="1" x14ac:dyDescent="0.35">
      <c r="C1278" s="124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ht="18.75" customHeight="1" x14ac:dyDescent="0.35">
      <c r="C1279" s="124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ht="18.75" customHeight="1" x14ac:dyDescent="0.35">
      <c r="C1280" s="124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ht="18.75" customHeight="1" x14ac:dyDescent="0.35">
      <c r="C1281" s="124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ht="18.75" customHeight="1" x14ac:dyDescent="0.35">
      <c r="C1282" s="124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ht="18.75" customHeight="1" x14ac:dyDescent="0.35">
      <c r="C1283" s="124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ht="18.75" customHeight="1" x14ac:dyDescent="0.35">
      <c r="C1284" s="124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ht="18.75" customHeight="1" x14ac:dyDescent="0.35">
      <c r="C1285" s="124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ht="18.75" customHeight="1" x14ac:dyDescent="0.35">
      <c r="C1286" s="124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ht="18.75" customHeight="1" x14ac:dyDescent="0.35">
      <c r="C1287" s="124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ht="18.75" customHeight="1" x14ac:dyDescent="0.35">
      <c r="C1288" s="124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ht="18.75" customHeight="1" x14ac:dyDescent="0.35">
      <c r="C1289" s="124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ht="18.75" customHeight="1" x14ac:dyDescent="0.35">
      <c r="C1290" s="124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ht="18.75" customHeight="1" x14ac:dyDescent="0.35">
      <c r="C1291" s="124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ht="18.75" customHeight="1" x14ac:dyDescent="0.35">
      <c r="C1292" s="124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ht="18.75" customHeight="1" x14ac:dyDescent="0.35">
      <c r="C1293" s="124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ht="18.75" customHeight="1" x14ac:dyDescent="0.35">
      <c r="C1294" s="124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ht="18.75" customHeight="1" x14ac:dyDescent="0.35">
      <c r="C1295" s="124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ht="18.75" customHeight="1" x14ac:dyDescent="0.35">
      <c r="C1296" s="124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ht="18.75" customHeight="1" x14ac:dyDescent="0.35">
      <c r="C1297" s="124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ht="18.75" customHeight="1" x14ac:dyDescent="0.35">
      <c r="C1298" s="124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ht="18.75" customHeight="1" x14ac:dyDescent="0.35">
      <c r="C1299" s="124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ht="18.75" customHeight="1" x14ac:dyDescent="0.35">
      <c r="C1300" s="124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ht="18.75" customHeight="1" x14ac:dyDescent="0.35">
      <c r="C1301" s="124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ht="18.75" customHeight="1" x14ac:dyDescent="0.35">
      <c r="C1302" s="124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ht="18.75" customHeight="1" x14ac:dyDescent="0.35">
      <c r="C1303" s="124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ht="18.75" customHeight="1" x14ac:dyDescent="0.35">
      <c r="C1304" s="124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ht="18.75" customHeight="1" x14ac:dyDescent="0.35">
      <c r="C1305" s="124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ht="18.75" customHeight="1" x14ac:dyDescent="0.35">
      <c r="C1306" s="124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ht="18.75" customHeight="1" x14ac:dyDescent="0.35">
      <c r="C1307" s="124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ht="18.75" customHeight="1" x14ac:dyDescent="0.35">
      <c r="C1308" s="124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ht="18.75" customHeight="1" x14ac:dyDescent="0.35">
      <c r="C1309" s="124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ht="18.75" customHeight="1" x14ac:dyDescent="0.35">
      <c r="C1310" s="124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ht="18.75" customHeight="1" x14ac:dyDescent="0.35">
      <c r="C1311" s="124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ht="18.75" customHeight="1" x14ac:dyDescent="0.35">
      <c r="C1312" s="124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ht="18.75" customHeight="1" x14ac:dyDescent="0.35">
      <c r="C1313" s="124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ht="18.75" customHeight="1" x14ac:dyDescent="0.35">
      <c r="C1314" s="124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ht="18.75" customHeight="1" x14ac:dyDescent="0.35">
      <c r="C1315" s="124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ht="18.75" customHeight="1" x14ac:dyDescent="0.35">
      <c r="C1316" s="124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ht="18.75" customHeight="1" x14ac:dyDescent="0.35">
      <c r="C1317" s="124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ht="18.75" customHeight="1" x14ac:dyDescent="0.35">
      <c r="C1318" s="124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ht="18.75" customHeight="1" x14ac:dyDescent="0.35">
      <c r="C1319" s="124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ht="18.75" customHeight="1" x14ac:dyDescent="0.35">
      <c r="C1320" s="124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ht="18.75" customHeight="1" x14ac:dyDescent="0.35">
      <c r="C1321" s="124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ht="18.75" customHeight="1" x14ac:dyDescent="0.35">
      <c r="C1322" s="124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ht="18.75" customHeight="1" x14ac:dyDescent="0.35">
      <c r="C1323" s="124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ht="18.75" customHeight="1" x14ac:dyDescent="0.35">
      <c r="C1324" s="124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ht="18.75" customHeight="1" x14ac:dyDescent="0.35">
      <c r="C1325" s="124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ht="18.75" customHeight="1" x14ac:dyDescent="0.35">
      <c r="C1326" s="124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ht="18.75" customHeight="1" x14ac:dyDescent="0.35">
      <c r="C1327" s="124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ht="18.75" customHeight="1" x14ac:dyDescent="0.35">
      <c r="C1328" s="124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ht="18.75" customHeight="1" x14ac:dyDescent="0.35">
      <c r="C1329" s="124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ht="18.75" customHeight="1" x14ac:dyDescent="0.35">
      <c r="C1330" s="124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ht="18.75" customHeight="1" x14ac:dyDescent="0.35">
      <c r="C1331" s="124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ht="18.75" customHeight="1" x14ac:dyDescent="0.35">
      <c r="C1332" s="124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ht="18.75" customHeight="1" x14ac:dyDescent="0.35">
      <c r="C1333" s="124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ht="18.75" customHeight="1" x14ac:dyDescent="0.35">
      <c r="C1334" s="124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ht="18.75" customHeight="1" x14ac:dyDescent="0.35">
      <c r="C1335" s="124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ht="18.75" customHeight="1" x14ac:dyDescent="0.35">
      <c r="C1336" s="124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ht="18.75" customHeight="1" x14ac:dyDescent="0.35">
      <c r="C1337" s="124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ht="18.75" customHeight="1" x14ac:dyDescent="0.35">
      <c r="C1338" s="124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ht="18.75" customHeight="1" x14ac:dyDescent="0.35">
      <c r="C1339" s="124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ht="18.75" customHeight="1" x14ac:dyDescent="0.35">
      <c r="C1340" s="124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ht="18.75" customHeight="1" x14ac:dyDescent="0.35">
      <c r="C1341" s="124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ht="18.75" customHeight="1" x14ac:dyDescent="0.35">
      <c r="C1342" s="124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ht="18.75" customHeight="1" x14ac:dyDescent="0.35">
      <c r="C1343" s="124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ht="18.75" customHeight="1" x14ac:dyDescent="0.35">
      <c r="C1344" s="124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ht="18.75" customHeight="1" x14ac:dyDescent="0.35">
      <c r="C1345" s="124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ht="18.75" customHeight="1" x14ac:dyDescent="0.35">
      <c r="C1346" s="124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ht="18.75" customHeight="1" x14ac:dyDescent="0.35">
      <c r="C1347" s="124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ht="18.75" customHeight="1" x14ac:dyDescent="0.35">
      <c r="C1348" s="124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ht="18.75" customHeight="1" x14ac:dyDescent="0.35">
      <c r="C1349" s="124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ht="18.75" customHeight="1" x14ac:dyDescent="0.35">
      <c r="C1350" s="124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ht="18.75" customHeight="1" x14ac:dyDescent="0.35">
      <c r="C1351" s="124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ht="18.75" customHeight="1" x14ac:dyDescent="0.35">
      <c r="C1352" s="124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ht="18.75" customHeight="1" x14ac:dyDescent="0.35">
      <c r="C1353" s="124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ht="18.75" customHeight="1" x14ac:dyDescent="0.35">
      <c r="C1354" s="124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ht="18.75" customHeight="1" x14ac:dyDescent="0.35">
      <c r="C1355" s="124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ht="18.75" customHeight="1" x14ac:dyDescent="0.35">
      <c r="C1356" s="124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ht="18.75" customHeight="1" x14ac:dyDescent="0.35">
      <c r="C1357" s="124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ht="18.75" customHeight="1" x14ac:dyDescent="0.35">
      <c r="C1358" s="124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ht="18.75" customHeight="1" x14ac:dyDescent="0.35">
      <c r="C1359" s="124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ht="18.75" customHeight="1" x14ac:dyDescent="0.35">
      <c r="C1360" s="124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ht="18.75" customHeight="1" x14ac:dyDescent="0.35">
      <c r="C1361" s="124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ht="18.75" customHeight="1" x14ac:dyDescent="0.35">
      <c r="C1362" s="124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ht="18.75" customHeight="1" x14ac:dyDescent="0.35">
      <c r="C1363" s="124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ht="18.75" customHeight="1" x14ac:dyDescent="0.35">
      <c r="C1364" s="124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ht="18.75" customHeight="1" x14ac:dyDescent="0.35">
      <c r="C1365" s="124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ht="18.75" customHeight="1" x14ac:dyDescent="0.35">
      <c r="C1366" s="124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ht="18.75" customHeight="1" x14ac:dyDescent="0.35">
      <c r="C1367" s="124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ht="18.75" customHeight="1" x14ac:dyDescent="0.35">
      <c r="C1368" s="124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ht="18.75" customHeight="1" x14ac:dyDescent="0.35">
      <c r="C1369" s="124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ht="18.75" customHeight="1" x14ac:dyDescent="0.35">
      <c r="C1370" s="124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ht="18.75" customHeight="1" x14ac:dyDescent="0.35">
      <c r="C1371" s="124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ht="18.75" customHeight="1" x14ac:dyDescent="0.35">
      <c r="C1372" s="124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ht="18.75" customHeight="1" x14ac:dyDescent="0.35">
      <c r="C1373" s="124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ht="18.75" customHeight="1" x14ac:dyDescent="0.35">
      <c r="C1374" s="124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ht="18.75" customHeight="1" x14ac:dyDescent="0.35">
      <c r="C1375" s="124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ht="18.75" customHeight="1" x14ac:dyDescent="0.35">
      <c r="C1376" s="124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ht="18.75" customHeight="1" x14ac:dyDescent="0.35">
      <c r="C1377" s="124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ht="18.75" customHeight="1" x14ac:dyDescent="0.35">
      <c r="C1378" s="124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ht="18.75" customHeight="1" x14ac:dyDescent="0.35">
      <c r="C1379" s="124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ht="18.75" customHeight="1" x14ac:dyDescent="0.35">
      <c r="C1380" s="124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ht="18.75" customHeight="1" x14ac:dyDescent="0.35">
      <c r="C1381" s="124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ht="18.75" customHeight="1" x14ac:dyDescent="0.35">
      <c r="C1382" s="124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ht="18.75" customHeight="1" x14ac:dyDescent="0.35">
      <c r="C1383" s="124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ht="18.75" customHeight="1" x14ac:dyDescent="0.35">
      <c r="C1384" s="124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ht="18.75" customHeight="1" x14ac:dyDescent="0.35">
      <c r="C1385" s="124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ht="18.75" customHeight="1" x14ac:dyDescent="0.35">
      <c r="C1386" s="124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ht="18.75" customHeight="1" x14ac:dyDescent="0.35">
      <c r="C1387" s="124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ht="18.75" customHeight="1" x14ac:dyDescent="0.35">
      <c r="C1388" s="124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ht="18.75" customHeight="1" x14ac:dyDescent="0.35">
      <c r="C1389" s="124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ht="18.75" customHeight="1" x14ac:dyDescent="0.35">
      <c r="C1390" s="124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ht="18.75" customHeight="1" x14ac:dyDescent="0.35">
      <c r="C1391" s="124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ht="18.75" customHeight="1" x14ac:dyDescent="0.35">
      <c r="C1392" s="124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ht="18.75" customHeight="1" x14ac:dyDescent="0.35">
      <c r="C1393" s="124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ht="18.75" customHeight="1" x14ac:dyDescent="0.35">
      <c r="C1394" s="124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ht="18.75" customHeight="1" x14ac:dyDescent="0.35">
      <c r="C1395" s="124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ht="18.75" customHeight="1" x14ac:dyDescent="0.35">
      <c r="C1396" s="124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ht="18.75" customHeight="1" x14ac:dyDescent="0.35">
      <c r="C1397" s="124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ht="18.75" customHeight="1" x14ac:dyDescent="0.35">
      <c r="C1398" s="124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ht="18.75" customHeight="1" x14ac:dyDescent="0.35">
      <c r="C1399" s="124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ht="18.75" customHeight="1" x14ac:dyDescent="0.35">
      <c r="C1400" s="124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ht="18.75" customHeight="1" x14ac:dyDescent="0.35">
      <c r="C1401" s="124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ht="18.75" customHeight="1" x14ac:dyDescent="0.35">
      <c r="C1402" s="124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ht="18.75" customHeight="1" x14ac:dyDescent="0.35">
      <c r="C1403" s="124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ht="18.75" customHeight="1" x14ac:dyDescent="0.35">
      <c r="C1404" s="124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ht="18.75" customHeight="1" x14ac:dyDescent="0.35">
      <c r="C1405" s="124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ht="18.75" customHeight="1" x14ac:dyDescent="0.35">
      <c r="C1406" s="124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ht="18.75" customHeight="1" x14ac:dyDescent="0.35">
      <c r="C1407" s="124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ht="18.75" customHeight="1" x14ac:dyDescent="0.35">
      <c r="C1408" s="124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ht="18.75" customHeight="1" x14ac:dyDescent="0.35">
      <c r="C1409" s="124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ht="18.75" customHeight="1" x14ac:dyDescent="0.35">
      <c r="C1410" s="124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ht="18.75" customHeight="1" x14ac:dyDescent="0.35">
      <c r="C1411" s="124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ht="18.75" customHeight="1" x14ac:dyDescent="0.35">
      <c r="C1412" s="124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ht="18.75" customHeight="1" x14ac:dyDescent="0.35">
      <c r="C1413" s="124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ht="18.75" customHeight="1" x14ac:dyDescent="0.35">
      <c r="C1414" s="124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ht="18.75" customHeight="1" x14ac:dyDescent="0.35">
      <c r="C1415" s="124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ht="18.75" customHeight="1" x14ac:dyDescent="0.35">
      <c r="C1416" s="124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ht="18.75" customHeight="1" x14ac:dyDescent="0.35">
      <c r="C1417" s="124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ht="18.75" customHeight="1" x14ac:dyDescent="0.35">
      <c r="C1418" s="124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ht="18.75" customHeight="1" x14ac:dyDescent="0.35">
      <c r="C1419" s="124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ht="18.75" customHeight="1" x14ac:dyDescent="0.35">
      <c r="C1420" s="124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ht="18.75" customHeight="1" x14ac:dyDescent="0.35">
      <c r="C1421" s="124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ht="18.75" customHeight="1" x14ac:dyDescent="0.35">
      <c r="C1422" s="124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ht="18.75" customHeight="1" x14ac:dyDescent="0.35">
      <c r="C1423" s="124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ht="18.75" customHeight="1" x14ac:dyDescent="0.35">
      <c r="C1424" s="124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ht="18.75" customHeight="1" x14ac:dyDescent="0.35">
      <c r="C1425" s="124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ht="18.75" customHeight="1" x14ac:dyDescent="0.35">
      <c r="C1426" s="124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ht="18.75" customHeight="1" x14ac:dyDescent="0.35">
      <c r="C1427" s="124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ht="18.75" customHeight="1" x14ac:dyDescent="0.35">
      <c r="C1428" s="124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ht="18.75" customHeight="1" x14ac:dyDescent="0.35">
      <c r="C1429" s="124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ht="18.75" customHeight="1" x14ac:dyDescent="0.35">
      <c r="C1430" s="124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ht="18.75" customHeight="1" x14ac:dyDescent="0.35">
      <c r="C1431" s="124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ht="18.75" customHeight="1" x14ac:dyDescent="0.35">
      <c r="C1432" s="124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ht="18.75" customHeight="1" x14ac:dyDescent="0.35">
      <c r="C1433" s="124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ht="18.75" customHeight="1" x14ac:dyDescent="0.35">
      <c r="C1434" s="124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ht="18.75" customHeight="1" x14ac:dyDescent="0.35">
      <c r="C1435" s="124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ht="18.75" customHeight="1" x14ac:dyDescent="0.35">
      <c r="C1436" s="124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ht="18.75" customHeight="1" x14ac:dyDescent="0.35">
      <c r="C1437" s="124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ht="18.75" customHeight="1" x14ac:dyDescent="0.35">
      <c r="C1438" s="124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ht="18.75" customHeight="1" x14ac:dyDescent="0.35">
      <c r="C1439" s="124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ht="18.75" customHeight="1" x14ac:dyDescent="0.35">
      <c r="C1440" s="124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ht="18.75" customHeight="1" x14ac:dyDescent="0.35">
      <c r="C1441" s="124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ht="18.75" customHeight="1" x14ac:dyDescent="0.35">
      <c r="C1442" s="124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ht="18.75" customHeight="1" x14ac:dyDescent="0.35">
      <c r="C1443" s="124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ht="18.75" customHeight="1" x14ac:dyDescent="0.35">
      <c r="C1444" s="124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ht="18.75" customHeight="1" x14ac:dyDescent="0.35">
      <c r="C1445" s="124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ht="18.75" customHeight="1" x14ac:dyDescent="0.35">
      <c r="C1446" s="124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ht="18.75" customHeight="1" x14ac:dyDescent="0.35">
      <c r="C1447" s="124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ht="18.75" customHeight="1" x14ac:dyDescent="0.35">
      <c r="C1448" s="124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ht="18.75" customHeight="1" x14ac:dyDescent="0.35">
      <c r="C1449" s="124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ht="18.75" customHeight="1" x14ac:dyDescent="0.35">
      <c r="C1450" s="124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ht="18.75" customHeight="1" x14ac:dyDescent="0.35">
      <c r="C1451" s="124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ht="18.75" customHeight="1" x14ac:dyDescent="0.35">
      <c r="C1452" s="124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ht="18.75" customHeight="1" x14ac:dyDescent="0.35">
      <c r="C1453" s="124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ht="18.75" customHeight="1" x14ac:dyDescent="0.35">
      <c r="C1454" s="124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ht="18.75" customHeight="1" x14ac:dyDescent="0.35">
      <c r="C1455" s="124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ht="18.75" customHeight="1" x14ac:dyDescent="0.35">
      <c r="C1456" s="124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ht="18.75" customHeight="1" x14ac:dyDescent="0.35">
      <c r="C1457" s="124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ht="18.75" customHeight="1" x14ac:dyDescent="0.35">
      <c r="C1458" s="124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ht="18.75" customHeight="1" x14ac:dyDescent="0.35">
      <c r="C1459" s="124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ht="18.75" customHeight="1" x14ac:dyDescent="0.35">
      <c r="C1460" s="124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ht="18.75" customHeight="1" x14ac:dyDescent="0.35">
      <c r="C1461" s="124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ht="18.75" customHeight="1" x14ac:dyDescent="0.35">
      <c r="C1462" s="124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ht="18.75" customHeight="1" x14ac:dyDescent="0.35">
      <c r="C1463" s="124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ht="18.75" customHeight="1" x14ac:dyDescent="0.35">
      <c r="C1464" s="124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ht="18.75" customHeight="1" x14ac:dyDescent="0.35">
      <c r="C1465" s="124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ht="18.75" customHeight="1" x14ac:dyDescent="0.35">
      <c r="C1466" s="124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ht="18.75" customHeight="1" x14ac:dyDescent="0.35">
      <c r="C1467" s="124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ht="18.75" customHeight="1" x14ac:dyDescent="0.35">
      <c r="C1468" s="124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ht="18.75" customHeight="1" x14ac:dyDescent="0.35">
      <c r="C1469" s="124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ht="18.75" customHeight="1" x14ac:dyDescent="0.35">
      <c r="C1470" s="124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ht="18.75" customHeight="1" x14ac:dyDescent="0.35">
      <c r="C1471" s="124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ht="18.75" customHeight="1" x14ac:dyDescent="0.35">
      <c r="C1472" s="124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ht="18.75" customHeight="1" x14ac:dyDescent="0.35">
      <c r="C1473" s="124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ht="18.75" customHeight="1" x14ac:dyDescent="0.35">
      <c r="C1474" s="124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ht="18.75" customHeight="1" x14ac:dyDescent="0.35">
      <c r="C1475" s="124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ht="18.75" customHeight="1" x14ac:dyDescent="0.35">
      <c r="C1476" s="124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ht="18.75" customHeight="1" x14ac:dyDescent="0.35">
      <c r="C1477" s="124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ht="18.75" customHeight="1" x14ac:dyDescent="0.35">
      <c r="C1478" s="124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ht="18.75" customHeight="1" x14ac:dyDescent="0.35">
      <c r="C1479" s="124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ht="18.75" customHeight="1" x14ac:dyDescent="0.35">
      <c r="C1480" s="124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ht="18.75" customHeight="1" x14ac:dyDescent="0.35">
      <c r="C1481" s="124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ht="18.75" customHeight="1" x14ac:dyDescent="0.35">
      <c r="C1482" s="124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ht="18.75" customHeight="1" x14ac:dyDescent="0.35">
      <c r="C1483" s="124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ht="18.75" customHeight="1" x14ac:dyDescent="0.35">
      <c r="C1484" s="124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ht="18.75" customHeight="1" x14ac:dyDescent="0.35">
      <c r="C1485" s="124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ht="18.75" customHeight="1" x14ac:dyDescent="0.35">
      <c r="C1486" s="124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ht="18.75" customHeight="1" x14ac:dyDescent="0.35">
      <c r="C1487" s="124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ht="18.75" customHeight="1" x14ac:dyDescent="0.35">
      <c r="C1488" s="124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ht="18.75" customHeight="1" x14ac:dyDescent="0.35">
      <c r="C1489" s="124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ht="18.75" customHeight="1" x14ac:dyDescent="0.35">
      <c r="C1490" s="124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ht="18.75" customHeight="1" x14ac:dyDescent="0.35">
      <c r="C1491" s="124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ht="18.75" customHeight="1" x14ac:dyDescent="0.35">
      <c r="C1492" s="124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ht="18.75" customHeight="1" x14ac:dyDescent="0.35">
      <c r="C1493" s="124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ht="18.75" customHeight="1" x14ac:dyDescent="0.35">
      <c r="C1494" s="124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ht="18.75" customHeight="1" x14ac:dyDescent="0.35">
      <c r="C1495" s="124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ht="18.75" customHeight="1" x14ac:dyDescent="0.35">
      <c r="C1496" s="124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ht="18.75" customHeight="1" x14ac:dyDescent="0.35">
      <c r="C1497" s="124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ht="18.75" customHeight="1" x14ac:dyDescent="0.35">
      <c r="C1498" s="124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ht="18.75" customHeight="1" x14ac:dyDescent="0.35">
      <c r="C1499" s="124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ht="18.75" customHeight="1" x14ac:dyDescent="0.35">
      <c r="C1500" s="124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ht="18.75" customHeight="1" x14ac:dyDescent="0.35">
      <c r="C1501" s="124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ht="18.75" customHeight="1" x14ac:dyDescent="0.35">
      <c r="C1502" s="124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ht="18.75" customHeight="1" x14ac:dyDescent="0.35">
      <c r="C1503" s="124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ht="18.75" customHeight="1" x14ac:dyDescent="0.35">
      <c r="C1504" s="124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ht="18.75" customHeight="1" x14ac:dyDescent="0.35">
      <c r="C1505" s="124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ht="18.75" customHeight="1" x14ac:dyDescent="0.35">
      <c r="C1506" s="124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ht="18.75" customHeight="1" x14ac:dyDescent="0.35">
      <c r="C1507" s="124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ht="18.75" customHeight="1" x14ac:dyDescent="0.35">
      <c r="C1508" s="124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ht="18.75" customHeight="1" x14ac:dyDescent="0.35">
      <c r="C1509" s="124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ht="18.75" customHeight="1" x14ac:dyDescent="0.35">
      <c r="C1510" s="124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ht="18.75" customHeight="1" x14ac:dyDescent="0.35">
      <c r="C1511" s="124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ht="18.75" customHeight="1" x14ac:dyDescent="0.35">
      <c r="C1512" s="124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ht="18.75" customHeight="1" x14ac:dyDescent="0.35">
      <c r="C1513" s="124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ht="18.75" customHeight="1" x14ac:dyDescent="0.35">
      <c r="C1514" s="124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ht="18.75" customHeight="1" x14ac:dyDescent="0.35">
      <c r="C1515" s="124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ht="18.75" customHeight="1" x14ac:dyDescent="0.35">
      <c r="C1516" s="124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ht="18.75" customHeight="1" x14ac:dyDescent="0.35">
      <c r="C1517" s="124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ht="18.75" customHeight="1" x14ac:dyDescent="0.35">
      <c r="C1518" s="124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ht="18.75" customHeight="1" x14ac:dyDescent="0.35">
      <c r="C1519" s="124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ht="18.75" customHeight="1" x14ac:dyDescent="0.35">
      <c r="C1520" s="124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ht="18.75" customHeight="1" x14ac:dyDescent="0.35">
      <c r="C1521" s="124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ht="18.75" customHeight="1" x14ac:dyDescent="0.35">
      <c r="C1522" s="124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ht="18.75" customHeight="1" x14ac:dyDescent="0.35">
      <c r="C1523" s="124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ht="18.75" customHeight="1" x14ac:dyDescent="0.35">
      <c r="C1524" s="124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ht="18.75" customHeight="1" x14ac:dyDescent="0.35">
      <c r="C1525" s="124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ht="18.75" customHeight="1" x14ac:dyDescent="0.35">
      <c r="C1526" s="124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ht="18.75" customHeight="1" x14ac:dyDescent="0.35">
      <c r="C1527" s="124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ht="18.75" customHeight="1" x14ac:dyDescent="0.35">
      <c r="C1528" s="124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ht="18.75" customHeight="1" x14ac:dyDescent="0.35">
      <c r="C1529" s="124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ht="18.75" customHeight="1" x14ac:dyDescent="0.35">
      <c r="C1530" s="124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ht="18.75" customHeight="1" x14ac:dyDescent="0.35">
      <c r="C1531" s="124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ht="18.75" customHeight="1" x14ac:dyDescent="0.35">
      <c r="C1532" s="124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ht="18.75" customHeight="1" x14ac:dyDescent="0.35">
      <c r="C1533" s="124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ht="18.75" customHeight="1" x14ac:dyDescent="0.35">
      <c r="C1534" s="124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ht="18.75" customHeight="1" x14ac:dyDescent="0.35">
      <c r="C1535" s="124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ht="18.75" customHeight="1" x14ac:dyDescent="0.35">
      <c r="C1536" s="124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ht="18.75" customHeight="1" x14ac:dyDescent="0.35">
      <c r="C1537" s="124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ht="18.75" customHeight="1" x14ac:dyDescent="0.35">
      <c r="C1538" s="124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ht="18.75" customHeight="1" x14ac:dyDescent="0.35">
      <c r="C1539" s="124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ht="18.75" customHeight="1" x14ac:dyDescent="0.35">
      <c r="C1540" s="124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ht="18.75" customHeight="1" x14ac:dyDescent="0.35">
      <c r="C1541" s="124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ht="18.75" customHeight="1" x14ac:dyDescent="0.35">
      <c r="C1542" s="124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ht="18.75" customHeight="1" x14ac:dyDescent="0.35">
      <c r="C1543" s="124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ht="18.75" customHeight="1" x14ac:dyDescent="0.35">
      <c r="C1544" s="124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ht="18.75" customHeight="1" x14ac:dyDescent="0.35">
      <c r="C1545" s="124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ht="18.75" customHeight="1" x14ac:dyDescent="0.35">
      <c r="C1546" s="124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ht="18.75" customHeight="1" x14ac:dyDescent="0.35">
      <c r="C1547" s="124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ht="18.75" customHeight="1" x14ac:dyDescent="0.35">
      <c r="C1548" s="124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ht="18.75" customHeight="1" x14ac:dyDescent="0.35">
      <c r="C1549" s="124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ht="18.75" customHeight="1" x14ac:dyDescent="0.35">
      <c r="C1550" s="124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ht="18.75" customHeight="1" x14ac:dyDescent="0.35">
      <c r="C1551" s="124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ht="18.75" customHeight="1" x14ac:dyDescent="0.35">
      <c r="C1552" s="124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ht="18.75" customHeight="1" x14ac:dyDescent="0.35">
      <c r="C1553" s="124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ht="18.75" customHeight="1" x14ac:dyDescent="0.35">
      <c r="C1554" s="124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ht="18.75" customHeight="1" x14ac:dyDescent="0.35">
      <c r="C1555" s="124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ht="18.75" customHeight="1" x14ac:dyDescent="0.35">
      <c r="C1556" s="124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ht="18.75" customHeight="1" x14ac:dyDescent="0.35">
      <c r="C1557" s="124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ht="18.75" customHeight="1" x14ac:dyDescent="0.35">
      <c r="C1558" s="124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ht="18.75" customHeight="1" x14ac:dyDescent="0.35">
      <c r="C1559" s="124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ht="18.75" customHeight="1" x14ac:dyDescent="0.35">
      <c r="C1560" s="124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ht="18.75" customHeight="1" x14ac:dyDescent="0.35">
      <c r="C1561" s="124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ht="18.75" customHeight="1" x14ac:dyDescent="0.35">
      <c r="C1562" s="124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ht="18.75" customHeight="1" x14ac:dyDescent="0.35">
      <c r="C1563" s="124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ht="18.75" customHeight="1" x14ac:dyDescent="0.35">
      <c r="C1564" s="124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ht="18.75" customHeight="1" x14ac:dyDescent="0.35">
      <c r="C1565" s="124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ht="18.75" customHeight="1" x14ac:dyDescent="0.35">
      <c r="C1566" s="124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ht="18.75" customHeight="1" x14ac:dyDescent="0.35">
      <c r="C1567" s="124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ht="18.75" customHeight="1" x14ac:dyDescent="0.35">
      <c r="C1568" s="124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ht="18.75" customHeight="1" x14ac:dyDescent="0.35">
      <c r="C1569" s="124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ht="18.75" customHeight="1" x14ac:dyDescent="0.35">
      <c r="C1570" s="124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ht="18.75" customHeight="1" x14ac:dyDescent="0.35">
      <c r="C1571" s="124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ht="18.75" customHeight="1" x14ac:dyDescent="0.35">
      <c r="C1572" s="124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ht="18.75" customHeight="1" x14ac:dyDescent="0.35">
      <c r="C1573" s="124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ht="18.75" customHeight="1" x14ac:dyDescent="0.35">
      <c r="C1574" s="124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ht="18.75" customHeight="1" x14ac:dyDescent="0.35">
      <c r="C1575" s="124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ht="18.75" customHeight="1" x14ac:dyDescent="0.35">
      <c r="C1576" s="124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ht="18.75" customHeight="1" x14ac:dyDescent="0.35">
      <c r="C1577" s="124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ht="18.75" customHeight="1" x14ac:dyDescent="0.35">
      <c r="C1578" s="124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ht="18.75" customHeight="1" x14ac:dyDescent="0.35">
      <c r="C1579" s="124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ht="18.75" customHeight="1" x14ac:dyDescent="0.35">
      <c r="C1580" s="124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ht="18.75" customHeight="1" x14ac:dyDescent="0.35">
      <c r="C1581" s="124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ht="18.75" customHeight="1" x14ac:dyDescent="0.35">
      <c r="C1582" s="124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ht="18.75" customHeight="1" x14ac:dyDescent="0.35">
      <c r="C1583" s="124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ht="18.75" customHeight="1" x14ac:dyDescent="0.35">
      <c r="C1584" s="124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ht="18.75" customHeight="1" x14ac:dyDescent="0.35">
      <c r="C1585" s="124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ht="18.75" customHeight="1" x14ac:dyDescent="0.35">
      <c r="C1586" s="124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ht="18.75" customHeight="1" x14ac:dyDescent="0.35">
      <c r="C1587" s="124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ht="18.75" customHeight="1" x14ac:dyDescent="0.35">
      <c r="C1588" s="124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ht="18.75" customHeight="1" x14ac:dyDescent="0.35">
      <c r="C1589" s="124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ht="18.75" customHeight="1" x14ac:dyDescent="0.35">
      <c r="C1590" s="124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ht="18.75" customHeight="1" x14ac:dyDescent="0.35">
      <c r="C1591" s="124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ht="18.75" customHeight="1" x14ac:dyDescent="0.35">
      <c r="C1592" s="124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ht="18.75" customHeight="1" x14ac:dyDescent="0.35">
      <c r="C1593" s="124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ht="18.75" customHeight="1" x14ac:dyDescent="0.35">
      <c r="C1594" s="124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ht="18.75" customHeight="1" x14ac:dyDescent="0.35">
      <c r="C1595" s="124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ht="18.75" customHeight="1" x14ac:dyDescent="0.35">
      <c r="C1596" s="124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ht="18.75" customHeight="1" x14ac:dyDescent="0.35">
      <c r="C1597" s="124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ht="18.75" customHeight="1" x14ac:dyDescent="0.35">
      <c r="C1598" s="124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ht="18.75" customHeight="1" x14ac:dyDescent="0.35">
      <c r="C1599" s="124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ht="18.75" customHeight="1" x14ac:dyDescent="0.35">
      <c r="C1600" s="124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ht="18.75" customHeight="1" x14ac:dyDescent="0.35">
      <c r="C1601" s="124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ht="18.75" customHeight="1" x14ac:dyDescent="0.35">
      <c r="C1602" s="124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ht="18.75" customHeight="1" x14ac:dyDescent="0.35">
      <c r="C1603" s="124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ht="18.75" customHeight="1" x14ac:dyDescent="0.35">
      <c r="C1604" s="124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ht="18.75" customHeight="1" x14ac:dyDescent="0.35">
      <c r="C1605" s="124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ht="18.75" customHeight="1" x14ac:dyDescent="0.35">
      <c r="C1606" s="124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ht="18.75" customHeight="1" x14ac:dyDescent="0.35">
      <c r="C1607" s="124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ht="18.75" customHeight="1" x14ac:dyDescent="0.35">
      <c r="C1608" s="124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ht="18.75" customHeight="1" x14ac:dyDescent="0.35">
      <c r="C1609" s="124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ht="18.75" customHeight="1" x14ac:dyDescent="0.35">
      <c r="C1610" s="124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ht="18.75" customHeight="1" x14ac:dyDescent="0.35">
      <c r="C1611" s="124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ht="18.75" customHeight="1" x14ac:dyDescent="0.35">
      <c r="C1612" s="124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ht="18.75" customHeight="1" x14ac:dyDescent="0.35">
      <c r="C1613" s="124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ht="18.75" customHeight="1" x14ac:dyDescent="0.35">
      <c r="C1614" s="124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ht="18.75" customHeight="1" x14ac:dyDescent="0.35">
      <c r="C1615" s="124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ht="18.75" customHeight="1" x14ac:dyDescent="0.35">
      <c r="C1616" s="124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ht="18.75" customHeight="1" x14ac:dyDescent="0.35">
      <c r="C1617" s="124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ht="18.75" customHeight="1" x14ac:dyDescent="0.35">
      <c r="C1618" s="124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ht="18.75" customHeight="1" x14ac:dyDescent="0.35">
      <c r="C1619" s="124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ht="18.75" customHeight="1" x14ac:dyDescent="0.35">
      <c r="C1620" s="124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ht="18.75" customHeight="1" x14ac:dyDescent="0.35">
      <c r="C1621" s="124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ht="18.75" customHeight="1" x14ac:dyDescent="0.35">
      <c r="C1622" s="124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ht="18.75" customHeight="1" x14ac:dyDescent="0.35">
      <c r="C1623" s="124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ht="18.75" customHeight="1" x14ac:dyDescent="0.35">
      <c r="C1624" s="124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ht="18.75" customHeight="1" x14ac:dyDescent="0.35">
      <c r="C1625" s="124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ht="18.75" customHeight="1" x14ac:dyDescent="0.35">
      <c r="C1626" s="124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ht="18.75" customHeight="1" x14ac:dyDescent="0.35">
      <c r="C1627" s="124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ht="18.75" customHeight="1" x14ac:dyDescent="0.35">
      <c r="C1628" s="124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ht="18.75" customHeight="1" x14ac:dyDescent="0.35">
      <c r="C1629" s="124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ht="18.75" customHeight="1" x14ac:dyDescent="0.35">
      <c r="C1630" s="124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ht="18.75" customHeight="1" x14ac:dyDescent="0.35">
      <c r="C1631" s="124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ht="18.75" customHeight="1" x14ac:dyDescent="0.35">
      <c r="C1632" s="124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ht="18.75" customHeight="1" x14ac:dyDescent="0.35">
      <c r="C1633" s="124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ht="18.75" customHeight="1" x14ac:dyDescent="0.35">
      <c r="C1634" s="124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ht="18.75" customHeight="1" x14ac:dyDescent="0.35">
      <c r="C1635" s="124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ht="18.75" customHeight="1" x14ac:dyDescent="0.35">
      <c r="C1636" s="124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ht="18.75" customHeight="1" x14ac:dyDescent="0.35">
      <c r="C1637" s="124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ht="18.75" customHeight="1" x14ac:dyDescent="0.35">
      <c r="C1638" s="124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ht="18.75" customHeight="1" x14ac:dyDescent="0.35">
      <c r="C1639" s="124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ht="18.75" customHeight="1" x14ac:dyDescent="0.35">
      <c r="C1640" s="124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ht="18.75" customHeight="1" x14ac:dyDescent="0.35">
      <c r="C1641" s="124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ht="18.75" customHeight="1" x14ac:dyDescent="0.35">
      <c r="C1642" s="124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ht="18.75" customHeight="1" x14ac:dyDescent="0.35">
      <c r="C1643" s="124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ht="18.75" customHeight="1" x14ac:dyDescent="0.35">
      <c r="C1644" s="124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ht="18.75" customHeight="1" x14ac:dyDescent="0.35">
      <c r="C1645" s="124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ht="18.75" customHeight="1" x14ac:dyDescent="0.35">
      <c r="C1646" s="124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ht="18.75" customHeight="1" x14ac:dyDescent="0.35">
      <c r="C1647" s="124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ht="18.75" customHeight="1" x14ac:dyDescent="0.35">
      <c r="C1648" s="124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ht="18.75" customHeight="1" x14ac:dyDescent="0.35">
      <c r="C1649" s="124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ht="18.75" customHeight="1" x14ac:dyDescent="0.35">
      <c r="C1650" s="124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ht="18.75" customHeight="1" x14ac:dyDescent="0.35">
      <c r="C1651" s="124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ht="18.75" customHeight="1" x14ac:dyDescent="0.35">
      <c r="C1652" s="124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ht="18.75" customHeight="1" x14ac:dyDescent="0.35">
      <c r="C1653" s="124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ht="18.75" customHeight="1" x14ac:dyDescent="0.35">
      <c r="C1654" s="124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ht="18.75" customHeight="1" x14ac:dyDescent="0.35">
      <c r="C1655" s="124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ht="18.75" customHeight="1" x14ac:dyDescent="0.35">
      <c r="C1656" s="124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ht="18.75" customHeight="1" x14ac:dyDescent="0.35">
      <c r="C1657" s="124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ht="18.75" customHeight="1" x14ac:dyDescent="0.35">
      <c r="C1658" s="124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ht="18.75" customHeight="1" x14ac:dyDescent="0.35">
      <c r="C1659" s="124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ht="18.75" customHeight="1" x14ac:dyDescent="0.35">
      <c r="C1660" s="124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ht="18.75" customHeight="1" x14ac:dyDescent="0.35">
      <c r="C1661" s="124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ht="18.75" customHeight="1" x14ac:dyDescent="0.35">
      <c r="C1662" s="124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ht="18.75" customHeight="1" x14ac:dyDescent="0.35">
      <c r="C1663" s="124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ht="18.75" customHeight="1" x14ac:dyDescent="0.35">
      <c r="C1664" s="124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ht="18.75" customHeight="1" x14ac:dyDescent="0.35">
      <c r="C1665" s="124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ht="18.75" customHeight="1" x14ac:dyDescent="0.35">
      <c r="C1666" s="124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ht="18.75" customHeight="1" x14ac:dyDescent="0.35">
      <c r="C1667" s="124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ht="18.75" customHeight="1" x14ac:dyDescent="0.35">
      <c r="C1668" s="124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ht="18.75" customHeight="1" x14ac:dyDescent="0.35">
      <c r="C1669" s="124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ht="18.75" customHeight="1" x14ac:dyDescent="0.35">
      <c r="C1670" s="124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ht="18.75" customHeight="1" x14ac:dyDescent="0.35">
      <c r="C1671" s="124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ht="18.75" customHeight="1" x14ac:dyDescent="0.35">
      <c r="C1672" s="124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ht="18.75" customHeight="1" x14ac:dyDescent="0.35">
      <c r="C1673" s="124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ht="18.75" customHeight="1" x14ac:dyDescent="0.35">
      <c r="C1674" s="124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ht="18.75" customHeight="1" x14ac:dyDescent="0.35">
      <c r="C1675" s="124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ht="18.75" customHeight="1" x14ac:dyDescent="0.35">
      <c r="C1676" s="124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ht="18.75" customHeight="1" x14ac:dyDescent="0.35">
      <c r="C1677" s="124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ht="18.75" customHeight="1" x14ac:dyDescent="0.35">
      <c r="C1678" s="124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ht="18.75" customHeight="1" x14ac:dyDescent="0.35">
      <c r="C1679" s="124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ht="18.75" customHeight="1" x14ac:dyDescent="0.35">
      <c r="C1680" s="124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ht="18.75" customHeight="1" x14ac:dyDescent="0.35">
      <c r="C1681" s="124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ht="18.75" customHeight="1" x14ac:dyDescent="0.35">
      <c r="C1682" s="124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ht="18.75" customHeight="1" x14ac:dyDescent="0.35">
      <c r="C1683" s="124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ht="18.75" customHeight="1" x14ac:dyDescent="0.35">
      <c r="C1684" s="124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ht="18.75" customHeight="1" x14ac:dyDescent="0.35">
      <c r="C1685" s="124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ht="18.75" customHeight="1" x14ac:dyDescent="0.35">
      <c r="C1686" s="124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ht="18.75" customHeight="1" x14ac:dyDescent="0.35">
      <c r="C1687" s="124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ht="18.75" customHeight="1" x14ac:dyDescent="0.35">
      <c r="C1688" s="124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ht="18.75" customHeight="1" x14ac:dyDescent="0.35">
      <c r="C1689" s="124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ht="18.75" customHeight="1" x14ac:dyDescent="0.35">
      <c r="C1690" s="124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ht="18.75" customHeight="1" x14ac:dyDescent="0.35">
      <c r="C1691" s="124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ht="18.75" customHeight="1" x14ac:dyDescent="0.35">
      <c r="C1692" s="124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ht="18.75" customHeight="1" x14ac:dyDescent="0.35">
      <c r="C1693" s="124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ht="18.75" customHeight="1" x14ac:dyDescent="0.35">
      <c r="C1694" s="124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ht="18.75" customHeight="1" x14ac:dyDescent="0.35">
      <c r="C1695" s="124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ht="18.75" customHeight="1" x14ac:dyDescent="0.35">
      <c r="C1696" s="124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ht="18.75" customHeight="1" x14ac:dyDescent="0.35">
      <c r="C1697" s="124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ht="18.75" customHeight="1" x14ac:dyDescent="0.35">
      <c r="C1698" s="124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ht="18.75" customHeight="1" x14ac:dyDescent="0.35">
      <c r="C1699" s="124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ht="18.75" customHeight="1" x14ac:dyDescent="0.35">
      <c r="C1700" s="124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ht="18.75" customHeight="1" x14ac:dyDescent="0.35">
      <c r="C1701" s="124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ht="18.75" customHeight="1" x14ac:dyDescent="0.35">
      <c r="C1702" s="124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ht="18.75" customHeight="1" x14ac:dyDescent="0.35">
      <c r="C1703" s="124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ht="18.75" customHeight="1" x14ac:dyDescent="0.35">
      <c r="C1704" s="124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ht="18.75" customHeight="1" x14ac:dyDescent="0.35">
      <c r="C1705" s="124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ht="18.75" customHeight="1" x14ac:dyDescent="0.35">
      <c r="C1706" s="124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ht="18.75" customHeight="1" x14ac:dyDescent="0.35">
      <c r="C1707" s="124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ht="18.75" customHeight="1" x14ac:dyDescent="0.35">
      <c r="C1708" s="124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ht="18.75" customHeight="1" x14ac:dyDescent="0.35">
      <c r="C1709" s="124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ht="18.75" customHeight="1" x14ac:dyDescent="0.35">
      <c r="C1710" s="124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ht="18.75" customHeight="1" x14ac:dyDescent="0.35">
      <c r="C1711" s="124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ht="18.75" customHeight="1" x14ac:dyDescent="0.35">
      <c r="C1712" s="124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ht="18.75" customHeight="1" x14ac:dyDescent="0.35">
      <c r="C1713" s="124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ht="18.75" customHeight="1" x14ac:dyDescent="0.35">
      <c r="C1714" s="124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ht="18.75" customHeight="1" x14ac:dyDescent="0.35">
      <c r="C1715" s="124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ht="18.75" customHeight="1" x14ac:dyDescent="0.35">
      <c r="C1716" s="124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ht="18.75" customHeight="1" x14ac:dyDescent="0.35">
      <c r="C1717" s="124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ht="18.75" customHeight="1" x14ac:dyDescent="0.35">
      <c r="C1718" s="124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ht="18.75" customHeight="1" x14ac:dyDescent="0.35">
      <c r="C1719" s="124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ht="18.75" customHeight="1" x14ac:dyDescent="0.35">
      <c r="C1720" s="124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ht="18.75" customHeight="1" x14ac:dyDescent="0.35">
      <c r="C1721" s="124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ht="18.75" customHeight="1" x14ac:dyDescent="0.35">
      <c r="C1722" s="124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ht="18.75" customHeight="1" x14ac:dyDescent="0.35">
      <c r="C1723" s="124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ht="18.75" customHeight="1" x14ac:dyDescent="0.35">
      <c r="C1724" s="124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ht="18.75" customHeight="1" x14ac:dyDescent="0.35">
      <c r="C1725" s="124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ht="18.75" customHeight="1" x14ac:dyDescent="0.35">
      <c r="C1726" s="124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ht="18.75" customHeight="1" x14ac:dyDescent="0.35">
      <c r="C1727" s="124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ht="18.75" customHeight="1" x14ac:dyDescent="0.35">
      <c r="C1728" s="124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ht="18.75" customHeight="1" x14ac:dyDescent="0.35">
      <c r="C1729" s="124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ht="18.75" customHeight="1" x14ac:dyDescent="0.35">
      <c r="C1730" s="124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ht="18.75" customHeight="1" x14ac:dyDescent="0.35">
      <c r="C1731" s="124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ht="18.75" customHeight="1" x14ac:dyDescent="0.35">
      <c r="C1732" s="124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ht="18.75" customHeight="1" x14ac:dyDescent="0.35">
      <c r="C1733" s="124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ht="18.75" customHeight="1" x14ac:dyDescent="0.35">
      <c r="C1734" s="124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ht="18.75" customHeight="1" x14ac:dyDescent="0.35">
      <c r="C1735" s="124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ht="18.75" customHeight="1" x14ac:dyDescent="0.35">
      <c r="C1736" s="124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ht="18.75" customHeight="1" x14ac:dyDescent="0.35">
      <c r="C1737" s="124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ht="18.75" customHeight="1" x14ac:dyDescent="0.35">
      <c r="C1738" s="124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ht="18.75" customHeight="1" x14ac:dyDescent="0.35">
      <c r="C1739" s="124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ht="18.75" customHeight="1" x14ac:dyDescent="0.35">
      <c r="C1740" s="124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ht="18.75" customHeight="1" x14ac:dyDescent="0.35">
      <c r="C1741" s="124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ht="18.75" customHeight="1" x14ac:dyDescent="0.35">
      <c r="C1742" s="124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ht="18.75" customHeight="1" x14ac:dyDescent="0.35">
      <c r="C1743" s="124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ht="18.75" customHeight="1" x14ac:dyDescent="0.35">
      <c r="C1744" s="124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ht="18.75" customHeight="1" x14ac:dyDescent="0.35">
      <c r="C1745" s="124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ht="18.75" customHeight="1" x14ac:dyDescent="0.35">
      <c r="C1746" s="124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ht="18.75" customHeight="1" x14ac:dyDescent="0.35">
      <c r="C1747" s="124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ht="18.75" customHeight="1" x14ac:dyDescent="0.35">
      <c r="C1748" s="124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ht="18.75" customHeight="1" x14ac:dyDescent="0.35">
      <c r="C1749" s="124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ht="18.75" customHeight="1" x14ac:dyDescent="0.35">
      <c r="C1750" s="124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ht="18.75" customHeight="1" x14ac:dyDescent="0.35">
      <c r="C1751" s="124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ht="18.75" customHeight="1" x14ac:dyDescent="0.35">
      <c r="C1752" s="124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ht="18.75" customHeight="1" x14ac:dyDescent="0.35">
      <c r="C1753" s="124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ht="18.75" customHeight="1" x14ac:dyDescent="0.35">
      <c r="C1754" s="124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ht="18.75" customHeight="1" x14ac:dyDescent="0.35">
      <c r="C1755" s="124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ht="18.75" customHeight="1" x14ac:dyDescent="0.35">
      <c r="C1756" s="124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ht="18.75" customHeight="1" x14ac:dyDescent="0.35">
      <c r="C1757" s="124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ht="18.75" customHeight="1" x14ac:dyDescent="0.35">
      <c r="C1758" s="124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ht="18.75" customHeight="1" x14ac:dyDescent="0.35">
      <c r="C1759" s="124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ht="18.75" customHeight="1" x14ac:dyDescent="0.35">
      <c r="C1760" s="124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ht="18.75" customHeight="1" x14ac:dyDescent="0.35">
      <c r="C1761" s="124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ht="18.75" customHeight="1" x14ac:dyDescent="0.35">
      <c r="C1762" s="124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ht="18.75" customHeight="1" x14ac:dyDescent="0.35">
      <c r="C1763" s="124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ht="18.75" customHeight="1" x14ac:dyDescent="0.35">
      <c r="C1764" s="124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ht="18.75" customHeight="1" x14ac:dyDescent="0.35">
      <c r="C1765" s="124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ht="18.75" customHeight="1" x14ac:dyDescent="0.35">
      <c r="C1766" s="124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ht="18.75" customHeight="1" x14ac:dyDescent="0.35">
      <c r="C1767" s="124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ht="18.75" customHeight="1" x14ac:dyDescent="0.35">
      <c r="C1768" s="124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ht="18.75" customHeight="1" x14ac:dyDescent="0.35">
      <c r="C1769" s="124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ht="18.75" customHeight="1" x14ac:dyDescent="0.35">
      <c r="C1770" s="124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ht="18.75" customHeight="1" x14ac:dyDescent="0.35">
      <c r="C1771" s="124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ht="18.75" customHeight="1" x14ac:dyDescent="0.35">
      <c r="C1772" s="124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ht="18.75" customHeight="1" x14ac:dyDescent="0.35">
      <c r="C1773" s="124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ht="18.75" customHeight="1" x14ac:dyDescent="0.35">
      <c r="C1774" s="124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ht="18.75" customHeight="1" x14ac:dyDescent="0.35">
      <c r="C1775" s="124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ht="18.75" customHeight="1" x14ac:dyDescent="0.35">
      <c r="C1776" s="124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ht="18.75" customHeight="1" x14ac:dyDescent="0.35">
      <c r="C1777" s="124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ht="18.75" customHeight="1" x14ac:dyDescent="0.35">
      <c r="C1778" s="124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ht="18.75" customHeight="1" x14ac:dyDescent="0.35">
      <c r="C1779" s="124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ht="18.75" customHeight="1" x14ac:dyDescent="0.35">
      <c r="C1780" s="124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ht="18.75" customHeight="1" x14ac:dyDescent="0.35">
      <c r="C1781" s="124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ht="18.75" customHeight="1" x14ac:dyDescent="0.35">
      <c r="C1782" s="124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ht="18.75" customHeight="1" x14ac:dyDescent="0.35">
      <c r="C1783" s="124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ht="18.75" customHeight="1" x14ac:dyDescent="0.35">
      <c r="C1784" s="124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ht="18.75" customHeight="1" x14ac:dyDescent="0.35">
      <c r="C1785" s="124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ht="18.75" customHeight="1" x14ac:dyDescent="0.35">
      <c r="C1786" s="124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ht="18.75" customHeight="1" x14ac:dyDescent="0.35">
      <c r="C1787" s="124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ht="18.75" customHeight="1" x14ac:dyDescent="0.35">
      <c r="C1788" s="124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ht="18.75" customHeight="1" x14ac:dyDescent="0.35">
      <c r="C1789" s="124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ht="18.75" customHeight="1" x14ac:dyDescent="0.35">
      <c r="C1790" s="124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ht="18.75" customHeight="1" x14ac:dyDescent="0.35">
      <c r="C1791" s="124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ht="18.75" customHeight="1" x14ac:dyDescent="0.35">
      <c r="C1792" s="124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ht="18.75" customHeight="1" x14ac:dyDescent="0.35">
      <c r="C1793" s="124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ht="18.75" customHeight="1" x14ac:dyDescent="0.35">
      <c r="C1794" s="124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ht="18.75" customHeight="1" x14ac:dyDescent="0.35">
      <c r="C1795" s="124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ht="18.75" customHeight="1" x14ac:dyDescent="0.35">
      <c r="C1796" s="124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ht="18.75" customHeight="1" x14ac:dyDescent="0.35">
      <c r="C1797" s="124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ht="18.75" customHeight="1" x14ac:dyDescent="0.35">
      <c r="C1798" s="124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ht="18.75" customHeight="1" x14ac:dyDescent="0.35">
      <c r="C1799" s="124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ht="18.75" customHeight="1" x14ac:dyDescent="0.35">
      <c r="C1800" s="124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ht="18.75" customHeight="1" x14ac:dyDescent="0.35">
      <c r="C1801" s="124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ht="18.75" customHeight="1" x14ac:dyDescent="0.35">
      <c r="C1802" s="124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ht="18.75" customHeight="1" x14ac:dyDescent="0.35">
      <c r="C1803" s="124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ht="18.75" customHeight="1" x14ac:dyDescent="0.35">
      <c r="C1804" s="124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ht="18.75" customHeight="1" x14ac:dyDescent="0.35">
      <c r="C1805" s="124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ht="18.75" customHeight="1" x14ac:dyDescent="0.35">
      <c r="C1806" s="124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ht="18.75" customHeight="1" x14ac:dyDescent="0.35">
      <c r="C1807" s="124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ht="18.75" customHeight="1" x14ac:dyDescent="0.35">
      <c r="C1808" s="124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ht="18.75" customHeight="1" x14ac:dyDescent="0.35">
      <c r="C1809" s="124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ht="18.75" customHeight="1" x14ac:dyDescent="0.35">
      <c r="C1810" s="124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ht="18.75" customHeight="1" x14ac:dyDescent="0.35">
      <c r="C1811" s="124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ht="18.75" customHeight="1" x14ac:dyDescent="0.35">
      <c r="C1812" s="124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ht="18.75" customHeight="1" x14ac:dyDescent="0.35">
      <c r="C1813" s="124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ht="18.75" customHeight="1" x14ac:dyDescent="0.35">
      <c r="C1814" s="124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ht="18.75" customHeight="1" x14ac:dyDescent="0.35">
      <c r="C1815" s="124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ht="18.75" customHeight="1" x14ac:dyDescent="0.35">
      <c r="C1816" s="124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ht="18.75" customHeight="1" x14ac:dyDescent="0.35">
      <c r="C1817" s="124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ht="18.75" customHeight="1" x14ac:dyDescent="0.35">
      <c r="C1818" s="124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ht="18.75" customHeight="1" x14ac:dyDescent="0.35">
      <c r="C1819" s="124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ht="18.75" customHeight="1" x14ac:dyDescent="0.35">
      <c r="C1820" s="124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ht="18.75" customHeight="1" x14ac:dyDescent="0.35">
      <c r="C1821" s="124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ht="18.75" customHeight="1" x14ac:dyDescent="0.35">
      <c r="C1822" s="124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ht="18.75" customHeight="1" x14ac:dyDescent="0.35">
      <c r="C1823" s="124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ht="18.75" customHeight="1" x14ac:dyDescent="0.35">
      <c r="C1824" s="124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ht="18.75" customHeight="1" x14ac:dyDescent="0.35">
      <c r="C1825" s="124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ht="18.75" customHeight="1" x14ac:dyDescent="0.35">
      <c r="C1826" s="124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ht="18.75" customHeight="1" x14ac:dyDescent="0.35">
      <c r="C1827" s="124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ht="18.75" customHeight="1" x14ac:dyDescent="0.35">
      <c r="C1828" s="124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ht="18.75" customHeight="1" x14ac:dyDescent="0.35">
      <c r="C1829" s="124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ht="18.75" customHeight="1" x14ac:dyDescent="0.35">
      <c r="C1830" s="124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ht="18.75" customHeight="1" x14ac:dyDescent="0.35">
      <c r="C1831" s="124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ht="18.75" customHeight="1" x14ac:dyDescent="0.35">
      <c r="C1832" s="124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ht="18.75" customHeight="1" x14ac:dyDescent="0.35">
      <c r="C1833" s="124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ht="18.75" customHeight="1" x14ac:dyDescent="0.35">
      <c r="C1834" s="124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ht="18.75" customHeight="1" x14ac:dyDescent="0.35">
      <c r="C1835" s="124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ht="18.75" customHeight="1" x14ac:dyDescent="0.35">
      <c r="C1836" s="124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ht="18.75" customHeight="1" x14ac:dyDescent="0.35">
      <c r="C1837" s="124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ht="18.75" customHeight="1" x14ac:dyDescent="0.35">
      <c r="C1838" s="124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ht="18.75" customHeight="1" x14ac:dyDescent="0.35">
      <c r="C1839" s="124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ht="18.75" customHeight="1" x14ac:dyDescent="0.35">
      <c r="C1840" s="124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ht="18.75" customHeight="1" x14ac:dyDescent="0.35">
      <c r="C1841" s="124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ht="18.75" customHeight="1" x14ac:dyDescent="0.35">
      <c r="C1842" s="124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ht="18.75" customHeight="1" x14ac:dyDescent="0.35">
      <c r="C1843" s="124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ht="18.75" customHeight="1" x14ac:dyDescent="0.35">
      <c r="C1844" s="124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ht="18.75" customHeight="1" x14ac:dyDescent="0.35">
      <c r="C1845" s="124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ht="18.75" customHeight="1" x14ac:dyDescent="0.35">
      <c r="C1846" s="124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ht="18.75" customHeight="1" x14ac:dyDescent="0.35">
      <c r="C1847" s="124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ht="18.75" customHeight="1" x14ac:dyDescent="0.35">
      <c r="C1848" s="124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ht="18.75" customHeight="1" x14ac:dyDescent="0.35">
      <c r="C1849" s="124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ht="18.75" customHeight="1" x14ac:dyDescent="0.35">
      <c r="C1850" s="124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ht="18.75" customHeight="1" x14ac:dyDescent="0.35">
      <c r="C1851" s="124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ht="18.75" customHeight="1" x14ac:dyDescent="0.35">
      <c r="C1852" s="124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ht="18.75" customHeight="1" x14ac:dyDescent="0.35">
      <c r="C1853" s="124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ht="18.75" customHeight="1" x14ac:dyDescent="0.35">
      <c r="C1854" s="124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ht="18.75" customHeight="1" x14ac:dyDescent="0.35">
      <c r="C1855" s="124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ht="18.75" customHeight="1" x14ac:dyDescent="0.35">
      <c r="C1856" s="124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ht="18.75" customHeight="1" x14ac:dyDescent="0.35">
      <c r="C1857" s="124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ht="18.75" customHeight="1" x14ac:dyDescent="0.35">
      <c r="C1858" s="124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ht="18.75" customHeight="1" x14ac:dyDescent="0.35">
      <c r="C1859" s="124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ht="18.75" customHeight="1" x14ac:dyDescent="0.35">
      <c r="C1860" s="124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ht="18.75" customHeight="1" x14ac:dyDescent="0.35">
      <c r="C1861" s="124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ht="18.75" customHeight="1" x14ac:dyDescent="0.35">
      <c r="C1862" s="124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ht="18.75" customHeight="1" x14ac:dyDescent="0.35">
      <c r="C1863" s="124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ht="18.75" customHeight="1" x14ac:dyDescent="0.35">
      <c r="C1864" s="124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ht="18.75" customHeight="1" x14ac:dyDescent="0.35">
      <c r="C1865" s="124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ht="18.75" customHeight="1" x14ac:dyDescent="0.35">
      <c r="C1866" s="124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ht="18.75" customHeight="1" x14ac:dyDescent="0.35">
      <c r="C1867" s="124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ht="18.75" customHeight="1" x14ac:dyDescent="0.35">
      <c r="C1868" s="124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ht="18.75" customHeight="1" x14ac:dyDescent="0.35">
      <c r="C1869" s="124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ht="18.75" customHeight="1" x14ac:dyDescent="0.35">
      <c r="C1870" s="124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ht="18.75" customHeight="1" x14ac:dyDescent="0.35">
      <c r="C1871" s="124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ht="18.75" customHeight="1" x14ac:dyDescent="0.35">
      <c r="C1872" s="124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ht="18.75" customHeight="1" x14ac:dyDescent="0.35">
      <c r="C1873" s="124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ht="18.75" customHeight="1" x14ac:dyDescent="0.35">
      <c r="C1874" s="124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ht="18.75" customHeight="1" x14ac:dyDescent="0.35">
      <c r="C1875" s="124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ht="18.75" customHeight="1" x14ac:dyDescent="0.35">
      <c r="C1876" s="124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ht="18.75" customHeight="1" x14ac:dyDescent="0.35">
      <c r="C1877" s="124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ht="18.75" customHeight="1" x14ac:dyDescent="0.35">
      <c r="C1878" s="124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ht="18.75" customHeight="1" x14ac:dyDescent="0.35">
      <c r="C1879" s="124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ht="18.75" customHeight="1" x14ac:dyDescent="0.35">
      <c r="C1880" s="124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ht="18.75" customHeight="1" x14ac:dyDescent="0.35">
      <c r="C1881" s="124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ht="18.75" customHeight="1" x14ac:dyDescent="0.35">
      <c r="C1882" s="124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ht="18.75" customHeight="1" x14ac:dyDescent="0.35">
      <c r="C1883" s="124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ht="18.75" customHeight="1" x14ac:dyDescent="0.35">
      <c r="C1884" s="124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ht="18.75" customHeight="1" x14ac:dyDescent="0.35">
      <c r="C1885" s="124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ht="18.75" customHeight="1" x14ac:dyDescent="0.35">
      <c r="C1886" s="124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ht="18.75" customHeight="1" x14ac:dyDescent="0.35">
      <c r="C1887" s="124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ht="18.75" customHeight="1" x14ac:dyDescent="0.35">
      <c r="C1888" s="124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ht="18.75" customHeight="1" x14ac:dyDescent="0.35">
      <c r="C1889" s="124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ht="18.75" customHeight="1" x14ac:dyDescent="0.35">
      <c r="C1890" s="124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ht="18.75" customHeight="1" x14ac:dyDescent="0.35">
      <c r="C1891" s="124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ht="18.75" customHeight="1" x14ac:dyDescent="0.35">
      <c r="C1892" s="124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ht="18.75" customHeight="1" x14ac:dyDescent="0.35">
      <c r="C1893" s="124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ht="18.75" customHeight="1" x14ac:dyDescent="0.35">
      <c r="C1894" s="124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ht="18.75" customHeight="1" x14ac:dyDescent="0.35">
      <c r="C1895" s="124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ht="18.75" customHeight="1" x14ac:dyDescent="0.35">
      <c r="C1896" s="124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ht="18.75" customHeight="1" x14ac:dyDescent="0.35">
      <c r="C1897" s="124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ht="18.75" customHeight="1" x14ac:dyDescent="0.35">
      <c r="C1898" s="124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ht="18.75" customHeight="1" x14ac:dyDescent="0.35">
      <c r="C1899" s="124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ht="18.75" customHeight="1" x14ac:dyDescent="0.35">
      <c r="C1900" s="124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ht="18.75" customHeight="1" x14ac:dyDescent="0.35">
      <c r="C1901" s="124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ht="18.75" customHeight="1" x14ac:dyDescent="0.35">
      <c r="C1902" s="124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ht="18.75" customHeight="1" x14ac:dyDescent="0.35">
      <c r="C1903" s="124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ht="18.75" customHeight="1" x14ac:dyDescent="0.35">
      <c r="C1904" s="124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ht="18.75" customHeight="1" x14ac:dyDescent="0.35">
      <c r="C1905" s="124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ht="18.75" customHeight="1" x14ac:dyDescent="0.35">
      <c r="C1906" s="124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ht="18.75" customHeight="1" x14ac:dyDescent="0.35">
      <c r="C1907" s="124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ht="18.75" customHeight="1" x14ac:dyDescent="0.35">
      <c r="C1908" s="124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ht="18.75" customHeight="1" x14ac:dyDescent="0.35">
      <c r="C1909" s="124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ht="18.75" customHeight="1" x14ac:dyDescent="0.35">
      <c r="C1910" s="124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ht="18.75" customHeight="1" x14ac:dyDescent="0.35">
      <c r="C1911" s="124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ht="18.75" customHeight="1" x14ac:dyDescent="0.35">
      <c r="C1912" s="124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ht="18.75" customHeight="1" x14ac:dyDescent="0.35">
      <c r="C1913" s="124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ht="18.75" customHeight="1" x14ac:dyDescent="0.35">
      <c r="C1914" s="124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ht="18.75" customHeight="1" x14ac:dyDescent="0.35">
      <c r="C1915" s="124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ht="18.75" customHeight="1" x14ac:dyDescent="0.35">
      <c r="C1916" s="124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ht="18.75" customHeight="1" x14ac:dyDescent="0.35">
      <c r="C1917" s="124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ht="18.75" customHeight="1" x14ac:dyDescent="0.35">
      <c r="C1918" s="124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ht="18.75" customHeight="1" x14ac:dyDescent="0.35">
      <c r="C1919" s="124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ht="18.75" customHeight="1" x14ac:dyDescent="0.35">
      <c r="C1920" s="124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ht="18.75" customHeight="1" x14ac:dyDescent="0.35">
      <c r="C1921" s="124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ht="18.75" customHeight="1" x14ac:dyDescent="0.35">
      <c r="C1922" s="124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ht="18.75" customHeight="1" x14ac:dyDescent="0.35">
      <c r="C1923" s="124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ht="18.75" customHeight="1" x14ac:dyDescent="0.35">
      <c r="C1924" s="124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ht="18.75" customHeight="1" x14ac:dyDescent="0.35">
      <c r="C1925" s="124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ht="18.75" customHeight="1" x14ac:dyDescent="0.35">
      <c r="C1926" s="124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ht="18.75" customHeight="1" x14ac:dyDescent="0.35">
      <c r="C1927" s="124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ht="18.75" customHeight="1" x14ac:dyDescent="0.35">
      <c r="C1928" s="124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ht="18.75" customHeight="1" x14ac:dyDescent="0.35">
      <c r="C1929" s="124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ht="18.75" customHeight="1" x14ac:dyDescent="0.35">
      <c r="C1930" s="124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ht="18.75" customHeight="1" x14ac:dyDescent="0.35">
      <c r="C1931" s="124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ht="18.75" customHeight="1" x14ac:dyDescent="0.35">
      <c r="C1932" s="124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ht="18.75" customHeight="1" x14ac:dyDescent="0.35">
      <c r="C1933" s="124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ht="18.75" customHeight="1" x14ac:dyDescent="0.35">
      <c r="C1934" s="124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ht="18.75" customHeight="1" x14ac:dyDescent="0.35">
      <c r="C1935" s="124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ht="18.75" customHeight="1" x14ac:dyDescent="0.35">
      <c r="C1936" s="124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ht="18.75" customHeight="1" x14ac:dyDescent="0.35">
      <c r="C1937" s="124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ht="18.75" customHeight="1" x14ac:dyDescent="0.35">
      <c r="C1938" s="124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ht="18.75" customHeight="1" x14ac:dyDescent="0.35">
      <c r="C1939" s="124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ht="18.75" customHeight="1" x14ac:dyDescent="0.35">
      <c r="C1940" s="124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ht="18.75" customHeight="1" x14ac:dyDescent="0.35">
      <c r="C1941" s="124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ht="18.75" customHeight="1" x14ac:dyDescent="0.35">
      <c r="C1942" s="124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ht="18.75" customHeight="1" x14ac:dyDescent="0.35">
      <c r="C1943" s="124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ht="18.75" customHeight="1" x14ac:dyDescent="0.35">
      <c r="C1944" s="124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ht="18.75" customHeight="1" x14ac:dyDescent="0.35">
      <c r="C1945" s="124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ht="18.75" customHeight="1" x14ac:dyDescent="0.35">
      <c r="C1946" s="124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ht="18.75" customHeight="1" x14ac:dyDescent="0.35">
      <c r="C1947" s="124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ht="18.75" customHeight="1" x14ac:dyDescent="0.35">
      <c r="C1948" s="124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ht="18.75" customHeight="1" x14ac:dyDescent="0.35">
      <c r="C1949" s="124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ht="18.75" customHeight="1" x14ac:dyDescent="0.35">
      <c r="C1950" s="124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ht="18.75" customHeight="1" x14ac:dyDescent="0.35">
      <c r="C1951" s="124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ht="18.75" customHeight="1" x14ac:dyDescent="0.35">
      <c r="C1952" s="124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ht="18.75" customHeight="1" x14ac:dyDescent="0.35">
      <c r="C1953" s="124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ht="18.75" customHeight="1" x14ac:dyDescent="0.35">
      <c r="C1954" s="124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ht="18.75" customHeight="1" x14ac:dyDescent="0.35">
      <c r="C1955" s="124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ht="18.75" customHeight="1" x14ac:dyDescent="0.35">
      <c r="C1956" s="124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ht="18.75" customHeight="1" x14ac:dyDescent="0.35">
      <c r="C1957" s="124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ht="18.75" customHeight="1" x14ac:dyDescent="0.35">
      <c r="C1958" s="124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ht="18.75" customHeight="1" x14ac:dyDescent="0.35">
      <c r="C1959" s="124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ht="18.75" customHeight="1" x14ac:dyDescent="0.35">
      <c r="C1960" s="124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ht="18.75" customHeight="1" x14ac:dyDescent="0.35">
      <c r="C1961" s="124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ht="18.75" customHeight="1" x14ac:dyDescent="0.35">
      <c r="C1962" s="124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ht="18.75" customHeight="1" x14ac:dyDescent="0.35">
      <c r="C1963" s="124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ht="18.75" customHeight="1" x14ac:dyDescent="0.35">
      <c r="C1964" s="124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ht="18.75" customHeight="1" x14ac:dyDescent="0.35">
      <c r="C1965" s="124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ht="18.75" customHeight="1" x14ac:dyDescent="0.35">
      <c r="C1966" s="124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ht="18.75" customHeight="1" x14ac:dyDescent="0.35">
      <c r="C1967" s="124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ht="18.75" customHeight="1" x14ac:dyDescent="0.35">
      <c r="C1968" s="124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ht="18.75" customHeight="1" x14ac:dyDescent="0.35">
      <c r="C1969" s="124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ht="18.75" customHeight="1" x14ac:dyDescent="0.35">
      <c r="C1970" s="124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ht="18.75" customHeight="1" x14ac:dyDescent="0.35">
      <c r="C1971" s="124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ht="18.75" customHeight="1" x14ac:dyDescent="0.35">
      <c r="C1972" s="124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ht="18.75" customHeight="1" x14ac:dyDescent="0.35">
      <c r="C1973" s="124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ht="18.75" customHeight="1" x14ac:dyDescent="0.35">
      <c r="C1974" s="124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ht="18.75" customHeight="1" x14ac:dyDescent="0.35">
      <c r="C1975" s="124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ht="18.75" customHeight="1" x14ac:dyDescent="0.35">
      <c r="C1976" s="124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ht="18.75" customHeight="1" x14ac:dyDescent="0.35">
      <c r="C1977" s="124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ht="18.75" customHeight="1" x14ac:dyDescent="0.35">
      <c r="C1978" s="124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ht="18.75" customHeight="1" x14ac:dyDescent="0.35">
      <c r="C1979" s="124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ht="18.75" customHeight="1" x14ac:dyDescent="0.35">
      <c r="C1980" s="124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ht="18.75" customHeight="1" x14ac:dyDescent="0.35">
      <c r="C1981" s="124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ht="18.75" customHeight="1" x14ac:dyDescent="0.35">
      <c r="C1982" s="124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ht="18.75" customHeight="1" x14ac:dyDescent="0.35">
      <c r="C1983" s="124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ht="18.75" customHeight="1" x14ac:dyDescent="0.35">
      <c r="C1984" s="124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ht="18.75" customHeight="1" x14ac:dyDescent="0.35">
      <c r="C1985" s="124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ht="18.75" customHeight="1" x14ac:dyDescent="0.35">
      <c r="C1986" s="124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ht="18.75" customHeight="1" x14ac:dyDescent="0.35">
      <c r="C1987" s="124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ht="18.75" customHeight="1" x14ac:dyDescent="0.35">
      <c r="C1988" s="124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ht="18.75" customHeight="1" x14ac:dyDescent="0.35">
      <c r="C1989" s="124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ht="18.75" customHeight="1" x14ac:dyDescent="0.35">
      <c r="C1990" s="124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ht="18.75" customHeight="1" x14ac:dyDescent="0.35">
      <c r="C1991" s="124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ht="18.75" customHeight="1" x14ac:dyDescent="0.35">
      <c r="C1992" s="124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ht="18.75" customHeight="1" x14ac:dyDescent="0.35">
      <c r="C1993" s="124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ht="18.75" customHeight="1" x14ac:dyDescent="0.35">
      <c r="C1994" s="124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ht="18.75" customHeight="1" x14ac:dyDescent="0.35">
      <c r="C1995" s="124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ht="18.75" customHeight="1" x14ac:dyDescent="0.35">
      <c r="C1996" s="124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ht="18.75" customHeight="1" x14ac:dyDescent="0.35">
      <c r="C1997" s="124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ht="18.75" customHeight="1" x14ac:dyDescent="0.35">
      <c r="C1998" s="124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ht="18.75" customHeight="1" x14ac:dyDescent="0.35">
      <c r="C1999" s="124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ht="18.75" customHeight="1" x14ac:dyDescent="0.35">
      <c r="C2000" s="124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ht="18.75" customHeight="1" x14ac:dyDescent="0.35">
      <c r="C2001" s="124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ht="18.75" customHeight="1" x14ac:dyDescent="0.35">
      <c r="C2002" s="124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ht="18.75" customHeight="1" x14ac:dyDescent="0.35">
      <c r="C2003" s="124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ht="18.75" customHeight="1" x14ac:dyDescent="0.35">
      <c r="C2004" s="124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ht="18.75" customHeight="1" x14ac:dyDescent="0.35">
      <c r="C2005" s="124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ht="18.75" customHeight="1" x14ac:dyDescent="0.35">
      <c r="C2006" s="124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ht="18.75" customHeight="1" x14ac:dyDescent="0.35">
      <c r="C2007" s="124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ht="18.75" customHeight="1" x14ac:dyDescent="0.35">
      <c r="C2008" s="124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ht="18.75" customHeight="1" x14ac:dyDescent="0.35">
      <c r="C2009" s="124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ht="18.75" customHeight="1" x14ac:dyDescent="0.35">
      <c r="C2010" s="124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ht="18.75" customHeight="1" x14ac:dyDescent="0.35">
      <c r="C2011" s="124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ht="18.75" customHeight="1" x14ac:dyDescent="0.35">
      <c r="C2012" s="124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ht="18.75" customHeight="1" x14ac:dyDescent="0.35">
      <c r="C2013" s="124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ht="18.75" customHeight="1" x14ac:dyDescent="0.35">
      <c r="C2014" s="124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ht="18.75" customHeight="1" x14ac:dyDescent="0.35">
      <c r="C2015" s="124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ht="18.75" customHeight="1" x14ac:dyDescent="0.35">
      <c r="C2016" s="124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ht="18.75" customHeight="1" x14ac:dyDescent="0.35">
      <c r="C2017" s="124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ht="18.75" customHeight="1" x14ac:dyDescent="0.35">
      <c r="C2018" s="124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ht="18.75" customHeight="1" x14ac:dyDescent="0.35">
      <c r="C2019" s="124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ht="18.75" customHeight="1" x14ac:dyDescent="0.35">
      <c r="C2020" s="124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ht="18.75" customHeight="1" x14ac:dyDescent="0.35">
      <c r="C2021" s="124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ht="18.75" customHeight="1" x14ac:dyDescent="0.35">
      <c r="C2022" s="124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ht="18.75" customHeight="1" x14ac:dyDescent="0.35">
      <c r="C2023" s="124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ht="18.75" customHeight="1" x14ac:dyDescent="0.35">
      <c r="C2024" s="124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ht="18.75" customHeight="1" x14ac:dyDescent="0.35">
      <c r="C2025" s="124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ht="18.75" customHeight="1" x14ac:dyDescent="0.35">
      <c r="C2026" s="124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ht="18.75" customHeight="1" x14ac:dyDescent="0.35">
      <c r="C2027" s="124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ht="18.75" customHeight="1" x14ac:dyDescent="0.35">
      <c r="C2028" s="124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ht="18.75" customHeight="1" x14ac:dyDescent="0.35">
      <c r="C2029" s="124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ht="18.75" customHeight="1" x14ac:dyDescent="0.35">
      <c r="C2030" s="124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ht="18.75" customHeight="1" x14ac:dyDescent="0.35">
      <c r="C2031" s="124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ht="18.75" customHeight="1" x14ac:dyDescent="0.35">
      <c r="C2032" s="124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ht="18.75" customHeight="1" x14ac:dyDescent="0.35">
      <c r="C2033" s="124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ht="18.75" customHeight="1" x14ac:dyDescent="0.35">
      <c r="C2034" s="124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ht="18.75" customHeight="1" x14ac:dyDescent="0.35">
      <c r="C2035" s="124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ht="18.75" customHeight="1" x14ac:dyDescent="0.35">
      <c r="C2036" s="124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ht="18.75" customHeight="1" x14ac:dyDescent="0.35">
      <c r="C2037" s="124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ht="18.75" customHeight="1" x14ac:dyDescent="0.35">
      <c r="C2038" s="124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ht="18.75" customHeight="1" x14ac:dyDescent="0.35">
      <c r="C2039" s="124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ht="18.75" customHeight="1" x14ac:dyDescent="0.35">
      <c r="C2040" s="124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ht="18.75" customHeight="1" x14ac:dyDescent="0.35">
      <c r="C2041" s="124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ht="18.75" customHeight="1" x14ac:dyDescent="0.35">
      <c r="C2042" s="124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ht="18.75" customHeight="1" x14ac:dyDescent="0.35">
      <c r="C2043" s="124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ht="18.75" customHeight="1" x14ac:dyDescent="0.35">
      <c r="C2044" s="124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ht="18.75" customHeight="1" x14ac:dyDescent="0.35">
      <c r="C2045" s="124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ht="18.75" customHeight="1" x14ac:dyDescent="0.35">
      <c r="C2046" s="124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ht="18.75" customHeight="1" x14ac:dyDescent="0.35">
      <c r="C2047" s="124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ht="18.75" customHeight="1" x14ac:dyDescent="0.35">
      <c r="C2048" s="124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ht="18.75" customHeight="1" x14ac:dyDescent="0.35">
      <c r="C2049" s="124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ht="18.75" customHeight="1" x14ac:dyDescent="0.35">
      <c r="C2050" s="124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ht="18.75" customHeight="1" x14ac:dyDescent="0.35">
      <c r="C2051" s="124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ht="18.75" customHeight="1" x14ac:dyDescent="0.35">
      <c r="C2052" s="124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ht="18.75" customHeight="1" x14ac:dyDescent="0.35">
      <c r="C2053" s="124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ht="18.75" customHeight="1" x14ac:dyDescent="0.35">
      <c r="C2054" s="124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ht="18.75" customHeight="1" x14ac:dyDescent="0.35">
      <c r="C2055" s="124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ht="18.75" customHeight="1" x14ac:dyDescent="0.35">
      <c r="C2056" s="124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ht="18.75" customHeight="1" x14ac:dyDescent="0.35">
      <c r="C2057" s="124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ht="18.75" customHeight="1" x14ac:dyDescent="0.35">
      <c r="C2058" s="124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ht="18.75" customHeight="1" x14ac:dyDescent="0.35">
      <c r="C2059" s="124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ht="18.75" customHeight="1" x14ac:dyDescent="0.35">
      <c r="C2060" s="124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ht="18.75" customHeight="1" x14ac:dyDescent="0.35">
      <c r="C2061" s="124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ht="18.75" customHeight="1" x14ac:dyDescent="0.35">
      <c r="C2062" s="124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ht="18.75" customHeight="1" x14ac:dyDescent="0.35">
      <c r="C2063" s="124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ht="18.75" customHeight="1" x14ac:dyDescent="0.35">
      <c r="C2064" s="124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ht="18.75" customHeight="1" x14ac:dyDescent="0.35">
      <c r="C2065" s="124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ht="18.75" customHeight="1" x14ac:dyDescent="0.35">
      <c r="C2066" s="124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ht="18.75" customHeight="1" x14ac:dyDescent="0.35">
      <c r="C2067" s="124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ht="18.75" customHeight="1" x14ac:dyDescent="0.35">
      <c r="C2068" s="124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ht="18.75" customHeight="1" x14ac:dyDescent="0.35">
      <c r="C2069" s="124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ht="18.75" customHeight="1" x14ac:dyDescent="0.35">
      <c r="C2070" s="124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ht="18.75" customHeight="1" x14ac:dyDescent="0.35">
      <c r="C2071" s="124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ht="18.75" customHeight="1" x14ac:dyDescent="0.35">
      <c r="C2072" s="124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ht="18.75" customHeight="1" x14ac:dyDescent="0.35">
      <c r="C2073" s="124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ht="18.75" customHeight="1" x14ac:dyDescent="0.35">
      <c r="C2074" s="124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ht="18.75" customHeight="1" x14ac:dyDescent="0.35">
      <c r="C2075" s="124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ht="18.75" customHeight="1" x14ac:dyDescent="0.35">
      <c r="C2076" s="124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ht="18.75" customHeight="1" x14ac:dyDescent="0.35">
      <c r="C2077" s="124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ht="18.75" customHeight="1" x14ac:dyDescent="0.35">
      <c r="C2078" s="124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ht="18.75" customHeight="1" x14ac:dyDescent="0.35">
      <c r="C2079" s="124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ht="18.75" customHeight="1" x14ac:dyDescent="0.35">
      <c r="C2080" s="124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ht="18.75" customHeight="1" x14ac:dyDescent="0.35">
      <c r="C2081" s="124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ht="18.75" customHeight="1" x14ac:dyDescent="0.35">
      <c r="C2082" s="124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ht="18.75" customHeight="1" x14ac:dyDescent="0.35">
      <c r="C2083" s="124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ht="18.75" customHeight="1" x14ac:dyDescent="0.35">
      <c r="C2084" s="124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ht="18.75" customHeight="1" x14ac:dyDescent="0.35">
      <c r="C2085" s="124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ht="18.75" customHeight="1" x14ac:dyDescent="0.35">
      <c r="C2086" s="124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ht="18.75" customHeight="1" x14ac:dyDescent="0.35">
      <c r="C2087" s="124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ht="18.75" customHeight="1" x14ac:dyDescent="0.35">
      <c r="C2088" s="124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ht="18.75" customHeight="1" x14ac:dyDescent="0.35">
      <c r="C2089" s="124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ht="18.75" customHeight="1" x14ac:dyDescent="0.35">
      <c r="C2090" s="124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ht="18.75" customHeight="1" x14ac:dyDescent="0.35">
      <c r="C2091" s="124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ht="18.75" customHeight="1" x14ac:dyDescent="0.35">
      <c r="C2092" s="124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ht="18.75" customHeight="1" x14ac:dyDescent="0.35">
      <c r="C2093" s="124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ht="18.75" customHeight="1" x14ac:dyDescent="0.35">
      <c r="C2094" s="124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ht="18.75" customHeight="1" x14ac:dyDescent="0.35">
      <c r="C2095" s="124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ht="18.75" customHeight="1" x14ac:dyDescent="0.35">
      <c r="C2096" s="124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ht="18.75" customHeight="1" x14ac:dyDescent="0.35">
      <c r="C2097" s="124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ht="18.75" customHeight="1" x14ac:dyDescent="0.35">
      <c r="C2098" s="124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ht="18.75" customHeight="1" x14ac:dyDescent="0.35">
      <c r="C2099" s="124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ht="18.75" customHeight="1" x14ac:dyDescent="0.35">
      <c r="C2100" s="124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ht="18.75" customHeight="1" x14ac:dyDescent="0.35">
      <c r="C2101" s="124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ht="18.75" customHeight="1" x14ac:dyDescent="0.35">
      <c r="C2102" s="124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ht="18.75" customHeight="1" x14ac:dyDescent="0.35">
      <c r="C2103" s="124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ht="18.75" customHeight="1" x14ac:dyDescent="0.35">
      <c r="C2104" s="124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ht="18.75" customHeight="1" x14ac:dyDescent="0.35">
      <c r="C2105" s="124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ht="18.75" customHeight="1" x14ac:dyDescent="0.35">
      <c r="C2106" s="124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ht="18.75" customHeight="1" x14ac:dyDescent="0.35">
      <c r="C2107" s="124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ht="18.75" customHeight="1" x14ac:dyDescent="0.35">
      <c r="C2108" s="124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ht="18.75" customHeight="1" x14ac:dyDescent="0.35">
      <c r="C2109" s="124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ht="18.75" customHeight="1" x14ac:dyDescent="0.35">
      <c r="C2110" s="124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ht="18.75" customHeight="1" x14ac:dyDescent="0.35">
      <c r="C2111" s="124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ht="18.75" customHeight="1" x14ac:dyDescent="0.35">
      <c r="C2112" s="124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ht="18.75" customHeight="1" x14ac:dyDescent="0.35">
      <c r="C2113" s="124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ht="18.75" customHeight="1" x14ac:dyDescent="0.35">
      <c r="C2114" s="124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ht="18.75" customHeight="1" x14ac:dyDescent="0.35">
      <c r="C2115" s="124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ht="18.75" customHeight="1" x14ac:dyDescent="0.35">
      <c r="C2116" s="124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ht="18.75" customHeight="1" x14ac:dyDescent="0.35">
      <c r="C2117" s="124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ht="18.75" customHeight="1" x14ac:dyDescent="0.35">
      <c r="C2118" s="124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ht="18.75" customHeight="1" x14ac:dyDescent="0.35">
      <c r="C2119" s="124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ht="18.75" customHeight="1" x14ac:dyDescent="0.35">
      <c r="C2120" s="124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ht="18.75" customHeight="1" x14ac:dyDescent="0.35">
      <c r="C2121" s="124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ht="18.75" customHeight="1" x14ac:dyDescent="0.35">
      <c r="C2122" s="124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ht="18.75" customHeight="1" x14ac:dyDescent="0.35">
      <c r="C2123" s="124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ht="18.75" customHeight="1" x14ac:dyDescent="0.35">
      <c r="C2124" s="124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ht="18.75" customHeight="1" x14ac:dyDescent="0.35">
      <c r="C2125" s="124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ht="18.75" customHeight="1" x14ac:dyDescent="0.35">
      <c r="C2126" s="124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ht="18.75" customHeight="1" x14ac:dyDescent="0.35">
      <c r="C2127" s="124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ht="18.75" customHeight="1" x14ac:dyDescent="0.35">
      <c r="C2128" s="124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ht="18.75" customHeight="1" x14ac:dyDescent="0.35">
      <c r="C2129" s="124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ht="18.75" customHeight="1" x14ac:dyDescent="0.35">
      <c r="C2130" s="124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ht="18.75" customHeight="1" x14ac:dyDescent="0.35">
      <c r="C2131" s="124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ht="18.75" customHeight="1" x14ac:dyDescent="0.35">
      <c r="C2132" s="124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ht="18.75" customHeight="1" x14ac:dyDescent="0.35">
      <c r="C2133" s="124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ht="18.75" customHeight="1" x14ac:dyDescent="0.35">
      <c r="C2134" s="124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ht="18.75" customHeight="1" x14ac:dyDescent="0.35">
      <c r="C2135" s="124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ht="18.75" customHeight="1" x14ac:dyDescent="0.35">
      <c r="C2136" s="124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ht="18.75" customHeight="1" x14ac:dyDescent="0.35">
      <c r="C2137" s="124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ht="18.75" customHeight="1" x14ac:dyDescent="0.35">
      <c r="C2138" s="124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ht="18.75" customHeight="1" x14ac:dyDescent="0.35">
      <c r="C2139" s="124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ht="18.75" customHeight="1" x14ac:dyDescent="0.35">
      <c r="C2140" s="124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ht="18.75" customHeight="1" x14ac:dyDescent="0.35">
      <c r="C2141" s="124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ht="18.75" customHeight="1" x14ac:dyDescent="0.35">
      <c r="C2142" s="124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ht="18.75" customHeight="1" x14ac:dyDescent="0.35">
      <c r="C2143" s="124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ht="18.75" customHeight="1" x14ac:dyDescent="0.35">
      <c r="C2144" s="124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ht="18.75" customHeight="1" x14ac:dyDescent="0.35">
      <c r="C2145" s="124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ht="18.75" customHeight="1" x14ac:dyDescent="0.35">
      <c r="C2146" s="124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ht="18.75" customHeight="1" x14ac:dyDescent="0.35">
      <c r="C2147" s="124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ht="18.75" customHeight="1" x14ac:dyDescent="0.35">
      <c r="C2148" s="124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ht="18.75" customHeight="1" x14ac:dyDescent="0.35">
      <c r="C2149" s="124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ht="18.75" customHeight="1" x14ac:dyDescent="0.35">
      <c r="C2150" s="124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ht="18.75" customHeight="1" x14ac:dyDescent="0.35">
      <c r="C2151" s="124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ht="18.75" customHeight="1" x14ac:dyDescent="0.35">
      <c r="C2152" s="124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ht="18.75" customHeight="1" x14ac:dyDescent="0.35">
      <c r="C2153" s="124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ht="18.75" customHeight="1" x14ac:dyDescent="0.35">
      <c r="C2154" s="124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ht="18.75" customHeight="1" x14ac:dyDescent="0.35">
      <c r="C2155" s="124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ht="18.75" customHeight="1" x14ac:dyDescent="0.35">
      <c r="C2156" s="124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ht="18.75" customHeight="1" x14ac:dyDescent="0.35">
      <c r="C2157" s="124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ht="18.75" customHeight="1" x14ac:dyDescent="0.35">
      <c r="C2158" s="124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ht="18.75" customHeight="1" x14ac:dyDescent="0.35">
      <c r="C2159" s="124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ht="18.75" customHeight="1" x14ac:dyDescent="0.35">
      <c r="C2160" s="124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ht="18.75" customHeight="1" x14ac:dyDescent="0.35">
      <c r="C2161" s="124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ht="18.75" customHeight="1" x14ac:dyDescent="0.35">
      <c r="C2162" s="124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ht="18.75" customHeight="1" x14ac:dyDescent="0.35">
      <c r="C2163" s="124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ht="18.75" customHeight="1" x14ac:dyDescent="0.35">
      <c r="C2164" s="124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ht="18.75" customHeight="1" x14ac:dyDescent="0.35">
      <c r="C2165" s="124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ht="18.75" customHeight="1" x14ac:dyDescent="0.35">
      <c r="C2166" s="124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ht="18.75" customHeight="1" x14ac:dyDescent="0.35">
      <c r="C2167" s="124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ht="18.75" customHeight="1" x14ac:dyDescent="0.35">
      <c r="C2168" s="124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ht="18.75" customHeight="1" x14ac:dyDescent="0.35">
      <c r="C2169" s="124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ht="18.75" customHeight="1" x14ac:dyDescent="0.35">
      <c r="C2170" s="124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ht="18.75" customHeight="1" x14ac:dyDescent="0.35">
      <c r="C2171" s="124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ht="18.75" customHeight="1" x14ac:dyDescent="0.35">
      <c r="C2172" s="124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ht="18.75" customHeight="1" x14ac:dyDescent="0.35">
      <c r="C2173" s="124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ht="18.75" customHeight="1" x14ac:dyDescent="0.35">
      <c r="C2174" s="124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ht="18.75" customHeight="1" x14ac:dyDescent="0.35">
      <c r="C2175" s="124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ht="18.75" customHeight="1" x14ac:dyDescent="0.35">
      <c r="C2176" s="124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ht="18.75" customHeight="1" x14ac:dyDescent="0.35">
      <c r="C2177" s="124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ht="18.75" customHeight="1" x14ac:dyDescent="0.35">
      <c r="C2178" s="124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ht="18.75" customHeight="1" x14ac:dyDescent="0.35">
      <c r="C2179" s="124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ht="18.75" customHeight="1" x14ac:dyDescent="0.35">
      <c r="C2180" s="124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ht="18.75" customHeight="1" x14ac:dyDescent="0.35">
      <c r="C2181" s="124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ht="18.75" customHeight="1" x14ac:dyDescent="0.35">
      <c r="C2182" s="124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ht="18.75" customHeight="1" x14ac:dyDescent="0.35">
      <c r="C2183" s="124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ht="18.75" customHeight="1" x14ac:dyDescent="0.35">
      <c r="C2184" s="124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ht="18.75" customHeight="1" x14ac:dyDescent="0.35">
      <c r="C2185" s="124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ht="18.75" customHeight="1" x14ac:dyDescent="0.35">
      <c r="C2186" s="124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ht="18.75" customHeight="1" x14ac:dyDescent="0.35">
      <c r="C2187" s="124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ht="18.75" customHeight="1" x14ac:dyDescent="0.35">
      <c r="C2188" s="124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ht="18.75" customHeight="1" x14ac:dyDescent="0.35">
      <c r="C2189" s="124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ht="18.75" customHeight="1" x14ac:dyDescent="0.35">
      <c r="C2190" s="124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ht="18.75" customHeight="1" x14ac:dyDescent="0.35">
      <c r="C2191" s="124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ht="18.75" customHeight="1" x14ac:dyDescent="0.35">
      <c r="C2192" s="124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ht="18.75" customHeight="1" x14ac:dyDescent="0.35">
      <c r="C2193" s="124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ht="18.75" customHeight="1" x14ac:dyDescent="0.35">
      <c r="C2194" s="124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ht="18.75" customHeight="1" x14ac:dyDescent="0.35">
      <c r="C2195" s="124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ht="18.75" customHeight="1" x14ac:dyDescent="0.35">
      <c r="C2196" s="124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ht="18.75" customHeight="1" x14ac:dyDescent="0.35">
      <c r="C2197" s="124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ht="18.75" customHeight="1" x14ac:dyDescent="0.35">
      <c r="C2198" s="124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ht="18.75" customHeight="1" x14ac:dyDescent="0.35">
      <c r="C2199" s="124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ht="18.75" customHeight="1" x14ac:dyDescent="0.35">
      <c r="C2200" s="124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ht="18.75" customHeight="1" x14ac:dyDescent="0.35">
      <c r="C2201" s="124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ht="18.75" customHeight="1" x14ac:dyDescent="0.35">
      <c r="C2202" s="124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ht="18.75" customHeight="1" x14ac:dyDescent="0.35">
      <c r="C2203" s="124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ht="18.75" customHeight="1" x14ac:dyDescent="0.35">
      <c r="C2204" s="124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ht="18.75" customHeight="1" x14ac:dyDescent="0.35">
      <c r="C2205" s="124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ht="18.75" customHeight="1" x14ac:dyDescent="0.35">
      <c r="C2206" s="124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ht="18.75" customHeight="1" x14ac:dyDescent="0.35">
      <c r="C2207" s="124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ht="18.75" customHeight="1" x14ac:dyDescent="0.35">
      <c r="C2208" s="124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ht="18.75" customHeight="1" x14ac:dyDescent="0.35">
      <c r="C2209" s="124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ht="18.75" customHeight="1" x14ac:dyDescent="0.35">
      <c r="C2210" s="124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ht="18.75" customHeight="1" x14ac:dyDescent="0.35">
      <c r="C2211" s="124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ht="18.75" customHeight="1" x14ac:dyDescent="0.35">
      <c r="C2212" s="124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ht="18.75" customHeight="1" x14ac:dyDescent="0.35">
      <c r="C2213" s="124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ht="18.75" customHeight="1" x14ac:dyDescent="0.35">
      <c r="C2214" s="124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ht="18.75" customHeight="1" x14ac:dyDescent="0.35">
      <c r="C2215" s="124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ht="18.75" customHeight="1" x14ac:dyDescent="0.35">
      <c r="C2216" s="124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ht="18.75" customHeight="1" x14ac:dyDescent="0.35">
      <c r="C2217" s="124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ht="18.75" customHeight="1" x14ac:dyDescent="0.35">
      <c r="C2218" s="124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ht="18.75" customHeight="1" x14ac:dyDescent="0.35">
      <c r="C2219" s="124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ht="18.75" customHeight="1" x14ac:dyDescent="0.35">
      <c r="C2220" s="124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ht="18.75" customHeight="1" x14ac:dyDescent="0.35">
      <c r="C2221" s="124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ht="18.75" customHeight="1" x14ac:dyDescent="0.35">
      <c r="C2222" s="124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ht="18.75" customHeight="1" x14ac:dyDescent="0.35">
      <c r="C2223" s="124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ht="18.75" customHeight="1" x14ac:dyDescent="0.35">
      <c r="C2224" s="124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ht="18.75" customHeight="1" x14ac:dyDescent="0.35">
      <c r="C2225" s="124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ht="18.75" customHeight="1" x14ac:dyDescent="0.35">
      <c r="C2226" s="124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ht="18.75" customHeight="1" x14ac:dyDescent="0.35">
      <c r="C2227" s="124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ht="18.75" customHeight="1" x14ac:dyDescent="0.35">
      <c r="C2228" s="124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ht="18.75" customHeight="1" x14ac:dyDescent="0.35">
      <c r="C2229" s="124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ht="18.75" customHeight="1" x14ac:dyDescent="0.35">
      <c r="C2230" s="124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ht="18.75" customHeight="1" x14ac:dyDescent="0.35">
      <c r="C2231" s="124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ht="18.75" customHeight="1" x14ac:dyDescent="0.35">
      <c r="C2232" s="124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ht="18.75" customHeight="1" x14ac:dyDescent="0.35">
      <c r="C2233" s="124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ht="18.75" customHeight="1" x14ac:dyDescent="0.35">
      <c r="C2234" s="124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ht="18.75" customHeight="1" x14ac:dyDescent="0.35">
      <c r="C2235" s="124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ht="18.75" customHeight="1" x14ac:dyDescent="0.35">
      <c r="C2236" s="124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ht="18.75" customHeight="1" x14ac:dyDescent="0.35">
      <c r="C2237" s="124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ht="18.75" customHeight="1" x14ac:dyDescent="0.35">
      <c r="C2238" s="124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ht="18.75" customHeight="1" x14ac:dyDescent="0.35">
      <c r="C2239" s="124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ht="18.75" customHeight="1" x14ac:dyDescent="0.35">
      <c r="C2240" s="124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ht="18.75" customHeight="1" x14ac:dyDescent="0.35">
      <c r="C2241" s="124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ht="18.75" customHeight="1" x14ac:dyDescent="0.35">
      <c r="C2242" s="124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ht="18.75" customHeight="1" x14ac:dyDescent="0.35">
      <c r="C2243" s="124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ht="18.75" customHeight="1" x14ac:dyDescent="0.35">
      <c r="C2244" s="124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ht="18.75" customHeight="1" x14ac:dyDescent="0.35">
      <c r="C2245" s="124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ht="18.75" customHeight="1" x14ac:dyDescent="0.35">
      <c r="C2246" s="124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ht="18.75" customHeight="1" x14ac:dyDescent="0.35">
      <c r="C2247" s="124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ht="18.75" customHeight="1" x14ac:dyDescent="0.35">
      <c r="C2248" s="124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ht="18.75" customHeight="1" x14ac:dyDescent="0.35">
      <c r="C2249" s="124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ht="18.75" customHeight="1" x14ac:dyDescent="0.35">
      <c r="C2250" s="124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ht="18.75" customHeight="1" x14ac:dyDescent="0.35">
      <c r="C2251" s="124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ht="18.75" customHeight="1" x14ac:dyDescent="0.35">
      <c r="C2252" s="124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ht="18.75" customHeight="1" x14ac:dyDescent="0.35">
      <c r="C2253" s="124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ht="18.75" customHeight="1" x14ac:dyDescent="0.35">
      <c r="C2254" s="124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ht="18.75" customHeight="1" x14ac:dyDescent="0.35">
      <c r="C2255" s="124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ht="18.75" customHeight="1" x14ac:dyDescent="0.35">
      <c r="C2256" s="124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ht="18.75" customHeight="1" x14ac:dyDescent="0.35">
      <c r="C2257" s="124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ht="18.75" customHeight="1" x14ac:dyDescent="0.35">
      <c r="C2258" s="124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ht="18.75" customHeight="1" x14ac:dyDescent="0.35">
      <c r="C2259" s="124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ht="18.75" customHeight="1" x14ac:dyDescent="0.35">
      <c r="C2260" s="124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ht="18.75" customHeight="1" x14ac:dyDescent="0.35">
      <c r="C2261" s="124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ht="18.75" customHeight="1" x14ac:dyDescent="0.35">
      <c r="C2262" s="124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ht="18.75" customHeight="1" x14ac:dyDescent="0.35">
      <c r="C2263" s="124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ht="18.75" customHeight="1" x14ac:dyDescent="0.35">
      <c r="C2264" s="124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ht="18.75" customHeight="1" x14ac:dyDescent="0.35">
      <c r="C2265" s="124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ht="18.75" customHeight="1" x14ac:dyDescent="0.35">
      <c r="C2266" s="124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ht="18.75" customHeight="1" x14ac:dyDescent="0.35">
      <c r="C2267" s="124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ht="18.75" customHeight="1" x14ac:dyDescent="0.35">
      <c r="C2268" s="124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ht="18.75" customHeight="1" x14ac:dyDescent="0.35">
      <c r="C2269" s="124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ht="18.75" customHeight="1" x14ac:dyDescent="0.35">
      <c r="C2270" s="124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ht="18.75" customHeight="1" x14ac:dyDescent="0.35">
      <c r="C2271" s="124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ht="18.75" customHeight="1" x14ac:dyDescent="0.35">
      <c r="C2272" s="124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ht="18.75" customHeight="1" x14ac:dyDescent="0.35">
      <c r="C2273" s="124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ht="18.75" customHeight="1" x14ac:dyDescent="0.35">
      <c r="C2274" s="124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ht="18.75" customHeight="1" x14ac:dyDescent="0.35">
      <c r="C2275" s="124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ht="18.75" customHeight="1" x14ac:dyDescent="0.35">
      <c r="C2276" s="124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ht="18.75" customHeight="1" x14ac:dyDescent="0.35">
      <c r="C2277" s="124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ht="18.75" customHeight="1" x14ac:dyDescent="0.35">
      <c r="C2278" s="124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ht="18.75" customHeight="1" x14ac:dyDescent="0.35">
      <c r="C2279" s="124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ht="18.75" customHeight="1" x14ac:dyDescent="0.35">
      <c r="C2280" s="124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ht="18.75" customHeight="1" x14ac:dyDescent="0.35">
      <c r="C2281" s="124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ht="18.75" customHeight="1" x14ac:dyDescent="0.35">
      <c r="C2282" s="124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ht="18.75" customHeight="1" x14ac:dyDescent="0.35">
      <c r="C2283" s="124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ht="18.75" customHeight="1" x14ac:dyDescent="0.35">
      <c r="C2284" s="124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ht="18.75" customHeight="1" x14ac:dyDescent="0.35">
      <c r="C2285" s="124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ht="18.75" customHeight="1" x14ac:dyDescent="0.35">
      <c r="C2286" s="124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ht="18.75" customHeight="1" x14ac:dyDescent="0.35">
      <c r="C2287" s="124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ht="18.75" customHeight="1" x14ac:dyDescent="0.35">
      <c r="C2288" s="124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ht="18.75" customHeight="1" x14ac:dyDescent="0.35">
      <c r="C2289" s="124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ht="18.75" customHeight="1" x14ac:dyDescent="0.35">
      <c r="C2290" s="124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ht="18.75" customHeight="1" x14ac:dyDescent="0.35">
      <c r="C2291" s="124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ht="18.75" customHeight="1" x14ac:dyDescent="0.35">
      <c r="C2292" s="124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ht="18.75" customHeight="1" x14ac:dyDescent="0.35">
      <c r="C2293" s="124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ht="18.75" customHeight="1" x14ac:dyDescent="0.35">
      <c r="C2294" s="124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ht="18.75" customHeight="1" x14ac:dyDescent="0.35">
      <c r="C2295" s="124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ht="18.75" customHeight="1" x14ac:dyDescent="0.35">
      <c r="C2296" s="124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ht="18.75" customHeight="1" x14ac:dyDescent="0.35">
      <c r="C2297" s="124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ht="18.75" customHeight="1" x14ac:dyDescent="0.35">
      <c r="C2298" s="124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ht="18.75" customHeight="1" x14ac:dyDescent="0.35">
      <c r="C2299" s="124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ht="18.75" customHeight="1" x14ac:dyDescent="0.35">
      <c r="C2300" s="124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ht="18.75" customHeight="1" x14ac:dyDescent="0.35">
      <c r="C2301" s="124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ht="18.75" customHeight="1" x14ac:dyDescent="0.35">
      <c r="C2302" s="124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ht="18.75" customHeight="1" x14ac:dyDescent="0.35">
      <c r="C2303" s="124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ht="18.75" customHeight="1" x14ac:dyDescent="0.35">
      <c r="C2304" s="124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ht="18.75" customHeight="1" x14ac:dyDescent="0.35">
      <c r="C2305" s="124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ht="18.75" customHeight="1" x14ac:dyDescent="0.35">
      <c r="C2306" s="124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ht="18.75" customHeight="1" x14ac:dyDescent="0.35">
      <c r="C2307" s="124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ht="18.75" customHeight="1" x14ac:dyDescent="0.35">
      <c r="C2308" s="124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ht="18.75" customHeight="1" x14ac:dyDescent="0.35">
      <c r="C2309" s="124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ht="18.75" customHeight="1" x14ac:dyDescent="0.35">
      <c r="C2310" s="124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ht="18.75" customHeight="1" x14ac:dyDescent="0.35">
      <c r="C2311" s="124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ht="18.75" customHeight="1" x14ac:dyDescent="0.35">
      <c r="C2312" s="124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ht="18.75" customHeight="1" x14ac:dyDescent="0.35">
      <c r="C2313" s="124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ht="18.75" customHeight="1" x14ac:dyDescent="0.35">
      <c r="C2314" s="124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ht="18.75" customHeight="1" x14ac:dyDescent="0.35">
      <c r="C2315" s="124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ht="18.75" customHeight="1" x14ac:dyDescent="0.35">
      <c r="C2316" s="124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ht="18.75" customHeight="1" x14ac:dyDescent="0.35">
      <c r="C2317" s="124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ht="18.75" customHeight="1" x14ac:dyDescent="0.35">
      <c r="C2318" s="124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ht="18.75" customHeight="1" x14ac:dyDescent="0.35">
      <c r="C2319" s="124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ht="18.75" customHeight="1" x14ac:dyDescent="0.35">
      <c r="C2320" s="124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ht="18.75" customHeight="1" x14ac:dyDescent="0.35">
      <c r="C2321" s="124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ht="18.75" customHeight="1" x14ac:dyDescent="0.35">
      <c r="C2322" s="124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ht="18.75" customHeight="1" x14ac:dyDescent="0.35">
      <c r="C2323" s="124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ht="18.75" customHeight="1" x14ac:dyDescent="0.35">
      <c r="C2324" s="124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ht="18.75" customHeight="1" x14ac:dyDescent="0.35">
      <c r="C2325" s="124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ht="18.75" customHeight="1" x14ac:dyDescent="0.35">
      <c r="C2326" s="124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ht="18.75" customHeight="1" x14ac:dyDescent="0.35">
      <c r="C2327" s="124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ht="18.75" customHeight="1" x14ac:dyDescent="0.35">
      <c r="C2328" s="124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ht="18.75" customHeight="1" x14ac:dyDescent="0.35">
      <c r="C2329" s="124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ht="18.75" customHeight="1" x14ac:dyDescent="0.35">
      <c r="C2330" s="124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ht="18.75" customHeight="1" x14ac:dyDescent="0.35">
      <c r="C2331" s="124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ht="18.75" customHeight="1" x14ac:dyDescent="0.35">
      <c r="C2332" s="124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ht="18.75" customHeight="1" x14ac:dyDescent="0.35">
      <c r="C2333" s="124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ht="18.75" customHeight="1" x14ac:dyDescent="0.35">
      <c r="C2334" s="124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ht="18.75" customHeight="1" x14ac:dyDescent="0.35">
      <c r="C2335" s="124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ht="18.75" customHeight="1" x14ac:dyDescent="0.35">
      <c r="C2336" s="124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ht="18.75" customHeight="1" x14ac:dyDescent="0.35">
      <c r="C2337" s="124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ht="18.75" customHeight="1" x14ac:dyDescent="0.35">
      <c r="C2338" s="124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ht="18.75" customHeight="1" x14ac:dyDescent="0.35">
      <c r="C2339" s="124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ht="18.75" customHeight="1" x14ac:dyDescent="0.35">
      <c r="C2340" s="124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ht="18.75" customHeight="1" x14ac:dyDescent="0.35">
      <c r="C2341" s="124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ht="18.75" customHeight="1" x14ac:dyDescent="0.35">
      <c r="C2342" s="124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ht="18.75" customHeight="1" x14ac:dyDescent="0.35">
      <c r="C2343" s="124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ht="18.75" customHeight="1" x14ac:dyDescent="0.35">
      <c r="C2344" s="124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ht="18.75" customHeight="1" x14ac:dyDescent="0.35">
      <c r="C2345" s="124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ht="18.75" customHeight="1" x14ac:dyDescent="0.35">
      <c r="C2346" s="124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ht="18.75" customHeight="1" x14ac:dyDescent="0.35">
      <c r="C2347" s="124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ht="18.75" customHeight="1" x14ac:dyDescent="0.35">
      <c r="C2348" s="124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ht="18.75" customHeight="1" x14ac:dyDescent="0.35">
      <c r="C2349" s="124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ht="18.75" customHeight="1" x14ac:dyDescent="0.35">
      <c r="C2350" s="124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ht="18.75" customHeight="1" x14ac:dyDescent="0.35">
      <c r="C2351" s="124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ht="18.75" customHeight="1" x14ac:dyDescent="0.35">
      <c r="C2352" s="124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ht="18.75" customHeight="1" x14ac:dyDescent="0.35">
      <c r="C2353" s="124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ht="18.75" customHeight="1" x14ac:dyDescent="0.35">
      <c r="C2354" s="124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ht="18.75" customHeight="1" x14ac:dyDescent="0.35">
      <c r="C2355" s="124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ht="18.75" customHeight="1" x14ac:dyDescent="0.35">
      <c r="C2356" s="124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ht="18.75" customHeight="1" x14ac:dyDescent="0.35">
      <c r="C2357" s="124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ht="18.75" customHeight="1" x14ac:dyDescent="0.35">
      <c r="C2358" s="124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ht="18.75" customHeight="1" x14ac:dyDescent="0.35">
      <c r="C2359" s="124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ht="18.75" customHeight="1" x14ac:dyDescent="0.35">
      <c r="C2360" s="124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ht="18.75" customHeight="1" x14ac:dyDescent="0.35">
      <c r="C2361" s="124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ht="18.75" customHeight="1" x14ac:dyDescent="0.35">
      <c r="C2362" s="124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ht="18.75" customHeight="1" x14ac:dyDescent="0.35">
      <c r="C2363" s="124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ht="18.75" customHeight="1" x14ac:dyDescent="0.35">
      <c r="C2364" s="124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ht="18.75" customHeight="1" x14ac:dyDescent="0.35">
      <c r="C2365" s="124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ht="18.75" customHeight="1" x14ac:dyDescent="0.35">
      <c r="C2366" s="124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ht="18.75" customHeight="1" x14ac:dyDescent="0.35">
      <c r="C2367" s="124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ht="18.75" customHeight="1" x14ac:dyDescent="0.35">
      <c r="C2368" s="124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ht="18.75" customHeight="1" x14ac:dyDescent="0.35">
      <c r="C2369" s="124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ht="18.75" customHeight="1" x14ac:dyDescent="0.35">
      <c r="C2370" s="124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ht="18.75" customHeight="1" x14ac:dyDescent="0.35">
      <c r="C2371" s="124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ht="18.75" customHeight="1" x14ac:dyDescent="0.35">
      <c r="C2372" s="124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ht="18.75" customHeight="1" x14ac:dyDescent="0.35">
      <c r="C2373" s="124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ht="18.75" customHeight="1" x14ac:dyDescent="0.35">
      <c r="C2374" s="124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ht="18.75" customHeight="1" x14ac:dyDescent="0.35">
      <c r="C2375" s="124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ht="18.75" customHeight="1" x14ac:dyDescent="0.35">
      <c r="C2376" s="124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ht="18.75" customHeight="1" x14ac:dyDescent="0.35">
      <c r="C2377" s="124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ht="18.75" customHeight="1" x14ac:dyDescent="0.35">
      <c r="C2378" s="124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ht="18.75" customHeight="1" x14ac:dyDescent="0.35">
      <c r="C2379" s="124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ht="18.75" customHeight="1" x14ac:dyDescent="0.35">
      <c r="C2380" s="124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ht="18.75" customHeight="1" x14ac:dyDescent="0.35">
      <c r="C2381" s="124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ht="18.75" customHeight="1" x14ac:dyDescent="0.35">
      <c r="C2382" s="124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ht="18.75" customHeight="1" x14ac:dyDescent="0.35">
      <c r="C2383" s="124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ht="18.75" customHeight="1" x14ac:dyDescent="0.35">
      <c r="C2384" s="124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ht="18.75" customHeight="1" x14ac:dyDescent="0.35">
      <c r="C2385" s="124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ht="18.75" customHeight="1" x14ac:dyDescent="0.35">
      <c r="C2386" s="124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ht="18.75" customHeight="1" x14ac:dyDescent="0.35">
      <c r="C2387" s="124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ht="18.75" customHeight="1" x14ac:dyDescent="0.35">
      <c r="C2388" s="124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ht="18.75" customHeight="1" x14ac:dyDescent="0.35">
      <c r="C2389" s="124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ht="18.75" customHeight="1" x14ac:dyDescent="0.35">
      <c r="C2390" s="124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ht="18.75" customHeight="1" x14ac:dyDescent="0.35">
      <c r="C2391" s="124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ht="18.75" customHeight="1" x14ac:dyDescent="0.35">
      <c r="C2392" s="124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ht="18.75" customHeight="1" x14ac:dyDescent="0.35">
      <c r="C2393" s="124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ht="18.75" customHeight="1" x14ac:dyDescent="0.35">
      <c r="C2394" s="124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ht="18.75" customHeight="1" x14ac:dyDescent="0.35">
      <c r="C2395" s="124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ht="18.75" customHeight="1" x14ac:dyDescent="0.35">
      <c r="C2396" s="124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ht="18.75" customHeight="1" x14ac:dyDescent="0.35">
      <c r="C2397" s="124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ht="18.75" customHeight="1" x14ac:dyDescent="0.35">
      <c r="C2398" s="124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ht="18.75" customHeight="1" x14ac:dyDescent="0.35">
      <c r="C2399" s="124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ht="18.75" customHeight="1" x14ac:dyDescent="0.35">
      <c r="C2400" s="124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ht="18.75" customHeight="1" x14ac:dyDescent="0.35">
      <c r="C2401" s="124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ht="18.75" customHeight="1" x14ac:dyDescent="0.35">
      <c r="C2402" s="124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ht="18.75" customHeight="1" x14ac:dyDescent="0.35">
      <c r="C2403" s="124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ht="18.75" customHeight="1" x14ac:dyDescent="0.35">
      <c r="C2404" s="124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ht="18.75" customHeight="1" x14ac:dyDescent="0.35">
      <c r="C2405" s="124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ht="18.75" customHeight="1" x14ac:dyDescent="0.35">
      <c r="C2406" s="124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ht="18.75" customHeight="1" x14ac:dyDescent="0.35">
      <c r="C2407" s="124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ht="18.75" customHeight="1" x14ac:dyDescent="0.35">
      <c r="C2408" s="124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ht="18.75" customHeight="1" x14ac:dyDescent="0.35">
      <c r="C2409" s="124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ht="18.75" customHeight="1" x14ac:dyDescent="0.35">
      <c r="C2410" s="124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ht="18.75" customHeight="1" x14ac:dyDescent="0.35">
      <c r="C2411" s="124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ht="18.75" customHeight="1" x14ac:dyDescent="0.35">
      <c r="C2412" s="124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ht="18.75" customHeight="1" x14ac:dyDescent="0.35">
      <c r="C2413" s="124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ht="18.75" customHeight="1" x14ac:dyDescent="0.35">
      <c r="C2414" s="124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ht="18.75" customHeight="1" x14ac:dyDescent="0.35">
      <c r="C2415" s="124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ht="18.75" customHeight="1" x14ac:dyDescent="0.35">
      <c r="C2416" s="124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ht="18.75" customHeight="1" x14ac:dyDescent="0.35">
      <c r="C2417" s="124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ht="18.75" customHeight="1" x14ac:dyDescent="0.35">
      <c r="C2418" s="124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ht="18.75" customHeight="1" x14ac:dyDescent="0.35">
      <c r="C2419" s="124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ht="18.75" customHeight="1" x14ac:dyDescent="0.35">
      <c r="C2420" s="124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ht="18.75" customHeight="1" x14ac:dyDescent="0.35">
      <c r="C2421" s="124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ht="18.75" customHeight="1" x14ac:dyDescent="0.35">
      <c r="C2422" s="124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ht="18.75" customHeight="1" x14ac:dyDescent="0.35">
      <c r="C2423" s="124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ht="18.75" customHeight="1" x14ac:dyDescent="0.35">
      <c r="C2424" s="124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ht="18.75" customHeight="1" x14ac:dyDescent="0.35">
      <c r="C2425" s="124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ht="18.75" customHeight="1" x14ac:dyDescent="0.35">
      <c r="C2426" s="124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ht="18.75" customHeight="1" x14ac:dyDescent="0.35">
      <c r="C2427" s="124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ht="18.75" customHeight="1" x14ac:dyDescent="0.35">
      <c r="C2428" s="124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ht="18.75" customHeight="1" x14ac:dyDescent="0.35">
      <c r="C2429" s="124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ht="18.75" customHeight="1" x14ac:dyDescent="0.35">
      <c r="C2430" s="124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ht="18.75" customHeight="1" x14ac:dyDescent="0.35">
      <c r="C2431" s="124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ht="18.75" customHeight="1" x14ac:dyDescent="0.35">
      <c r="C2432" s="124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ht="18.75" customHeight="1" x14ac:dyDescent="0.35">
      <c r="C2433" s="124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ht="18.75" customHeight="1" x14ac:dyDescent="0.35">
      <c r="C2434" s="124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ht="18.75" customHeight="1" x14ac:dyDescent="0.35">
      <c r="C2435" s="124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ht="18.75" customHeight="1" x14ac:dyDescent="0.35">
      <c r="C2436" s="124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ht="18.75" customHeight="1" x14ac:dyDescent="0.35">
      <c r="C2437" s="124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ht="18.75" customHeight="1" x14ac:dyDescent="0.35">
      <c r="C2438" s="124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ht="18.75" customHeight="1" x14ac:dyDescent="0.35">
      <c r="C2439" s="124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ht="18.75" customHeight="1" x14ac:dyDescent="0.35">
      <c r="C2440" s="124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ht="18.75" customHeight="1" x14ac:dyDescent="0.35">
      <c r="C2441" s="124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ht="18.75" customHeight="1" x14ac:dyDescent="0.35">
      <c r="C2442" s="124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ht="18.75" customHeight="1" x14ac:dyDescent="0.35">
      <c r="C2443" s="124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ht="18.75" customHeight="1" x14ac:dyDescent="0.35">
      <c r="C2444" s="124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ht="18.75" customHeight="1" x14ac:dyDescent="0.35">
      <c r="C2445" s="124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ht="18.75" customHeight="1" x14ac:dyDescent="0.35">
      <c r="C2446" s="124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ht="18.75" customHeight="1" x14ac:dyDescent="0.35">
      <c r="C2447" s="124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ht="18.75" customHeight="1" x14ac:dyDescent="0.35">
      <c r="C2448" s="124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ht="18.75" customHeight="1" x14ac:dyDescent="0.35">
      <c r="C2449" s="124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ht="18.75" customHeight="1" x14ac:dyDescent="0.35">
      <c r="C2450" s="124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ht="18.75" customHeight="1" x14ac:dyDescent="0.35">
      <c r="C2451" s="124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ht="18.75" customHeight="1" x14ac:dyDescent="0.35">
      <c r="C2452" s="124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ht="18.75" customHeight="1" x14ac:dyDescent="0.35">
      <c r="C2453" s="124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ht="18.75" customHeight="1" x14ac:dyDescent="0.35">
      <c r="C2454" s="124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ht="18.75" customHeight="1" x14ac:dyDescent="0.35">
      <c r="C2455" s="124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ht="18.75" customHeight="1" x14ac:dyDescent="0.35">
      <c r="C2456" s="124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ht="18.75" customHeight="1" x14ac:dyDescent="0.35">
      <c r="C2457" s="124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ht="18.75" customHeight="1" x14ac:dyDescent="0.35">
      <c r="C2458" s="124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ht="18.75" customHeight="1" x14ac:dyDescent="0.35">
      <c r="C2459" s="124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ht="18.75" customHeight="1" x14ac:dyDescent="0.35">
      <c r="C2460" s="124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ht="18.75" customHeight="1" x14ac:dyDescent="0.35">
      <c r="C2461" s="124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ht="18.75" customHeight="1" x14ac:dyDescent="0.35">
      <c r="C2462" s="124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ht="18.75" customHeight="1" x14ac:dyDescent="0.35">
      <c r="C2463" s="124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ht="18.75" customHeight="1" x14ac:dyDescent="0.35">
      <c r="C2464" s="124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ht="18.75" customHeight="1" x14ac:dyDescent="0.35">
      <c r="C2465" s="124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ht="18.75" customHeight="1" x14ac:dyDescent="0.35">
      <c r="C2466" s="124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ht="18.75" customHeight="1" x14ac:dyDescent="0.35">
      <c r="C2467" s="124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ht="18.75" customHeight="1" x14ac:dyDescent="0.35">
      <c r="C2468" s="124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ht="18.75" customHeight="1" x14ac:dyDescent="0.35">
      <c r="C2469" s="124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ht="18.75" customHeight="1" x14ac:dyDescent="0.35">
      <c r="C2470" s="124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ht="18.75" customHeight="1" x14ac:dyDescent="0.35">
      <c r="C2471" s="124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ht="18.75" customHeight="1" x14ac:dyDescent="0.35">
      <c r="C2472" s="124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ht="18.75" customHeight="1" x14ac:dyDescent="0.35">
      <c r="C2473" s="124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ht="18.75" customHeight="1" x14ac:dyDescent="0.35">
      <c r="C2474" s="124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ht="18.75" customHeight="1" x14ac:dyDescent="0.35">
      <c r="C2475" s="124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ht="18.75" customHeight="1" x14ac:dyDescent="0.35">
      <c r="C2476" s="124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ht="18.75" customHeight="1" x14ac:dyDescent="0.35">
      <c r="C2477" s="124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ht="18.75" customHeight="1" x14ac:dyDescent="0.35">
      <c r="C2478" s="124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ht="18.75" customHeight="1" x14ac:dyDescent="0.35">
      <c r="C2479" s="124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ht="18.75" customHeight="1" x14ac:dyDescent="0.35">
      <c r="C2480" s="124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ht="18.75" customHeight="1" x14ac:dyDescent="0.35">
      <c r="C2481" s="124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ht="18.75" customHeight="1" x14ac:dyDescent="0.35">
      <c r="C2482" s="124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ht="18.75" customHeight="1" x14ac:dyDescent="0.35">
      <c r="C2483" s="124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ht="18.75" customHeight="1" x14ac:dyDescent="0.35">
      <c r="C2484" s="124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ht="18.75" customHeight="1" x14ac:dyDescent="0.35">
      <c r="C2485" s="124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ht="18.75" customHeight="1" x14ac:dyDescent="0.35">
      <c r="C2486" s="124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ht="18.75" customHeight="1" x14ac:dyDescent="0.35">
      <c r="C2487" s="124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ht="18.75" customHeight="1" x14ac:dyDescent="0.35">
      <c r="C2488" s="124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ht="18.75" customHeight="1" x14ac:dyDescent="0.35">
      <c r="C2489" s="124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ht="18.75" customHeight="1" x14ac:dyDescent="0.35">
      <c r="C2490" s="124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ht="18.75" customHeight="1" x14ac:dyDescent="0.35">
      <c r="C2491" s="124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ht="18.75" customHeight="1" x14ac:dyDescent="0.35">
      <c r="C2492" s="124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ht="18.75" customHeight="1" x14ac:dyDescent="0.35">
      <c r="C2493" s="124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ht="18.75" customHeight="1" x14ac:dyDescent="0.35">
      <c r="C2494" s="124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ht="18.75" customHeight="1" x14ac:dyDescent="0.35">
      <c r="C2495" s="124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ht="18.75" customHeight="1" x14ac:dyDescent="0.35">
      <c r="C2496" s="124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ht="18.75" customHeight="1" x14ac:dyDescent="0.35">
      <c r="C2497" s="124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ht="18.75" customHeight="1" x14ac:dyDescent="0.35">
      <c r="C2498" s="124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ht="18.75" customHeight="1" x14ac:dyDescent="0.35">
      <c r="C2499" s="124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ht="18.75" customHeight="1" x14ac:dyDescent="0.35">
      <c r="C2500" s="124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ht="18.75" customHeight="1" x14ac:dyDescent="0.35">
      <c r="C2501" s="124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ht="18.75" customHeight="1" x14ac:dyDescent="0.35">
      <c r="C2502" s="124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ht="18.75" customHeight="1" x14ac:dyDescent="0.35">
      <c r="C2503" s="124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ht="18.75" customHeight="1" x14ac:dyDescent="0.35">
      <c r="C2504" s="124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ht="18.75" customHeight="1" x14ac:dyDescent="0.35">
      <c r="C2505" s="124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ht="18.75" customHeight="1" x14ac:dyDescent="0.35">
      <c r="C2506" s="124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ht="18.75" customHeight="1" x14ac:dyDescent="0.35">
      <c r="C2507" s="124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ht="18.75" customHeight="1" x14ac:dyDescent="0.35">
      <c r="C2508" s="124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ht="18.75" customHeight="1" x14ac:dyDescent="0.35">
      <c r="C2509" s="124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ht="18.75" customHeight="1" x14ac:dyDescent="0.35">
      <c r="C2510" s="124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ht="18.75" customHeight="1" x14ac:dyDescent="0.35">
      <c r="C2511" s="124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ht="18.75" customHeight="1" x14ac:dyDescent="0.35">
      <c r="C2512" s="124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ht="18.75" customHeight="1" x14ac:dyDescent="0.35">
      <c r="C2513" s="124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ht="18.75" customHeight="1" x14ac:dyDescent="0.35">
      <c r="C2514" s="124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ht="18.75" customHeight="1" x14ac:dyDescent="0.35">
      <c r="C2515" s="124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ht="18.75" customHeight="1" x14ac:dyDescent="0.35">
      <c r="C2516" s="124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ht="18.75" customHeight="1" x14ac:dyDescent="0.35">
      <c r="C2517" s="124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ht="18.75" customHeight="1" x14ac:dyDescent="0.35">
      <c r="C2518" s="124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ht="18.75" customHeight="1" x14ac:dyDescent="0.35">
      <c r="C2519" s="124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ht="18.75" customHeight="1" x14ac:dyDescent="0.35">
      <c r="C2520" s="124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ht="18.75" customHeight="1" x14ac:dyDescent="0.35">
      <c r="C2521" s="124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ht="18.75" customHeight="1" x14ac:dyDescent="0.35">
      <c r="C2522" s="124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ht="18.75" customHeight="1" x14ac:dyDescent="0.35">
      <c r="C2523" s="124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ht="18.75" customHeight="1" x14ac:dyDescent="0.35">
      <c r="C2524" s="124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ht="18.75" customHeight="1" x14ac:dyDescent="0.35">
      <c r="C2525" s="124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ht="18.75" customHeight="1" x14ac:dyDescent="0.35">
      <c r="C2526" s="124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ht="18.75" customHeight="1" x14ac:dyDescent="0.35">
      <c r="C2527" s="124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ht="18.75" customHeight="1" x14ac:dyDescent="0.35">
      <c r="C2528" s="124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ht="18.75" customHeight="1" x14ac:dyDescent="0.35">
      <c r="C2529" s="124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ht="18.75" customHeight="1" x14ac:dyDescent="0.35">
      <c r="C2530" s="124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ht="18.75" customHeight="1" x14ac:dyDescent="0.35">
      <c r="C2531" s="124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ht="18.75" customHeight="1" x14ac:dyDescent="0.35">
      <c r="C2532" s="124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ht="18.75" customHeight="1" x14ac:dyDescent="0.35">
      <c r="C2533" s="124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ht="18.75" customHeight="1" x14ac:dyDescent="0.35">
      <c r="C2534" s="124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ht="18.75" customHeight="1" x14ac:dyDescent="0.35">
      <c r="C2535" s="124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ht="18.75" customHeight="1" x14ac:dyDescent="0.35">
      <c r="C2536" s="124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ht="18.75" customHeight="1" x14ac:dyDescent="0.35">
      <c r="C2537" s="124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ht="18.75" customHeight="1" x14ac:dyDescent="0.35">
      <c r="C2538" s="124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ht="18.75" customHeight="1" x14ac:dyDescent="0.35">
      <c r="C2539" s="124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ht="18.75" customHeight="1" x14ac:dyDescent="0.35">
      <c r="C2540" s="124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ht="18.75" customHeight="1" x14ac:dyDescent="0.35">
      <c r="C2541" s="124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ht="18.75" customHeight="1" x14ac:dyDescent="0.35">
      <c r="C2542" s="124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ht="18.75" customHeight="1" x14ac:dyDescent="0.35">
      <c r="C2543" s="124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ht="18.75" customHeight="1" x14ac:dyDescent="0.35">
      <c r="C2544" s="124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ht="18.75" customHeight="1" x14ac:dyDescent="0.35">
      <c r="C2545" s="124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ht="18.75" customHeight="1" x14ac:dyDescent="0.35">
      <c r="C2546" s="124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ht="18.75" customHeight="1" x14ac:dyDescent="0.35">
      <c r="C2547" s="124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ht="18.75" customHeight="1" x14ac:dyDescent="0.35">
      <c r="C2548" s="124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ht="18.75" customHeight="1" x14ac:dyDescent="0.35">
      <c r="C2549" s="124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ht="18.75" customHeight="1" x14ac:dyDescent="0.35">
      <c r="C2550" s="124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ht="18.75" customHeight="1" x14ac:dyDescent="0.35">
      <c r="C2551" s="124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ht="18.75" customHeight="1" x14ac:dyDescent="0.35">
      <c r="C2552" s="124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ht="18.75" customHeight="1" x14ac:dyDescent="0.35">
      <c r="C2553" s="124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ht="18.75" customHeight="1" x14ac:dyDescent="0.35">
      <c r="C2554" s="124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ht="18.75" customHeight="1" x14ac:dyDescent="0.35">
      <c r="C2555" s="124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ht="18.75" customHeight="1" x14ac:dyDescent="0.35">
      <c r="C2556" s="124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ht="18.75" customHeight="1" x14ac:dyDescent="0.35">
      <c r="C2557" s="124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ht="18.75" customHeight="1" x14ac:dyDescent="0.35">
      <c r="C2558" s="124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ht="18.75" customHeight="1" x14ac:dyDescent="0.35">
      <c r="C2559" s="124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ht="18.75" customHeight="1" x14ac:dyDescent="0.35">
      <c r="C2560" s="124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ht="18.75" customHeight="1" x14ac:dyDescent="0.35">
      <c r="C2561" s="124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ht="18.75" customHeight="1" x14ac:dyDescent="0.35">
      <c r="C2562" s="124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ht="18.75" customHeight="1" x14ac:dyDescent="0.35">
      <c r="C2563" s="124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ht="18.75" customHeight="1" x14ac:dyDescent="0.35">
      <c r="C2564" s="124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ht="18.75" customHeight="1" x14ac:dyDescent="0.35">
      <c r="C2565" s="124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ht="18.75" customHeight="1" x14ac:dyDescent="0.35">
      <c r="C2566" s="124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ht="18.75" customHeight="1" x14ac:dyDescent="0.35">
      <c r="C2567" s="124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ht="18.75" customHeight="1" x14ac:dyDescent="0.35">
      <c r="C2568" s="124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ht="18.75" customHeight="1" x14ac:dyDescent="0.35">
      <c r="C2569" s="124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ht="18.75" customHeight="1" x14ac:dyDescent="0.35">
      <c r="C2570" s="124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ht="18.75" customHeight="1" x14ac:dyDescent="0.35">
      <c r="C2571" s="124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ht="18.75" customHeight="1" x14ac:dyDescent="0.35">
      <c r="C2572" s="124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ht="18.75" customHeight="1" x14ac:dyDescent="0.35">
      <c r="C2573" s="124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ht="18.75" customHeight="1" x14ac:dyDescent="0.35">
      <c r="C2574" s="124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ht="18.75" customHeight="1" x14ac:dyDescent="0.35">
      <c r="C2575" s="124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ht="18.75" customHeight="1" x14ac:dyDescent="0.35">
      <c r="C2576" s="124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ht="18.75" customHeight="1" x14ac:dyDescent="0.35">
      <c r="C2577" s="124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ht="18.75" customHeight="1" x14ac:dyDescent="0.35">
      <c r="C2578" s="124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ht="18.75" customHeight="1" x14ac:dyDescent="0.35">
      <c r="C2579" s="124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ht="18.75" customHeight="1" x14ac:dyDescent="0.35">
      <c r="C2580" s="124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ht="18.75" customHeight="1" x14ac:dyDescent="0.35">
      <c r="C2581" s="124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ht="18.75" customHeight="1" x14ac:dyDescent="0.35">
      <c r="C2582" s="124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ht="18.75" customHeight="1" x14ac:dyDescent="0.35">
      <c r="C2583" s="124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ht="18.75" customHeight="1" x14ac:dyDescent="0.35">
      <c r="C2584" s="124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ht="18.75" customHeight="1" x14ac:dyDescent="0.35">
      <c r="C2585" s="124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ht="18.75" customHeight="1" x14ac:dyDescent="0.35">
      <c r="C2586" s="124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ht="18.75" customHeight="1" x14ac:dyDescent="0.35">
      <c r="C2587" s="124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ht="18.75" customHeight="1" x14ac:dyDescent="0.35">
      <c r="C2588" s="124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ht="18.75" customHeight="1" x14ac:dyDescent="0.35">
      <c r="C2589" s="124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ht="18.75" customHeight="1" x14ac:dyDescent="0.35">
      <c r="C2590" s="124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ht="18.75" customHeight="1" x14ac:dyDescent="0.35">
      <c r="C2591" s="124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ht="18.75" customHeight="1" x14ac:dyDescent="0.35">
      <c r="C2592" s="124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ht="18.75" customHeight="1" x14ac:dyDescent="0.35">
      <c r="C2593" s="124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ht="18.75" customHeight="1" x14ac:dyDescent="0.35">
      <c r="C2594" s="124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ht="18.75" customHeight="1" x14ac:dyDescent="0.35">
      <c r="C2595" s="124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ht="18.75" customHeight="1" x14ac:dyDescent="0.35">
      <c r="C2596" s="124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ht="18.75" customHeight="1" x14ac:dyDescent="0.35">
      <c r="C2597" s="124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ht="18.75" customHeight="1" x14ac:dyDescent="0.35">
      <c r="C2598" s="124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ht="18.75" customHeight="1" x14ac:dyDescent="0.35">
      <c r="C2599" s="124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ht="18.75" customHeight="1" x14ac:dyDescent="0.35">
      <c r="C2600" s="124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ht="18.75" customHeight="1" x14ac:dyDescent="0.35">
      <c r="C2601" s="124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ht="18.75" customHeight="1" x14ac:dyDescent="0.35">
      <c r="C2602" s="124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ht="18.75" customHeight="1" x14ac:dyDescent="0.35">
      <c r="C2603" s="124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ht="18.75" customHeight="1" x14ac:dyDescent="0.35">
      <c r="C2604" s="124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ht="18.75" customHeight="1" x14ac:dyDescent="0.35">
      <c r="C2605" s="124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ht="18.75" customHeight="1" x14ac:dyDescent="0.35">
      <c r="C2606" s="124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ht="18.75" customHeight="1" x14ac:dyDescent="0.35">
      <c r="C2607" s="124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ht="18.75" customHeight="1" x14ac:dyDescent="0.35">
      <c r="C2608" s="124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ht="18.75" customHeight="1" x14ac:dyDescent="0.35">
      <c r="C2609" s="124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ht="18.75" customHeight="1" x14ac:dyDescent="0.35">
      <c r="C2610" s="124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ht="18.75" customHeight="1" x14ac:dyDescent="0.35">
      <c r="C2611" s="124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ht="18.75" customHeight="1" x14ac:dyDescent="0.35">
      <c r="C2612" s="124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ht="18.75" customHeight="1" x14ac:dyDescent="0.35">
      <c r="C2613" s="124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ht="18.75" customHeight="1" x14ac:dyDescent="0.35">
      <c r="C2614" s="124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ht="18.75" customHeight="1" x14ac:dyDescent="0.35">
      <c r="C2615" s="124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ht="18.75" customHeight="1" x14ac:dyDescent="0.35">
      <c r="C2616" s="124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ht="18.75" customHeight="1" x14ac:dyDescent="0.35">
      <c r="C2617" s="124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ht="18.75" customHeight="1" x14ac:dyDescent="0.35">
      <c r="C2618" s="124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ht="18.75" customHeight="1" x14ac:dyDescent="0.35">
      <c r="C2619" s="124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ht="18.75" customHeight="1" x14ac:dyDescent="0.35">
      <c r="C2620" s="124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ht="18.75" customHeight="1" x14ac:dyDescent="0.35">
      <c r="C2621" s="124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ht="18.75" customHeight="1" x14ac:dyDescent="0.35">
      <c r="C2622" s="124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ht="18.75" customHeight="1" x14ac:dyDescent="0.35">
      <c r="C2623" s="124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ht="18.75" customHeight="1" x14ac:dyDescent="0.35">
      <c r="C2624" s="124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ht="18.75" customHeight="1" x14ac:dyDescent="0.35">
      <c r="C2625" s="124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ht="18.75" customHeight="1" x14ac:dyDescent="0.35">
      <c r="C2626" s="124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ht="18.75" customHeight="1" x14ac:dyDescent="0.35">
      <c r="C2627" s="124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ht="18.75" customHeight="1" x14ac:dyDescent="0.35">
      <c r="C2628" s="124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ht="18.75" customHeight="1" x14ac:dyDescent="0.35">
      <c r="C2629" s="124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ht="18.75" customHeight="1" x14ac:dyDescent="0.35">
      <c r="C2630" s="124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ht="18.75" customHeight="1" x14ac:dyDescent="0.35">
      <c r="C2631" s="124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ht="18.75" customHeight="1" x14ac:dyDescent="0.35">
      <c r="C2632" s="124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ht="18.75" customHeight="1" x14ac:dyDescent="0.35">
      <c r="C2633" s="124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ht="18.75" customHeight="1" x14ac:dyDescent="0.35">
      <c r="C2634" s="124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ht="18.75" customHeight="1" x14ac:dyDescent="0.35">
      <c r="C2635" s="124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ht="18.75" customHeight="1" x14ac:dyDescent="0.35">
      <c r="C2636" s="124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ht="18.75" customHeight="1" x14ac:dyDescent="0.35">
      <c r="C2637" s="124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ht="18.75" customHeight="1" x14ac:dyDescent="0.35">
      <c r="C2638" s="124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ht="18.75" customHeight="1" x14ac:dyDescent="0.35">
      <c r="C2639" s="124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ht="18.75" customHeight="1" x14ac:dyDescent="0.35">
      <c r="C2640" s="124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ht="18.75" customHeight="1" x14ac:dyDescent="0.35">
      <c r="C2641" s="124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ht="18.75" customHeight="1" x14ac:dyDescent="0.35">
      <c r="C2642" s="124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ht="18.75" customHeight="1" x14ac:dyDescent="0.35">
      <c r="C2643" s="124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ht="18.75" customHeight="1" x14ac:dyDescent="0.35">
      <c r="C2644" s="124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ht="18.75" customHeight="1" x14ac:dyDescent="0.35">
      <c r="C2645" s="124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ht="18.75" customHeight="1" x14ac:dyDescent="0.35">
      <c r="C2646" s="124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ht="18.75" customHeight="1" x14ac:dyDescent="0.35">
      <c r="C2647" s="124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ht="18.75" customHeight="1" x14ac:dyDescent="0.35">
      <c r="C2648" s="124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ht="18.75" customHeight="1" x14ac:dyDescent="0.35">
      <c r="C2649" s="124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ht="18.75" customHeight="1" x14ac:dyDescent="0.35">
      <c r="C2650" s="124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ht="18.75" customHeight="1" x14ac:dyDescent="0.35">
      <c r="C2651" s="124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ht="18.75" customHeight="1" x14ac:dyDescent="0.35">
      <c r="C2652" s="124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ht="18.75" customHeight="1" x14ac:dyDescent="0.35">
      <c r="C2653" s="124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ht="18.75" customHeight="1" x14ac:dyDescent="0.35">
      <c r="C2654" s="124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ht="18.75" customHeight="1" x14ac:dyDescent="0.35">
      <c r="C2655" s="124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ht="18.75" customHeight="1" x14ac:dyDescent="0.35">
      <c r="C2656" s="124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ht="18.75" customHeight="1" x14ac:dyDescent="0.35">
      <c r="C2657" s="124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ht="18.75" customHeight="1" x14ac:dyDescent="0.35">
      <c r="C2658" s="124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ht="18.75" customHeight="1" x14ac:dyDescent="0.35">
      <c r="C2659" s="124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ht="18.75" customHeight="1" x14ac:dyDescent="0.35">
      <c r="C2660" s="124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ht="18.75" customHeight="1" x14ac:dyDescent="0.35">
      <c r="C2661" s="124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ht="18.75" customHeight="1" x14ac:dyDescent="0.35">
      <c r="C2662" s="124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ht="18.75" customHeight="1" x14ac:dyDescent="0.35">
      <c r="C2663" s="124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ht="18.75" customHeight="1" x14ac:dyDescent="0.35">
      <c r="C2664" s="124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ht="18.75" customHeight="1" x14ac:dyDescent="0.35">
      <c r="C2665" s="124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ht="18.75" customHeight="1" x14ac:dyDescent="0.35">
      <c r="C2666" s="124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ht="18.75" customHeight="1" x14ac:dyDescent="0.35">
      <c r="C2667" s="124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ht="18.75" customHeight="1" x14ac:dyDescent="0.35">
      <c r="C2668" s="124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ht="18.75" customHeight="1" x14ac:dyDescent="0.35">
      <c r="C2669" s="124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ht="18.75" customHeight="1" x14ac:dyDescent="0.35">
      <c r="C2670" s="124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ht="18.75" customHeight="1" x14ac:dyDescent="0.35">
      <c r="C2671" s="124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ht="18.75" customHeight="1" x14ac:dyDescent="0.35">
      <c r="C2672" s="124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ht="18.75" customHeight="1" x14ac:dyDescent="0.35">
      <c r="C2673" s="124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ht="18.75" customHeight="1" x14ac:dyDescent="0.35">
      <c r="C2674" s="124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ht="18.75" customHeight="1" x14ac:dyDescent="0.35">
      <c r="C2675" s="124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ht="18.75" customHeight="1" x14ac:dyDescent="0.35">
      <c r="C2676" s="124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ht="18.75" customHeight="1" x14ac:dyDescent="0.35">
      <c r="C2677" s="124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ht="18.75" customHeight="1" x14ac:dyDescent="0.35">
      <c r="C2678" s="124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ht="18.75" customHeight="1" x14ac:dyDescent="0.35">
      <c r="C2679" s="124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ht="18.75" customHeight="1" x14ac:dyDescent="0.35">
      <c r="C2680" s="124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ht="18.75" customHeight="1" x14ac:dyDescent="0.35">
      <c r="C2681" s="124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ht="18.75" customHeight="1" x14ac:dyDescent="0.35">
      <c r="C2682" s="124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ht="18.75" customHeight="1" x14ac:dyDescent="0.35">
      <c r="C2683" s="124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ht="18.75" customHeight="1" x14ac:dyDescent="0.35">
      <c r="C2684" s="124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ht="18.75" customHeight="1" x14ac:dyDescent="0.35">
      <c r="C2685" s="124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ht="18.75" customHeight="1" x14ac:dyDescent="0.35">
      <c r="C2686" s="124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ht="18.75" customHeight="1" x14ac:dyDescent="0.35">
      <c r="C2687" s="124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ht="18.75" customHeight="1" x14ac:dyDescent="0.35">
      <c r="C2688" s="124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ht="18.75" customHeight="1" x14ac:dyDescent="0.35">
      <c r="C2689" s="124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ht="18.75" customHeight="1" x14ac:dyDescent="0.35">
      <c r="C2690" s="124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ht="18.75" customHeight="1" x14ac:dyDescent="0.35">
      <c r="C2691" s="124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ht="18.75" customHeight="1" x14ac:dyDescent="0.35">
      <c r="C2692" s="124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ht="18.75" customHeight="1" x14ac:dyDescent="0.35">
      <c r="C2693" s="124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ht="18.75" customHeight="1" x14ac:dyDescent="0.35">
      <c r="C2694" s="124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ht="18.75" customHeight="1" x14ac:dyDescent="0.35">
      <c r="C2695" s="124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ht="18.75" customHeight="1" x14ac:dyDescent="0.35">
      <c r="C2696" s="124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ht="18.75" customHeight="1" x14ac:dyDescent="0.35">
      <c r="C2697" s="124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ht="18.75" customHeight="1" x14ac:dyDescent="0.35">
      <c r="C2698" s="124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ht="18.75" customHeight="1" x14ac:dyDescent="0.35">
      <c r="C2699" s="124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ht="18.75" customHeight="1" x14ac:dyDescent="0.35">
      <c r="C2700" s="124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ht="18.75" customHeight="1" x14ac:dyDescent="0.35">
      <c r="C2701" s="124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ht="18.75" customHeight="1" x14ac:dyDescent="0.35">
      <c r="C2702" s="124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ht="18.75" customHeight="1" x14ac:dyDescent="0.35">
      <c r="C2703" s="124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ht="18.75" customHeight="1" x14ac:dyDescent="0.35">
      <c r="C2704" s="124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ht="18.75" customHeight="1" x14ac:dyDescent="0.35">
      <c r="C2705" s="124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ht="18.75" customHeight="1" x14ac:dyDescent="0.35">
      <c r="C2706" s="124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ht="18.75" customHeight="1" x14ac:dyDescent="0.35">
      <c r="C2707" s="124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ht="18.75" customHeight="1" x14ac:dyDescent="0.35">
      <c r="C2708" s="124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ht="18.75" customHeight="1" x14ac:dyDescent="0.35">
      <c r="C2709" s="124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ht="18.75" customHeight="1" x14ac:dyDescent="0.35">
      <c r="C2710" s="124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ht="18.75" customHeight="1" x14ac:dyDescent="0.35">
      <c r="C2711" s="124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ht="18.75" customHeight="1" x14ac:dyDescent="0.35">
      <c r="C2712" s="124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ht="18.75" customHeight="1" x14ac:dyDescent="0.35">
      <c r="C2713" s="124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ht="18.75" customHeight="1" x14ac:dyDescent="0.35">
      <c r="C2714" s="124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ht="18.75" customHeight="1" x14ac:dyDescent="0.35">
      <c r="C2715" s="124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ht="18.75" customHeight="1" x14ac:dyDescent="0.35">
      <c r="C2716" s="124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ht="18.75" customHeight="1" x14ac:dyDescent="0.35">
      <c r="C2717" s="124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ht="18.75" customHeight="1" x14ac:dyDescent="0.35">
      <c r="C2718" s="124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ht="18.75" customHeight="1" x14ac:dyDescent="0.35">
      <c r="C2719" s="124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ht="18.75" customHeight="1" x14ac:dyDescent="0.35">
      <c r="C2720" s="124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ht="18.75" customHeight="1" x14ac:dyDescent="0.35">
      <c r="C2721" s="124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ht="18.75" customHeight="1" x14ac:dyDescent="0.35">
      <c r="C2722" s="124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ht="18.75" customHeight="1" x14ac:dyDescent="0.35">
      <c r="C2723" s="124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ht="18.75" customHeight="1" x14ac:dyDescent="0.35">
      <c r="C2724" s="124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ht="18.75" customHeight="1" x14ac:dyDescent="0.35">
      <c r="C2725" s="124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ht="18.75" customHeight="1" x14ac:dyDescent="0.35">
      <c r="C2726" s="124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ht="18.75" customHeight="1" x14ac:dyDescent="0.35">
      <c r="C2727" s="124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ht="18.75" customHeight="1" x14ac:dyDescent="0.35">
      <c r="C2728" s="124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ht="18.75" customHeight="1" x14ac:dyDescent="0.35">
      <c r="C2729" s="124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ht="18.75" customHeight="1" x14ac:dyDescent="0.35">
      <c r="C2730" s="124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ht="18.75" customHeight="1" x14ac:dyDescent="0.35">
      <c r="C2731" s="124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ht="18.75" customHeight="1" x14ac:dyDescent="0.35">
      <c r="C2732" s="124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ht="18.75" customHeight="1" x14ac:dyDescent="0.35">
      <c r="C2733" s="124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ht="18.75" customHeight="1" x14ac:dyDescent="0.35">
      <c r="C2734" s="124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ht="18.75" customHeight="1" x14ac:dyDescent="0.35">
      <c r="C2735" s="124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ht="18.75" customHeight="1" x14ac:dyDescent="0.35">
      <c r="C2736" s="124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ht="18.75" customHeight="1" x14ac:dyDescent="0.35">
      <c r="C2737" s="124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ht="18.75" customHeight="1" x14ac:dyDescent="0.35">
      <c r="C2738" s="124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ht="18.75" customHeight="1" x14ac:dyDescent="0.35">
      <c r="C2739" s="124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ht="18.75" customHeight="1" x14ac:dyDescent="0.35">
      <c r="C2740" s="124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ht="18.75" customHeight="1" x14ac:dyDescent="0.35">
      <c r="C2741" s="124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ht="18.75" customHeight="1" x14ac:dyDescent="0.35">
      <c r="C2742" s="124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ht="18.75" customHeight="1" x14ac:dyDescent="0.35">
      <c r="C2743" s="124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ht="18.75" customHeight="1" x14ac:dyDescent="0.35">
      <c r="C2744" s="124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ht="18.75" customHeight="1" x14ac:dyDescent="0.35">
      <c r="C2745" s="124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ht="18.75" customHeight="1" x14ac:dyDescent="0.35">
      <c r="C2746" s="124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ht="18.75" customHeight="1" x14ac:dyDescent="0.35">
      <c r="C2747" s="124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ht="18.75" customHeight="1" x14ac:dyDescent="0.35">
      <c r="C2748" s="124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ht="18.75" customHeight="1" x14ac:dyDescent="0.35">
      <c r="C2749" s="124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ht="18.75" customHeight="1" x14ac:dyDescent="0.35">
      <c r="C2750" s="124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ht="18.75" customHeight="1" x14ac:dyDescent="0.35">
      <c r="C2751" s="124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ht="18.75" customHeight="1" x14ac:dyDescent="0.35">
      <c r="C2752" s="124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ht="18.75" customHeight="1" x14ac:dyDescent="0.35">
      <c r="C2753" s="124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ht="18.75" customHeight="1" x14ac:dyDescent="0.35">
      <c r="C2754" s="124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ht="18.75" customHeight="1" x14ac:dyDescent="0.35">
      <c r="C2755" s="124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ht="18.75" customHeight="1" x14ac:dyDescent="0.35">
      <c r="C2756" s="124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ht="18.75" customHeight="1" x14ac:dyDescent="0.35">
      <c r="C2757" s="124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ht="18.75" customHeight="1" x14ac:dyDescent="0.35">
      <c r="C2758" s="124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ht="18.75" customHeight="1" x14ac:dyDescent="0.35">
      <c r="C2759" s="124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ht="18.75" customHeight="1" x14ac:dyDescent="0.35">
      <c r="C2760" s="124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ht="18.75" customHeight="1" x14ac:dyDescent="0.35">
      <c r="C2761" s="124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ht="18.75" customHeight="1" x14ac:dyDescent="0.35">
      <c r="C2762" s="124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ht="18.75" customHeight="1" x14ac:dyDescent="0.35">
      <c r="C2763" s="124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ht="18.75" customHeight="1" x14ac:dyDescent="0.35">
      <c r="C2764" s="124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ht="18.75" customHeight="1" x14ac:dyDescent="0.35">
      <c r="C2765" s="124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ht="18.75" customHeight="1" x14ac:dyDescent="0.35">
      <c r="C2766" s="124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ht="18.75" customHeight="1" x14ac:dyDescent="0.35">
      <c r="C2767" s="124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ht="18.75" customHeight="1" x14ac:dyDescent="0.35">
      <c r="C2768" s="124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ht="18.75" customHeight="1" x14ac:dyDescent="0.35">
      <c r="C2769" s="124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ht="18.75" customHeight="1" x14ac:dyDescent="0.35">
      <c r="C2770" s="124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ht="18.75" customHeight="1" x14ac:dyDescent="0.35">
      <c r="C2771" s="124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ht="18.75" customHeight="1" x14ac:dyDescent="0.35">
      <c r="C2772" s="124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ht="18.75" customHeight="1" x14ac:dyDescent="0.35">
      <c r="C2773" s="124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ht="18.75" customHeight="1" x14ac:dyDescent="0.35">
      <c r="C2774" s="124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ht="18.75" customHeight="1" x14ac:dyDescent="0.35">
      <c r="C2775" s="124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ht="18.75" customHeight="1" x14ac:dyDescent="0.35">
      <c r="C2776" s="124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ht="18.75" customHeight="1" x14ac:dyDescent="0.35">
      <c r="C2777" s="124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ht="18.75" customHeight="1" x14ac:dyDescent="0.35">
      <c r="C2778" s="124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ht="18.75" customHeight="1" x14ac:dyDescent="0.35">
      <c r="C2779" s="124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ht="18.75" customHeight="1" x14ac:dyDescent="0.35">
      <c r="C2780" s="124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ht="18.75" customHeight="1" x14ac:dyDescent="0.35">
      <c r="C2781" s="124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ht="18.75" customHeight="1" x14ac:dyDescent="0.35">
      <c r="C2782" s="124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ht="18.75" customHeight="1" x14ac:dyDescent="0.35">
      <c r="C2783" s="124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ht="18.75" customHeight="1" x14ac:dyDescent="0.35">
      <c r="C2784" s="124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ht="18.75" customHeight="1" x14ac:dyDescent="0.35">
      <c r="C2785" s="124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ht="18.75" customHeight="1" x14ac:dyDescent="0.35">
      <c r="C2786" s="124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ht="18.75" customHeight="1" x14ac:dyDescent="0.35">
      <c r="C2787" s="124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ht="18.75" customHeight="1" x14ac:dyDescent="0.35">
      <c r="C2788" s="124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ht="18.75" customHeight="1" x14ac:dyDescent="0.35">
      <c r="C2789" s="124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ht="18.75" customHeight="1" x14ac:dyDescent="0.35">
      <c r="C2790" s="124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ht="18.75" customHeight="1" x14ac:dyDescent="0.35">
      <c r="C2791" s="124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ht="18.75" customHeight="1" x14ac:dyDescent="0.35">
      <c r="C2792" s="124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ht="18.75" customHeight="1" x14ac:dyDescent="0.35">
      <c r="C2793" s="124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ht="18.75" customHeight="1" x14ac:dyDescent="0.35">
      <c r="C2794" s="124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ht="18.75" customHeight="1" x14ac:dyDescent="0.35">
      <c r="C2795" s="124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ht="18.75" customHeight="1" x14ac:dyDescent="0.35">
      <c r="C2796" s="124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ht="18.75" customHeight="1" x14ac:dyDescent="0.35">
      <c r="C2797" s="124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ht="18.75" customHeight="1" x14ac:dyDescent="0.35">
      <c r="C2798" s="124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ht="18.75" customHeight="1" x14ac:dyDescent="0.35">
      <c r="C2799" s="124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ht="18.75" customHeight="1" x14ac:dyDescent="0.35">
      <c r="C2800" s="124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ht="18.75" customHeight="1" x14ac:dyDescent="0.35">
      <c r="C2801" s="124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ht="18.75" customHeight="1" x14ac:dyDescent="0.35">
      <c r="C2802" s="124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ht="18.75" customHeight="1" x14ac:dyDescent="0.35">
      <c r="C2803" s="124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ht="18.75" customHeight="1" x14ac:dyDescent="0.35">
      <c r="C2804" s="124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ht="18.75" customHeight="1" x14ac:dyDescent="0.35">
      <c r="C2805" s="124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ht="18.75" customHeight="1" x14ac:dyDescent="0.35">
      <c r="C2806" s="124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ht="18.75" customHeight="1" x14ac:dyDescent="0.35">
      <c r="C2807" s="124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ht="18.75" customHeight="1" x14ac:dyDescent="0.35">
      <c r="C2808" s="124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ht="18.75" customHeight="1" x14ac:dyDescent="0.35">
      <c r="C2809" s="124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ht="18.75" customHeight="1" x14ac:dyDescent="0.35">
      <c r="C2810" s="124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ht="18.75" customHeight="1" x14ac:dyDescent="0.35">
      <c r="C2811" s="124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ht="18.75" customHeight="1" x14ac:dyDescent="0.35">
      <c r="C2812" s="124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ht="18.75" customHeight="1" x14ac:dyDescent="0.35">
      <c r="C2813" s="124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ht="18.75" customHeight="1" x14ac:dyDescent="0.35">
      <c r="C2814" s="124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ht="18.75" customHeight="1" x14ac:dyDescent="0.35">
      <c r="C2815" s="124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ht="18.75" customHeight="1" x14ac:dyDescent="0.35">
      <c r="C2816" s="124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ht="18.75" customHeight="1" x14ac:dyDescent="0.35">
      <c r="C2817" s="124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ht="18.75" customHeight="1" x14ac:dyDescent="0.35">
      <c r="C2818" s="124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ht="18.75" customHeight="1" x14ac:dyDescent="0.35">
      <c r="C2819" s="124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ht="18.75" customHeight="1" x14ac:dyDescent="0.35">
      <c r="C2820" s="124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ht="18.75" customHeight="1" x14ac:dyDescent="0.35">
      <c r="C2821" s="124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ht="18.75" customHeight="1" x14ac:dyDescent="0.35">
      <c r="C2822" s="124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ht="18.75" customHeight="1" x14ac:dyDescent="0.35">
      <c r="C2823" s="124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ht="18.75" customHeight="1" x14ac:dyDescent="0.35">
      <c r="C2824" s="124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ht="18.75" customHeight="1" x14ac:dyDescent="0.35">
      <c r="C2825" s="124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ht="18.75" customHeight="1" x14ac:dyDescent="0.35">
      <c r="C2826" s="124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ht="18.75" customHeight="1" x14ac:dyDescent="0.35">
      <c r="C2827" s="124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ht="18.75" customHeight="1" x14ac:dyDescent="0.35">
      <c r="C2828" s="124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ht="18.75" customHeight="1" x14ac:dyDescent="0.35">
      <c r="C2829" s="124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ht="18.75" customHeight="1" x14ac:dyDescent="0.35">
      <c r="C2830" s="124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ht="18.75" customHeight="1" x14ac:dyDescent="0.35">
      <c r="C2831" s="124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ht="18.75" customHeight="1" x14ac:dyDescent="0.35">
      <c r="C2832" s="124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ht="18.75" customHeight="1" x14ac:dyDescent="0.35">
      <c r="C2833" s="124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ht="18.75" customHeight="1" x14ac:dyDescent="0.35">
      <c r="C2834" s="124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ht="18.75" customHeight="1" x14ac:dyDescent="0.35">
      <c r="C2835" s="124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ht="18.75" customHeight="1" x14ac:dyDescent="0.35">
      <c r="C2836" s="124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ht="18.75" customHeight="1" x14ac:dyDescent="0.35">
      <c r="C2837" s="124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ht="18.75" customHeight="1" x14ac:dyDescent="0.35">
      <c r="C2838" s="124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ht="18.75" customHeight="1" x14ac:dyDescent="0.35">
      <c r="C2839" s="124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ht="18.75" customHeight="1" x14ac:dyDescent="0.35">
      <c r="C2840" s="124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ht="18.75" customHeight="1" x14ac:dyDescent="0.35">
      <c r="C2841" s="124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ht="18.75" customHeight="1" x14ac:dyDescent="0.35">
      <c r="C2842" s="124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ht="18.75" customHeight="1" x14ac:dyDescent="0.35">
      <c r="C2843" s="124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ht="18.75" customHeight="1" x14ac:dyDescent="0.35">
      <c r="C2844" s="124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ht="18.75" customHeight="1" x14ac:dyDescent="0.35">
      <c r="C2845" s="124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ht="18.75" customHeight="1" x14ac:dyDescent="0.35">
      <c r="C2846" s="124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ht="18.75" customHeight="1" x14ac:dyDescent="0.35">
      <c r="C2847" s="124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ht="18.75" customHeight="1" x14ac:dyDescent="0.35">
      <c r="C2848" s="124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ht="18.75" customHeight="1" x14ac:dyDescent="0.35">
      <c r="C2849" s="124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ht="18.75" customHeight="1" x14ac:dyDescent="0.35">
      <c r="C2850" s="124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ht="18.75" customHeight="1" x14ac:dyDescent="0.35">
      <c r="C2851" s="124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ht="18.75" customHeight="1" x14ac:dyDescent="0.35">
      <c r="C2852" s="124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ht="18.75" customHeight="1" x14ac:dyDescent="0.35">
      <c r="C2853" s="124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ht="18.75" customHeight="1" x14ac:dyDescent="0.35">
      <c r="C2854" s="124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ht="18.75" customHeight="1" x14ac:dyDescent="0.35">
      <c r="C2855" s="124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ht="18.75" customHeight="1" x14ac:dyDescent="0.35">
      <c r="C2856" s="124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ht="18.75" customHeight="1" x14ac:dyDescent="0.35">
      <c r="C2857" s="124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ht="18.75" customHeight="1" x14ac:dyDescent="0.35">
      <c r="C2858" s="124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ht="18.75" customHeight="1" x14ac:dyDescent="0.35">
      <c r="C2859" s="124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ht="18.75" customHeight="1" x14ac:dyDescent="0.35">
      <c r="C2860" s="124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ht="18.75" customHeight="1" x14ac:dyDescent="0.35">
      <c r="C2861" s="124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ht="18.75" customHeight="1" x14ac:dyDescent="0.35">
      <c r="C2862" s="124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ht="18.75" customHeight="1" x14ac:dyDescent="0.35">
      <c r="C2863" s="124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ht="18.75" customHeight="1" x14ac:dyDescent="0.35">
      <c r="C2864" s="124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ht="18.75" customHeight="1" x14ac:dyDescent="0.35">
      <c r="C2865" s="124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ht="18.75" customHeight="1" x14ac:dyDescent="0.35">
      <c r="C2866" s="124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ht="18.75" customHeight="1" x14ac:dyDescent="0.35">
      <c r="C2867" s="124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ht="18.75" customHeight="1" x14ac:dyDescent="0.35">
      <c r="C2868" s="124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ht="18.75" customHeight="1" x14ac:dyDescent="0.35">
      <c r="C2869" s="124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ht="18.75" customHeight="1" x14ac:dyDescent="0.35">
      <c r="C2870" s="124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ht="18.75" customHeight="1" x14ac:dyDescent="0.35">
      <c r="C2871" s="124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ht="18.75" customHeight="1" x14ac:dyDescent="0.35">
      <c r="C2872" s="124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ht="18.75" customHeight="1" x14ac:dyDescent="0.35">
      <c r="C2873" s="124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ht="18.75" customHeight="1" x14ac:dyDescent="0.35">
      <c r="C2874" s="124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ht="18.75" customHeight="1" x14ac:dyDescent="0.35">
      <c r="C2875" s="124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ht="18.75" customHeight="1" x14ac:dyDescent="0.35">
      <c r="C2876" s="124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ht="18.75" customHeight="1" x14ac:dyDescent="0.35">
      <c r="C2877" s="124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ht="18.75" customHeight="1" x14ac:dyDescent="0.35">
      <c r="C2878" s="124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ht="18.75" customHeight="1" x14ac:dyDescent="0.35">
      <c r="C2879" s="124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ht="18.75" customHeight="1" x14ac:dyDescent="0.35">
      <c r="C2880" s="124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ht="18.75" customHeight="1" x14ac:dyDescent="0.35">
      <c r="C2881" s="124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ht="18.75" customHeight="1" x14ac:dyDescent="0.35">
      <c r="C2882" s="124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ht="18.75" customHeight="1" x14ac:dyDescent="0.35">
      <c r="C2883" s="124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ht="18.75" customHeight="1" x14ac:dyDescent="0.35">
      <c r="C2884" s="124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ht="18.75" customHeight="1" x14ac:dyDescent="0.35">
      <c r="C2885" s="124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ht="18.75" customHeight="1" x14ac:dyDescent="0.35">
      <c r="C2886" s="124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ht="18.75" customHeight="1" x14ac:dyDescent="0.35">
      <c r="C2887" s="124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ht="18.75" customHeight="1" x14ac:dyDescent="0.35">
      <c r="C2888" s="124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ht="18.75" customHeight="1" x14ac:dyDescent="0.35">
      <c r="C2889" s="124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ht="18.75" customHeight="1" x14ac:dyDescent="0.35">
      <c r="C2890" s="124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ht="18.75" customHeight="1" x14ac:dyDescent="0.35">
      <c r="C2891" s="124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ht="18.75" customHeight="1" x14ac:dyDescent="0.35">
      <c r="C2892" s="124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ht="18.75" customHeight="1" x14ac:dyDescent="0.35">
      <c r="C2893" s="124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ht="18.75" customHeight="1" x14ac:dyDescent="0.35">
      <c r="C2894" s="124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ht="18.75" customHeight="1" x14ac:dyDescent="0.35">
      <c r="C2895" s="124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ht="18.75" customHeight="1" x14ac:dyDescent="0.35">
      <c r="C2896" s="124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ht="18.75" customHeight="1" x14ac:dyDescent="0.35">
      <c r="C2897" s="124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ht="18.75" customHeight="1" x14ac:dyDescent="0.35">
      <c r="C2898" s="124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ht="18.75" customHeight="1" x14ac:dyDescent="0.35">
      <c r="C2899" s="124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ht="18.75" customHeight="1" x14ac:dyDescent="0.35">
      <c r="C2900" s="124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ht="18.75" customHeight="1" x14ac:dyDescent="0.35">
      <c r="C2901" s="124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ht="18.75" customHeight="1" x14ac:dyDescent="0.35">
      <c r="C2902" s="124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ht="18.75" customHeight="1" x14ac:dyDescent="0.35">
      <c r="C2903" s="124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ht="18.75" customHeight="1" x14ac:dyDescent="0.35">
      <c r="C2904" s="124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ht="18.75" customHeight="1" x14ac:dyDescent="0.35">
      <c r="C2905" s="124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ht="18.75" customHeight="1" x14ac:dyDescent="0.35">
      <c r="C2906" s="124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ht="18.75" customHeight="1" x14ac:dyDescent="0.35">
      <c r="C2907" s="124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ht="18.75" customHeight="1" x14ac:dyDescent="0.35">
      <c r="C2908" s="124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ht="18.75" customHeight="1" x14ac:dyDescent="0.35">
      <c r="C2909" s="124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ht="18.75" customHeight="1" x14ac:dyDescent="0.35">
      <c r="C2910" s="124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ht="18.75" customHeight="1" x14ac:dyDescent="0.35">
      <c r="C2911" s="124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ht="18.75" customHeight="1" x14ac:dyDescent="0.35">
      <c r="C2912" s="124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ht="18.75" customHeight="1" x14ac:dyDescent="0.35">
      <c r="C2913" s="124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ht="18.75" customHeight="1" x14ac:dyDescent="0.35">
      <c r="C2914" s="124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ht="18.75" customHeight="1" x14ac:dyDescent="0.35">
      <c r="C2915" s="124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ht="18.75" customHeight="1" x14ac:dyDescent="0.35">
      <c r="C2916" s="124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ht="18.75" customHeight="1" x14ac:dyDescent="0.35">
      <c r="C2917" s="124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ht="18.75" customHeight="1" x14ac:dyDescent="0.35">
      <c r="C2918" s="124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ht="18.75" customHeight="1" x14ac:dyDescent="0.35">
      <c r="C2919" s="124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ht="18.75" customHeight="1" x14ac:dyDescent="0.35">
      <c r="C2920" s="124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ht="18.75" customHeight="1" x14ac:dyDescent="0.35">
      <c r="C2921" s="124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ht="18.75" customHeight="1" x14ac:dyDescent="0.35">
      <c r="C2922" s="124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ht="18.75" customHeight="1" x14ac:dyDescent="0.35">
      <c r="C2923" s="124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ht="18.75" customHeight="1" x14ac:dyDescent="0.35">
      <c r="C2924" s="124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ht="18.75" customHeight="1" x14ac:dyDescent="0.35">
      <c r="C2925" s="124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ht="18.75" customHeight="1" x14ac:dyDescent="0.35">
      <c r="C2926" s="124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ht="18.75" customHeight="1" x14ac:dyDescent="0.35">
      <c r="C2927" s="124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ht="18.75" customHeight="1" x14ac:dyDescent="0.35">
      <c r="C2928" s="124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ht="18.75" customHeight="1" x14ac:dyDescent="0.35">
      <c r="C2929" s="124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ht="18.75" customHeight="1" x14ac:dyDescent="0.35">
      <c r="C2930" s="124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ht="18.75" customHeight="1" x14ac:dyDescent="0.35">
      <c r="C2931" s="124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ht="18.75" customHeight="1" x14ac:dyDescent="0.35">
      <c r="C2932" s="124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ht="18.75" customHeight="1" x14ac:dyDescent="0.35">
      <c r="C2933" s="124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ht="18.75" customHeight="1" x14ac:dyDescent="0.35">
      <c r="C2934" s="124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ht="18.75" customHeight="1" x14ac:dyDescent="0.35">
      <c r="C2935" s="124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ht="18.75" customHeight="1" x14ac:dyDescent="0.35">
      <c r="C2936" s="124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ht="18.75" customHeight="1" x14ac:dyDescent="0.35">
      <c r="C2937" s="124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ht="18.75" customHeight="1" x14ac:dyDescent="0.35">
      <c r="C2938" s="124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ht="18.75" customHeight="1" x14ac:dyDescent="0.35">
      <c r="C2939" s="124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ht="18.75" customHeight="1" x14ac:dyDescent="0.35">
      <c r="C2940" s="124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ht="18.75" customHeight="1" x14ac:dyDescent="0.35">
      <c r="C2941" s="124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ht="18.75" customHeight="1" x14ac:dyDescent="0.35">
      <c r="C2942" s="124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ht="18.75" customHeight="1" x14ac:dyDescent="0.35">
      <c r="C2943" s="124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ht="18.75" customHeight="1" x14ac:dyDescent="0.35">
      <c r="C2944" s="124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ht="18.75" customHeight="1" x14ac:dyDescent="0.35">
      <c r="C2945" s="124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ht="18.75" customHeight="1" x14ac:dyDescent="0.35">
      <c r="C2946" s="124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ht="18.75" customHeight="1" x14ac:dyDescent="0.35">
      <c r="C2947" s="124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ht="18.75" customHeight="1" x14ac:dyDescent="0.35">
      <c r="C2948" s="124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ht="18.75" customHeight="1" x14ac:dyDescent="0.35">
      <c r="C2949" s="124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ht="18.75" customHeight="1" x14ac:dyDescent="0.35">
      <c r="C2950" s="124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ht="18.75" customHeight="1" x14ac:dyDescent="0.35">
      <c r="C2951" s="124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ht="18.75" customHeight="1" x14ac:dyDescent="0.35">
      <c r="C2952" s="124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ht="18.75" customHeight="1" x14ac:dyDescent="0.35">
      <c r="C2953" s="124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ht="18.75" customHeight="1" x14ac:dyDescent="0.35">
      <c r="C2954" s="124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ht="18.75" customHeight="1" x14ac:dyDescent="0.35">
      <c r="C2955" s="124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ht="18.75" customHeight="1" x14ac:dyDescent="0.35">
      <c r="C2956" s="124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ht="18.75" customHeight="1" x14ac:dyDescent="0.35">
      <c r="C2957" s="124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ht="18.75" customHeight="1" x14ac:dyDescent="0.35">
      <c r="C2958" s="124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ht="18.75" customHeight="1" x14ac:dyDescent="0.35">
      <c r="C2959" s="124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ht="18.75" customHeight="1" x14ac:dyDescent="0.35">
      <c r="C2960" s="124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ht="18.75" customHeight="1" x14ac:dyDescent="0.35">
      <c r="C2961" s="124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ht="18.75" customHeight="1" x14ac:dyDescent="0.35">
      <c r="C2962" s="124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ht="18.75" customHeight="1" x14ac:dyDescent="0.35">
      <c r="C2963" s="124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ht="18.75" customHeight="1" x14ac:dyDescent="0.35">
      <c r="C2964" s="124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ht="18.75" customHeight="1" x14ac:dyDescent="0.35">
      <c r="C2965" s="124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ht="18.75" customHeight="1" x14ac:dyDescent="0.35">
      <c r="C2966" s="124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ht="18.75" customHeight="1" x14ac:dyDescent="0.35">
      <c r="C2967" s="124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ht="18.75" customHeight="1" x14ac:dyDescent="0.35">
      <c r="C2968" s="124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ht="18.75" customHeight="1" x14ac:dyDescent="0.35">
      <c r="C2969" s="124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ht="18.75" customHeight="1" x14ac:dyDescent="0.35">
      <c r="C2970" s="124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ht="18.75" customHeight="1" x14ac:dyDescent="0.35">
      <c r="C2971" s="124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ht="18.75" customHeight="1" x14ac:dyDescent="0.35">
      <c r="C2972" s="124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ht="18.75" customHeight="1" x14ac:dyDescent="0.35">
      <c r="C2973" s="124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ht="18.75" customHeight="1" x14ac:dyDescent="0.35">
      <c r="C2974" s="124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ht="18.75" customHeight="1" x14ac:dyDescent="0.35">
      <c r="C2975" s="124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ht="18.75" customHeight="1" x14ac:dyDescent="0.35">
      <c r="C2976" s="124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ht="18.75" customHeight="1" x14ac:dyDescent="0.35">
      <c r="C2977" s="124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ht="18.75" customHeight="1" x14ac:dyDescent="0.35">
      <c r="C2978" s="124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ht="18.75" customHeight="1" x14ac:dyDescent="0.35">
      <c r="C2979" s="124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ht="18.75" customHeight="1" x14ac:dyDescent="0.35">
      <c r="C2980" s="124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ht="18.75" customHeight="1" x14ac:dyDescent="0.35">
      <c r="C2981" s="124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ht="18.75" customHeight="1" x14ac:dyDescent="0.35">
      <c r="C2982" s="124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ht="18.75" customHeight="1" x14ac:dyDescent="0.35">
      <c r="C2983" s="124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ht="18.75" customHeight="1" x14ac:dyDescent="0.35">
      <c r="C2984" s="124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ht="18.75" customHeight="1" x14ac:dyDescent="0.35">
      <c r="C2985" s="124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ht="18.75" customHeight="1" x14ac:dyDescent="0.35">
      <c r="C2986" s="124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ht="18.75" customHeight="1" x14ac:dyDescent="0.35">
      <c r="C2987" s="124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ht="18.75" customHeight="1" x14ac:dyDescent="0.35">
      <c r="C2988" s="124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ht="18.75" customHeight="1" x14ac:dyDescent="0.35">
      <c r="C2989" s="124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ht="18.75" customHeight="1" x14ac:dyDescent="0.35">
      <c r="C2990" s="124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ht="18.75" customHeight="1" x14ac:dyDescent="0.35">
      <c r="C2991" s="124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ht="18.75" customHeight="1" x14ac:dyDescent="0.35">
      <c r="C2992" s="124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ht="18.75" customHeight="1" x14ac:dyDescent="0.35">
      <c r="C2993" s="124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ht="18.75" customHeight="1" x14ac:dyDescent="0.35">
      <c r="C2994" s="124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ht="18.75" customHeight="1" x14ac:dyDescent="0.35">
      <c r="C2995" s="124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ht="18.75" customHeight="1" x14ac:dyDescent="0.35">
      <c r="C2996" s="124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ht="18.75" customHeight="1" x14ac:dyDescent="0.35">
      <c r="C2997" s="124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ht="18.75" customHeight="1" x14ac:dyDescent="0.35">
      <c r="C2998" s="124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ht="18.75" customHeight="1" x14ac:dyDescent="0.35">
      <c r="C2999" s="124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ht="18.75" customHeight="1" x14ac:dyDescent="0.35">
      <c r="C3000" s="124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112" bestFit="1" customWidth="1"/>
    <col min="2" max="2" width="11.81640625" bestFit="1" customWidth="1"/>
    <col min="3" max="3" width="15.453125" style="125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t="s">
        <v>171</v>
      </c>
      <c r="C2" s="124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79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172</v>
      </c>
      <c r="H2" t="s">
        <v>172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16">
        <v>1154</v>
      </c>
    </row>
    <row r="3" spans="1:11" ht="18.75" customHeight="1" x14ac:dyDescent="0.35">
      <c r="A3" s="116">
        <v>2024</v>
      </c>
      <c r="B3" t="s">
        <v>171</v>
      </c>
      <c r="C3" s="124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70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172</v>
      </c>
      <c r="H3" t="s">
        <v>172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16">
        <v>3203</v>
      </c>
    </row>
    <row r="4" spans="1:11" ht="18.75" customHeight="1" x14ac:dyDescent="0.35">
      <c r="A4" s="116">
        <v>2024</v>
      </c>
      <c r="B4" t="s">
        <v>171</v>
      </c>
      <c r="C4" s="124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71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172</v>
      </c>
      <c r="H4" t="s">
        <v>172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16">
        <v>1604</v>
      </c>
    </row>
    <row r="5" spans="1:11" ht="18.75" customHeight="1" x14ac:dyDescent="0.35">
      <c r="A5" s="116">
        <v>2024</v>
      </c>
      <c r="B5" t="s">
        <v>171</v>
      </c>
      <c r="C5" s="124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72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172</v>
      </c>
      <c r="H5" t="s">
        <v>172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16">
        <v>28</v>
      </c>
    </row>
    <row r="6" spans="1:11" ht="18.75" customHeight="1" x14ac:dyDescent="0.35">
      <c r="A6" s="116">
        <v>2024</v>
      </c>
      <c r="B6" t="s">
        <v>171</v>
      </c>
      <c r="C6" s="124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73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172</v>
      </c>
      <c r="H6" t="s">
        <v>172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16">
        <v>31</v>
      </c>
    </row>
    <row r="7" spans="1:11" ht="18.75" customHeight="1" x14ac:dyDescent="0.35">
      <c r="A7" s="116">
        <v>2024</v>
      </c>
      <c r="B7" t="s">
        <v>171</v>
      </c>
      <c r="C7" s="124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136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172</v>
      </c>
      <c r="H7" t="s">
        <v>172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18">
        <v>0.91739329967875172</v>
      </c>
    </row>
    <row r="8" spans="1:11" ht="18.75" customHeight="1" x14ac:dyDescent="0.35">
      <c r="A8" s="116">
        <v>2024</v>
      </c>
      <c r="B8" t="s">
        <v>171</v>
      </c>
      <c r="C8" s="124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74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172</v>
      </c>
      <c r="H8" t="s">
        <v>172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16">
        <v>0</v>
      </c>
    </row>
    <row r="9" spans="1:11" ht="18.75" customHeight="1" x14ac:dyDescent="0.35">
      <c r="A9" s="116">
        <v>2024</v>
      </c>
      <c r="B9" t="s">
        <v>171</v>
      </c>
      <c r="C9" s="124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172</v>
      </c>
      <c r="H9" t="s">
        <v>172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16">
        <v>0</v>
      </c>
    </row>
    <row r="10" spans="1:11" ht="18.75" customHeight="1" x14ac:dyDescent="0.35">
      <c r="A10" s="116">
        <v>2024</v>
      </c>
      <c r="B10" t="s">
        <v>171</v>
      </c>
      <c r="C10" s="124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76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172</v>
      </c>
      <c r="H10" t="s">
        <v>172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16">
        <v>3</v>
      </c>
    </row>
    <row r="11" spans="1:11" ht="18.75" customHeight="1" x14ac:dyDescent="0.35">
      <c r="A11" s="126">
        <v>2024</v>
      </c>
      <c r="B11" t="s">
        <v>171</v>
      </c>
      <c r="C11" s="124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78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172</v>
      </c>
      <c r="H11" t="s">
        <v>172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16">
        <v>0</v>
      </c>
    </row>
    <row r="12" spans="1:11" ht="18.75" customHeight="1" x14ac:dyDescent="0.35">
      <c r="A12" s="116">
        <v>2024</v>
      </c>
      <c r="B12" t="s">
        <v>174</v>
      </c>
      <c r="C12" s="124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79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172</v>
      </c>
      <c r="H12" t="s">
        <v>172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16">
        <v>1180</v>
      </c>
    </row>
    <row r="13" spans="1:11" ht="18.75" customHeight="1" x14ac:dyDescent="0.35">
      <c r="A13" s="116">
        <v>2024</v>
      </c>
      <c r="B13" t="s">
        <v>174</v>
      </c>
      <c r="C13" s="124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70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172</v>
      </c>
      <c r="H13" t="s">
        <v>172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16">
        <v>6413</v>
      </c>
    </row>
    <row r="14" spans="1:11" ht="18.75" customHeight="1" x14ac:dyDescent="0.35">
      <c r="A14" s="116">
        <v>2024</v>
      </c>
      <c r="B14" t="s">
        <v>174</v>
      </c>
      <c r="C14" s="124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71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172</v>
      </c>
      <c r="H14" t="s">
        <v>172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16">
        <v>1830</v>
      </c>
    </row>
    <row r="15" spans="1:11" ht="18.75" customHeight="1" x14ac:dyDescent="0.35">
      <c r="A15" s="116">
        <v>2024</v>
      </c>
      <c r="B15" t="s">
        <v>174</v>
      </c>
      <c r="C15" s="124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72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172</v>
      </c>
      <c r="H15" t="s">
        <v>172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16">
        <v>84</v>
      </c>
    </row>
    <row r="16" spans="1:11" ht="18.75" customHeight="1" x14ac:dyDescent="0.35">
      <c r="A16" s="116">
        <v>2024</v>
      </c>
      <c r="B16" t="s">
        <v>174</v>
      </c>
      <c r="C16" s="124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73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172</v>
      </c>
      <c r="H16" t="s">
        <v>172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16">
        <v>37</v>
      </c>
    </row>
    <row r="17" spans="1:11" ht="18.75" customHeight="1" x14ac:dyDescent="0.35">
      <c r="A17" s="116">
        <v>2024</v>
      </c>
      <c r="B17" t="s">
        <v>174</v>
      </c>
      <c r="C17" s="124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136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172</v>
      </c>
      <c r="H17" t="s">
        <v>172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18">
        <v>0.87896995708154502</v>
      </c>
    </row>
    <row r="18" spans="1:11" ht="18.75" customHeight="1" x14ac:dyDescent="0.35">
      <c r="A18" s="116">
        <v>2024</v>
      </c>
      <c r="B18" t="s">
        <v>174</v>
      </c>
      <c r="C18" s="124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74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172</v>
      </c>
      <c r="H18" t="s">
        <v>172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16">
        <v>0</v>
      </c>
    </row>
    <row r="19" spans="1:11" ht="18.75" customHeight="1" x14ac:dyDescent="0.35">
      <c r="A19" s="116">
        <v>2024</v>
      </c>
      <c r="B19" t="s">
        <v>174</v>
      </c>
      <c r="C19" s="124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172</v>
      </c>
      <c r="H19" t="s">
        <v>172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16">
        <v>1</v>
      </c>
    </row>
    <row r="20" spans="1:11" ht="18.75" customHeight="1" x14ac:dyDescent="0.35">
      <c r="A20" s="116">
        <v>2024</v>
      </c>
      <c r="B20" t="s">
        <v>174</v>
      </c>
      <c r="C20" s="124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76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172</v>
      </c>
      <c r="H20" t="s">
        <v>172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16">
        <v>6</v>
      </c>
    </row>
    <row r="21" spans="1:11" ht="18.75" customHeight="1" x14ac:dyDescent="0.35">
      <c r="A21" s="116">
        <v>2024</v>
      </c>
      <c r="B21" t="s">
        <v>174</v>
      </c>
      <c r="C21" s="124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78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172</v>
      </c>
      <c r="H21" t="s">
        <v>172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16">
        <v>0</v>
      </c>
    </row>
    <row r="22" spans="1:11" ht="18.75" customHeight="1" x14ac:dyDescent="0.35">
      <c r="A22" s="116">
        <v>2024</v>
      </c>
      <c r="B22" t="s">
        <v>175</v>
      </c>
      <c r="C22" s="124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79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172</v>
      </c>
      <c r="H22" t="s">
        <v>172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16">
        <v>1199</v>
      </c>
    </row>
    <row r="23" spans="1:11" ht="18.75" customHeight="1" x14ac:dyDescent="0.35">
      <c r="A23" s="116">
        <v>2024</v>
      </c>
      <c r="B23" t="s">
        <v>175</v>
      </c>
      <c r="C23" s="124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70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172</v>
      </c>
      <c r="H23" t="s">
        <v>172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16">
        <v>6745</v>
      </c>
    </row>
    <row r="24" spans="1:11" ht="18.75" customHeight="1" x14ac:dyDescent="0.35">
      <c r="A24" s="116">
        <v>2024</v>
      </c>
      <c r="B24" t="s">
        <v>175</v>
      </c>
      <c r="C24" s="124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71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172</v>
      </c>
      <c r="H24" t="s">
        <v>172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16">
        <v>2210</v>
      </c>
    </row>
    <row r="25" spans="1:11" ht="18.75" customHeight="1" x14ac:dyDescent="0.35">
      <c r="A25" s="116">
        <v>2024</v>
      </c>
      <c r="B25" t="s">
        <v>175</v>
      </c>
      <c r="C25" s="124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72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172</v>
      </c>
      <c r="H25" t="s">
        <v>172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16">
        <v>106</v>
      </c>
    </row>
    <row r="26" spans="1:11" ht="18.75" customHeight="1" x14ac:dyDescent="0.35">
      <c r="A26" s="116">
        <v>2024</v>
      </c>
      <c r="B26" t="s">
        <v>175</v>
      </c>
      <c r="C26" s="124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73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172</v>
      </c>
      <c r="H26" t="s">
        <v>172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16">
        <v>62</v>
      </c>
    </row>
    <row r="27" spans="1:11" ht="18.75" customHeight="1" x14ac:dyDescent="0.35">
      <c r="A27" s="126">
        <v>2024</v>
      </c>
      <c r="B27" t="s">
        <v>175</v>
      </c>
      <c r="C27" s="124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136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172</v>
      </c>
      <c r="H27" t="s">
        <v>172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18">
        <v>0.78529956763434217</v>
      </c>
    </row>
    <row r="28" spans="1:11" ht="18.75" customHeight="1" x14ac:dyDescent="0.35">
      <c r="A28" s="116">
        <v>2024</v>
      </c>
      <c r="B28" t="s">
        <v>175</v>
      </c>
      <c r="C28" s="124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74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172</v>
      </c>
      <c r="H28" t="s">
        <v>172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16">
        <v>0</v>
      </c>
    </row>
    <row r="29" spans="1:11" ht="18.75" customHeight="1" x14ac:dyDescent="0.35">
      <c r="A29" s="116">
        <v>2024</v>
      </c>
      <c r="B29" t="s">
        <v>175</v>
      </c>
      <c r="C29" s="124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172</v>
      </c>
      <c r="H29" t="s">
        <v>172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16">
        <v>0</v>
      </c>
    </row>
    <row r="30" spans="1:11" ht="18.75" customHeight="1" x14ac:dyDescent="0.35">
      <c r="A30" s="116">
        <v>2024</v>
      </c>
      <c r="B30" t="s">
        <v>175</v>
      </c>
      <c r="C30" s="124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76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172</v>
      </c>
      <c r="H30" t="s">
        <v>172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16">
        <v>7</v>
      </c>
    </row>
    <row r="31" spans="1:11" ht="18.75" customHeight="1" x14ac:dyDescent="0.35">
      <c r="A31" s="116">
        <v>2024</v>
      </c>
      <c r="B31" t="s">
        <v>175</v>
      </c>
      <c r="C31" s="124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78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172</v>
      </c>
      <c r="H31" t="s">
        <v>172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16">
        <v>0</v>
      </c>
    </row>
    <row r="32" spans="1:11" ht="18.75" customHeight="1" x14ac:dyDescent="0.35">
      <c r="A32" s="116">
        <v>2024</v>
      </c>
      <c r="B32" t="s">
        <v>176</v>
      </c>
      <c r="C32" s="124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79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172</v>
      </c>
      <c r="H32" t="s">
        <v>172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16">
        <v>1205</v>
      </c>
    </row>
    <row r="33" spans="1:11" ht="18.75" customHeight="1" x14ac:dyDescent="0.35">
      <c r="A33" s="116">
        <v>2024</v>
      </c>
      <c r="B33" t="s">
        <v>176</v>
      </c>
      <c r="C33" s="124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70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172</v>
      </c>
      <c r="H33" t="s">
        <v>172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16">
        <v>6779</v>
      </c>
    </row>
    <row r="34" spans="1:11" ht="18.75" customHeight="1" x14ac:dyDescent="0.35">
      <c r="A34" s="116">
        <v>2024</v>
      </c>
      <c r="B34" t="s">
        <v>176</v>
      </c>
      <c r="C34" s="124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71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172</v>
      </c>
      <c r="H34" t="s">
        <v>172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16">
        <v>1888</v>
      </c>
    </row>
    <row r="35" spans="1:11" ht="18.75" customHeight="1" x14ac:dyDescent="0.35">
      <c r="A35" s="116">
        <v>2024</v>
      </c>
      <c r="B35" t="s">
        <v>176</v>
      </c>
      <c r="C35" s="124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72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172</v>
      </c>
      <c r="H35" t="s">
        <v>172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16">
        <v>163</v>
      </c>
    </row>
    <row r="36" spans="1:11" ht="18.75" customHeight="1" x14ac:dyDescent="0.35">
      <c r="A36" s="116">
        <v>2024</v>
      </c>
      <c r="B36" t="s">
        <v>176</v>
      </c>
      <c r="C36" s="124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73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172</v>
      </c>
      <c r="H36" t="s">
        <v>172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16">
        <v>74</v>
      </c>
    </row>
    <row r="37" spans="1:11" ht="18.75" customHeight="1" x14ac:dyDescent="0.35">
      <c r="A37" s="126">
        <v>2024</v>
      </c>
      <c r="B37" t="s">
        <v>176</v>
      </c>
      <c r="C37" s="124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136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172</v>
      </c>
      <c r="H37" t="s">
        <v>172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18">
        <v>0.82089741960086438</v>
      </c>
    </row>
    <row r="38" spans="1:11" ht="18.75" customHeight="1" x14ac:dyDescent="0.35">
      <c r="A38" s="116">
        <v>2024</v>
      </c>
      <c r="B38" t="s">
        <v>176</v>
      </c>
      <c r="C38" s="124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74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172</v>
      </c>
      <c r="H38" t="s">
        <v>172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16">
        <v>0</v>
      </c>
    </row>
    <row r="39" spans="1:11" ht="18.75" customHeight="1" x14ac:dyDescent="0.35">
      <c r="A39" s="116">
        <v>2024</v>
      </c>
      <c r="B39" t="s">
        <v>176</v>
      </c>
      <c r="C39" s="124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172</v>
      </c>
      <c r="H39" t="s">
        <v>172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16">
        <v>0</v>
      </c>
    </row>
    <row r="40" spans="1:11" ht="18.75" customHeight="1" x14ac:dyDescent="0.35">
      <c r="A40" s="116">
        <v>2024</v>
      </c>
      <c r="B40" t="s">
        <v>176</v>
      </c>
      <c r="C40" s="124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76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172</v>
      </c>
      <c r="H40" t="s">
        <v>172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16">
        <v>17</v>
      </c>
    </row>
    <row r="41" spans="1:11" ht="18.75" customHeight="1" x14ac:dyDescent="0.35">
      <c r="A41" s="116">
        <v>2024</v>
      </c>
      <c r="B41" t="s">
        <v>176</v>
      </c>
      <c r="C41" s="124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78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172</v>
      </c>
      <c r="H41" t="s">
        <v>172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16">
        <v>0</v>
      </c>
    </row>
    <row r="42" spans="1:11" ht="18.75" customHeight="1" x14ac:dyDescent="0.35">
      <c r="A42" s="116">
        <v>2024</v>
      </c>
      <c r="B42" t="s">
        <v>177</v>
      </c>
      <c r="C42" s="124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79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172</v>
      </c>
      <c r="H42" t="s">
        <v>172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16">
        <v>1207</v>
      </c>
    </row>
    <row r="43" spans="1:11" ht="18.75" customHeight="1" x14ac:dyDescent="0.35">
      <c r="A43" s="116">
        <v>2024</v>
      </c>
      <c r="B43" t="s">
        <v>177</v>
      </c>
      <c r="C43" s="124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70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172</v>
      </c>
      <c r="H43" t="s">
        <v>172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16">
        <v>7082</v>
      </c>
    </row>
    <row r="44" spans="1:11" ht="18.75" customHeight="1" x14ac:dyDescent="0.35">
      <c r="A44" s="116">
        <v>2024</v>
      </c>
      <c r="B44" t="s">
        <v>177</v>
      </c>
      <c r="C44" s="124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71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172</v>
      </c>
      <c r="H44" t="s">
        <v>172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16">
        <v>1889</v>
      </c>
    </row>
    <row r="45" spans="1:11" ht="18.75" customHeight="1" x14ac:dyDescent="0.35">
      <c r="A45" s="116">
        <v>2024</v>
      </c>
      <c r="B45" t="s">
        <v>177</v>
      </c>
      <c r="C45" s="124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72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172</v>
      </c>
      <c r="H45" t="s">
        <v>172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16">
        <v>138</v>
      </c>
    </row>
    <row r="46" spans="1:11" ht="18.75" customHeight="1" x14ac:dyDescent="0.35">
      <c r="A46" s="116">
        <v>2024</v>
      </c>
      <c r="B46" t="s">
        <v>177</v>
      </c>
      <c r="C46" s="124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73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172</v>
      </c>
      <c r="H46" t="s">
        <v>172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16">
        <v>84</v>
      </c>
    </row>
    <row r="47" spans="1:11" ht="18.75" customHeight="1" x14ac:dyDescent="0.35">
      <c r="A47" s="116">
        <v>2024</v>
      </c>
      <c r="B47" t="s">
        <v>177</v>
      </c>
      <c r="C47" s="124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136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172</v>
      </c>
      <c r="H47" t="s">
        <v>172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18">
        <v>0.87620640844164199</v>
      </c>
    </row>
    <row r="48" spans="1:11" ht="18.75" customHeight="1" x14ac:dyDescent="0.35">
      <c r="A48" s="116">
        <v>2024</v>
      </c>
      <c r="B48" t="s">
        <v>177</v>
      </c>
      <c r="C48" s="124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74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172</v>
      </c>
      <c r="H48" t="s">
        <v>172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16">
        <v>2625812</v>
      </c>
    </row>
    <row r="49" spans="1:11" ht="18.75" customHeight="1" x14ac:dyDescent="0.35">
      <c r="A49" s="116">
        <v>2024</v>
      </c>
      <c r="B49" t="s">
        <v>177</v>
      </c>
      <c r="C49" s="124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172</v>
      </c>
      <c r="H49" t="s">
        <v>172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16">
        <v>0</v>
      </c>
    </row>
    <row r="50" spans="1:11" ht="18.75" customHeight="1" x14ac:dyDescent="0.35">
      <c r="A50" s="116">
        <v>2024</v>
      </c>
      <c r="B50" t="s">
        <v>177</v>
      </c>
      <c r="C50" s="124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76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172</v>
      </c>
      <c r="H50" t="s">
        <v>172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16">
        <v>6</v>
      </c>
    </row>
    <row r="51" spans="1:11" ht="18.75" customHeight="1" x14ac:dyDescent="0.35">
      <c r="A51" s="116">
        <v>2024</v>
      </c>
      <c r="B51" t="s">
        <v>177</v>
      </c>
      <c r="C51" s="124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78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172</v>
      </c>
      <c r="H51" t="s">
        <v>172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16">
        <v>0</v>
      </c>
    </row>
    <row r="52" spans="1:11" ht="18.75" customHeight="1" x14ac:dyDescent="0.35">
      <c r="A52" s="116">
        <v>2024</v>
      </c>
      <c r="B52" t="s">
        <v>178</v>
      </c>
      <c r="C52" s="124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79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172</v>
      </c>
      <c r="H52" t="s">
        <v>172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16">
        <v>1208</v>
      </c>
    </row>
    <row r="53" spans="1:11" ht="18.75" customHeight="1" x14ac:dyDescent="0.35">
      <c r="A53" s="126">
        <v>2024</v>
      </c>
      <c r="B53" t="s">
        <v>178</v>
      </c>
      <c r="C53" s="124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70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172</v>
      </c>
      <c r="H53" t="s">
        <v>172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16">
        <v>7413</v>
      </c>
    </row>
    <row r="54" spans="1:11" ht="18.75" customHeight="1" x14ac:dyDescent="0.35">
      <c r="A54" s="116">
        <v>2024</v>
      </c>
      <c r="B54" t="s">
        <v>178</v>
      </c>
      <c r="C54" s="124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71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172</v>
      </c>
      <c r="H54" t="s">
        <v>172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16">
        <v>1858</v>
      </c>
    </row>
    <row r="55" spans="1:11" ht="18.75" customHeight="1" x14ac:dyDescent="0.35">
      <c r="A55" s="116">
        <v>2024</v>
      </c>
      <c r="B55" t="s">
        <v>178</v>
      </c>
      <c r="C55" s="124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72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172</v>
      </c>
      <c r="H55" t="s">
        <v>172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16">
        <v>120</v>
      </c>
    </row>
    <row r="56" spans="1:11" ht="18.75" customHeight="1" x14ac:dyDescent="0.35">
      <c r="A56" s="116">
        <v>2024</v>
      </c>
      <c r="B56" t="s">
        <v>178</v>
      </c>
      <c r="C56" s="124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73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172</v>
      </c>
      <c r="H56" t="s">
        <v>172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16">
        <v>92</v>
      </c>
    </row>
    <row r="57" spans="1:11" ht="18.75" customHeight="1" x14ac:dyDescent="0.35">
      <c r="A57" s="116">
        <v>2024</v>
      </c>
      <c r="B57" t="s">
        <v>178</v>
      </c>
      <c r="C57" s="124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136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172</v>
      </c>
      <c r="H57" t="s">
        <v>172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18">
        <v>0.57429429429429435</v>
      </c>
    </row>
    <row r="58" spans="1:11" ht="18.75" customHeight="1" x14ac:dyDescent="0.35">
      <c r="A58" s="116">
        <v>2024</v>
      </c>
      <c r="B58" t="s">
        <v>178</v>
      </c>
      <c r="C58" s="124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74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172</v>
      </c>
      <c r="H58" t="s">
        <v>172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16">
        <v>0</v>
      </c>
    </row>
    <row r="59" spans="1:11" ht="18.75" customHeight="1" x14ac:dyDescent="0.35">
      <c r="A59" s="116">
        <v>2024</v>
      </c>
      <c r="B59" t="s">
        <v>178</v>
      </c>
      <c r="C59" s="124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172</v>
      </c>
      <c r="H59" t="s">
        <v>172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16">
        <v>0</v>
      </c>
    </row>
    <row r="60" spans="1:11" ht="18.75" customHeight="1" x14ac:dyDescent="0.35">
      <c r="A60" s="116">
        <v>2024</v>
      </c>
      <c r="B60" t="s">
        <v>178</v>
      </c>
      <c r="C60" s="124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76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172</v>
      </c>
      <c r="H60" t="s">
        <v>172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16">
        <v>0</v>
      </c>
    </row>
    <row r="61" spans="1:11" ht="18.75" customHeight="1" x14ac:dyDescent="0.35">
      <c r="A61" s="116">
        <v>2024</v>
      </c>
      <c r="B61" t="s">
        <v>178</v>
      </c>
      <c r="C61" s="124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78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172</v>
      </c>
      <c r="H61" t="s">
        <v>172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16">
        <v>0</v>
      </c>
    </row>
    <row r="62" spans="1:11" ht="18.75" customHeight="1" x14ac:dyDescent="0.35">
      <c r="A62" s="116">
        <v>2024</v>
      </c>
      <c r="B62" t="s">
        <v>179</v>
      </c>
      <c r="C62" s="124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79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172</v>
      </c>
      <c r="H62" t="s">
        <v>172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16">
        <v>1225</v>
      </c>
    </row>
    <row r="63" spans="1:11" ht="18.75" customHeight="1" x14ac:dyDescent="0.35">
      <c r="A63" s="126">
        <v>2024</v>
      </c>
      <c r="B63" t="s">
        <v>179</v>
      </c>
      <c r="C63" s="124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70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172</v>
      </c>
      <c r="H63" t="s">
        <v>172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16">
        <v>8176</v>
      </c>
    </row>
    <row r="64" spans="1:11" ht="18.75" customHeight="1" x14ac:dyDescent="0.35">
      <c r="A64" s="116">
        <v>2024</v>
      </c>
      <c r="B64" t="s">
        <v>179</v>
      </c>
      <c r="C64" s="124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71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172</v>
      </c>
      <c r="H64" t="s">
        <v>172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16">
        <v>1918</v>
      </c>
    </row>
    <row r="65" spans="1:11" ht="18.75" customHeight="1" x14ac:dyDescent="0.35">
      <c r="A65" s="116">
        <v>2024</v>
      </c>
      <c r="B65" t="s">
        <v>179</v>
      </c>
      <c r="C65" s="124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72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172</v>
      </c>
      <c r="H65" t="s">
        <v>172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16">
        <v>124</v>
      </c>
    </row>
    <row r="66" spans="1:11" ht="18.75" customHeight="1" x14ac:dyDescent="0.35">
      <c r="A66" s="116">
        <v>2024</v>
      </c>
      <c r="B66" t="s">
        <v>179</v>
      </c>
      <c r="C66" s="124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73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172</v>
      </c>
      <c r="H66" t="s">
        <v>172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16">
        <v>80</v>
      </c>
    </row>
    <row r="67" spans="1:11" ht="18.75" customHeight="1" x14ac:dyDescent="0.35">
      <c r="A67" s="116">
        <v>2024</v>
      </c>
      <c r="B67" t="s">
        <v>179</v>
      </c>
      <c r="C67" s="124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136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172</v>
      </c>
      <c r="H67" t="s">
        <v>172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18">
        <v>0.6207820032137118</v>
      </c>
    </row>
    <row r="68" spans="1:11" ht="18.75" customHeight="1" x14ac:dyDescent="0.35">
      <c r="A68" s="116">
        <v>2024</v>
      </c>
      <c r="B68" t="s">
        <v>179</v>
      </c>
      <c r="C68" s="124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74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172</v>
      </c>
      <c r="H68" t="s">
        <v>172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16">
        <v>0</v>
      </c>
    </row>
    <row r="69" spans="1:11" ht="18.75" customHeight="1" x14ac:dyDescent="0.35">
      <c r="A69" s="116">
        <v>2024</v>
      </c>
      <c r="B69" t="s">
        <v>179</v>
      </c>
      <c r="C69" s="124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172</v>
      </c>
      <c r="H69" t="s">
        <v>172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16">
        <v>0</v>
      </c>
    </row>
    <row r="70" spans="1:11" ht="18.75" customHeight="1" x14ac:dyDescent="0.35">
      <c r="A70" s="116">
        <v>2024</v>
      </c>
      <c r="B70" t="s">
        <v>179</v>
      </c>
      <c r="C70" s="124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76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172</v>
      </c>
      <c r="H70" t="s">
        <v>172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16">
        <v>0</v>
      </c>
    </row>
    <row r="71" spans="1:11" ht="18.75" customHeight="1" x14ac:dyDescent="0.35">
      <c r="A71" s="116">
        <v>2024</v>
      </c>
      <c r="B71" t="s">
        <v>179</v>
      </c>
      <c r="C71" s="124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78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172</v>
      </c>
      <c r="H71" t="s">
        <v>172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16">
        <v>0</v>
      </c>
    </row>
    <row r="72" spans="1:11" ht="18.75" customHeight="1" x14ac:dyDescent="0.35">
      <c r="A72" s="116">
        <v>2024</v>
      </c>
      <c r="B72" t="s">
        <v>180</v>
      </c>
      <c r="C72" s="124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79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172</v>
      </c>
      <c r="H72" t="s">
        <v>172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16">
        <v>1232</v>
      </c>
    </row>
    <row r="73" spans="1:11" ht="18.75" customHeight="1" x14ac:dyDescent="0.35">
      <c r="A73" s="116">
        <v>2024</v>
      </c>
      <c r="B73" t="s">
        <v>180</v>
      </c>
      <c r="C73" s="124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70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172</v>
      </c>
      <c r="H73" t="s">
        <v>172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16">
        <v>7362</v>
      </c>
    </row>
    <row r="74" spans="1:11" ht="18.75" customHeight="1" x14ac:dyDescent="0.35">
      <c r="A74" s="116">
        <v>2024</v>
      </c>
      <c r="B74" t="s">
        <v>180</v>
      </c>
      <c r="C74" s="124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71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172</v>
      </c>
      <c r="H74" t="s">
        <v>172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16">
        <v>1839</v>
      </c>
    </row>
    <row r="75" spans="1:11" ht="18.75" customHeight="1" x14ac:dyDescent="0.35">
      <c r="A75" s="116">
        <v>2024</v>
      </c>
      <c r="B75" t="s">
        <v>180</v>
      </c>
      <c r="C75" s="124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72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172</v>
      </c>
      <c r="H75" t="s">
        <v>172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16">
        <v>122</v>
      </c>
    </row>
    <row r="76" spans="1:11" ht="18.75" customHeight="1" x14ac:dyDescent="0.35">
      <c r="A76" s="116">
        <v>2024</v>
      </c>
      <c r="B76" t="s">
        <v>180</v>
      </c>
      <c r="C76" s="124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73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172</v>
      </c>
      <c r="H76" t="s">
        <v>172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16">
        <v>75</v>
      </c>
    </row>
    <row r="77" spans="1:11" ht="18.75" customHeight="1" x14ac:dyDescent="0.35">
      <c r="A77" s="116">
        <v>2024</v>
      </c>
      <c r="B77" t="s">
        <v>180</v>
      </c>
      <c r="C77" s="124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136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172</v>
      </c>
      <c r="H77" t="s">
        <v>172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18">
        <v>0.67839013778100077</v>
      </c>
    </row>
    <row r="78" spans="1:11" ht="18.75" customHeight="1" x14ac:dyDescent="0.35">
      <c r="A78" s="116">
        <v>2024</v>
      </c>
      <c r="B78" t="s">
        <v>180</v>
      </c>
      <c r="C78" s="124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74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172</v>
      </c>
      <c r="H78" t="s">
        <v>172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16">
        <v>0</v>
      </c>
    </row>
    <row r="79" spans="1:11" ht="18.75" customHeight="1" x14ac:dyDescent="0.35">
      <c r="A79" s="126">
        <v>2024</v>
      </c>
      <c r="B79" t="s">
        <v>180</v>
      </c>
      <c r="C79" s="124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172</v>
      </c>
      <c r="H79" t="s">
        <v>172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16">
        <v>0</v>
      </c>
    </row>
    <row r="80" spans="1:11" ht="18.75" customHeight="1" x14ac:dyDescent="0.35">
      <c r="A80" s="116">
        <v>2024</v>
      </c>
      <c r="B80" t="s">
        <v>180</v>
      </c>
      <c r="C80" s="124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76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172</v>
      </c>
      <c r="H80" t="s">
        <v>172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16">
        <v>0</v>
      </c>
    </row>
    <row r="81" spans="1:11" ht="18.75" customHeight="1" x14ac:dyDescent="0.35">
      <c r="A81" s="116">
        <v>2024</v>
      </c>
      <c r="B81" t="s">
        <v>180</v>
      </c>
      <c r="C81" s="124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78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172</v>
      </c>
      <c r="H81" t="s">
        <v>172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16">
        <v>0</v>
      </c>
    </row>
    <row r="82" spans="1:11" ht="18.75" customHeight="1" x14ac:dyDescent="0.35">
      <c r="A82" s="116">
        <v>2024</v>
      </c>
      <c r="B82" t="s">
        <v>181</v>
      </c>
      <c r="C82" s="124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79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172</v>
      </c>
      <c r="H82" t="s">
        <v>172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16">
        <v>1235</v>
      </c>
    </row>
    <row r="83" spans="1:11" ht="18.75" customHeight="1" x14ac:dyDescent="0.35">
      <c r="A83" s="116">
        <v>2024</v>
      </c>
      <c r="B83" t="s">
        <v>181</v>
      </c>
      <c r="C83" s="124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70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172</v>
      </c>
      <c r="H83" t="s">
        <v>172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16">
        <v>7562</v>
      </c>
    </row>
    <row r="84" spans="1:11" ht="18.75" customHeight="1" x14ac:dyDescent="0.35">
      <c r="A84" s="116">
        <v>2024</v>
      </c>
      <c r="B84" t="s">
        <v>181</v>
      </c>
      <c r="C84" s="124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71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172</v>
      </c>
      <c r="H84" t="s">
        <v>172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16">
        <v>1946</v>
      </c>
    </row>
    <row r="85" spans="1:11" ht="18.75" customHeight="1" x14ac:dyDescent="0.35">
      <c r="A85" s="116">
        <v>2024</v>
      </c>
      <c r="B85" t="s">
        <v>181</v>
      </c>
      <c r="C85" s="124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72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172</v>
      </c>
      <c r="H85" t="s">
        <v>172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16">
        <v>142</v>
      </c>
    </row>
    <row r="86" spans="1:11" ht="18.75" customHeight="1" x14ac:dyDescent="0.35">
      <c r="A86" s="116">
        <v>2024</v>
      </c>
      <c r="B86" t="s">
        <v>181</v>
      </c>
      <c r="C86" s="124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73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172</v>
      </c>
      <c r="H86" t="s">
        <v>172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16">
        <v>83</v>
      </c>
    </row>
    <row r="87" spans="1:11" ht="18.75" customHeight="1" x14ac:dyDescent="0.35">
      <c r="A87" s="116">
        <v>2024</v>
      </c>
      <c r="B87" t="s">
        <v>181</v>
      </c>
      <c r="C87" s="124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136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172</v>
      </c>
      <c r="H87" t="s">
        <v>172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18">
        <v>0.87652153558052437</v>
      </c>
    </row>
    <row r="88" spans="1:11" ht="18.75" customHeight="1" x14ac:dyDescent="0.35">
      <c r="A88" s="116">
        <v>2024</v>
      </c>
      <c r="B88" t="s">
        <v>181</v>
      </c>
      <c r="C88" s="124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74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172</v>
      </c>
      <c r="H88" t="s">
        <v>172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16">
        <v>0</v>
      </c>
    </row>
    <row r="89" spans="1:11" ht="18.75" customHeight="1" x14ac:dyDescent="0.35">
      <c r="A89" s="126">
        <v>2024</v>
      </c>
      <c r="B89" t="s">
        <v>181</v>
      </c>
      <c r="C89" s="124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172</v>
      </c>
      <c r="H89" t="s">
        <v>172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16">
        <v>0</v>
      </c>
    </row>
    <row r="90" spans="1:11" ht="18.75" customHeight="1" x14ac:dyDescent="0.35">
      <c r="A90" s="116">
        <v>2024</v>
      </c>
      <c r="B90" t="s">
        <v>181</v>
      </c>
      <c r="C90" s="124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76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172</v>
      </c>
      <c r="H90" t="s">
        <v>172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16">
        <v>0</v>
      </c>
    </row>
    <row r="91" spans="1:11" ht="18.75" customHeight="1" x14ac:dyDescent="0.35">
      <c r="A91" s="116">
        <v>2024</v>
      </c>
      <c r="B91" t="s">
        <v>181</v>
      </c>
      <c r="C91" s="124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78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172</v>
      </c>
      <c r="H91" t="s">
        <v>172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16">
        <v>0</v>
      </c>
    </row>
    <row r="92" spans="1:11" ht="18.75" customHeight="1" x14ac:dyDescent="0.35">
      <c r="A92" s="116">
        <v>2024</v>
      </c>
      <c r="B92" t="s">
        <v>182</v>
      </c>
      <c r="C92" s="124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79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172</v>
      </c>
      <c r="H92" t="s">
        <v>172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16">
        <v>1250</v>
      </c>
    </row>
    <row r="93" spans="1:11" ht="18.75" customHeight="1" x14ac:dyDescent="0.35">
      <c r="A93" s="116">
        <v>2024</v>
      </c>
      <c r="B93" t="s">
        <v>182</v>
      </c>
      <c r="C93" s="124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70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172</v>
      </c>
      <c r="H93" t="s">
        <v>172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16">
        <v>9368</v>
      </c>
    </row>
    <row r="94" spans="1:11" ht="18.75" customHeight="1" x14ac:dyDescent="0.35">
      <c r="A94" s="116">
        <v>2024</v>
      </c>
      <c r="B94" t="s">
        <v>182</v>
      </c>
      <c r="C94" s="124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71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172</v>
      </c>
      <c r="H94" t="s">
        <v>172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16">
        <v>1675</v>
      </c>
    </row>
    <row r="95" spans="1:11" ht="18.75" customHeight="1" x14ac:dyDescent="0.35">
      <c r="A95" s="116">
        <v>2024</v>
      </c>
      <c r="B95" t="s">
        <v>182</v>
      </c>
      <c r="C95" s="124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72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172</v>
      </c>
      <c r="H95" t="s">
        <v>172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16">
        <v>192</v>
      </c>
    </row>
    <row r="96" spans="1:11" ht="18.75" customHeight="1" x14ac:dyDescent="0.35">
      <c r="A96" s="116">
        <v>2024</v>
      </c>
      <c r="B96" t="s">
        <v>182</v>
      </c>
      <c r="C96" s="124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73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172</v>
      </c>
      <c r="H96" t="s">
        <v>172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16">
        <v>64</v>
      </c>
    </row>
    <row r="97" spans="1:11" ht="18.75" customHeight="1" x14ac:dyDescent="0.35">
      <c r="A97" s="116">
        <v>2024</v>
      </c>
      <c r="B97" t="s">
        <v>182</v>
      </c>
      <c r="C97" s="124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136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172</v>
      </c>
      <c r="H97" t="s">
        <v>172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18">
        <v>0.67580612035325527</v>
      </c>
    </row>
    <row r="98" spans="1:11" ht="18.75" customHeight="1" x14ac:dyDescent="0.35">
      <c r="A98" s="116">
        <v>2024</v>
      </c>
      <c r="B98" t="s">
        <v>182</v>
      </c>
      <c r="C98" s="124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74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172</v>
      </c>
      <c r="H98" t="s">
        <v>172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16">
        <v>0</v>
      </c>
    </row>
    <row r="99" spans="1:11" ht="18.75" customHeight="1" x14ac:dyDescent="0.35">
      <c r="A99" s="116">
        <v>2024</v>
      </c>
      <c r="B99" t="s">
        <v>182</v>
      </c>
      <c r="C99" s="124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172</v>
      </c>
      <c r="H99" t="s">
        <v>172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16">
        <v>0</v>
      </c>
    </row>
    <row r="100" spans="1:11" ht="18.75" customHeight="1" x14ac:dyDescent="0.35">
      <c r="A100" s="116">
        <v>2024</v>
      </c>
      <c r="B100" t="s">
        <v>182</v>
      </c>
      <c r="C100" s="124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76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172</v>
      </c>
      <c r="H100" t="s">
        <v>172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16">
        <v>0</v>
      </c>
    </row>
    <row r="101" spans="1:11" ht="18.75" customHeight="1" x14ac:dyDescent="0.35">
      <c r="A101" s="116">
        <v>2024</v>
      </c>
      <c r="B101" t="s">
        <v>182</v>
      </c>
      <c r="C101" s="124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78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172</v>
      </c>
      <c r="H101" t="s">
        <v>172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16">
        <v>216542249</v>
      </c>
    </row>
    <row r="102" spans="1:11" ht="18.75" customHeight="1" x14ac:dyDescent="0.35">
      <c r="A102" s="116">
        <v>2024</v>
      </c>
      <c r="B102" t="s">
        <v>183</v>
      </c>
      <c r="C102" s="124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79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172</v>
      </c>
      <c r="H102" t="s">
        <v>172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16">
        <v>1265</v>
      </c>
    </row>
    <row r="103" spans="1:11" ht="18.75" customHeight="1" x14ac:dyDescent="0.35">
      <c r="A103" s="116">
        <v>2024</v>
      </c>
      <c r="B103" t="s">
        <v>183</v>
      </c>
      <c r="C103" s="124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70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172</v>
      </c>
      <c r="H103" t="s">
        <v>172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16">
        <v>9542</v>
      </c>
    </row>
    <row r="104" spans="1:11" ht="18.75" customHeight="1" x14ac:dyDescent="0.35">
      <c r="A104" s="116">
        <v>2024</v>
      </c>
      <c r="B104" t="s">
        <v>183</v>
      </c>
      <c r="C104" s="124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71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172</v>
      </c>
      <c r="H104" t="s">
        <v>172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16">
        <v>1473</v>
      </c>
    </row>
    <row r="105" spans="1:11" ht="18.75" customHeight="1" x14ac:dyDescent="0.35">
      <c r="A105" s="126">
        <v>2024</v>
      </c>
      <c r="B105" t="s">
        <v>183</v>
      </c>
      <c r="C105" s="124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72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172</v>
      </c>
      <c r="H105" t="s">
        <v>172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16">
        <v>129</v>
      </c>
    </row>
    <row r="106" spans="1:11" ht="18.75" customHeight="1" x14ac:dyDescent="0.35">
      <c r="A106" s="116">
        <v>2024</v>
      </c>
      <c r="B106" t="s">
        <v>183</v>
      </c>
      <c r="C106" s="124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73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172</v>
      </c>
      <c r="H106" t="s">
        <v>172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16">
        <v>77</v>
      </c>
    </row>
    <row r="107" spans="1:11" ht="18.75" customHeight="1" x14ac:dyDescent="0.35">
      <c r="A107" s="116">
        <v>2024</v>
      </c>
      <c r="B107" t="s">
        <v>183</v>
      </c>
      <c r="C107" s="124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136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172</v>
      </c>
      <c r="H107" t="s">
        <v>172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18">
        <v>0.75167294019238795</v>
      </c>
    </row>
    <row r="108" spans="1:11" ht="18.75" customHeight="1" x14ac:dyDescent="0.35">
      <c r="A108" s="116">
        <v>2024</v>
      </c>
      <c r="B108" t="s">
        <v>183</v>
      </c>
      <c r="C108" s="124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74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172</v>
      </c>
      <c r="H108" t="s">
        <v>172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16">
        <v>0</v>
      </c>
    </row>
    <row r="109" spans="1:11" ht="18.75" customHeight="1" x14ac:dyDescent="0.35">
      <c r="A109" s="116">
        <v>2024</v>
      </c>
      <c r="B109" t="s">
        <v>183</v>
      </c>
      <c r="C109" s="124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172</v>
      </c>
      <c r="H109" t="s">
        <v>172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16">
        <v>0</v>
      </c>
    </row>
    <row r="110" spans="1:11" ht="18.75" customHeight="1" x14ac:dyDescent="0.35">
      <c r="A110" s="116">
        <v>2024</v>
      </c>
      <c r="B110" t="s">
        <v>183</v>
      </c>
      <c r="C110" s="124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76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172</v>
      </c>
      <c r="H110" t="s">
        <v>172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16">
        <v>0</v>
      </c>
    </row>
    <row r="111" spans="1:11" ht="18.75" customHeight="1" x14ac:dyDescent="0.35">
      <c r="A111" s="116">
        <v>2024</v>
      </c>
      <c r="B111" t="s">
        <v>183</v>
      </c>
      <c r="C111" s="124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78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172</v>
      </c>
      <c r="H111" t="s">
        <v>172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16">
        <v>0</v>
      </c>
    </row>
    <row r="112" spans="1:11" ht="18.75" customHeight="1" x14ac:dyDescent="0.35">
      <c r="A112" s="116">
        <v>2024</v>
      </c>
      <c r="B112" t="s">
        <v>184</v>
      </c>
      <c r="C112" s="124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79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172</v>
      </c>
      <c r="H112" t="s">
        <v>172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16">
        <v>1283</v>
      </c>
    </row>
    <row r="113" spans="1:11" ht="18.75" customHeight="1" x14ac:dyDescent="0.35">
      <c r="A113" s="116">
        <v>2024</v>
      </c>
      <c r="B113" t="s">
        <v>184</v>
      </c>
      <c r="C113" s="124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70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172</v>
      </c>
      <c r="H113" t="s">
        <v>172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16">
        <v>8375</v>
      </c>
    </row>
    <row r="114" spans="1:11" ht="18.75" customHeight="1" x14ac:dyDescent="0.35">
      <c r="A114" s="116">
        <v>2024</v>
      </c>
      <c r="B114" t="s">
        <v>184</v>
      </c>
      <c r="C114" s="124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71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172</v>
      </c>
      <c r="H114" t="s">
        <v>172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16">
        <v>1520</v>
      </c>
    </row>
    <row r="115" spans="1:11" ht="18.75" customHeight="1" x14ac:dyDescent="0.35">
      <c r="A115" s="126">
        <v>2024</v>
      </c>
      <c r="B115" t="s">
        <v>184</v>
      </c>
      <c r="C115" s="124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72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172</v>
      </c>
      <c r="H115" t="s">
        <v>172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16">
        <v>323</v>
      </c>
    </row>
    <row r="116" spans="1:11" ht="18.75" customHeight="1" x14ac:dyDescent="0.35">
      <c r="A116" s="116">
        <v>2024</v>
      </c>
      <c r="B116" t="s">
        <v>184</v>
      </c>
      <c r="C116" s="124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73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172</v>
      </c>
      <c r="H116" t="s">
        <v>172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16">
        <v>154</v>
      </c>
    </row>
    <row r="117" spans="1:11" ht="18.75" customHeight="1" x14ac:dyDescent="0.35">
      <c r="A117" s="116">
        <v>2024</v>
      </c>
      <c r="B117" t="s">
        <v>184</v>
      </c>
      <c r="C117" s="124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136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172</v>
      </c>
      <c r="H117" t="s">
        <v>172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18">
        <v>0.77</v>
      </c>
    </row>
    <row r="118" spans="1:11" ht="18.75" customHeight="1" x14ac:dyDescent="0.35">
      <c r="A118" s="116">
        <v>2024</v>
      </c>
      <c r="B118" t="s">
        <v>184</v>
      </c>
      <c r="C118" s="124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74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172</v>
      </c>
      <c r="H118" t="s">
        <v>172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16">
        <v>0</v>
      </c>
    </row>
    <row r="119" spans="1:11" ht="18.75" customHeight="1" x14ac:dyDescent="0.35">
      <c r="A119" s="116">
        <v>2024</v>
      </c>
      <c r="B119" t="s">
        <v>184</v>
      </c>
      <c r="C119" s="124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172</v>
      </c>
      <c r="H119" t="s">
        <v>172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16">
        <v>0</v>
      </c>
    </row>
    <row r="120" spans="1:11" ht="18.75" customHeight="1" x14ac:dyDescent="0.35">
      <c r="A120" s="116">
        <v>2024</v>
      </c>
      <c r="B120" t="s">
        <v>184</v>
      </c>
      <c r="C120" s="124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76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172</v>
      </c>
      <c r="H120" t="s">
        <v>172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16">
        <v>0</v>
      </c>
    </row>
    <row r="121" spans="1:11" ht="18.75" customHeight="1" x14ac:dyDescent="0.35">
      <c r="A121" s="116">
        <v>2024</v>
      </c>
      <c r="B121" t="s">
        <v>184</v>
      </c>
      <c r="C121" s="124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78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172</v>
      </c>
      <c r="H121" t="s">
        <v>172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16">
        <v>0</v>
      </c>
    </row>
    <row r="122" spans="1:11" ht="18.75" customHeight="1" x14ac:dyDescent="0.35">
      <c r="A122" s="116">
        <v>2025</v>
      </c>
      <c r="B122" t="s">
        <v>171</v>
      </c>
      <c r="C122" s="124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79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172</v>
      </c>
      <c r="H122" t="s">
        <v>172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16">
        <v>1283</v>
      </c>
    </row>
    <row r="123" spans="1:11" ht="18.75" customHeight="1" x14ac:dyDescent="0.35">
      <c r="A123" s="116">
        <v>2025</v>
      </c>
      <c r="B123" t="s">
        <v>171</v>
      </c>
      <c r="C123" s="124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70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172</v>
      </c>
      <c r="H123" t="s">
        <v>172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16">
        <v>7256</v>
      </c>
    </row>
    <row r="124" spans="1:11" ht="18.75" customHeight="1" x14ac:dyDescent="0.35">
      <c r="A124" s="116">
        <v>2025</v>
      </c>
      <c r="B124" t="s">
        <v>171</v>
      </c>
      <c r="C124" s="124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71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172</v>
      </c>
      <c r="H124" t="s">
        <v>172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16">
        <v>1599</v>
      </c>
    </row>
    <row r="125" spans="1:11" ht="18.75" customHeight="1" x14ac:dyDescent="0.35">
      <c r="A125" s="116">
        <v>2025</v>
      </c>
      <c r="B125" t="s">
        <v>171</v>
      </c>
      <c r="C125" s="124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130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172</v>
      </c>
      <c r="H125" t="s">
        <v>172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16">
        <v>40</v>
      </c>
    </row>
    <row r="126" spans="1:11" ht="18.75" customHeight="1" x14ac:dyDescent="0.35">
      <c r="A126" s="116">
        <v>2025</v>
      </c>
      <c r="B126" t="s">
        <v>171</v>
      </c>
      <c r="C126" s="124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134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172</v>
      </c>
      <c r="H126" t="s">
        <v>172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16">
        <v>6</v>
      </c>
    </row>
    <row r="127" spans="1:11" ht="18.75" customHeight="1" x14ac:dyDescent="0.35">
      <c r="A127" s="116">
        <v>2025</v>
      </c>
      <c r="B127" t="s">
        <v>171</v>
      </c>
      <c r="C127" s="124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131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172</v>
      </c>
      <c r="H127" t="s">
        <v>172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16">
        <v>23</v>
      </c>
    </row>
    <row r="128" spans="1:11" ht="18.75" customHeight="1" x14ac:dyDescent="0.35">
      <c r="A128" s="116">
        <v>2025</v>
      </c>
      <c r="B128" t="s">
        <v>171</v>
      </c>
      <c r="C128" s="124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133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172</v>
      </c>
      <c r="H128" t="s">
        <v>172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16">
        <v>0</v>
      </c>
    </row>
    <row r="129" spans="1:11" ht="18.75" customHeight="1" x14ac:dyDescent="0.35">
      <c r="A129" s="116">
        <v>2025</v>
      </c>
      <c r="B129" t="s">
        <v>171</v>
      </c>
      <c r="C129" s="124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132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172</v>
      </c>
      <c r="H129" t="s">
        <v>172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16">
        <v>1</v>
      </c>
    </row>
    <row r="130" spans="1:11" ht="18.75" customHeight="1" x14ac:dyDescent="0.35">
      <c r="A130" s="116">
        <v>2025</v>
      </c>
      <c r="B130" t="s">
        <v>171</v>
      </c>
      <c r="C130" s="124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147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172</v>
      </c>
      <c r="H130" t="s">
        <v>172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16">
        <v>0</v>
      </c>
    </row>
    <row r="131" spans="1:11" ht="18.75" customHeight="1" x14ac:dyDescent="0.35">
      <c r="A131" s="126">
        <v>2025</v>
      </c>
      <c r="B131" t="s">
        <v>171</v>
      </c>
      <c r="C131" s="124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146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172</v>
      </c>
      <c r="H131" t="s">
        <v>172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16">
        <v>0</v>
      </c>
    </row>
    <row r="132" spans="1:11" ht="18.75" customHeight="1" x14ac:dyDescent="0.35">
      <c r="A132" s="116">
        <v>2025</v>
      </c>
      <c r="B132" t="s">
        <v>171</v>
      </c>
      <c r="C132" s="124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136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172</v>
      </c>
      <c r="H132" t="s">
        <v>172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18">
        <v>0.68</v>
      </c>
    </row>
    <row r="133" spans="1:11" ht="18.75" customHeight="1" x14ac:dyDescent="0.35">
      <c r="A133" s="116">
        <v>2025</v>
      </c>
      <c r="B133" t="s">
        <v>171</v>
      </c>
      <c r="C133" s="124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135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172</v>
      </c>
      <c r="H133" t="s">
        <v>172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16">
        <v>0</v>
      </c>
    </row>
    <row r="134" spans="1:11" ht="18.75" customHeight="1" x14ac:dyDescent="0.35">
      <c r="A134" s="116">
        <v>2025</v>
      </c>
      <c r="B134" t="s">
        <v>171</v>
      </c>
      <c r="C134" s="124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76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172</v>
      </c>
      <c r="H134" t="s">
        <v>172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16">
        <v>4</v>
      </c>
    </row>
    <row r="135" spans="1:11" ht="18.75" customHeight="1" x14ac:dyDescent="0.35">
      <c r="A135" s="116">
        <v>2025</v>
      </c>
      <c r="B135" t="s">
        <v>171</v>
      </c>
      <c r="C135" s="124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102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172</v>
      </c>
      <c r="H135" t="s">
        <v>172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16">
        <v>16</v>
      </c>
    </row>
    <row r="136" spans="1:11" ht="18.75" customHeight="1" x14ac:dyDescent="0.35">
      <c r="A136" s="116">
        <v>2025</v>
      </c>
      <c r="B136" t="s">
        <v>171</v>
      </c>
      <c r="C136" s="124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137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172</v>
      </c>
      <c r="H136" t="s">
        <v>172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16">
        <v>12</v>
      </c>
    </row>
    <row r="137" spans="1:11" ht="18.75" customHeight="1" x14ac:dyDescent="0.35">
      <c r="A137" s="116">
        <v>2025</v>
      </c>
      <c r="B137" t="s">
        <v>171</v>
      </c>
      <c r="C137" s="124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78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172</v>
      </c>
      <c r="H137" t="s">
        <v>172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16">
        <v>0</v>
      </c>
    </row>
    <row r="138" spans="1:11" ht="18.75" customHeight="1" x14ac:dyDescent="0.35">
      <c r="A138" s="116">
        <v>2025</v>
      </c>
      <c r="B138" t="s">
        <v>171</v>
      </c>
      <c r="C138" s="124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192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172</v>
      </c>
      <c r="H138" t="s">
        <v>172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16">
        <v>70</v>
      </c>
    </row>
    <row r="139" spans="1:11" ht="18.75" customHeight="1" x14ac:dyDescent="0.35">
      <c r="A139" s="116">
        <v>2025</v>
      </c>
      <c r="B139" t="s">
        <v>171</v>
      </c>
      <c r="C139" s="124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193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172</v>
      </c>
      <c r="H139" t="s">
        <v>172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16">
        <v>63</v>
      </c>
    </row>
    <row r="140" spans="1:11" ht="18.75" customHeight="1" x14ac:dyDescent="0.35">
      <c r="A140" s="116">
        <v>2025</v>
      </c>
      <c r="B140" t="s">
        <v>171</v>
      </c>
      <c r="C140" s="124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194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172</v>
      </c>
      <c r="H140" t="s">
        <v>172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16">
        <v>0</v>
      </c>
    </row>
    <row r="141" spans="1:11" ht="18.75" customHeight="1" x14ac:dyDescent="0.35">
      <c r="A141" s="126">
        <v>2025</v>
      </c>
      <c r="B141" t="s">
        <v>171</v>
      </c>
      <c r="C141" s="124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195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172</v>
      </c>
      <c r="H141" t="s">
        <v>172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16">
        <v>0</v>
      </c>
    </row>
    <row r="142" spans="1:11" ht="18.75" customHeight="1" x14ac:dyDescent="0.35">
      <c r="A142" s="116">
        <v>2025</v>
      </c>
      <c r="B142" t="s">
        <v>171</v>
      </c>
      <c r="C142" s="124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196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172</v>
      </c>
      <c r="H142" t="s">
        <v>172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16">
        <v>0</v>
      </c>
    </row>
    <row r="143" spans="1:11" ht="18.75" customHeight="1" x14ac:dyDescent="0.35">
      <c r="A143" s="116">
        <v>2025</v>
      </c>
      <c r="B143" t="s">
        <v>171</v>
      </c>
      <c r="C143" s="124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197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172</v>
      </c>
      <c r="H143" t="s">
        <v>172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16">
        <v>0</v>
      </c>
    </row>
    <row r="144" spans="1:11" ht="18.75" customHeight="1" x14ac:dyDescent="0.35">
      <c r="A144" s="116">
        <v>2025</v>
      </c>
      <c r="B144" t="s">
        <v>171</v>
      </c>
      <c r="C144" s="124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198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172</v>
      </c>
      <c r="H144" t="s">
        <v>172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16">
        <v>0</v>
      </c>
    </row>
    <row r="145" spans="1:11" ht="18.75" customHeight="1" x14ac:dyDescent="0.35">
      <c r="A145" s="116">
        <v>2025</v>
      </c>
      <c r="B145" t="s">
        <v>171</v>
      </c>
      <c r="C145" s="124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199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172</v>
      </c>
      <c r="H145" t="s">
        <v>172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16">
        <v>0</v>
      </c>
    </row>
    <row r="146" spans="1:11" ht="18.75" customHeight="1" x14ac:dyDescent="0.35">
      <c r="A146" s="116">
        <v>2025</v>
      </c>
      <c r="B146" t="s">
        <v>171</v>
      </c>
      <c r="C146" s="124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200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172</v>
      </c>
      <c r="H146" t="s">
        <v>172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16">
        <v>0</v>
      </c>
    </row>
    <row r="147" spans="1:11" ht="18.75" customHeight="1" x14ac:dyDescent="0.35">
      <c r="A147" s="116">
        <v>2025</v>
      </c>
      <c r="B147" t="s">
        <v>174</v>
      </c>
      <c r="C147" s="124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79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172</v>
      </c>
      <c r="H147" t="s">
        <v>172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16">
        <v>1290</v>
      </c>
    </row>
    <row r="148" spans="1:11" ht="18.75" customHeight="1" x14ac:dyDescent="0.35">
      <c r="A148" s="116">
        <v>2025</v>
      </c>
      <c r="B148" t="s">
        <v>174</v>
      </c>
      <c r="C148" s="124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70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172</v>
      </c>
      <c r="H148" t="s">
        <v>172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16">
        <v>8036</v>
      </c>
    </row>
    <row r="149" spans="1:11" ht="18.75" customHeight="1" x14ac:dyDescent="0.35">
      <c r="A149" s="116">
        <v>2025</v>
      </c>
      <c r="B149" t="s">
        <v>174</v>
      </c>
      <c r="C149" s="124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71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172</v>
      </c>
      <c r="H149" t="s">
        <v>172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16">
        <v>1479</v>
      </c>
    </row>
    <row r="150" spans="1:11" ht="18.75" customHeight="1" x14ac:dyDescent="0.35">
      <c r="A150" s="116">
        <v>2025</v>
      </c>
      <c r="B150" t="s">
        <v>174</v>
      </c>
      <c r="C150" s="124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130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172</v>
      </c>
      <c r="H150" t="s">
        <v>172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16">
        <v>82</v>
      </c>
    </row>
    <row r="151" spans="1:11" ht="18.75" customHeight="1" x14ac:dyDescent="0.35">
      <c r="A151" s="116">
        <v>2025</v>
      </c>
      <c r="B151" t="s">
        <v>174</v>
      </c>
      <c r="C151" s="124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134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172</v>
      </c>
      <c r="H151" t="s">
        <v>172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16">
        <v>26</v>
      </c>
    </row>
    <row r="152" spans="1:11" ht="18.75" customHeight="1" x14ac:dyDescent="0.35">
      <c r="A152" s="116">
        <v>2025</v>
      </c>
      <c r="B152" t="s">
        <v>174</v>
      </c>
      <c r="C152" s="124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131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172</v>
      </c>
      <c r="H152" t="s">
        <v>172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16">
        <v>62</v>
      </c>
    </row>
    <row r="153" spans="1:11" ht="18.75" customHeight="1" x14ac:dyDescent="0.35">
      <c r="A153" s="116">
        <v>2025</v>
      </c>
      <c r="B153" t="s">
        <v>174</v>
      </c>
      <c r="C153" s="124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133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172</v>
      </c>
      <c r="H153" t="s">
        <v>172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16">
        <v>1</v>
      </c>
    </row>
    <row r="154" spans="1:11" ht="18.75" customHeight="1" x14ac:dyDescent="0.35">
      <c r="A154" s="116">
        <v>2025</v>
      </c>
      <c r="B154" t="s">
        <v>174</v>
      </c>
      <c r="C154" s="124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132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172</v>
      </c>
      <c r="H154" t="s">
        <v>172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16">
        <v>6</v>
      </c>
    </row>
    <row r="155" spans="1:11" ht="18.75" customHeight="1" x14ac:dyDescent="0.35">
      <c r="A155" s="116">
        <v>2025</v>
      </c>
      <c r="B155" t="s">
        <v>174</v>
      </c>
      <c r="C155" s="124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147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172</v>
      </c>
      <c r="H155" t="s">
        <v>172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16">
        <v>0</v>
      </c>
    </row>
    <row r="156" spans="1:11" ht="18.75" customHeight="1" x14ac:dyDescent="0.35">
      <c r="A156" s="116">
        <v>2025</v>
      </c>
      <c r="B156" t="s">
        <v>174</v>
      </c>
      <c r="C156" s="124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146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172</v>
      </c>
      <c r="H156" t="s">
        <v>172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16">
        <v>16755078</v>
      </c>
    </row>
    <row r="157" spans="1:11" ht="18.75" customHeight="1" x14ac:dyDescent="0.35">
      <c r="A157" s="126">
        <v>2025</v>
      </c>
      <c r="B157" t="s">
        <v>174</v>
      </c>
      <c r="C157" s="124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136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172</v>
      </c>
      <c r="H157" t="s">
        <v>172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18">
        <v>0.71</v>
      </c>
    </row>
    <row r="158" spans="1:11" ht="18.75" customHeight="1" x14ac:dyDescent="0.35">
      <c r="A158" s="116">
        <v>2025</v>
      </c>
      <c r="B158" t="s">
        <v>174</v>
      </c>
      <c r="C158" s="124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135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172</v>
      </c>
      <c r="H158" t="s">
        <v>172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16">
        <v>79000</v>
      </c>
    </row>
    <row r="159" spans="1:11" ht="18.75" customHeight="1" x14ac:dyDescent="0.35">
      <c r="A159" s="116">
        <v>2025</v>
      </c>
      <c r="B159" t="s">
        <v>174</v>
      </c>
      <c r="C159" s="124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76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172</v>
      </c>
      <c r="H159" t="s">
        <v>172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16">
        <v>7</v>
      </c>
    </row>
    <row r="160" spans="1:11" ht="18.75" customHeight="1" x14ac:dyDescent="0.35">
      <c r="A160" s="116">
        <v>2025</v>
      </c>
      <c r="B160" t="s">
        <v>174</v>
      </c>
      <c r="C160" s="124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102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172</v>
      </c>
      <c r="H160" t="s">
        <v>172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16">
        <v>16</v>
      </c>
    </row>
    <row r="161" spans="1:11" ht="18.75" customHeight="1" x14ac:dyDescent="0.35">
      <c r="A161" s="116">
        <v>2025</v>
      </c>
      <c r="B161" t="s">
        <v>174</v>
      </c>
      <c r="C161" s="124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137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172</v>
      </c>
      <c r="H161" t="s">
        <v>172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16">
        <v>12</v>
      </c>
    </row>
    <row r="162" spans="1:11" ht="18.75" customHeight="1" x14ac:dyDescent="0.35">
      <c r="A162" s="116">
        <v>2025</v>
      </c>
      <c r="B162" t="s">
        <v>174</v>
      </c>
      <c r="C162" s="124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78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172</v>
      </c>
      <c r="H162" t="s">
        <v>172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16">
        <v>0</v>
      </c>
    </row>
    <row r="163" spans="1:11" ht="18.75" customHeight="1" x14ac:dyDescent="0.35">
      <c r="A163" s="116">
        <v>2025</v>
      </c>
      <c r="B163" t="s">
        <v>174</v>
      </c>
      <c r="C163" s="124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192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172</v>
      </c>
      <c r="H163" t="s">
        <v>172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16">
        <v>50</v>
      </c>
    </row>
    <row r="164" spans="1:11" ht="18.75" customHeight="1" x14ac:dyDescent="0.35">
      <c r="A164" s="116">
        <v>2025</v>
      </c>
      <c r="B164" t="s">
        <v>174</v>
      </c>
      <c r="C164" s="124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193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172</v>
      </c>
      <c r="H164" t="s">
        <v>172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16">
        <v>1</v>
      </c>
    </row>
    <row r="165" spans="1:11" ht="18.75" customHeight="1" x14ac:dyDescent="0.35">
      <c r="A165" s="116">
        <v>2025</v>
      </c>
      <c r="B165" t="s">
        <v>174</v>
      </c>
      <c r="C165" s="124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194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172</v>
      </c>
      <c r="H165" t="s">
        <v>172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16">
        <v>0</v>
      </c>
    </row>
    <row r="166" spans="1:11" ht="18.75" customHeight="1" x14ac:dyDescent="0.35">
      <c r="A166" s="116">
        <v>2025</v>
      </c>
      <c r="B166" t="s">
        <v>174</v>
      </c>
      <c r="C166" s="124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195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172</v>
      </c>
      <c r="H166" t="s">
        <v>172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16">
        <v>0</v>
      </c>
    </row>
    <row r="167" spans="1:11" ht="18.75" customHeight="1" x14ac:dyDescent="0.35">
      <c r="A167" s="126">
        <v>2025</v>
      </c>
      <c r="B167" t="s">
        <v>174</v>
      </c>
      <c r="C167" s="124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196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172</v>
      </c>
      <c r="H167" t="s">
        <v>172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16">
        <v>0</v>
      </c>
    </row>
    <row r="168" spans="1:11" ht="18.75" customHeight="1" x14ac:dyDescent="0.35">
      <c r="A168" s="116">
        <v>2025</v>
      </c>
      <c r="B168" t="s">
        <v>174</v>
      </c>
      <c r="C168" s="124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197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172</v>
      </c>
      <c r="H168" t="s">
        <v>172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16">
        <v>0</v>
      </c>
    </row>
    <row r="169" spans="1:11" ht="18.75" customHeight="1" x14ac:dyDescent="0.35">
      <c r="A169" s="116">
        <v>2025</v>
      </c>
      <c r="B169" t="s">
        <v>174</v>
      </c>
      <c r="C169" s="124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198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172</v>
      </c>
      <c r="H169" t="s">
        <v>172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16">
        <v>0</v>
      </c>
    </row>
    <row r="170" spans="1:11" ht="18.75" customHeight="1" x14ac:dyDescent="0.35">
      <c r="A170" s="116">
        <v>2025</v>
      </c>
      <c r="B170" t="s">
        <v>174</v>
      </c>
      <c r="C170" s="124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199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172</v>
      </c>
      <c r="H170" t="s">
        <v>172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16">
        <v>0</v>
      </c>
    </row>
    <row r="171" spans="1:11" ht="18.75" customHeight="1" x14ac:dyDescent="0.35">
      <c r="A171" s="116">
        <v>2025</v>
      </c>
      <c r="B171" t="s">
        <v>174</v>
      </c>
      <c r="C171" s="124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200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172</v>
      </c>
      <c r="H171" t="s">
        <v>172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16">
        <v>0</v>
      </c>
    </row>
    <row r="172" spans="1:11" ht="18.75" customHeight="1" x14ac:dyDescent="0.35">
      <c r="A172" s="116">
        <v>2025</v>
      </c>
      <c r="B172" t="s">
        <v>175</v>
      </c>
      <c r="C172" s="124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79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172</v>
      </c>
      <c r="H172" t="s">
        <v>172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16">
        <v>1295</v>
      </c>
    </row>
    <row r="173" spans="1:11" ht="18.75" customHeight="1" x14ac:dyDescent="0.35">
      <c r="A173" s="116">
        <v>2025</v>
      </c>
      <c r="B173" t="s">
        <v>175</v>
      </c>
      <c r="C173" s="124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70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172</v>
      </c>
      <c r="H173" t="s">
        <v>172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16">
        <v>8043</v>
      </c>
    </row>
    <row r="174" spans="1:11" ht="18.75" customHeight="1" x14ac:dyDescent="0.35">
      <c r="A174" s="116">
        <v>2025</v>
      </c>
      <c r="B174" t="s">
        <v>175</v>
      </c>
      <c r="C174" s="124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71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172</v>
      </c>
      <c r="H174" t="s">
        <v>172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16">
        <v>1662</v>
      </c>
    </row>
    <row r="175" spans="1:11" ht="18.75" customHeight="1" x14ac:dyDescent="0.35">
      <c r="A175" s="116">
        <v>2025</v>
      </c>
      <c r="B175" t="s">
        <v>175</v>
      </c>
      <c r="C175" s="124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130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172</v>
      </c>
      <c r="H175" t="s">
        <v>172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16">
        <v>127</v>
      </c>
    </row>
    <row r="176" spans="1:11" ht="18.75" customHeight="1" x14ac:dyDescent="0.35">
      <c r="A176" s="116">
        <v>2025</v>
      </c>
      <c r="B176" t="s">
        <v>175</v>
      </c>
      <c r="C176" s="124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134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172</v>
      </c>
      <c r="H176" t="s">
        <v>172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16">
        <v>48</v>
      </c>
    </row>
    <row r="177" spans="1:11" ht="18.75" customHeight="1" x14ac:dyDescent="0.35">
      <c r="A177" s="116">
        <v>2025</v>
      </c>
      <c r="B177" t="s">
        <v>175</v>
      </c>
      <c r="C177" s="124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131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172</v>
      </c>
      <c r="H177" t="s">
        <v>172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16">
        <v>87</v>
      </c>
    </row>
    <row r="178" spans="1:11" ht="18.75" customHeight="1" x14ac:dyDescent="0.35">
      <c r="A178" s="116">
        <v>2025</v>
      </c>
      <c r="B178" t="s">
        <v>175</v>
      </c>
      <c r="C178" s="124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133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172</v>
      </c>
      <c r="H178" t="s">
        <v>172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16">
        <v>3</v>
      </c>
    </row>
    <row r="179" spans="1:11" ht="18.75" customHeight="1" x14ac:dyDescent="0.35">
      <c r="A179" s="116">
        <v>2025</v>
      </c>
      <c r="B179" t="s">
        <v>175</v>
      </c>
      <c r="C179" s="124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132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172</v>
      </c>
      <c r="H179" t="s">
        <v>172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16">
        <v>10</v>
      </c>
    </row>
    <row r="180" spans="1:11" ht="18.75" customHeight="1" x14ac:dyDescent="0.35">
      <c r="A180" s="116">
        <v>2025</v>
      </c>
      <c r="B180" t="s">
        <v>175</v>
      </c>
      <c r="C180" s="124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147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172</v>
      </c>
      <c r="H180" t="s">
        <v>172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16">
        <v>0</v>
      </c>
    </row>
    <row r="181" spans="1:11" ht="18.75" customHeight="1" x14ac:dyDescent="0.35">
      <c r="A181" s="116">
        <v>2025</v>
      </c>
      <c r="B181" t="s">
        <v>175</v>
      </c>
      <c r="C181" s="124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146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172</v>
      </c>
      <c r="H181" t="s">
        <v>172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16">
        <v>29126200</v>
      </c>
    </row>
    <row r="182" spans="1:11" ht="18.75" customHeight="1" x14ac:dyDescent="0.35">
      <c r="A182" s="116">
        <v>2025</v>
      </c>
      <c r="B182" t="s">
        <v>175</v>
      </c>
      <c r="C182" s="124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136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172</v>
      </c>
      <c r="H182" t="s">
        <v>172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18">
        <v>0.72</v>
      </c>
    </row>
    <row r="183" spans="1:11" ht="18.75" customHeight="1" x14ac:dyDescent="0.35">
      <c r="A183" s="126">
        <v>2025</v>
      </c>
      <c r="B183" t="s">
        <v>175</v>
      </c>
      <c r="C183" s="124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135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172</v>
      </c>
      <c r="H183" t="s">
        <v>172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16">
        <v>16800</v>
      </c>
    </row>
    <row r="184" spans="1:11" ht="18.75" customHeight="1" x14ac:dyDescent="0.35">
      <c r="A184" s="116">
        <v>2025</v>
      </c>
      <c r="B184" t="s">
        <v>175</v>
      </c>
      <c r="C184" s="124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76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172</v>
      </c>
      <c r="H184" t="s">
        <v>172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16">
        <v>7</v>
      </c>
    </row>
    <row r="185" spans="1:11" ht="18.75" customHeight="1" x14ac:dyDescent="0.35">
      <c r="A185" s="116">
        <v>2025</v>
      </c>
      <c r="B185" t="s">
        <v>175</v>
      </c>
      <c r="C185" s="124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102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172</v>
      </c>
      <c r="H185" t="s">
        <v>172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16">
        <v>16</v>
      </c>
    </row>
    <row r="186" spans="1:11" ht="18.75" customHeight="1" x14ac:dyDescent="0.35">
      <c r="A186" s="116">
        <v>2025</v>
      </c>
      <c r="B186" t="s">
        <v>175</v>
      </c>
      <c r="C186" s="124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137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172</v>
      </c>
      <c r="H186" t="s">
        <v>172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16">
        <v>12</v>
      </c>
    </row>
    <row r="187" spans="1:11" ht="18.75" customHeight="1" x14ac:dyDescent="0.35">
      <c r="A187" s="116">
        <v>2025</v>
      </c>
      <c r="B187" t="s">
        <v>175</v>
      </c>
      <c r="C187" s="124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78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172</v>
      </c>
      <c r="H187" t="s">
        <v>172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16">
        <v>360000000</v>
      </c>
    </row>
    <row r="188" spans="1:11" ht="18.75" customHeight="1" x14ac:dyDescent="0.35">
      <c r="A188" s="116">
        <v>2025</v>
      </c>
      <c r="B188" t="s">
        <v>8</v>
      </c>
      <c r="C188" s="124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192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172</v>
      </c>
      <c r="H188" t="s">
        <v>172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16">
        <v>101</v>
      </c>
    </row>
    <row r="189" spans="1:11" ht="18.75" customHeight="1" x14ac:dyDescent="0.35">
      <c r="A189" s="116">
        <v>2025</v>
      </c>
      <c r="B189" t="s">
        <v>8</v>
      </c>
      <c r="C189" s="124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193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172</v>
      </c>
      <c r="H189" t="s">
        <v>172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16">
        <v>1</v>
      </c>
    </row>
    <row r="190" spans="1:11" ht="18.75" customHeight="1" x14ac:dyDescent="0.35">
      <c r="A190" s="116">
        <v>2025</v>
      </c>
      <c r="B190" t="s">
        <v>8</v>
      </c>
      <c r="C190" s="124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194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172</v>
      </c>
      <c r="H190" t="s">
        <v>172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16">
        <v>0</v>
      </c>
    </row>
    <row r="191" spans="1:11" ht="18.75" customHeight="1" x14ac:dyDescent="0.35">
      <c r="A191" s="116">
        <v>2025</v>
      </c>
      <c r="B191" t="s">
        <v>8</v>
      </c>
      <c r="C191" s="124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195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172</v>
      </c>
      <c r="H191" t="s">
        <v>172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16">
        <v>0</v>
      </c>
    </row>
    <row r="192" spans="1:11" ht="18.75" customHeight="1" x14ac:dyDescent="0.35">
      <c r="A192" s="116">
        <v>2025</v>
      </c>
      <c r="B192" t="s">
        <v>8</v>
      </c>
      <c r="C192" s="124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196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172</v>
      </c>
      <c r="H192" t="s">
        <v>172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16">
        <v>0</v>
      </c>
    </row>
    <row r="193" spans="1:11" ht="18.75" customHeight="1" x14ac:dyDescent="0.35">
      <c r="A193" s="126">
        <v>2025</v>
      </c>
      <c r="B193" t="s">
        <v>8</v>
      </c>
      <c r="C193" s="124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197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172</v>
      </c>
      <c r="H193" t="s">
        <v>172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16">
        <v>1</v>
      </c>
    </row>
    <row r="194" spans="1:11" ht="18.75" customHeight="1" x14ac:dyDescent="0.35">
      <c r="A194" s="116">
        <v>2025</v>
      </c>
      <c r="B194" t="s">
        <v>8</v>
      </c>
      <c r="C194" s="124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198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172</v>
      </c>
      <c r="H194" t="s">
        <v>172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16">
        <v>0</v>
      </c>
    </row>
    <row r="195" spans="1:11" ht="18.75" customHeight="1" x14ac:dyDescent="0.35">
      <c r="A195" s="116">
        <v>2025</v>
      </c>
      <c r="B195" t="s">
        <v>175</v>
      </c>
      <c r="C195" s="124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199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172</v>
      </c>
      <c r="H195" t="s">
        <v>172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16">
        <v>0</v>
      </c>
    </row>
    <row r="196" spans="1:11" ht="18.75" customHeight="1" x14ac:dyDescent="0.35">
      <c r="A196" s="116">
        <v>2025</v>
      </c>
      <c r="B196" t="s">
        <v>175</v>
      </c>
      <c r="C196" s="124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200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172</v>
      </c>
      <c r="H196" t="s">
        <v>172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16">
        <v>0</v>
      </c>
    </row>
    <row r="197" spans="1:11" ht="18.75" customHeight="1" x14ac:dyDescent="0.35">
      <c r="A197" s="116">
        <v>2025</v>
      </c>
      <c r="B197" t="s">
        <v>176</v>
      </c>
      <c r="C197" s="124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79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172</v>
      </c>
      <c r="H197" t="s">
        <v>172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16">
        <v>1311</v>
      </c>
    </row>
    <row r="198" spans="1:11" ht="18.75" customHeight="1" x14ac:dyDescent="0.35">
      <c r="A198" s="116">
        <v>2025</v>
      </c>
      <c r="B198" t="s">
        <v>176</v>
      </c>
      <c r="C198" s="124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70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172</v>
      </c>
      <c r="H198" t="s">
        <v>172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16">
        <v>8269</v>
      </c>
    </row>
    <row r="199" spans="1:11" ht="18.75" customHeight="1" x14ac:dyDescent="0.35">
      <c r="A199" s="116">
        <v>2025</v>
      </c>
      <c r="B199" t="s">
        <v>176</v>
      </c>
      <c r="C199" s="124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71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172</v>
      </c>
      <c r="H199" t="s">
        <v>172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16">
        <v>1108</v>
      </c>
    </row>
    <row r="200" spans="1:11" ht="18.75" customHeight="1" x14ac:dyDescent="0.35">
      <c r="A200" s="116">
        <v>2025</v>
      </c>
      <c r="B200" t="s">
        <v>176</v>
      </c>
      <c r="C200" s="124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130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172</v>
      </c>
      <c r="H200" t="s">
        <v>172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16">
        <v>173</v>
      </c>
    </row>
    <row r="201" spans="1:11" ht="18.75" customHeight="1" x14ac:dyDescent="0.35">
      <c r="A201" s="116">
        <v>2025</v>
      </c>
      <c r="B201" t="s">
        <v>176</v>
      </c>
      <c r="C201" s="124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134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172</v>
      </c>
      <c r="H201" t="s">
        <v>172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16">
        <v>8</v>
      </c>
    </row>
    <row r="202" spans="1:11" ht="18.75" customHeight="1" x14ac:dyDescent="0.35">
      <c r="A202" s="116">
        <v>2025</v>
      </c>
      <c r="B202" t="s">
        <v>176</v>
      </c>
      <c r="C202" s="124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131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172</v>
      </c>
      <c r="H202" t="s">
        <v>172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16">
        <v>71</v>
      </c>
    </row>
    <row r="203" spans="1:11" ht="18.75" customHeight="1" x14ac:dyDescent="0.35">
      <c r="A203" s="126">
        <v>2025</v>
      </c>
      <c r="B203" t="s">
        <v>176</v>
      </c>
      <c r="C203" s="124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133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172</v>
      </c>
      <c r="H203" t="s">
        <v>172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16">
        <v>0</v>
      </c>
    </row>
    <row r="204" spans="1:11" ht="18.75" customHeight="1" x14ac:dyDescent="0.35">
      <c r="A204" s="116">
        <v>2025</v>
      </c>
      <c r="B204" t="s">
        <v>176</v>
      </c>
      <c r="C204" s="124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132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172</v>
      </c>
      <c r="H204" t="s">
        <v>172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16">
        <v>6</v>
      </c>
    </row>
    <row r="205" spans="1:11" ht="18.75" customHeight="1" x14ac:dyDescent="0.35">
      <c r="A205" s="116">
        <v>2025</v>
      </c>
      <c r="B205" t="s">
        <v>176</v>
      </c>
      <c r="C205" s="124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147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172</v>
      </c>
      <c r="H205" t="s">
        <v>172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16">
        <v>0</v>
      </c>
    </row>
    <row r="206" spans="1:11" ht="18.75" customHeight="1" x14ac:dyDescent="0.35">
      <c r="A206" s="116">
        <v>2025</v>
      </c>
      <c r="B206" t="s">
        <v>176</v>
      </c>
      <c r="C206" s="124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146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172</v>
      </c>
      <c r="H206" t="s">
        <v>172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16">
        <v>39631857</v>
      </c>
    </row>
    <row r="207" spans="1:11" ht="18.75" customHeight="1" x14ac:dyDescent="0.35">
      <c r="A207" s="116">
        <v>2025</v>
      </c>
      <c r="B207" t="s">
        <v>176</v>
      </c>
      <c r="C207" s="124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136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172</v>
      </c>
      <c r="H207" t="s">
        <v>172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18">
        <v>0.75</v>
      </c>
    </row>
    <row r="208" spans="1:11" ht="18.75" customHeight="1" x14ac:dyDescent="0.35">
      <c r="A208" s="116">
        <v>2025</v>
      </c>
      <c r="B208" t="s">
        <v>176</v>
      </c>
      <c r="C208" s="124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135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172</v>
      </c>
      <c r="H208" t="s">
        <v>172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16">
        <v>3396547</v>
      </c>
    </row>
    <row r="209" spans="1:11" ht="18.75" customHeight="1" x14ac:dyDescent="0.35">
      <c r="A209" s="116">
        <v>2025</v>
      </c>
      <c r="B209" t="s">
        <v>176</v>
      </c>
      <c r="C209" s="124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76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172</v>
      </c>
      <c r="H209" t="s">
        <v>172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16">
        <v>17</v>
      </c>
    </row>
    <row r="210" spans="1:11" ht="18.75" customHeight="1" x14ac:dyDescent="0.35">
      <c r="A210" s="116">
        <v>2025</v>
      </c>
      <c r="B210" t="s">
        <v>176</v>
      </c>
      <c r="C210" s="124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102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172</v>
      </c>
      <c r="H210" t="s">
        <v>172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16">
        <v>16</v>
      </c>
    </row>
    <row r="211" spans="1:11" ht="18.75" customHeight="1" x14ac:dyDescent="0.35">
      <c r="A211" s="116">
        <v>2025</v>
      </c>
      <c r="B211" t="s">
        <v>176</v>
      </c>
      <c r="C211" s="124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137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172</v>
      </c>
      <c r="H211" t="s">
        <v>172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16">
        <v>12</v>
      </c>
    </row>
    <row r="212" spans="1:11" ht="18.75" customHeight="1" x14ac:dyDescent="0.35">
      <c r="A212" s="116">
        <v>2025</v>
      </c>
      <c r="B212" t="s">
        <v>176</v>
      </c>
      <c r="C212" s="124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78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172</v>
      </c>
      <c r="H212" t="s">
        <v>172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16">
        <v>0</v>
      </c>
    </row>
    <row r="213" spans="1:11" ht="18.75" customHeight="1" x14ac:dyDescent="0.35">
      <c r="A213" s="126">
        <v>2025</v>
      </c>
      <c r="B213" t="s">
        <v>9</v>
      </c>
      <c r="C213" s="124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192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172</v>
      </c>
      <c r="H213" t="s">
        <v>172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16">
        <v>130</v>
      </c>
    </row>
    <row r="214" spans="1:11" ht="18.75" customHeight="1" x14ac:dyDescent="0.35">
      <c r="A214" s="116">
        <v>2025</v>
      </c>
      <c r="B214" t="s">
        <v>9</v>
      </c>
      <c r="C214" s="124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193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172</v>
      </c>
      <c r="H214" t="s">
        <v>172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16">
        <v>3</v>
      </c>
    </row>
    <row r="215" spans="1:11" ht="18.75" customHeight="1" x14ac:dyDescent="0.35">
      <c r="A215" s="116">
        <v>2025</v>
      </c>
      <c r="B215" t="s">
        <v>9</v>
      </c>
      <c r="C215" s="124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194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172</v>
      </c>
      <c r="H215" t="s">
        <v>172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16">
        <v>0</v>
      </c>
    </row>
    <row r="216" spans="1:11" ht="18.75" customHeight="1" x14ac:dyDescent="0.35">
      <c r="A216" s="116">
        <v>2025</v>
      </c>
      <c r="B216" t="s">
        <v>9</v>
      </c>
      <c r="C216" s="124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195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172</v>
      </c>
      <c r="H216" t="s">
        <v>172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16">
        <v>0</v>
      </c>
    </row>
    <row r="217" spans="1:11" ht="18.75" customHeight="1" x14ac:dyDescent="0.35">
      <c r="A217" s="116">
        <v>2025</v>
      </c>
      <c r="B217" t="s">
        <v>9</v>
      </c>
      <c r="C217" s="124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196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172</v>
      </c>
      <c r="H217" t="s">
        <v>172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16">
        <v>0</v>
      </c>
    </row>
    <row r="218" spans="1:11" ht="18.75" customHeight="1" x14ac:dyDescent="0.35">
      <c r="A218" s="116">
        <v>2025</v>
      </c>
      <c r="B218" t="s">
        <v>9</v>
      </c>
      <c r="C218" s="124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197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172</v>
      </c>
      <c r="H218" t="s">
        <v>172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16">
        <v>1</v>
      </c>
    </row>
    <row r="219" spans="1:11" ht="18.75" customHeight="1" x14ac:dyDescent="0.35">
      <c r="A219" s="116">
        <v>2025</v>
      </c>
      <c r="B219" t="s">
        <v>9</v>
      </c>
      <c r="C219" s="124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198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172</v>
      </c>
      <c r="H219" t="s">
        <v>172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16">
        <v>0</v>
      </c>
    </row>
    <row r="220" spans="1:11" ht="18.75" customHeight="1" x14ac:dyDescent="0.35">
      <c r="A220" s="116">
        <v>2025</v>
      </c>
      <c r="B220" t="s">
        <v>176</v>
      </c>
      <c r="C220" s="124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199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172</v>
      </c>
      <c r="H220" t="s">
        <v>172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16">
        <v>0</v>
      </c>
    </row>
    <row r="221" spans="1:11" ht="18.75" customHeight="1" x14ac:dyDescent="0.35">
      <c r="A221" s="116">
        <v>2025</v>
      </c>
      <c r="B221" t="s">
        <v>176</v>
      </c>
      <c r="C221" s="124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200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172</v>
      </c>
      <c r="H221" t="s">
        <v>172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16">
        <v>0</v>
      </c>
    </row>
    <row r="222" spans="1:11" ht="18.75" customHeight="1" x14ac:dyDescent="0.35">
      <c r="A222" s="116">
        <v>2025</v>
      </c>
      <c r="B222" t="s">
        <v>177</v>
      </c>
      <c r="C222" s="124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79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172</v>
      </c>
      <c r="H222" t="s">
        <v>172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16">
        <v>1321</v>
      </c>
    </row>
    <row r="223" spans="1:11" ht="18.75" customHeight="1" x14ac:dyDescent="0.35">
      <c r="A223" s="126">
        <v>2025</v>
      </c>
      <c r="B223" t="s">
        <v>177</v>
      </c>
      <c r="C223" s="124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70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172</v>
      </c>
      <c r="H223" t="s">
        <v>172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16">
        <v>9283</v>
      </c>
    </row>
    <row r="224" spans="1:11" ht="18.75" customHeight="1" x14ac:dyDescent="0.35">
      <c r="A224" s="116">
        <v>2025</v>
      </c>
      <c r="B224" t="s">
        <v>177</v>
      </c>
      <c r="C224" s="124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71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172</v>
      </c>
      <c r="H224" t="s">
        <v>172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16">
        <v>795</v>
      </c>
    </row>
    <row r="225" spans="1:11" ht="18.75" customHeight="1" x14ac:dyDescent="0.35">
      <c r="A225" s="116">
        <v>2025</v>
      </c>
      <c r="B225" t="s">
        <v>177</v>
      </c>
      <c r="C225" s="124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130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172</v>
      </c>
      <c r="H225" t="s">
        <v>172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16">
        <v>120</v>
      </c>
    </row>
    <row r="226" spans="1:11" ht="18.75" customHeight="1" x14ac:dyDescent="0.35">
      <c r="A226" s="116">
        <v>2025</v>
      </c>
      <c r="B226" t="s">
        <v>177</v>
      </c>
      <c r="C226" s="124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134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172</v>
      </c>
      <c r="H226" t="s">
        <v>172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16">
        <v>69</v>
      </c>
    </row>
    <row r="227" spans="1:11" ht="18.75" customHeight="1" x14ac:dyDescent="0.35">
      <c r="A227" s="116">
        <v>2025</v>
      </c>
      <c r="B227" t="s">
        <v>177</v>
      </c>
      <c r="C227" s="124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131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172</v>
      </c>
      <c r="H227" t="s">
        <v>172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16">
        <v>86</v>
      </c>
    </row>
    <row r="228" spans="1:11" ht="18.75" customHeight="1" x14ac:dyDescent="0.35">
      <c r="A228" s="116">
        <v>2025</v>
      </c>
      <c r="B228" t="s">
        <v>177</v>
      </c>
      <c r="C228" s="124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133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172</v>
      </c>
      <c r="H228" t="s">
        <v>172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16">
        <v>10</v>
      </c>
    </row>
    <row r="229" spans="1:11" ht="18.75" customHeight="1" x14ac:dyDescent="0.35">
      <c r="A229" s="116">
        <v>2025</v>
      </c>
      <c r="B229" t="s">
        <v>177</v>
      </c>
      <c r="C229" s="124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132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172</v>
      </c>
      <c r="H229" t="s">
        <v>172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16">
        <v>22</v>
      </c>
    </row>
    <row r="230" spans="1:11" ht="18.75" customHeight="1" x14ac:dyDescent="0.35">
      <c r="A230" s="116">
        <v>2025</v>
      </c>
      <c r="B230" t="s">
        <v>177</v>
      </c>
      <c r="C230" s="124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147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172</v>
      </c>
      <c r="H230" t="s">
        <v>172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16">
        <v>0</v>
      </c>
    </row>
    <row r="231" spans="1:11" ht="18.75" customHeight="1" x14ac:dyDescent="0.35">
      <c r="A231" s="116">
        <v>2025</v>
      </c>
      <c r="B231" t="s">
        <v>177</v>
      </c>
      <c r="C231" s="124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146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172</v>
      </c>
      <c r="H231" t="s">
        <v>172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16">
        <v>116292787</v>
      </c>
    </row>
    <row r="232" spans="1:11" ht="18.75" customHeight="1" x14ac:dyDescent="0.35">
      <c r="A232" s="116">
        <v>2025</v>
      </c>
      <c r="B232" t="s">
        <v>177</v>
      </c>
      <c r="C232" s="124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136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172</v>
      </c>
      <c r="H232" t="s">
        <v>172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18">
        <v>0.84</v>
      </c>
    </row>
    <row r="233" spans="1:11" ht="18.75" customHeight="1" x14ac:dyDescent="0.35">
      <c r="A233" s="126">
        <v>2025</v>
      </c>
      <c r="B233" t="s">
        <v>177</v>
      </c>
      <c r="C233" s="124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135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172</v>
      </c>
      <c r="H233" t="s">
        <v>172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16">
        <v>1087480</v>
      </c>
    </row>
    <row r="234" spans="1:11" ht="18.75" customHeight="1" x14ac:dyDescent="0.35">
      <c r="A234" s="126">
        <v>2025</v>
      </c>
      <c r="B234" t="s">
        <v>177</v>
      </c>
      <c r="C234" s="124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76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172</v>
      </c>
      <c r="H234" t="s">
        <v>172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16">
        <v>6</v>
      </c>
    </row>
    <row r="235" spans="1:11" ht="18.75" customHeight="1" x14ac:dyDescent="0.35">
      <c r="A235" s="126">
        <v>2025</v>
      </c>
      <c r="B235" t="s">
        <v>177</v>
      </c>
      <c r="C235" s="124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102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172</v>
      </c>
      <c r="H235" t="s">
        <v>172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16">
        <v>16</v>
      </c>
    </row>
    <row r="236" spans="1:11" ht="18.75" customHeight="1" x14ac:dyDescent="0.35">
      <c r="A236" s="126">
        <v>2025</v>
      </c>
      <c r="B236" t="s">
        <v>177</v>
      </c>
      <c r="C236" s="124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137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172</v>
      </c>
      <c r="H236" t="s">
        <v>172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16">
        <v>12</v>
      </c>
    </row>
    <row r="237" spans="1:11" ht="18.75" customHeight="1" x14ac:dyDescent="0.35">
      <c r="A237" s="126">
        <v>2025</v>
      </c>
      <c r="B237" t="s">
        <v>177</v>
      </c>
      <c r="C237" s="124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78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172</v>
      </c>
      <c r="H237" t="s">
        <v>172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16">
        <v>0</v>
      </c>
    </row>
    <row r="238" spans="1:11" ht="18.75" customHeight="1" x14ac:dyDescent="0.35">
      <c r="A238" s="126">
        <v>2025</v>
      </c>
      <c r="B238" t="s">
        <v>10</v>
      </c>
      <c r="C238" s="124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192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172</v>
      </c>
      <c r="H238" t="s">
        <v>172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16">
        <v>160</v>
      </c>
    </row>
    <row r="239" spans="1:11" ht="18.75" customHeight="1" x14ac:dyDescent="0.35">
      <c r="A239" s="126">
        <v>2025</v>
      </c>
      <c r="B239" t="s">
        <v>10</v>
      </c>
      <c r="C239" s="124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193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172</v>
      </c>
      <c r="H239" t="s">
        <v>172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16">
        <v>3</v>
      </c>
    </row>
    <row r="240" spans="1:11" ht="18.75" customHeight="1" x14ac:dyDescent="0.35">
      <c r="A240" s="126">
        <v>2025</v>
      </c>
      <c r="B240" t="s">
        <v>10</v>
      </c>
      <c r="C240" s="124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194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172</v>
      </c>
      <c r="H240" t="s">
        <v>172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16">
        <v>0</v>
      </c>
    </row>
    <row r="241" spans="1:11" ht="18.75" customHeight="1" x14ac:dyDescent="0.35">
      <c r="A241" s="126">
        <v>2025</v>
      </c>
      <c r="B241" t="s">
        <v>10</v>
      </c>
      <c r="C241" s="124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195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172</v>
      </c>
      <c r="H241" t="s">
        <v>172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16">
        <v>0</v>
      </c>
    </row>
    <row r="242" spans="1:11" ht="18.75" customHeight="1" x14ac:dyDescent="0.35">
      <c r="A242" s="126">
        <v>2025</v>
      </c>
      <c r="B242" t="s">
        <v>10</v>
      </c>
      <c r="C242" s="124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196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172</v>
      </c>
      <c r="H242" t="s">
        <v>172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16">
        <v>0</v>
      </c>
    </row>
    <row r="243" spans="1:11" ht="18.75" customHeight="1" x14ac:dyDescent="0.35">
      <c r="A243" s="126">
        <v>2025</v>
      </c>
      <c r="B243" t="s">
        <v>10</v>
      </c>
      <c r="C243" s="124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197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172</v>
      </c>
      <c r="H243" t="s">
        <v>172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16">
        <v>1</v>
      </c>
    </row>
    <row r="244" spans="1:11" ht="18.75" customHeight="1" x14ac:dyDescent="0.35">
      <c r="A244" s="126">
        <v>2025</v>
      </c>
      <c r="B244" t="s">
        <v>10</v>
      </c>
      <c r="C244" s="124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198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172</v>
      </c>
      <c r="H244" t="s">
        <v>172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16">
        <v>0</v>
      </c>
    </row>
    <row r="245" spans="1:11" ht="18.75" customHeight="1" x14ac:dyDescent="0.35">
      <c r="A245" s="126">
        <v>2025</v>
      </c>
      <c r="B245" t="s">
        <v>177</v>
      </c>
      <c r="C245" s="124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199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172</v>
      </c>
      <c r="H245" t="s">
        <v>172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16">
        <v>0</v>
      </c>
    </row>
    <row r="246" spans="1:11" ht="18.75" customHeight="1" x14ac:dyDescent="0.35">
      <c r="A246" s="126">
        <v>2025</v>
      </c>
      <c r="B246" t="s">
        <v>177</v>
      </c>
      <c r="C246" s="124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200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172</v>
      </c>
      <c r="H246" t="s">
        <v>172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16">
        <v>0</v>
      </c>
    </row>
    <row r="247" spans="1:11" ht="18.75" customHeight="1" x14ac:dyDescent="0.35">
      <c r="A247" s="126">
        <v>2025</v>
      </c>
      <c r="B247" t="s">
        <v>178</v>
      </c>
      <c r="C247" s="124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79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172</v>
      </c>
      <c r="H247" t="s">
        <v>172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16">
        <v>1327</v>
      </c>
    </row>
    <row r="248" spans="1:11" ht="18.75" customHeight="1" x14ac:dyDescent="0.35">
      <c r="A248" s="126">
        <v>2025</v>
      </c>
      <c r="B248" t="s">
        <v>178</v>
      </c>
      <c r="C248" s="124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70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172</v>
      </c>
      <c r="H248" t="s">
        <v>172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16">
        <v>9663</v>
      </c>
    </row>
    <row r="249" spans="1:11" ht="18.75" customHeight="1" x14ac:dyDescent="0.35">
      <c r="A249" s="126">
        <v>2025</v>
      </c>
      <c r="B249" t="s">
        <v>178</v>
      </c>
      <c r="C249" s="124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71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172</v>
      </c>
      <c r="H249" t="s">
        <v>172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16">
        <v>699</v>
      </c>
    </row>
    <row r="250" spans="1:11" ht="18.75" customHeight="1" x14ac:dyDescent="0.35">
      <c r="A250" s="126">
        <v>2025</v>
      </c>
      <c r="B250" t="s">
        <v>178</v>
      </c>
      <c r="C250" s="124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130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172</v>
      </c>
      <c r="H250" t="s">
        <v>172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16">
        <v>149</v>
      </c>
    </row>
    <row r="251" spans="1:11" ht="18.75" customHeight="1" x14ac:dyDescent="0.35">
      <c r="A251" s="126">
        <v>2025</v>
      </c>
      <c r="B251" t="s">
        <v>178</v>
      </c>
      <c r="C251" s="124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134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172</v>
      </c>
      <c r="H251" t="s">
        <v>172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16">
        <v>43</v>
      </c>
    </row>
    <row r="252" spans="1:11" ht="18.75" customHeight="1" x14ac:dyDescent="0.35">
      <c r="A252" s="126">
        <v>2025</v>
      </c>
      <c r="B252" t="s">
        <v>178</v>
      </c>
      <c r="C252" s="124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131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172</v>
      </c>
      <c r="H252" t="s">
        <v>172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16">
        <v>83</v>
      </c>
    </row>
    <row r="253" spans="1:11" ht="18.75" customHeight="1" x14ac:dyDescent="0.35">
      <c r="A253" s="126">
        <v>2025</v>
      </c>
      <c r="B253" t="s">
        <v>178</v>
      </c>
      <c r="C253" s="124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133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172</v>
      </c>
      <c r="H253" t="s">
        <v>172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16">
        <v>10</v>
      </c>
    </row>
    <row r="254" spans="1:11" ht="18.75" customHeight="1" x14ac:dyDescent="0.35">
      <c r="A254" s="126">
        <v>2025</v>
      </c>
      <c r="B254" t="s">
        <v>178</v>
      </c>
      <c r="C254" s="124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132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172</v>
      </c>
      <c r="H254" t="s">
        <v>172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16">
        <v>26</v>
      </c>
    </row>
    <row r="255" spans="1:11" ht="18.75" customHeight="1" x14ac:dyDescent="0.35">
      <c r="A255" s="126">
        <v>2025</v>
      </c>
      <c r="B255" t="s">
        <v>178</v>
      </c>
      <c r="C255" s="124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147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172</v>
      </c>
      <c r="H255" t="s">
        <v>172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16">
        <v>93773133</v>
      </c>
    </row>
    <row r="256" spans="1:11" ht="18.75" customHeight="1" x14ac:dyDescent="0.35">
      <c r="A256" s="126">
        <v>2025</v>
      </c>
      <c r="B256" t="s">
        <v>178</v>
      </c>
      <c r="C256" s="124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146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172</v>
      </c>
      <c r="H256" t="s">
        <v>172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16">
        <v>18957206</v>
      </c>
    </row>
    <row r="257" spans="1:11" ht="18.75" customHeight="1" x14ac:dyDescent="0.35">
      <c r="A257" s="126">
        <v>2025</v>
      </c>
      <c r="B257" t="s">
        <v>178</v>
      </c>
      <c r="C257" s="124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136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172</v>
      </c>
      <c r="H257" t="s">
        <v>172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18">
        <v>0.93</v>
      </c>
    </row>
    <row r="258" spans="1:11" ht="18.75" customHeight="1" x14ac:dyDescent="0.35">
      <c r="A258" s="126">
        <v>2025</v>
      </c>
      <c r="B258" t="s">
        <v>178</v>
      </c>
      <c r="C258" s="124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135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172</v>
      </c>
      <c r="H258" t="s">
        <v>172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16">
        <v>2803741</v>
      </c>
    </row>
    <row r="259" spans="1:11" ht="18.75" customHeight="1" x14ac:dyDescent="0.35">
      <c r="A259" s="126">
        <v>2025</v>
      </c>
      <c r="B259" t="s">
        <v>178</v>
      </c>
      <c r="C259" s="124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76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172</v>
      </c>
      <c r="H259" t="s">
        <v>172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16">
        <v>9</v>
      </c>
    </row>
    <row r="260" spans="1:11" ht="18.75" customHeight="1" x14ac:dyDescent="0.35">
      <c r="A260" s="126">
        <v>2025</v>
      </c>
      <c r="B260" t="s">
        <v>178</v>
      </c>
      <c r="C260" s="124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102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172</v>
      </c>
      <c r="H260" t="s">
        <v>172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16">
        <v>16</v>
      </c>
    </row>
    <row r="261" spans="1:11" ht="18.75" customHeight="1" x14ac:dyDescent="0.35">
      <c r="A261" s="126">
        <v>2025</v>
      </c>
      <c r="B261" t="s">
        <v>178</v>
      </c>
      <c r="C261" s="124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137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172</v>
      </c>
      <c r="H261" t="s">
        <v>172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16">
        <v>12</v>
      </c>
    </row>
    <row r="262" spans="1:11" ht="18.75" customHeight="1" x14ac:dyDescent="0.35">
      <c r="A262" s="126">
        <v>2025</v>
      </c>
      <c r="B262" t="s">
        <v>178</v>
      </c>
      <c r="C262" s="124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78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172</v>
      </c>
      <c r="H262" t="s">
        <v>172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16">
        <v>0</v>
      </c>
    </row>
    <row r="263" spans="1:11" ht="18.75" customHeight="1" x14ac:dyDescent="0.35">
      <c r="A263" s="126">
        <v>2025</v>
      </c>
      <c r="B263" t="s">
        <v>11</v>
      </c>
      <c r="C263" s="124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192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172</v>
      </c>
      <c r="H263" t="s">
        <v>172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16">
        <v>75</v>
      </c>
    </row>
    <row r="264" spans="1:11" ht="18.75" customHeight="1" x14ac:dyDescent="0.35">
      <c r="A264" s="126">
        <v>2025</v>
      </c>
      <c r="B264" t="s">
        <v>11</v>
      </c>
      <c r="C264" s="124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193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172</v>
      </c>
      <c r="H264" t="s">
        <v>172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16">
        <v>0</v>
      </c>
    </row>
    <row r="265" spans="1:11" ht="18.75" customHeight="1" x14ac:dyDescent="0.35">
      <c r="A265" s="126">
        <v>2025</v>
      </c>
      <c r="B265" t="s">
        <v>11</v>
      </c>
      <c r="C265" s="124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194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172</v>
      </c>
      <c r="H265" t="s">
        <v>172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16">
        <v>0</v>
      </c>
    </row>
    <row r="266" spans="1:11" ht="18.75" customHeight="1" x14ac:dyDescent="0.35">
      <c r="A266" s="126">
        <v>2025</v>
      </c>
      <c r="B266" t="s">
        <v>11</v>
      </c>
      <c r="C266" s="124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195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172</v>
      </c>
      <c r="H266" t="s">
        <v>172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16">
        <v>0</v>
      </c>
    </row>
    <row r="267" spans="1:11" ht="18.75" customHeight="1" x14ac:dyDescent="0.35">
      <c r="A267" s="126">
        <v>2025</v>
      </c>
      <c r="B267" t="s">
        <v>11</v>
      </c>
      <c r="C267" s="124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196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172</v>
      </c>
      <c r="H267" t="s">
        <v>172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16">
        <v>0</v>
      </c>
    </row>
    <row r="268" spans="1:11" ht="18.75" customHeight="1" x14ac:dyDescent="0.35">
      <c r="A268" s="126">
        <v>2025</v>
      </c>
      <c r="B268" t="s">
        <v>11</v>
      </c>
      <c r="C268" s="124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197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172</v>
      </c>
      <c r="H268" t="s">
        <v>172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16">
        <v>1</v>
      </c>
    </row>
    <row r="269" spans="1:11" ht="18.75" customHeight="1" x14ac:dyDescent="0.35">
      <c r="A269" s="126">
        <v>2025</v>
      </c>
      <c r="B269" t="s">
        <v>11</v>
      </c>
      <c r="C269" s="124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198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172</v>
      </c>
      <c r="H269" t="s">
        <v>172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16">
        <v>3</v>
      </c>
    </row>
    <row r="270" spans="1:11" ht="18.75" customHeight="1" x14ac:dyDescent="0.35">
      <c r="A270" s="126">
        <v>2025</v>
      </c>
      <c r="B270" t="s">
        <v>178</v>
      </c>
      <c r="C270" s="124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199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172</v>
      </c>
      <c r="H270" t="s">
        <v>172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16">
        <v>373</v>
      </c>
    </row>
    <row r="271" spans="1:11" ht="18.75" customHeight="1" x14ac:dyDescent="0.35">
      <c r="A271" s="126">
        <v>2025</v>
      </c>
      <c r="B271" t="s">
        <v>178</v>
      </c>
      <c r="C271" s="124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200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172</v>
      </c>
      <c r="H271" t="s">
        <v>172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16">
        <v>0</v>
      </c>
    </row>
    <row r="272" spans="1:11" ht="18.75" customHeight="1" x14ac:dyDescent="0.35">
      <c r="A272" s="126">
        <v>2025</v>
      </c>
      <c r="B272" t="s">
        <v>179</v>
      </c>
      <c r="C272" s="124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79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172</v>
      </c>
      <c r="H272" t="s">
        <v>172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16">
        <v>1329</v>
      </c>
    </row>
    <row r="273" spans="1:11" ht="18.75" customHeight="1" x14ac:dyDescent="0.35">
      <c r="A273" s="126">
        <v>2025</v>
      </c>
      <c r="B273" t="s">
        <v>179</v>
      </c>
      <c r="C273" s="124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70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172</v>
      </c>
      <c r="H273" t="s">
        <v>172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16">
        <v>11346</v>
      </c>
    </row>
    <row r="274" spans="1:11" ht="18.75" customHeight="1" x14ac:dyDescent="0.35">
      <c r="A274" s="126">
        <v>2025</v>
      </c>
      <c r="B274" t="s">
        <v>179</v>
      </c>
      <c r="C274" s="124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71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172</v>
      </c>
      <c r="H274" t="s">
        <v>172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16">
        <v>395</v>
      </c>
    </row>
    <row r="275" spans="1:11" ht="18.75" customHeight="1" x14ac:dyDescent="0.35">
      <c r="A275" s="126">
        <v>2025</v>
      </c>
      <c r="B275" t="s">
        <v>179</v>
      </c>
      <c r="C275" s="124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130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172</v>
      </c>
      <c r="H275" t="s">
        <v>172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16">
        <v>111</v>
      </c>
    </row>
    <row r="276" spans="1:11" ht="18.75" customHeight="1" x14ac:dyDescent="0.35">
      <c r="A276" s="126">
        <v>2025</v>
      </c>
      <c r="B276" t="s">
        <v>179</v>
      </c>
      <c r="C276" s="124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134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172</v>
      </c>
      <c r="H276" t="s">
        <v>172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16">
        <v>51</v>
      </c>
    </row>
    <row r="277" spans="1:11" ht="18.75" customHeight="1" x14ac:dyDescent="0.35">
      <c r="A277" s="126">
        <v>2025</v>
      </c>
      <c r="B277" t="s">
        <v>179</v>
      </c>
      <c r="C277" s="124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131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172</v>
      </c>
      <c r="H277" t="s">
        <v>172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16">
        <v>62</v>
      </c>
    </row>
    <row r="278" spans="1:11" ht="18.75" customHeight="1" x14ac:dyDescent="0.35">
      <c r="A278" s="126">
        <v>2025</v>
      </c>
      <c r="B278" t="s">
        <v>179</v>
      </c>
      <c r="C278" s="124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133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172</v>
      </c>
      <c r="H278" t="s">
        <v>172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16">
        <v>11</v>
      </c>
    </row>
    <row r="279" spans="1:11" ht="18.75" customHeight="1" x14ac:dyDescent="0.35">
      <c r="A279" s="126">
        <v>2025</v>
      </c>
      <c r="B279" t="s">
        <v>179</v>
      </c>
      <c r="C279" s="124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132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172</v>
      </c>
      <c r="H279" t="s">
        <v>172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16">
        <v>32</v>
      </c>
    </row>
    <row r="280" spans="1:11" ht="18.75" customHeight="1" x14ac:dyDescent="0.35">
      <c r="A280" s="126">
        <v>2025</v>
      </c>
      <c r="B280" t="s">
        <v>179</v>
      </c>
      <c r="C280" s="124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147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172</v>
      </c>
      <c r="H280" t="s">
        <v>172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16">
        <v>13420205</v>
      </c>
    </row>
    <row r="281" spans="1:11" ht="18.75" customHeight="1" x14ac:dyDescent="0.35">
      <c r="A281" s="126">
        <v>2025</v>
      </c>
      <c r="B281" t="s">
        <v>179</v>
      </c>
      <c r="C281" s="124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146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172</v>
      </c>
      <c r="H281" t="s">
        <v>172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16">
        <v>97439592</v>
      </c>
    </row>
    <row r="282" spans="1:11" ht="18.75" customHeight="1" x14ac:dyDescent="0.35">
      <c r="A282" s="126">
        <v>2025</v>
      </c>
      <c r="B282" t="s">
        <v>179</v>
      </c>
      <c r="C282" s="124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136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172</v>
      </c>
      <c r="H282" t="s">
        <v>172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18">
        <v>0.95</v>
      </c>
    </row>
    <row r="283" spans="1:11" ht="18.75" customHeight="1" x14ac:dyDescent="0.35">
      <c r="A283" s="126">
        <v>2025</v>
      </c>
      <c r="B283" t="s">
        <v>179</v>
      </c>
      <c r="C283" s="124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135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172</v>
      </c>
      <c r="H283" t="s">
        <v>172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16">
        <v>5153560</v>
      </c>
    </row>
    <row r="284" spans="1:11" ht="18.75" customHeight="1" x14ac:dyDescent="0.35">
      <c r="A284" s="126">
        <v>2025</v>
      </c>
      <c r="B284" t="s">
        <v>179</v>
      </c>
      <c r="C284" s="124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76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172</v>
      </c>
      <c r="H284" t="s">
        <v>172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16">
        <v>4</v>
      </c>
    </row>
    <row r="285" spans="1:11" ht="18.75" customHeight="1" x14ac:dyDescent="0.35">
      <c r="A285" s="126">
        <v>2025</v>
      </c>
      <c r="B285" t="s">
        <v>179</v>
      </c>
      <c r="C285" s="124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102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172</v>
      </c>
      <c r="H285" t="s">
        <v>172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16">
        <v>16</v>
      </c>
    </row>
    <row r="286" spans="1:11" ht="18.75" customHeight="1" x14ac:dyDescent="0.35">
      <c r="A286" s="126">
        <v>2025</v>
      </c>
      <c r="B286" t="s">
        <v>179</v>
      </c>
      <c r="C286" s="124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137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172</v>
      </c>
      <c r="H286" t="s">
        <v>172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16">
        <v>12</v>
      </c>
    </row>
    <row r="287" spans="1:11" ht="18.75" customHeight="1" x14ac:dyDescent="0.35">
      <c r="A287" s="126">
        <v>2025</v>
      </c>
      <c r="B287" t="s">
        <v>179</v>
      </c>
      <c r="C287" s="124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78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172</v>
      </c>
      <c r="H287" t="s">
        <v>172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16">
        <v>0</v>
      </c>
    </row>
    <row r="288" spans="1:11" ht="18.75" customHeight="1" x14ac:dyDescent="0.35">
      <c r="A288" s="126">
        <v>2025</v>
      </c>
      <c r="B288" t="s">
        <v>179</v>
      </c>
      <c r="C288" s="124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192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172</v>
      </c>
      <c r="H288" t="s">
        <v>172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16">
        <v>208</v>
      </c>
    </row>
    <row r="289" spans="1:11" ht="18.75" customHeight="1" x14ac:dyDescent="0.35">
      <c r="A289" s="126">
        <v>2025</v>
      </c>
      <c r="B289" t="s">
        <v>179</v>
      </c>
      <c r="C289" s="124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193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172</v>
      </c>
      <c r="H289" t="s">
        <v>172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16">
        <v>1</v>
      </c>
    </row>
    <row r="290" spans="1:11" ht="18.75" customHeight="1" x14ac:dyDescent="0.35">
      <c r="A290" s="126">
        <v>2025</v>
      </c>
      <c r="B290" t="s">
        <v>179</v>
      </c>
      <c r="C290" s="124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194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172</v>
      </c>
      <c r="H290" t="s">
        <v>172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16">
        <v>0</v>
      </c>
    </row>
    <row r="291" spans="1:11" ht="18.75" customHeight="1" x14ac:dyDescent="0.35">
      <c r="A291" s="126">
        <v>2025</v>
      </c>
      <c r="B291" t="s">
        <v>179</v>
      </c>
      <c r="C291" s="124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195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172</v>
      </c>
      <c r="H291" t="s">
        <v>172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16">
        <v>0</v>
      </c>
    </row>
    <row r="292" spans="1:11" ht="18.75" customHeight="1" x14ac:dyDescent="0.35">
      <c r="A292" s="126">
        <v>2025</v>
      </c>
      <c r="B292" t="s">
        <v>179</v>
      </c>
      <c r="C292" s="124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196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172</v>
      </c>
      <c r="H292" t="s">
        <v>172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16">
        <v>0</v>
      </c>
    </row>
    <row r="293" spans="1:11" ht="18.75" customHeight="1" x14ac:dyDescent="0.35">
      <c r="A293" s="126">
        <v>2025</v>
      </c>
      <c r="B293" t="s">
        <v>179</v>
      </c>
      <c r="C293" s="124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197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172</v>
      </c>
      <c r="H293" t="s">
        <v>172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16">
        <v>1</v>
      </c>
    </row>
    <row r="294" spans="1:11" ht="18.75" customHeight="1" x14ac:dyDescent="0.35">
      <c r="A294" s="126">
        <v>2025</v>
      </c>
      <c r="B294" t="s">
        <v>179</v>
      </c>
      <c r="C294" s="124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198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172</v>
      </c>
      <c r="H294" t="s">
        <v>172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16">
        <v>0</v>
      </c>
    </row>
    <row r="295" spans="1:11" ht="18.75" customHeight="1" x14ac:dyDescent="0.35">
      <c r="A295" s="126">
        <v>2025</v>
      </c>
      <c r="B295" t="s">
        <v>179</v>
      </c>
      <c r="C295" s="124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199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172</v>
      </c>
      <c r="H295" t="s">
        <v>172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16">
        <v>1244</v>
      </c>
    </row>
    <row r="296" spans="1:11" ht="18.75" customHeight="1" x14ac:dyDescent="0.35">
      <c r="A296" s="126">
        <v>2025</v>
      </c>
      <c r="B296" t="s">
        <v>179</v>
      </c>
      <c r="C296" s="124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200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172</v>
      </c>
      <c r="H296" t="s">
        <v>172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16">
        <v>0</v>
      </c>
    </row>
    <row r="297" spans="1:11" ht="18.75" customHeight="1" x14ac:dyDescent="0.35">
      <c r="A297" s="126">
        <v>2025</v>
      </c>
      <c r="B297" t="s">
        <v>180</v>
      </c>
      <c r="C297" s="124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79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172</v>
      </c>
      <c r="H297" t="s">
        <v>172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16">
        <v>1334</v>
      </c>
    </row>
    <row r="298" spans="1:11" ht="18.75" customHeight="1" x14ac:dyDescent="0.35">
      <c r="A298" s="126">
        <v>2025</v>
      </c>
      <c r="B298" t="s">
        <v>180</v>
      </c>
      <c r="C298" s="124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70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172</v>
      </c>
      <c r="H298" t="s">
        <v>172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16">
        <v>9310</v>
      </c>
    </row>
    <row r="299" spans="1:11" ht="18.75" customHeight="1" x14ac:dyDescent="0.35">
      <c r="A299" s="126">
        <v>2025</v>
      </c>
      <c r="B299" t="s">
        <v>180</v>
      </c>
      <c r="C299" s="124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71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172</v>
      </c>
      <c r="H299" t="s">
        <v>172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16">
        <v>288</v>
      </c>
    </row>
    <row r="300" spans="1:11" ht="18.75" customHeight="1" x14ac:dyDescent="0.35">
      <c r="A300" s="126">
        <v>2025</v>
      </c>
      <c r="B300" t="s">
        <v>180</v>
      </c>
      <c r="C300" s="124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130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172</v>
      </c>
      <c r="H300" t="s">
        <v>172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16">
        <v>104</v>
      </c>
    </row>
    <row r="301" spans="1:11" ht="18.75" customHeight="1" x14ac:dyDescent="0.35">
      <c r="A301" s="126">
        <v>2025</v>
      </c>
      <c r="B301" t="s">
        <v>180</v>
      </c>
      <c r="C301" s="124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134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172</v>
      </c>
      <c r="H301" t="s">
        <v>172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16">
        <v>18</v>
      </c>
    </row>
    <row r="302" spans="1:11" ht="18.75" customHeight="1" x14ac:dyDescent="0.35">
      <c r="A302" s="126">
        <v>2025</v>
      </c>
      <c r="B302" t="s">
        <v>180</v>
      </c>
      <c r="C302" s="124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131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172</v>
      </c>
      <c r="H302" t="s">
        <v>172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16">
        <v>71</v>
      </c>
    </row>
    <row r="303" spans="1:11" ht="18.75" customHeight="1" x14ac:dyDescent="0.35">
      <c r="A303" s="126">
        <v>2025</v>
      </c>
      <c r="B303" t="s">
        <v>180</v>
      </c>
      <c r="C303" s="124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133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172</v>
      </c>
      <c r="H303" t="s">
        <v>172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16">
        <v>8</v>
      </c>
    </row>
    <row r="304" spans="1:11" ht="18.75" customHeight="1" x14ac:dyDescent="0.35">
      <c r="A304" s="126">
        <v>2025</v>
      </c>
      <c r="B304" t="s">
        <v>180</v>
      </c>
      <c r="C304" s="124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132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172</v>
      </c>
      <c r="H304" t="s">
        <v>172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16">
        <v>14</v>
      </c>
    </row>
    <row r="305" spans="1:11" ht="18.75" customHeight="1" x14ac:dyDescent="0.35">
      <c r="A305" s="126">
        <v>2025</v>
      </c>
      <c r="B305" t="s">
        <v>180</v>
      </c>
      <c r="C305" s="124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147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172</v>
      </c>
      <c r="H305" t="s">
        <v>172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16">
        <v>16122080</v>
      </c>
    </row>
    <row r="306" spans="1:11" ht="18.75" customHeight="1" x14ac:dyDescent="0.35">
      <c r="A306" s="126">
        <v>2025</v>
      </c>
      <c r="B306" t="s">
        <v>180</v>
      </c>
      <c r="C306" s="124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146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172</v>
      </c>
      <c r="H306" t="s">
        <v>172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16">
        <v>348831164</v>
      </c>
    </row>
    <row r="307" spans="1:11" ht="18.75" customHeight="1" x14ac:dyDescent="0.35">
      <c r="A307" s="126">
        <v>2025</v>
      </c>
      <c r="B307" t="s">
        <v>180</v>
      </c>
      <c r="C307" s="124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136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172</v>
      </c>
      <c r="H307" t="s">
        <v>172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18">
        <v>0.85</v>
      </c>
    </row>
    <row r="308" spans="1:11" ht="18.75" customHeight="1" x14ac:dyDescent="0.35">
      <c r="A308" s="126">
        <v>2025</v>
      </c>
      <c r="B308" t="s">
        <v>180</v>
      </c>
      <c r="C308" s="124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135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172</v>
      </c>
      <c r="H308" t="s">
        <v>172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16">
        <v>1256418</v>
      </c>
    </row>
    <row r="309" spans="1:11" ht="18.75" customHeight="1" x14ac:dyDescent="0.35">
      <c r="A309" s="126">
        <v>2025</v>
      </c>
      <c r="B309" t="s">
        <v>180</v>
      </c>
      <c r="C309" s="124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76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172</v>
      </c>
      <c r="H309" t="s">
        <v>172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16">
        <v>4</v>
      </c>
    </row>
    <row r="310" spans="1:11" ht="18.75" customHeight="1" x14ac:dyDescent="0.35">
      <c r="A310" s="126">
        <v>2025</v>
      </c>
      <c r="B310" t="s">
        <v>180</v>
      </c>
      <c r="C310" s="124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102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172</v>
      </c>
      <c r="H310" t="s">
        <v>172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16">
        <v>16</v>
      </c>
    </row>
    <row r="311" spans="1:11" ht="18.75" customHeight="1" x14ac:dyDescent="0.35">
      <c r="A311" s="126">
        <v>2025</v>
      </c>
      <c r="B311" t="s">
        <v>180</v>
      </c>
      <c r="C311" s="124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137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172</v>
      </c>
      <c r="H311" t="s">
        <v>172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16">
        <v>12</v>
      </c>
    </row>
    <row r="312" spans="1:11" ht="18.75" customHeight="1" x14ac:dyDescent="0.35">
      <c r="A312" s="126">
        <v>2025</v>
      </c>
      <c r="B312" t="s">
        <v>180</v>
      </c>
      <c r="C312" s="124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78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172</v>
      </c>
      <c r="H312" t="s">
        <v>172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16">
        <v>0</v>
      </c>
    </row>
    <row r="313" spans="1:11" ht="18.75" customHeight="1" x14ac:dyDescent="0.35">
      <c r="A313" s="126">
        <v>2025</v>
      </c>
      <c r="B313" t="s">
        <v>180</v>
      </c>
      <c r="C313" s="124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192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172</v>
      </c>
      <c r="H313" t="s">
        <v>172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16">
        <v>116</v>
      </c>
    </row>
    <row r="314" spans="1:11" ht="18.75" customHeight="1" x14ac:dyDescent="0.35">
      <c r="A314" s="126">
        <v>2025</v>
      </c>
      <c r="B314" t="s">
        <v>180</v>
      </c>
      <c r="C314" s="124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193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172</v>
      </c>
      <c r="H314" t="s">
        <v>172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16">
        <v>2</v>
      </c>
    </row>
    <row r="315" spans="1:11" ht="18.75" customHeight="1" x14ac:dyDescent="0.35">
      <c r="A315" s="126">
        <v>2025</v>
      </c>
      <c r="B315" t="s">
        <v>180</v>
      </c>
      <c r="C315" s="124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194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172</v>
      </c>
      <c r="H315" t="s">
        <v>172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16">
        <v>0</v>
      </c>
    </row>
    <row r="316" spans="1:11" ht="18.75" customHeight="1" x14ac:dyDescent="0.35">
      <c r="A316" s="126">
        <v>2025</v>
      </c>
      <c r="B316" t="s">
        <v>180</v>
      </c>
      <c r="C316" s="124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195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172</v>
      </c>
      <c r="H316" t="s">
        <v>172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16">
        <v>0</v>
      </c>
    </row>
    <row r="317" spans="1:11" ht="18.75" customHeight="1" x14ac:dyDescent="0.35">
      <c r="A317" s="126">
        <v>2025</v>
      </c>
      <c r="B317" t="s">
        <v>180</v>
      </c>
      <c r="C317" s="124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196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172</v>
      </c>
      <c r="H317" t="s">
        <v>172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16">
        <v>0</v>
      </c>
    </row>
    <row r="318" spans="1:11" ht="18.75" customHeight="1" x14ac:dyDescent="0.35">
      <c r="A318" s="126">
        <v>2025</v>
      </c>
      <c r="B318" t="s">
        <v>180</v>
      </c>
      <c r="C318" s="124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197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172</v>
      </c>
      <c r="H318" t="s">
        <v>172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16">
        <v>1</v>
      </c>
    </row>
    <row r="319" spans="1:11" ht="18.75" customHeight="1" x14ac:dyDescent="0.35">
      <c r="A319" s="126">
        <v>2025</v>
      </c>
      <c r="B319" t="s">
        <v>180</v>
      </c>
      <c r="C319" s="124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198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172</v>
      </c>
      <c r="H319" t="s">
        <v>172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16">
        <v>0</v>
      </c>
    </row>
    <row r="320" spans="1:11" ht="18.75" customHeight="1" x14ac:dyDescent="0.35">
      <c r="A320" s="126">
        <v>2025</v>
      </c>
      <c r="B320" t="s">
        <v>180</v>
      </c>
      <c r="C320" s="124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199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172</v>
      </c>
      <c r="H320" t="s">
        <v>172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16">
        <v>798</v>
      </c>
    </row>
    <row r="321" spans="1:11" ht="18.75" customHeight="1" x14ac:dyDescent="0.35">
      <c r="A321" s="126">
        <v>2025</v>
      </c>
      <c r="B321" t="s">
        <v>180</v>
      </c>
      <c r="C321" s="124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200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172</v>
      </c>
      <c r="H321" t="s">
        <v>172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16">
        <v>0</v>
      </c>
    </row>
    <row r="322" spans="1:11" ht="18.75" customHeight="1" x14ac:dyDescent="0.35">
      <c r="A322" s="126">
        <v>2025</v>
      </c>
      <c r="B322" t="s">
        <v>181</v>
      </c>
      <c r="C322" s="124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79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172</v>
      </c>
      <c r="H322" t="s">
        <v>172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16">
        <v>1348</v>
      </c>
    </row>
    <row r="323" spans="1:11" ht="18.75" customHeight="1" x14ac:dyDescent="0.35">
      <c r="A323" s="126">
        <v>2025</v>
      </c>
      <c r="B323" t="s">
        <v>181</v>
      </c>
      <c r="C323" s="124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70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172</v>
      </c>
      <c r="H323" t="s">
        <v>172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16">
        <v>10287</v>
      </c>
    </row>
    <row r="324" spans="1:11" ht="18.75" customHeight="1" x14ac:dyDescent="0.35">
      <c r="A324" s="126">
        <v>2025</v>
      </c>
      <c r="B324" t="s">
        <v>181</v>
      </c>
      <c r="C324" s="124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71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172</v>
      </c>
      <c r="H324" t="s">
        <v>172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16">
        <v>295</v>
      </c>
    </row>
    <row r="325" spans="1:11" ht="18.75" customHeight="1" x14ac:dyDescent="0.35">
      <c r="A325" s="126">
        <v>2025</v>
      </c>
      <c r="B325" t="s">
        <v>181</v>
      </c>
      <c r="C325" s="124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130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172</v>
      </c>
      <c r="H325" t="s">
        <v>172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16">
        <v>79</v>
      </c>
    </row>
    <row r="326" spans="1:11" ht="18.75" customHeight="1" x14ac:dyDescent="0.35">
      <c r="A326" s="126">
        <v>2025</v>
      </c>
      <c r="B326" t="s">
        <v>181</v>
      </c>
      <c r="C326" s="124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134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172</v>
      </c>
      <c r="H326" t="s">
        <v>172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16">
        <v>128</v>
      </c>
    </row>
    <row r="327" spans="1:11" ht="18.75" customHeight="1" x14ac:dyDescent="0.35">
      <c r="A327" s="126">
        <v>2025</v>
      </c>
      <c r="B327" t="s">
        <v>181</v>
      </c>
      <c r="C327" s="124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131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172</v>
      </c>
      <c r="H327" t="s">
        <v>172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16">
        <v>24</v>
      </c>
    </row>
    <row r="328" spans="1:11" ht="18.75" customHeight="1" x14ac:dyDescent="0.35">
      <c r="A328" s="126">
        <v>2025</v>
      </c>
      <c r="B328" t="s">
        <v>181</v>
      </c>
      <c r="C328" s="124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133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172</v>
      </c>
      <c r="H328" t="s">
        <v>172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16">
        <v>18</v>
      </c>
    </row>
    <row r="329" spans="1:11" ht="18.75" customHeight="1" x14ac:dyDescent="0.35">
      <c r="A329" s="126">
        <v>2025</v>
      </c>
      <c r="B329" t="s">
        <v>181</v>
      </c>
      <c r="C329" s="124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132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172</v>
      </c>
      <c r="H329" t="s">
        <v>172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16">
        <v>162</v>
      </c>
    </row>
    <row r="330" spans="1:11" ht="18.75" customHeight="1" x14ac:dyDescent="0.35">
      <c r="A330" s="126">
        <v>2025</v>
      </c>
      <c r="B330" t="s">
        <v>181</v>
      </c>
      <c r="C330" s="124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147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172</v>
      </c>
      <c r="H330" t="s">
        <v>172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16">
        <v>20858037</v>
      </c>
    </row>
    <row r="331" spans="1:11" ht="18.75" customHeight="1" x14ac:dyDescent="0.35">
      <c r="A331" s="126">
        <v>2025</v>
      </c>
      <c r="B331" t="s">
        <v>181</v>
      </c>
      <c r="C331" s="124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146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172</v>
      </c>
      <c r="H331" t="s">
        <v>172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16">
        <v>10467320</v>
      </c>
    </row>
    <row r="332" spans="1:11" ht="18.75" customHeight="1" x14ac:dyDescent="0.35">
      <c r="A332" s="126">
        <v>2025</v>
      </c>
      <c r="B332" t="s">
        <v>181</v>
      </c>
      <c r="C332" s="124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136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172</v>
      </c>
      <c r="H332" t="s">
        <v>172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18">
        <v>0.91</v>
      </c>
    </row>
    <row r="333" spans="1:11" ht="18.75" customHeight="1" x14ac:dyDescent="0.35">
      <c r="A333" s="126">
        <v>2025</v>
      </c>
      <c r="B333" t="s">
        <v>181</v>
      </c>
      <c r="C333" s="124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135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172</v>
      </c>
      <c r="H333" t="s">
        <v>172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16">
        <v>10752203</v>
      </c>
    </row>
    <row r="334" spans="1:11" ht="18.75" customHeight="1" x14ac:dyDescent="0.35">
      <c r="A334" s="126">
        <v>2025</v>
      </c>
      <c r="B334" t="s">
        <v>181</v>
      </c>
      <c r="C334" s="124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76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172</v>
      </c>
      <c r="H334" t="s">
        <v>172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16">
        <v>4</v>
      </c>
    </row>
    <row r="335" spans="1:11" ht="18.75" customHeight="1" x14ac:dyDescent="0.35">
      <c r="A335" s="126">
        <v>2025</v>
      </c>
      <c r="B335" t="s">
        <v>181</v>
      </c>
      <c r="C335" s="124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102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172</v>
      </c>
      <c r="H335" t="s">
        <v>172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16">
        <v>16</v>
      </c>
    </row>
    <row r="336" spans="1:11" ht="18.75" customHeight="1" x14ac:dyDescent="0.35">
      <c r="A336" s="126">
        <v>2025</v>
      </c>
      <c r="B336" t="s">
        <v>181</v>
      </c>
      <c r="C336" s="124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137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172</v>
      </c>
      <c r="H336" t="s">
        <v>172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16">
        <v>12</v>
      </c>
    </row>
    <row r="337" spans="1:11" ht="18.75" customHeight="1" x14ac:dyDescent="0.35">
      <c r="A337" s="126">
        <v>2025</v>
      </c>
      <c r="B337" t="s">
        <v>181</v>
      </c>
      <c r="C337" s="124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78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172</v>
      </c>
      <c r="H337" t="s">
        <v>172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16">
        <v>0</v>
      </c>
    </row>
    <row r="338" spans="1:11" ht="18.75" customHeight="1" x14ac:dyDescent="0.35">
      <c r="A338" s="126">
        <v>2025</v>
      </c>
      <c r="B338" t="s">
        <v>181</v>
      </c>
      <c r="C338" s="124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192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172</v>
      </c>
      <c r="H338" t="s">
        <v>172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16">
        <v>176</v>
      </c>
    </row>
    <row r="339" spans="1:11" ht="18.75" customHeight="1" x14ac:dyDescent="0.35">
      <c r="A339" s="126">
        <v>2025</v>
      </c>
      <c r="B339" t="s">
        <v>181</v>
      </c>
      <c r="C339" s="124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193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172</v>
      </c>
      <c r="H339" t="s">
        <v>172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16">
        <v>0</v>
      </c>
    </row>
    <row r="340" spans="1:11" ht="18.75" customHeight="1" x14ac:dyDescent="0.35">
      <c r="A340" s="126">
        <v>2025</v>
      </c>
      <c r="B340" t="s">
        <v>181</v>
      </c>
      <c r="C340" s="124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194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172</v>
      </c>
      <c r="H340" t="s">
        <v>172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16">
        <v>11</v>
      </c>
    </row>
    <row r="341" spans="1:11" ht="18.75" customHeight="1" x14ac:dyDescent="0.35">
      <c r="A341" s="126">
        <v>2025</v>
      </c>
      <c r="B341" t="s">
        <v>181</v>
      </c>
      <c r="C341" s="124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195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172</v>
      </c>
      <c r="H341" t="s">
        <v>172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16">
        <v>15</v>
      </c>
    </row>
    <row r="342" spans="1:11" ht="18.75" customHeight="1" x14ac:dyDescent="0.35">
      <c r="A342" s="126">
        <v>2025</v>
      </c>
      <c r="B342" t="s">
        <v>181</v>
      </c>
      <c r="C342" s="124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196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172</v>
      </c>
      <c r="H342" t="s">
        <v>172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16">
        <v>6</v>
      </c>
    </row>
    <row r="343" spans="1:11" ht="18.75" customHeight="1" x14ac:dyDescent="0.35">
      <c r="A343" s="126">
        <v>2025</v>
      </c>
      <c r="B343" t="s">
        <v>181</v>
      </c>
      <c r="C343" s="124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197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172</v>
      </c>
      <c r="H343" t="s">
        <v>172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16">
        <v>1</v>
      </c>
    </row>
    <row r="344" spans="1:11" ht="18.75" customHeight="1" x14ac:dyDescent="0.35">
      <c r="A344" s="126">
        <v>2025</v>
      </c>
      <c r="B344" t="s">
        <v>181</v>
      </c>
      <c r="C344" s="124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198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172</v>
      </c>
      <c r="H344" t="s">
        <v>172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16">
        <v>0</v>
      </c>
    </row>
    <row r="345" spans="1:11" ht="18.75" customHeight="1" x14ac:dyDescent="0.35">
      <c r="A345" s="126">
        <v>2025</v>
      </c>
      <c r="B345" t="s">
        <v>181</v>
      </c>
      <c r="C345" s="124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199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172</v>
      </c>
      <c r="H345" t="s">
        <v>172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16">
        <v>1043</v>
      </c>
    </row>
    <row r="346" spans="1:11" ht="18.75" customHeight="1" x14ac:dyDescent="0.35">
      <c r="A346" s="126">
        <v>2025</v>
      </c>
      <c r="B346" t="s">
        <v>181</v>
      </c>
      <c r="C346" s="124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200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172</v>
      </c>
      <c r="H346" t="s">
        <v>172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16">
        <v>567</v>
      </c>
    </row>
    <row r="347" spans="1:11" ht="18.75" customHeight="1" x14ac:dyDescent="0.35">
      <c r="A347" s="126">
        <v>2025</v>
      </c>
      <c r="B347" t="s">
        <v>17</v>
      </c>
      <c r="C347" s="124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74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172</v>
      </c>
      <c r="H347" t="s">
        <v>172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26">
        <v>2024</v>
      </c>
      <c r="B348" t="s">
        <v>7</v>
      </c>
      <c r="C348" s="124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136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45</v>
      </c>
      <c r="H348" t="s">
        <v>201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27">
        <v>2023</v>
      </c>
      <c r="B349" t="s">
        <v>7</v>
      </c>
      <c r="C349" s="124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136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172</v>
      </c>
      <c r="H349" t="s">
        <v>172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112">
        <v>33</v>
      </c>
    </row>
    <row r="350" spans="1:11" ht="18.75" customHeight="1" x14ac:dyDescent="0.35">
      <c r="A350" s="127">
        <v>2023</v>
      </c>
      <c r="B350" t="s">
        <v>16</v>
      </c>
      <c r="C350" s="124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130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42</v>
      </c>
      <c r="H350" t="s">
        <v>282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112">
        <v>30</v>
      </c>
    </row>
    <row r="351" spans="1:11" ht="18.75" customHeight="1" x14ac:dyDescent="0.35">
      <c r="A351" s="127">
        <v>2023</v>
      </c>
      <c r="B351" t="s">
        <v>16</v>
      </c>
      <c r="C351" s="124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130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42</v>
      </c>
      <c r="H351" t="s">
        <v>282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112">
        <v>30000000</v>
      </c>
    </row>
    <row r="352" spans="1:11" ht="18.75" customHeight="1" x14ac:dyDescent="0.35">
      <c r="A352" s="127">
        <v>2024</v>
      </c>
      <c r="B352" t="s">
        <v>6</v>
      </c>
      <c r="C352" s="124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136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172</v>
      </c>
      <c r="H352" t="s">
        <v>172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112">
        <v>8.3000000000000007</v>
      </c>
    </row>
    <row r="353" spans="1:10" ht="18.75" customHeight="1" x14ac:dyDescent="0.35">
      <c r="A353" s="127"/>
      <c r="C353" s="124" t="str">
        <f>IF(OR(Fact_Contabilidad[[#This Row], [Año]]="",Fact_Contabilidad[[#This Row], [Mes]]=""),"",DATE(A353,MATCH(B353,{"enero","febrero","marzo","abril","mayo","junio","julio","agosto","septiembre","octubre","noviembre","diciembre"},0)+1,0))</f>
        <v/>
      </c>
      <c r="E353" t="str">
        <f>+IFERROR(VLOOKUP(Fact_Contabilidad[[#This Row], [Concepto Anterior]],Conceptos_Contabilidad[#All],5,0),"")</f>
        <v/>
      </c>
      <c r="F353" t="str">
        <f>+IFERROR(VLOOKUP(Fact_Contabilidad[[#This Row], 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ht="18.75" customHeight="1" x14ac:dyDescent="0.35">
      <c r="A354" s="127"/>
      <c r="C354" s="124" t="str">
        <f>IF(OR(Fact_Contabilidad[[#This Row], [Año]]="",Fact_Contabilidad[[#This Row], [Mes]]=""),"",DATE(A354,MATCH(B354,{"enero","febrero","marzo","abril","mayo","junio","julio","agosto","septiembre","octubre","noviembre","diciembre"},0)+1,0))</f>
        <v/>
      </c>
      <c r="E354" t="str">
        <f>+IFERROR(VLOOKUP(Fact_Contabilidad[[#This Row], [Concepto Anterior]],Conceptos_Contabilidad[#All],5,0),"")</f>
        <v/>
      </c>
      <c r="F354" t="str">
        <f>+IFERROR(VLOOKUP(Fact_Contabilidad[[#This Row], 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ht="18.75" customHeight="1" x14ac:dyDescent="0.35">
      <c r="A355" s="127"/>
      <c r="C355" s="124" t="str">
        <f>IF(OR(Fact_Contabilidad[[#This Row], [Año]]="",Fact_Contabilidad[[#This Row], [Mes]]=""),"",DATE(A355,MATCH(B355,{"enero","febrero","marzo","abril","mayo","junio","julio","agosto","septiembre","octubre","noviembre","diciembre"},0)+1,0))</f>
        <v/>
      </c>
      <c r="E355" t="str">
        <f>+IFERROR(VLOOKUP(Fact_Contabilidad[[#This Row], [Concepto Anterior]],Conceptos_Contabilidad[#All],5,0),"")</f>
        <v/>
      </c>
      <c r="F355" t="str">
        <f>+IFERROR(VLOOKUP(Fact_Contabilidad[[#This Row], 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ht="18.75" customHeight="1" x14ac:dyDescent="0.35">
      <c r="A356" s="127"/>
      <c r="C356" s="124" t="str">
        <f>IF(OR(Fact_Contabilidad[[#This Row], [Año]]="",Fact_Contabilidad[[#This Row], [Mes]]=""),"",DATE(A356,MATCH(B356,{"enero","febrero","marzo","abril","mayo","junio","julio","agosto","septiembre","octubre","noviembre","diciembre"},0)+1,0))</f>
        <v/>
      </c>
      <c r="E356" t="str">
        <f>+IFERROR(VLOOKUP(Fact_Contabilidad[[#This Row], [Concepto Anterior]],Conceptos_Contabilidad[#All],5,0),"")</f>
        <v/>
      </c>
      <c r="F356" t="str">
        <f>+IFERROR(VLOOKUP(Fact_Contabilidad[[#This Row], 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ht="18.75" customHeight="1" x14ac:dyDescent="0.35">
      <c r="A357" s="127"/>
      <c r="C357" s="124" t="str">
        <f>IF(OR(Fact_Contabilidad[[#This Row], [Año]]="",Fact_Contabilidad[[#This Row], [Mes]]=""),"",DATE(A357,MATCH(B357,{"enero","febrero","marzo","abril","mayo","junio","julio","agosto","septiembre","octubre","noviembre","diciembre"},0)+1,0))</f>
        <v/>
      </c>
      <c r="E357" t="str">
        <f>+IFERROR(VLOOKUP(Fact_Contabilidad[[#This Row], [Concepto Anterior]],Conceptos_Contabilidad[#All],5,0),"")</f>
        <v/>
      </c>
      <c r="F357" t="str">
        <f>+IFERROR(VLOOKUP(Fact_Contabilidad[[#This Row], 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ht="18.75" customHeight="1" x14ac:dyDescent="0.35">
      <c r="A358" s="127"/>
      <c r="C358" s="124" t="str">
        <f>IF(OR(Fact_Contabilidad[[#This Row], [Año]]="",Fact_Contabilidad[[#This Row], [Mes]]=""),"",DATE(A358,MATCH(B358,{"enero","febrero","marzo","abril","mayo","junio","julio","agosto","septiembre","octubre","noviembre","diciembre"},0)+1,0))</f>
        <v/>
      </c>
      <c r="E358" t="str">
        <f>+IFERROR(VLOOKUP(Fact_Contabilidad[[#This Row], [Concepto Anterior]],Conceptos_Contabilidad[#All],5,0),"")</f>
        <v/>
      </c>
      <c r="F358" t="str">
        <f>+IFERROR(VLOOKUP(Fact_Contabilidad[[#This Row], 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ht="18.75" customHeight="1" x14ac:dyDescent="0.35">
      <c r="A359" s="127"/>
      <c r="C359" s="124" t="str">
        <f>IF(OR(Fact_Contabilidad[[#This Row], [Año]]="",Fact_Contabilidad[[#This Row], [Mes]]=""),"",DATE(A359,MATCH(B359,{"enero","febrero","marzo","abril","mayo","junio","julio","agosto","septiembre","octubre","noviembre","diciembre"},0)+1,0))</f>
        <v/>
      </c>
      <c r="E359" t="str">
        <f>+IFERROR(VLOOKUP(Fact_Contabilidad[[#This Row], [Concepto Anterior]],Conceptos_Contabilidad[#All],5,0),"")</f>
        <v/>
      </c>
      <c r="F359" t="str">
        <f>+IFERROR(VLOOKUP(Fact_Contabilidad[[#This Row], 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ht="18.75" customHeight="1" x14ac:dyDescent="0.35">
      <c r="A360" s="127"/>
      <c r="C360" s="124" t="str">
        <f>IF(OR(Fact_Contabilidad[[#This Row], [Año]]="",Fact_Contabilidad[[#This Row], [Mes]]=""),"",DATE(A360,MATCH(B360,{"enero","febrero","marzo","abril","mayo","junio","julio","agosto","septiembre","octubre","noviembre","diciembre"},0)+1,0))</f>
        <v/>
      </c>
      <c r="E360" t="str">
        <f>+IFERROR(VLOOKUP(Fact_Contabilidad[[#This Row], [Concepto Anterior]],Conceptos_Contabilidad[#All],5,0),"")</f>
        <v/>
      </c>
      <c r="F360" t="str">
        <f>+IFERROR(VLOOKUP(Fact_Contabilidad[[#This Row], 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ht="18.75" customHeight="1" x14ac:dyDescent="0.35">
      <c r="A361" s="127"/>
      <c r="C361" s="124" t="str">
        <f>IF(OR(Fact_Contabilidad[[#This Row], [Año]]="",Fact_Contabilidad[[#This Row], [Mes]]=""),"",DATE(A361,MATCH(B361,{"enero","febrero","marzo","abril","mayo","junio","julio","agosto","septiembre","octubre","noviembre","diciembre"},0)+1,0))</f>
        <v/>
      </c>
      <c r="E361" t="str">
        <f>+IFERROR(VLOOKUP(Fact_Contabilidad[[#This Row], [Concepto Anterior]],Conceptos_Contabilidad[#All],5,0),"")</f>
        <v/>
      </c>
      <c r="F361" t="str">
        <f>+IFERROR(VLOOKUP(Fact_Contabilidad[[#This Row], 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ht="18.75" customHeight="1" x14ac:dyDescent="0.35">
      <c r="A362" s="127"/>
      <c r="C362" s="124" t="str">
        <f>IF(OR(Fact_Contabilidad[[#This Row], [Año]]="",Fact_Contabilidad[[#This Row], [Mes]]=""),"",DATE(A362,MATCH(B362,{"enero","febrero","marzo","abril","mayo","junio","julio","agosto","septiembre","octubre","noviembre","diciembre"},0)+1,0))</f>
        <v/>
      </c>
      <c r="E362" t="str">
        <f>+IFERROR(VLOOKUP(Fact_Contabilidad[[#This Row], [Concepto Anterior]],Conceptos_Contabilidad[#All],5,0),"")</f>
        <v/>
      </c>
      <c r="F362" t="str">
        <f>+IFERROR(VLOOKUP(Fact_Contabilidad[[#This Row], 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ht="18.75" customHeight="1" x14ac:dyDescent="0.35">
      <c r="A363" s="127"/>
      <c r="C363" s="124" t="str">
        <f>IF(OR(Fact_Contabilidad[[#This Row], [Año]]="",Fact_Contabilidad[[#This Row], [Mes]]=""),"",DATE(A363,MATCH(B363,{"enero","febrero","marzo","abril","mayo","junio","julio","agosto","septiembre","octubre","noviembre","diciembre"},0)+1,0))</f>
        <v/>
      </c>
      <c r="E363" t="str">
        <f>+IFERROR(VLOOKUP(Fact_Contabilidad[[#This Row], [Concepto Anterior]],Conceptos_Contabilidad[#All],5,0),"")</f>
        <v/>
      </c>
      <c r="F363" t="str">
        <f>+IFERROR(VLOOKUP(Fact_Contabilidad[[#This Row], 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ht="18.75" customHeight="1" x14ac:dyDescent="0.35">
      <c r="A364" s="127"/>
      <c r="C364" s="124" t="str">
        <f>IF(OR(Fact_Contabilidad[[#This Row], [Año]]="",Fact_Contabilidad[[#This Row], [Mes]]=""),"",DATE(A364,MATCH(B364,{"enero","febrero","marzo","abril","mayo","junio","julio","agosto","septiembre","octubre","noviembre","diciembre"},0)+1,0))</f>
        <v/>
      </c>
      <c r="E364" t="str">
        <f>+IFERROR(VLOOKUP(Fact_Contabilidad[[#This Row], [Concepto Anterior]],Conceptos_Contabilidad[#All],5,0),"")</f>
        <v/>
      </c>
      <c r="F364" t="str">
        <f>+IFERROR(VLOOKUP(Fact_Contabilidad[[#This Row], 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ht="18.75" customHeight="1" x14ac:dyDescent="0.35">
      <c r="A365" s="127"/>
      <c r="C365" s="124" t="str">
        <f>IF(OR(Fact_Contabilidad[[#This Row], [Año]]="",Fact_Contabilidad[[#This Row], [Mes]]=""),"",DATE(A365,MATCH(B365,{"enero","febrero","marzo","abril","mayo","junio","julio","agosto","septiembre","octubre","noviembre","diciembre"},0)+1,0))</f>
        <v/>
      </c>
      <c r="E365" t="str">
        <f>+IFERROR(VLOOKUP(Fact_Contabilidad[[#This Row], [Concepto Anterior]],Conceptos_Contabilidad[#All],5,0),"")</f>
        <v/>
      </c>
      <c r="F365" t="str">
        <f>+IFERROR(VLOOKUP(Fact_Contabilidad[[#This Row], 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ht="18.75" customHeight="1" x14ac:dyDescent="0.35">
      <c r="A366" s="127"/>
      <c r="C366" s="124" t="str">
        <f>IF(OR(Fact_Contabilidad[[#This Row], [Año]]="",Fact_Contabilidad[[#This Row], [Mes]]=""),"",DATE(A366,MATCH(B366,{"enero","febrero","marzo","abril","mayo","junio","julio","agosto","septiembre","octubre","noviembre","diciembre"},0)+1,0))</f>
        <v/>
      </c>
      <c r="E366" t="str">
        <f>+IFERROR(VLOOKUP(Fact_Contabilidad[[#This Row], [Concepto Anterior]],Conceptos_Contabilidad[#All],5,0),"")</f>
        <v/>
      </c>
      <c r="F366" t="str">
        <f>+IFERROR(VLOOKUP(Fact_Contabilidad[[#This Row], 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ht="18.75" customHeight="1" x14ac:dyDescent="0.35">
      <c r="A367" s="127"/>
      <c r="C367" s="124" t="str">
        <f>IF(OR(Fact_Contabilidad[[#This Row], [Año]]="",Fact_Contabilidad[[#This Row], [Mes]]=""),"",DATE(A367,MATCH(B367,{"enero","febrero","marzo","abril","mayo","junio","julio","agosto","septiembre","octubre","noviembre","diciembre"},0)+1,0))</f>
        <v/>
      </c>
      <c r="E367" t="str">
        <f>+IFERROR(VLOOKUP(Fact_Contabilidad[[#This Row], [Concepto Anterior]],Conceptos_Contabilidad[#All],5,0),"")</f>
        <v/>
      </c>
      <c r="F367" t="str">
        <f>+IFERROR(VLOOKUP(Fact_Contabilidad[[#This Row], 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ht="18.75" customHeight="1" x14ac:dyDescent="0.35">
      <c r="A368" s="127"/>
      <c r="C368" s="124" t="str">
        <f>IF(OR(Fact_Contabilidad[[#This Row], [Año]]="",Fact_Contabilidad[[#This Row], [Mes]]=""),"",DATE(A368,MATCH(B368,{"enero","febrero","marzo","abril","mayo","junio","julio","agosto","septiembre","octubre","noviembre","diciembre"},0)+1,0))</f>
        <v/>
      </c>
      <c r="E368" t="str">
        <f>+IFERROR(VLOOKUP(Fact_Contabilidad[[#This Row], [Concepto Anterior]],Conceptos_Contabilidad[#All],5,0),"")</f>
        <v/>
      </c>
      <c r="F368" t="str">
        <f>+IFERROR(VLOOKUP(Fact_Contabilidad[[#This Row], 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ht="18.75" customHeight="1" x14ac:dyDescent="0.35">
      <c r="A369" s="127"/>
      <c r="C369" s="124" t="str">
        <f>IF(OR(Fact_Contabilidad[[#This Row], [Año]]="",Fact_Contabilidad[[#This Row], [Mes]]=""),"",DATE(A369,MATCH(B369,{"enero","febrero","marzo","abril","mayo","junio","julio","agosto","septiembre","octubre","noviembre","diciembre"},0)+1,0))</f>
        <v/>
      </c>
      <c r="E369" t="str">
        <f>+IFERROR(VLOOKUP(Fact_Contabilidad[[#This Row], [Concepto Anterior]],Conceptos_Contabilidad[#All],5,0),"")</f>
        <v/>
      </c>
      <c r="F369" t="str">
        <f>+IFERROR(VLOOKUP(Fact_Contabilidad[[#This Row], 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ht="18.75" customHeight="1" x14ac:dyDescent="0.35">
      <c r="A370" s="127"/>
      <c r="C370" s="124" t="str">
        <f>IF(OR(Fact_Contabilidad[[#This Row], [Año]]="",Fact_Contabilidad[[#This Row], [Mes]]=""),"",DATE(A370,MATCH(B370,{"enero","febrero","marzo","abril","mayo","junio","julio","agosto","septiembre","octubre","noviembre","diciembre"},0)+1,0))</f>
        <v/>
      </c>
      <c r="E370" t="str">
        <f>+IFERROR(VLOOKUP(Fact_Contabilidad[[#This Row], [Concepto Anterior]],Conceptos_Contabilidad[#All],5,0),"")</f>
        <v/>
      </c>
      <c r="F370" t="str">
        <f>+IFERROR(VLOOKUP(Fact_Contabilidad[[#This Row], 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ht="18.75" customHeight="1" x14ac:dyDescent="0.35">
      <c r="A371" s="127"/>
      <c r="C371" s="124" t="str">
        <f>IF(OR(Fact_Contabilidad[[#This Row], [Año]]="",Fact_Contabilidad[[#This Row], [Mes]]=""),"",DATE(A371,MATCH(B371,{"enero","febrero","marzo","abril","mayo","junio","julio","agosto","septiembre","octubre","noviembre","diciembre"},0)+1,0))</f>
        <v/>
      </c>
      <c r="E371" t="str">
        <f>+IFERROR(VLOOKUP(Fact_Contabilidad[[#This Row], [Concepto Anterior]],Conceptos_Contabilidad[#All],5,0),"")</f>
        <v/>
      </c>
      <c r="F371" t="str">
        <f>+IFERROR(VLOOKUP(Fact_Contabilidad[[#This Row], 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ht="18.75" customHeight="1" x14ac:dyDescent="0.35">
      <c r="A372" s="127"/>
      <c r="C372" s="124" t="str">
        <f>IF(OR(Fact_Contabilidad[[#This Row], [Año]]="",Fact_Contabilidad[[#This Row], [Mes]]=""),"",DATE(A372,MATCH(B372,{"enero","febrero","marzo","abril","mayo","junio","julio","agosto","septiembre","octubre","noviembre","diciembre"},0)+1,0))</f>
        <v/>
      </c>
      <c r="E372" t="str">
        <f>+IFERROR(VLOOKUP(Fact_Contabilidad[[#This Row], [Concepto Anterior]],Conceptos_Contabilidad[#All],5,0),"")</f>
        <v/>
      </c>
      <c r="F372" t="str">
        <f>+IFERROR(VLOOKUP(Fact_Contabilidad[[#This Row], 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ht="18.75" customHeight="1" x14ac:dyDescent="0.35">
      <c r="A373" s="127"/>
      <c r="C373" s="124" t="str">
        <f>IF(OR(Fact_Contabilidad[[#This Row], [Año]]="",Fact_Contabilidad[[#This Row], [Mes]]=""),"",DATE(A373,MATCH(B373,{"enero","febrero","marzo","abril","mayo","junio","julio","agosto","septiembre","octubre","noviembre","diciembre"},0)+1,0))</f>
        <v/>
      </c>
      <c r="E373" t="str">
        <f>+IFERROR(VLOOKUP(Fact_Contabilidad[[#This Row], [Concepto Anterior]],Conceptos_Contabilidad[#All],5,0),"")</f>
        <v/>
      </c>
      <c r="F373" t="str">
        <f>+IFERROR(VLOOKUP(Fact_Contabilidad[[#This Row], 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ht="18.75" customHeight="1" x14ac:dyDescent="0.35">
      <c r="A374" s="127"/>
      <c r="C374" s="124" t="str">
        <f>IF(OR(Fact_Contabilidad[[#This Row], [Año]]="",Fact_Contabilidad[[#This Row], [Mes]]=""),"",DATE(A374,MATCH(B374,{"enero","febrero","marzo","abril","mayo","junio","julio","agosto","septiembre","octubre","noviembre","diciembre"},0)+1,0))</f>
        <v/>
      </c>
      <c r="E374" t="str">
        <f>+IFERROR(VLOOKUP(Fact_Contabilidad[[#This Row], [Concepto Anterior]],Conceptos_Contabilidad[#All],5,0),"")</f>
        <v/>
      </c>
      <c r="F374" t="str">
        <f>+IFERROR(VLOOKUP(Fact_Contabilidad[[#This Row], 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ht="18.75" customHeight="1" x14ac:dyDescent="0.35">
      <c r="A375" s="127"/>
      <c r="C375" s="124" t="str">
        <f>IF(OR(Fact_Contabilidad[[#This Row], [Año]]="",Fact_Contabilidad[[#This Row], [Mes]]=""),"",DATE(A375,MATCH(B375,{"enero","febrero","marzo","abril","mayo","junio","julio","agosto","septiembre","octubre","noviembre","diciembre"},0)+1,0))</f>
        <v/>
      </c>
      <c r="E375" t="str">
        <f>+IFERROR(VLOOKUP(Fact_Contabilidad[[#This Row], [Concepto Anterior]],Conceptos_Contabilidad[#All],5,0),"")</f>
        <v/>
      </c>
      <c r="F375" t="str">
        <f>+IFERROR(VLOOKUP(Fact_Contabilidad[[#This Row], 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ht="18.75" customHeight="1" x14ac:dyDescent="0.35">
      <c r="A376" s="127"/>
      <c r="C376" s="124" t="str">
        <f>IF(OR(Fact_Contabilidad[[#This Row], [Año]]="",Fact_Contabilidad[[#This Row], [Mes]]=""),"",DATE(A376,MATCH(B376,{"enero","febrero","marzo","abril","mayo","junio","julio","agosto","septiembre","octubre","noviembre","diciembre"},0)+1,0))</f>
        <v/>
      </c>
      <c r="E376" t="str">
        <f>+IFERROR(VLOOKUP(Fact_Contabilidad[[#This Row], [Concepto Anterior]],Conceptos_Contabilidad[#All],5,0),"")</f>
        <v/>
      </c>
      <c r="F376" t="str">
        <f>+IFERROR(VLOOKUP(Fact_Contabilidad[[#This Row], 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ht="18.75" customHeight="1" x14ac:dyDescent="0.35">
      <c r="A377" s="127"/>
      <c r="C377" s="124" t="str">
        <f>IF(OR(Fact_Contabilidad[[#This Row], [Año]]="",Fact_Contabilidad[[#This Row], [Mes]]=""),"",DATE(A377,MATCH(B377,{"enero","febrero","marzo","abril","mayo","junio","julio","agosto","septiembre","octubre","noviembre","diciembre"},0)+1,0))</f>
        <v/>
      </c>
      <c r="E377" t="str">
        <f>+IFERROR(VLOOKUP(Fact_Contabilidad[[#This Row], [Concepto Anterior]],Conceptos_Contabilidad[#All],5,0),"")</f>
        <v/>
      </c>
      <c r="F377" t="str">
        <f>+IFERROR(VLOOKUP(Fact_Contabilidad[[#This Row], 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ht="18.75" customHeight="1" x14ac:dyDescent="0.35">
      <c r="A378" s="127"/>
      <c r="C378" s="124" t="str">
        <f>IF(OR(Fact_Contabilidad[[#This Row], [Año]]="",Fact_Contabilidad[[#This Row], [Mes]]=""),"",DATE(A378,MATCH(B378,{"enero","febrero","marzo","abril","mayo","junio","julio","agosto","septiembre","octubre","noviembre","diciembre"},0)+1,0))</f>
        <v/>
      </c>
      <c r="E378" t="str">
        <f>+IFERROR(VLOOKUP(Fact_Contabilidad[[#This Row], [Concepto Anterior]],Conceptos_Contabilidad[#All],5,0),"")</f>
        <v/>
      </c>
      <c r="F378" t="str">
        <f>+IFERROR(VLOOKUP(Fact_Contabilidad[[#This Row], 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ht="18.75" customHeight="1" x14ac:dyDescent="0.35">
      <c r="A379" s="127"/>
      <c r="C379" s="124" t="str">
        <f>IF(OR(Fact_Contabilidad[[#This Row], [Año]]="",Fact_Contabilidad[[#This Row], [Mes]]=""),"",DATE(A379,MATCH(B379,{"enero","febrero","marzo","abril","mayo","junio","julio","agosto","septiembre","octubre","noviembre","diciembre"},0)+1,0))</f>
        <v/>
      </c>
      <c r="E379" t="str">
        <f>+IFERROR(VLOOKUP(Fact_Contabilidad[[#This Row], [Concepto Anterior]],Conceptos_Contabilidad[#All],5,0),"")</f>
        <v/>
      </c>
      <c r="F379" t="str">
        <f>+IFERROR(VLOOKUP(Fact_Contabilidad[[#This Row], 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ht="18.75" customHeight="1" x14ac:dyDescent="0.35">
      <c r="A380" s="127"/>
      <c r="C380" s="124" t="str">
        <f>IF(OR(Fact_Contabilidad[[#This Row], [Año]]="",Fact_Contabilidad[[#This Row], [Mes]]=""),"",DATE(A380,MATCH(B380,{"enero","febrero","marzo","abril","mayo","junio","julio","agosto","septiembre","octubre","noviembre","diciembre"},0)+1,0))</f>
        <v/>
      </c>
      <c r="E380" t="str">
        <f>+IFERROR(VLOOKUP(Fact_Contabilidad[[#This Row], [Concepto Anterior]],Conceptos_Contabilidad[#All],5,0),"")</f>
        <v/>
      </c>
      <c r="F380" t="str">
        <f>+IFERROR(VLOOKUP(Fact_Contabilidad[[#This Row], 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ht="18.75" customHeight="1" x14ac:dyDescent="0.35">
      <c r="A381" s="127"/>
      <c r="C381" s="124" t="str">
        <f>IF(OR(Fact_Contabilidad[[#This Row], [Año]]="",Fact_Contabilidad[[#This Row], [Mes]]=""),"",DATE(A381,MATCH(B381,{"enero","febrero","marzo","abril","mayo","junio","julio","agosto","septiembre","octubre","noviembre","diciembre"},0)+1,0))</f>
        <v/>
      </c>
      <c r="E381" t="str">
        <f>+IFERROR(VLOOKUP(Fact_Contabilidad[[#This Row], [Concepto Anterior]],Conceptos_Contabilidad[#All],5,0),"")</f>
        <v/>
      </c>
      <c r="F381" t="str">
        <f>+IFERROR(VLOOKUP(Fact_Contabilidad[[#This Row], 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ht="18.75" customHeight="1" x14ac:dyDescent="0.35">
      <c r="A382" s="127"/>
      <c r="C382" s="124" t="str">
        <f>IF(OR(Fact_Contabilidad[[#This Row], [Año]]="",Fact_Contabilidad[[#This Row], [Mes]]=""),"",DATE(A382,MATCH(B382,{"enero","febrero","marzo","abril","mayo","junio","julio","agosto","septiembre","octubre","noviembre","diciembre"},0)+1,0))</f>
        <v/>
      </c>
      <c r="E382" t="str">
        <f>+IFERROR(VLOOKUP(Fact_Contabilidad[[#This Row], [Concepto Anterior]],Conceptos_Contabilidad[#All],5,0),"")</f>
        <v/>
      </c>
      <c r="F382" t="str">
        <f>+IFERROR(VLOOKUP(Fact_Contabilidad[[#This Row], 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ht="18.75" customHeight="1" x14ac:dyDescent="0.35">
      <c r="A383" s="127"/>
      <c r="C383" s="124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ht="18.75" customHeight="1" x14ac:dyDescent="0.35">
      <c r="A384" s="127"/>
      <c r="C384" s="124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27"/>
      <c r="C385" s="124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27"/>
      <c r="C386" s="124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27"/>
      <c r="C387" s="124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27"/>
      <c r="C388" s="124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27"/>
      <c r="C389" s="124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27"/>
      <c r="C390" s="124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27"/>
      <c r="C391" s="124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27"/>
      <c r="C392" s="124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27"/>
      <c r="C393" s="124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27"/>
      <c r="C394" s="124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27"/>
      <c r="C395" s="124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27"/>
      <c r="C396" s="124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27"/>
      <c r="C397" s="124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27"/>
      <c r="C398" s="124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27"/>
      <c r="C399" s="124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27"/>
      <c r="C400" s="124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27"/>
      <c r="C401" s="124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27"/>
      <c r="C402" s="124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27"/>
      <c r="C403" s="124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27"/>
      <c r="C404" s="124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27"/>
      <c r="C405" s="124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27"/>
      <c r="C406" s="124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27"/>
      <c r="C407" s="124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27"/>
      <c r="C408" s="124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27"/>
      <c r="C409" s="124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27"/>
      <c r="C410" s="124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27"/>
      <c r="C411" s="124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27"/>
      <c r="C412" s="124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27"/>
      <c r="C413" s="124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27"/>
      <c r="C414" s="124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27"/>
      <c r="C415" s="124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27"/>
      <c r="C416" s="124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27"/>
      <c r="C417" s="124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27"/>
      <c r="C418" s="124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27"/>
      <c r="C419" s="124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27"/>
      <c r="C420" s="124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27"/>
      <c r="C421" s="124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27"/>
      <c r="C422" s="124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27"/>
      <c r="C423" s="124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27"/>
      <c r="C424" s="124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27"/>
      <c r="C425" s="124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27"/>
      <c r="C426" s="124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27"/>
      <c r="C427" s="124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27"/>
      <c r="C428" s="124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27"/>
      <c r="C429" s="124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27"/>
      <c r="C430" s="124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27"/>
      <c r="C431" s="124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27"/>
      <c r="C432" s="124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27"/>
      <c r="C433" s="124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27"/>
      <c r="C434" s="124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27"/>
      <c r="C435" s="124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27"/>
      <c r="C436" s="124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27"/>
      <c r="C437" s="124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27"/>
      <c r="C438" s="124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27"/>
      <c r="C439" s="124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27"/>
      <c r="C440" s="124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27"/>
      <c r="C441" s="124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27"/>
      <c r="C442" s="124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27"/>
      <c r="C443" s="124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27"/>
      <c r="C444" s="124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27"/>
      <c r="C445" s="124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27"/>
      <c r="C446" s="124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27"/>
      <c r="C447" s="124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27"/>
      <c r="C448" s="124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27"/>
      <c r="C449" s="124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27"/>
      <c r="C450" s="124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27"/>
      <c r="C451" s="124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27"/>
      <c r="C452" s="124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27"/>
      <c r="C453" s="124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27"/>
      <c r="C454" s="124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27"/>
      <c r="C455" s="124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27"/>
      <c r="C456" s="124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27"/>
      <c r="C457" s="124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27"/>
      <c r="C458" s="124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27"/>
      <c r="C459" s="124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27"/>
      <c r="C460" s="124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27"/>
      <c r="C461" s="124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27"/>
      <c r="C462" s="124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27"/>
      <c r="C463" s="124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27"/>
      <c r="C464" s="124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27"/>
      <c r="C465" s="124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27"/>
      <c r="C466" s="124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27"/>
      <c r="C467" s="124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27"/>
      <c r="C468" s="124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27"/>
      <c r="C469" s="124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27"/>
      <c r="C470" s="124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27"/>
      <c r="C471" s="124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27"/>
      <c r="C472" s="124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27"/>
      <c r="C473" s="124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27"/>
      <c r="C474" s="124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27"/>
      <c r="C475" s="124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27"/>
      <c r="C476" s="124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27"/>
      <c r="C477" s="124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27"/>
      <c r="C478" s="124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27"/>
      <c r="C479" s="124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27"/>
      <c r="C480" s="124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27"/>
      <c r="C481" s="124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27"/>
      <c r="C482" s="124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27"/>
      <c r="C483" s="124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27"/>
      <c r="C484" s="124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27"/>
      <c r="C485" s="124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27"/>
      <c r="C486" s="124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27"/>
      <c r="C487" s="124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27"/>
      <c r="C488" s="124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27"/>
      <c r="C489" s="124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27"/>
      <c r="C490" s="124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27"/>
      <c r="C491" s="124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27"/>
      <c r="C492" s="124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27"/>
      <c r="C493" s="124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27"/>
      <c r="C494" s="124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27"/>
      <c r="C495" s="124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27"/>
      <c r="C496" s="124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27"/>
      <c r="C497" s="124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27"/>
      <c r="C498" s="124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27"/>
      <c r="C499" s="124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27"/>
      <c r="C500" s="124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27"/>
      <c r="C501" s="124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27"/>
      <c r="C502" s="124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27"/>
      <c r="C503" s="124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27"/>
      <c r="C504" s="124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27"/>
      <c r="C505" s="124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27"/>
      <c r="C506" s="124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27"/>
      <c r="C507" s="124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27"/>
      <c r="C508" s="124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27"/>
      <c r="C509" s="124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27"/>
      <c r="C510" s="124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27"/>
      <c r="C511" s="124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27"/>
      <c r="C512" s="124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27"/>
      <c r="C513" s="124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27"/>
      <c r="C514" s="124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27"/>
      <c r="C515" s="124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27"/>
      <c r="C516" s="124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27"/>
      <c r="C517" s="124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27"/>
      <c r="C518" s="124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27"/>
      <c r="C519" s="124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27"/>
      <c r="C520" s="124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27"/>
      <c r="C521" s="124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27"/>
      <c r="C522" s="124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27"/>
      <c r="C523" s="124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27"/>
      <c r="C524" s="124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27"/>
      <c r="C525" s="124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27"/>
      <c r="C526" s="124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27"/>
      <c r="C527" s="124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27"/>
      <c r="C528" s="124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27"/>
      <c r="C529" s="124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27"/>
      <c r="C530" s="124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27"/>
      <c r="C531" s="124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27"/>
      <c r="C532" s="124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27"/>
      <c r="C533" s="124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27"/>
      <c r="C534" s="124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27"/>
      <c r="C535" s="124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27"/>
      <c r="C536" s="124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27"/>
      <c r="C537" s="124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27"/>
      <c r="C538" s="124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27"/>
      <c r="C539" s="124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27"/>
      <c r="C540" s="124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27"/>
      <c r="C541" s="124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27"/>
      <c r="C542" s="124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27"/>
      <c r="C543" s="124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27"/>
      <c r="C544" s="124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27"/>
      <c r="C545" s="124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27"/>
      <c r="C546" s="124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27"/>
      <c r="C547" s="124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27"/>
      <c r="C548" s="124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27"/>
      <c r="C549" s="124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27"/>
      <c r="C550" s="124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27"/>
      <c r="C551" s="124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27"/>
      <c r="C552" s="124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27"/>
      <c r="C553" s="124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27"/>
      <c r="C554" s="124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27"/>
      <c r="C555" s="124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27"/>
      <c r="C556" s="124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27"/>
      <c r="C557" s="124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27"/>
      <c r="C558" s="124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27"/>
      <c r="C559" s="124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27"/>
      <c r="C560" s="124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27"/>
      <c r="C561" s="124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27"/>
      <c r="C562" s="124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27"/>
      <c r="C563" s="124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27"/>
      <c r="C564" s="124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27"/>
      <c r="C565" s="124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27"/>
      <c r="C566" s="124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27"/>
      <c r="C567" s="124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27"/>
      <c r="C568" s="124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27"/>
      <c r="C569" s="124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27"/>
      <c r="C570" s="124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27"/>
      <c r="C571" s="124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27"/>
      <c r="C572" s="124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27"/>
      <c r="C573" s="124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27"/>
      <c r="C574" s="124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27"/>
      <c r="C575" s="124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27"/>
      <c r="C576" s="124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27"/>
      <c r="C577" s="124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27"/>
      <c r="C578" s="124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27"/>
      <c r="C579" s="124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27"/>
      <c r="C580" s="124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27"/>
      <c r="C581" s="124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27"/>
      <c r="C582" s="124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27"/>
      <c r="C583" s="124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27"/>
      <c r="C584" s="124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27"/>
      <c r="C585" s="124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27"/>
      <c r="C586" s="124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27"/>
      <c r="C587" s="124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27"/>
      <c r="C588" s="124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27"/>
      <c r="C589" s="124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27"/>
      <c r="C590" s="124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27"/>
      <c r="C591" s="124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27"/>
      <c r="C592" s="124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27"/>
      <c r="C593" s="124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27"/>
      <c r="C594" s="124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27"/>
      <c r="C595" s="124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27"/>
      <c r="C596" s="124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27"/>
      <c r="C597" s="124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27"/>
      <c r="C598" s="124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27"/>
      <c r="C599" s="124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27"/>
      <c r="C600" s="124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27"/>
      <c r="C601" s="124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27"/>
      <c r="C602" s="124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27"/>
      <c r="C603" s="124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27"/>
      <c r="C604" s="124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27"/>
      <c r="C605" s="124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27"/>
      <c r="C606" s="124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27"/>
      <c r="C607" s="124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27"/>
      <c r="C608" s="124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27"/>
      <c r="C609" s="124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27"/>
      <c r="C610" s="124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27"/>
      <c r="C611" s="124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27"/>
      <c r="C612" s="124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27"/>
      <c r="C613" s="124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27"/>
      <c r="C614" s="124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27"/>
      <c r="C615" s="124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27"/>
      <c r="C616" s="124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27"/>
      <c r="C617" s="124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27"/>
      <c r="C618" s="124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27"/>
      <c r="C619" s="124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27"/>
      <c r="C620" s="124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27"/>
      <c r="C621" s="124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27"/>
      <c r="C622" s="124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27"/>
      <c r="C623" s="124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27"/>
      <c r="C624" s="124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27"/>
      <c r="C625" s="124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27"/>
      <c r="C626" s="124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27"/>
      <c r="C627" s="124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27"/>
      <c r="C628" s="124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27"/>
      <c r="C629" s="124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27"/>
      <c r="C630" s="124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27"/>
      <c r="C631" s="124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27"/>
      <c r="C632" s="124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27"/>
      <c r="C633" s="124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27"/>
      <c r="C634" s="124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27"/>
      <c r="C635" s="124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27"/>
      <c r="C636" s="124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27"/>
      <c r="C637" s="124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27"/>
      <c r="C638" s="124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27"/>
      <c r="C639" s="124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27"/>
      <c r="C640" s="124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27"/>
      <c r="C641" s="124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27"/>
      <c r="C642" s="124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27"/>
      <c r="C643" s="124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27"/>
      <c r="C644" s="124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27"/>
      <c r="C645" s="124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27"/>
      <c r="C646" s="124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27"/>
      <c r="C647" s="124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27"/>
      <c r="C648" s="124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27"/>
      <c r="C649" s="124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27"/>
      <c r="C650" s="124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27"/>
      <c r="C651" s="124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27"/>
      <c r="C652" s="124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27"/>
      <c r="C653" s="124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27"/>
      <c r="C654" s="124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27"/>
      <c r="C655" s="124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27"/>
      <c r="C656" s="124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27"/>
      <c r="C657" s="124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27"/>
      <c r="C658" s="124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27"/>
      <c r="C659" s="124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27"/>
      <c r="C660" s="124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27"/>
      <c r="C661" s="124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27"/>
      <c r="C662" s="124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27"/>
      <c r="C663" s="124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27"/>
      <c r="C664" s="124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27"/>
      <c r="C665" s="124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27"/>
      <c r="C666" s="124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27"/>
      <c r="C667" s="124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27"/>
      <c r="C668" s="124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27"/>
      <c r="C669" s="124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27"/>
      <c r="C670" s="124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27"/>
      <c r="C671" s="124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27"/>
      <c r="C672" s="124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27"/>
      <c r="C673" s="124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27"/>
      <c r="C674" s="124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27"/>
      <c r="C675" s="124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27"/>
      <c r="C676" s="124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27"/>
      <c r="C677" s="124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27"/>
      <c r="C678" s="124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27"/>
      <c r="C679" s="124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27"/>
      <c r="C680" s="124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27"/>
      <c r="C681" s="124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27"/>
      <c r="C682" s="124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27"/>
      <c r="C683" s="124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27"/>
      <c r="C684" s="124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27"/>
      <c r="C685" s="124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27"/>
      <c r="C686" s="124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27"/>
      <c r="C687" s="124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27"/>
      <c r="C688" s="124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27"/>
      <c r="C689" s="124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27"/>
      <c r="C690" s="124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27"/>
      <c r="C691" s="124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27"/>
      <c r="C692" s="124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27"/>
      <c r="C693" s="124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27"/>
      <c r="C694" s="124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27"/>
      <c r="C695" s="124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27"/>
      <c r="C696" s="124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27"/>
      <c r="C697" s="124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27"/>
      <c r="C698" s="124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27"/>
      <c r="C699" s="124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27"/>
      <c r="C700" s="124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27"/>
      <c r="C701" s="124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27"/>
      <c r="C702" s="124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27"/>
      <c r="C703" s="124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27"/>
      <c r="C704" s="124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27"/>
      <c r="C705" s="124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27"/>
      <c r="C706" s="124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27"/>
      <c r="C707" s="124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27"/>
      <c r="C708" s="124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27"/>
      <c r="C709" s="124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27"/>
      <c r="C710" s="124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27"/>
      <c r="C711" s="124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27"/>
      <c r="C712" s="124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27"/>
      <c r="C713" s="124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27"/>
      <c r="C714" s="124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27"/>
      <c r="C715" s="124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27"/>
      <c r="C716" s="124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27"/>
      <c r="C717" s="124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27"/>
      <c r="C718" s="124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27"/>
      <c r="C719" s="124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27"/>
      <c r="C720" s="124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27"/>
      <c r="C721" s="124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27"/>
      <c r="C722" s="124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27"/>
      <c r="C723" s="124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27"/>
      <c r="C724" s="124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27"/>
      <c r="C725" s="124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27"/>
      <c r="C726" s="124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27"/>
      <c r="C727" s="124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27"/>
      <c r="C728" s="124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27"/>
      <c r="C729" s="124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27"/>
      <c r="C730" s="124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27"/>
      <c r="C731" s="124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27"/>
      <c r="C732" s="124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27"/>
      <c r="C733" s="124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27"/>
      <c r="C734" s="124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27"/>
      <c r="C735" s="124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27"/>
      <c r="C736" s="124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27"/>
      <c r="C737" s="124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27"/>
      <c r="C738" s="124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27"/>
      <c r="C739" s="124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27"/>
      <c r="C740" s="124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27"/>
      <c r="C741" s="124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27"/>
      <c r="C742" s="124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27"/>
      <c r="C743" s="124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27"/>
      <c r="C744" s="124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27"/>
      <c r="C745" s="124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27"/>
      <c r="C746" s="124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27"/>
      <c r="C747" s="124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27"/>
      <c r="C748" s="124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27"/>
      <c r="C749" s="124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27"/>
      <c r="C750" s="124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27"/>
      <c r="C751" s="124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27"/>
      <c r="C752" s="124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27"/>
      <c r="C753" s="124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27"/>
      <c r="C754" s="124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27"/>
      <c r="C755" s="124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27"/>
      <c r="C756" s="124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27"/>
      <c r="C757" s="124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27"/>
      <c r="C758" s="124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27"/>
      <c r="C759" s="124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27"/>
      <c r="C760" s="124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27"/>
      <c r="C761" s="124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27"/>
      <c r="C762" s="124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27"/>
      <c r="C763" s="124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27"/>
      <c r="C764" s="124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27"/>
      <c r="C765" s="124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27"/>
      <c r="C766" s="124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27"/>
      <c r="C767" s="124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27"/>
      <c r="C768" s="124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27"/>
      <c r="C769" s="124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27"/>
      <c r="C770" s="124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27"/>
      <c r="C771" s="124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27"/>
      <c r="C772" s="124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27"/>
      <c r="C773" s="124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27"/>
      <c r="C774" s="124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27"/>
      <c r="C775" s="124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27"/>
      <c r="C776" s="124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27"/>
      <c r="C777" s="124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27"/>
      <c r="C778" s="124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27"/>
      <c r="C779" s="124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27"/>
      <c r="C780" s="124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27"/>
      <c r="C781" s="124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27"/>
      <c r="C782" s="124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27"/>
      <c r="C783" s="124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27"/>
      <c r="C784" s="124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27"/>
      <c r="C785" s="124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27"/>
      <c r="C786" s="124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27"/>
      <c r="C787" s="124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27"/>
      <c r="C788" s="124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27"/>
      <c r="C789" s="124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27"/>
      <c r="C790" s="124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27"/>
      <c r="C791" s="124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27"/>
      <c r="C792" s="124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27"/>
      <c r="C793" s="124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27"/>
      <c r="C794" s="124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27"/>
      <c r="C795" s="124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27"/>
      <c r="C796" s="124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27"/>
      <c r="C797" s="124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27"/>
      <c r="C798" s="124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27"/>
      <c r="C799" s="124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27"/>
      <c r="C800" s="124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27"/>
      <c r="C801" s="124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27"/>
      <c r="C802" s="124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27"/>
      <c r="C803" s="124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27"/>
      <c r="C804" s="124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27"/>
      <c r="C805" s="124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27"/>
      <c r="C806" s="124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27"/>
      <c r="C807" s="124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27"/>
      <c r="C808" s="124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27"/>
      <c r="C809" s="124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27"/>
      <c r="C810" s="124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27"/>
      <c r="C811" s="124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27"/>
      <c r="C812" s="124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27"/>
      <c r="C813" s="124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27"/>
      <c r="C814" s="124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27"/>
      <c r="C815" s="124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27"/>
      <c r="C816" s="124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27"/>
      <c r="C817" s="124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27"/>
      <c r="C818" s="124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27"/>
      <c r="C819" s="124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27"/>
      <c r="C820" s="124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27"/>
      <c r="C821" s="124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27"/>
      <c r="C822" s="124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27"/>
      <c r="C823" s="124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27"/>
      <c r="C824" s="124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27"/>
      <c r="C825" s="124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27"/>
      <c r="C826" s="124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27"/>
      <c r="C827" s="124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27"/>
      <c r="C828" s="124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27"/>
      <c r="C829" s="124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27"/>
      <c r="C830" s="124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27"/>
      <c r="C831" s="124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27"/>
      <c r="C832" s="124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27"/>
      <c r="C833" s="124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27"/>
      <c r="C834" s="124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27"/>
      <c r="C835" s="124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27"/>
      <c r="C836" s="124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27"/>
      <c r="C837" s="124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27"/>
      <c r="C838" s="124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27"/>
      <c r="C839" s="124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27"/>
      <c r="C840" s="124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27"/>
      <c r="C841" s="124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27"/>
      <c r="C842" s="124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27"/>
      <c r="C843" s="124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27"/>
      <c r="C844" s="124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27"/>
      <c r="C845" s="124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27"/>
      <c r="C846" s="124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27"/>
      <c r="C847" s="124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27"/>
      <c r="C848" s="124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27"/>
      <c r="C849" s="124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27"/>
      <c r="C850" s="124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27"/>
      <c r="C851" s="124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27"/>
      <c r="C852" s="124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27"/>
      <c r="C853" s="124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27"/>
      <c r="C854" s="124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27"/>
      <c r="C855" s="124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27"/>
      <c r="C856" s="124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27"/>
      <c r="C857" s="124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27"/>
      <c r="C858" s="124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27"/>
      <c r="C859" s="124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27"/>
      <c r="C860" s="124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27"/>
      <c r="C861" s="124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27"/>
      <c r="C862" s="124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27"/>
      <c r="C863" s="124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27"/>
      <c r="C864" s="124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27"/>
      <c r="C865" s="124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27"/>
      <c r="C866" s="124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27"/>
      <c r="C867" s="124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27"/>
      <c r="C868" s="124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27"/>
      <c r="C869" s="124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27"/>
      <c r="C870" s="124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27"/>
      <c r="C871" s="124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27"/>
      <c r="C872" s="124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27"/>
      <c r="C873" s="124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27"/>
      <c r="C874" s="124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27"/>
      <c r="C875" s="124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27"/>
      <c r="C876" s="124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27"/>
      <c r="C877" s="124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27"/>
      <c r="C878" s="124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27"/>
      <c r="C879" s="124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27"/>
      <c r="C880" s="124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27"/>
      <c r="C881" s="124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27"/>
      <c r="C882" s="124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27"/>
      <c r="C883" s="124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27"/>
      <c r="C884" s="124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27"/>
      <c r="C885" s="124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27"/>
      <c r="C886" s="124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27"/>
      <c r="C887" s="124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27"/>
      <c r="C888" s="124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27"/>
      <c r="C889" s="124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27"/>
      <c r="C890" s="124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27"/>
      <c r="C891" s="124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27"/>
      <c r="C892" s="124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27"/>
      <c r="C893" s="124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27"/>
      <c r="C894" s="124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27"/>
      <c r="C895" s="124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27"/>
      <c r="C896" s="124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27"/>
      <c r="C897" s="124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27"/>
      <c r="C898" s="124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27"/>
      <c r="C899" s="124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27"/>
      <c r="C900" s="124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27"/>
      <c r="C901" s="124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27"/>
      <c r="C902" s="124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27"/>
      <c r="C903" s="124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27"/>
      <c r="C904" s="124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27"/>
      <c r="C905" s="124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27"/>
      <c r="C906" s="124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27"/>
      <c r="C907" s="124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27"/>
      <c r="C908" s="124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27"/>
      <c r="C909" s="124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27"/>
      <c r="C910" s="124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27"/>
      <c r="C911" s="124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27"/>
      <c r="C912" s="124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27"/>
      <c r="C913" s="124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27"/>
      <c r="C914" s="124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27"/>
      <c r="C915" s="124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27"/>
      <c r="C916" s="124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27"/>
      <c r="C917" s="124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27"/>
      <c r="C918" s="124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27"/>
      <c r="C919" s="124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27"/>
      <c r="C920" s="124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27"/>
      <c r="C921" s="124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27"/>
      <c r="C922" s="124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27"/>
      <c r="C923" s="124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27"/>
      <c r="C924" s="124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27"/>
      <c r="C925" s="124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27"/>
      <c r="C926" s="124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27"/>
      <c r="C927" s="124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27"/>
      <c r="C928" s="124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27"/>
      <c r="C929" s="124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27"/>
      <c r="C930" s="124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27"/>
      <c r="C931" s="124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27"/>
      <c r="C932" s="124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27"/>
      <c r="C933" s="124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27"/>
      <c r="C934" s="124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27"/>
      <c r="C935" s="124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27"/>
      <c r="C936" s="124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27"/>
      <c r="C937" s="124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27"/>
      <c r="C938" s="124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27"/>
      <c r="C939" s="124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27"/>
      <c r="C940" s="124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27"/>
      <c r="C941" s="124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27"/>
      <c r="C942" s="124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27"/>
      <c r="C943" s="124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27"/>
      <c r="C944" s="124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27"/>
      <c r="C945" s="124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27"/>
      <c r="C946" s="124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27"/>
      <c r="C947" s="124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27"/>
      <c r="C948" s="124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27"/>
      <c r="C949" s="124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27"/>
      <c r="C950" s="124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27"/>
      <c r="C951" s="124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27"/>
      <c r="C952" s="124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27"/>
      <c r="C953" s="124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27"/>
      <c r="C954" s="124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27"/>
      <c r="C955" s="124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27"/>
      <c r="C956" s="124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27"/>
      <c r="C957" s="124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27"/>
      <c r="C958" s="124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27"/>
      <c r="C959" s="124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27"/>
      <c r="C960" s="124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27"/>
      <c r="C961" s="124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27"/>
      <c r="C962" s="124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27"/>
      <c r="C963" s="124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27"/>
      <c r="C964" s="124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27"/>
      <c r="C965" s="124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27"/>
      <c r="C966" s="124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27"/>
      <c r="C967" s="124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27"/>
      <c r="C968" s="124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27"/>
      <c r="C969" s="124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27"/>
      <c r="C970" s="124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27"/>
      <c r="C971" s="124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27"/>
      <c r="C972" s="124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27"/>
      <c r="C973" s="124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27"/>
      <c r="C974" s="124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27"/>
      <c r="C975" s="124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27"/>
      <c r="C976" s="124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27"/>
      <c r="C977" s="124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27"/>
      <c r="C978" s="124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27"/>
      <c r="C979" s="124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27"/>
      <c r="C980" s="124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27"/>
      <c r="C981" s="124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27"/>
      <c r="C982" s="124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27"/>
      <c r="C983" s="124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27"/>
      <c r="C984" s="124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27"/>
      <c r="C985" s="124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27"/>
      <c r="C986" s="124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27"/>
      <c r="C987" s="124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27"/>
      <c r="C988" s="124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27"/>
      <c r="C989" s="124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27"/>
      <c r="C990" s="124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27"/>
      <c r="C991" s="124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27"/>
      <c r="C992" s="124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27"/>
      <c r="C993" s="124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27"/>
      <c r="C994" s="124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27"/>
      <c r="C995" s="124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27"/>
      <c r="C996" s="124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27"/>
      <c r="C997" s="124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27"/>
      <c r="C998" s="124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27"/>
      <c r="C999" s="124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27"/>
      <c r="C1000" s="124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27"/>
      <c r="C1001" s="124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27"/>
      <c r="C1002" s="124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27"/>
      <c r="C1003" s="124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27"/>
      <c r="C1004" s="124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27"/>
      <c r="C1005" s="124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27"/>
      <c r="C1006" s="124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27"/>
      <c r="C1007" s="124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27"/>
      <c r="C1008" s="124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27"/>
      <c r="C1009" s="124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27"/>
      <c r="C1010" s="124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27"/>
      <c r="C1011" s="124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27"/>
      <c r="C1012" s="124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27"/>
      <c r="C1013" s="124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27"/>
      <c r="C1014" s="124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27"/>
      <c r="C1015" s="124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27"/>
      <c r="C1016" s="124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27"/>
      <c r="C1017" s="124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27"/>
      <c r="C1018" s="124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27"/>
      <c r="C1019" s="124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27"/>
      <c r="C1020" s="124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27"/>
      <c r="C1021" s="124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27"/>
      <c r="C1022" s="124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27"/>
      <c r="C1023" s="124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27"/>
      <c r="C1024" s="124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27"/>
      <c r="C1025" s="124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27"/>
      <c r="C1026" s="124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27"/>
      <c r="C1027" s="124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27"/>
      <c r="C1028" s="124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27"/>
      <c r="C1029" s="124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27"/>
      <c r="C1030" s="124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27"/>
      <c r="C1031" s="124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27"/>
      <c r="C1032" s="124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27"/>
      <c r="C1033" s="124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27"/>
      <c r="C1034" s="124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27"/>
      <c r="C1035" s="124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27"/>
      <c r="C1036" s="124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27"/>
      <c r="C1037" s="124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27"/>
      <c r="C1038" s="124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27"/>
      <c r="C1039" s="124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27"/>
      <c r="C1040" s="124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27"/>
      <c r="C1041" s="124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27"/>
      <c r="C1042" s="124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27"/>
      <c r="C1043" s="124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27"/>
      <c r="C1044" s="124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27"/>
      <c r="C1045" s="124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27"/>
      <c r="C1046" s="124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27"/>
      <c r="C1047" s="124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27"/>
      <c r="C1048" s="124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27"/>
      <c r="C1049" s="124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27"/>
      <c r="C1050" s="124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27"/>
      <c r="C1051" s="124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27"/>
      <c r="C1052" s="124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27"/>
      <c r="C1053" s="124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27"/>
      <c r="C1054" s="124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27"/>
      <c r="C1055" s="124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27"/>
      <c r="C1056" s="124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27"/>
      <c r="C1057" s="124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27"/>
      <c r="C1058" s="124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27"/>
      <c r="C1059" s="124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27"/>
      <c r="C1060" s="124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27"/>
      <c r="C1061" s="124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27"/>
      <c r="C1062" s="124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27"/>
      <c r="C1063" s="124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27"/>
      <c r="C1064" s="124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27"/>
      <c r="C1065" s="124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27"/>
      <c r="C1066" s="124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27"/>
      <c r="C1067" s="124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27"/>
      <c r="C1068" s="124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27"/>
      <c r="C1069" s="124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27"/>
      <c r="C1070" s="124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27"/>
      <c r="C1071" s="124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27"/>
      <c r="C1072" s="124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27"/>
      <c r="C1073" s="124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27"/>
      <c r="C1074" s="124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27"/>
      <c r="C1075" s="124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27"/>
      <c r="C1076" s="124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27"/>
      <c r="C1077" s="124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27"/>
      <c r="C1078" s="124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27"/>
      <c r="C1079" s="124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27"/>
      <c r="C1080" s="124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27"/>
      <c r="C1081" s="124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27"/>
      <c r="C1082" s="124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27"/>
      <c r="C1083" s="124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27"/>
      <c r="C1084" s="124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27"/>
      <c r="C1085" s="124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27"/>
      <c r="C1086" s="124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27"/>
      <c r="C1087" s="124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27"/>
      <c r="C1088" s="124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27"/>
      <c r="C1089" s="124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27"/>
      <c r="C1090" s="124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27"/>
      <c r="C1091" s="124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27"/>
      <c r="C1092" s="124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27"/>
      <c r="C1093" s="124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27"/>
      <c r="C1094" s="124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27"/>
      <c r="C1095" s="124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27"/>
      <c r="C1096" s="124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27"/>
      <c r="C1097" s="124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27"/>
      <c r="C1098" s="124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27"/>
      <c r="C1099" s="124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27"/>
      <c r="C1100" s="124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27"/>
      <c r="C1101" s="124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27"/>
      <c r="C1102" s="124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27"/>
      <c r="C1103" s="124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27"/>
      <c r="C1104" s="124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27"/>
      <c r="C1105" s="124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27"/>
      <c r="C1106" s="124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27"/>
      <c r="C1107" s="124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27"/>
      <c r="C1108" s="124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27"/>
      <c r="C1109" s="124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27"/>
      <c r="C1110" s="124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27"/>
      <c r="C1111" s="124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27"/>
      <c r="C1112" s="124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27"/>
      <c r="C1113" s="124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27"/>
      <c r="C1114" s="124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27"/>
      <c r="C1115" s="124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27"/>
      <c r="C1116" s="124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27"/>
      <c r="C1117" s="124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27"/>
      <c r="C1118" s="124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27"/>
      <c r="C1119" s="124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27"/>
      <c r="C1120" s="124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27"/>
      <c r="C1121" s="124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27"/>
      <c r="C1122" s="124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27"/>
      <c r="C1123" s="124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27"/>
      <c r="C1124" s="124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27"/>
      <c r="C1125" s="124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27"/>
      <c r="C1126" s="124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27"/>
      <c r="C1127" s="124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27"/>
      <c r="C1128" s="124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27"/>
      <c r="C1129" s="124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27"/>
      <c r="C1130" s="124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27"/>
      <c r="C1131" s="124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27"/>
      <c r="C1132" s="124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27"/>
      <c r="C1133" s="124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27"/>
      <c r="C1134" s="124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27"/>
      <c r="C1135" s="124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27"/>
      <c r="C1136" s="124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27"/>
      <c r="C1137" s="124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27"/>
      <c r="C1138" s="124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27"/>
      <c r="C1139" s="124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27"/>
      <c r="C1140" s="124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27"/>
      <c r="C1141" s="124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27"/>
      <c r="C1142" s="124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27"/>
      <c r="C1143" s="124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27"/>
      <c r="C1144" s="124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27"/>
      <c r="C1145" s="124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27"/>
      <c r="C1146" s="124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27"/>
      <c r="C1147" s="124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27"/>
      <c r="C1148" s="124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27"/>
      <c r="C1149" s="124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27"/>
      <c r="C1150" s="124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27"/>
      <c r="C1151" s="124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27"/>
      <c r="C1152" s="124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27"/>
      <c r="C1153" s="124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27"/>
      <c r="C1154" s="124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27"/>
      <c r="C1155" s="124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27"/>
      <c r="C1156" s="124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27"/>
      <c r="C1157" s="124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27"/>
      <c r="C1158" s="124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27"/>
      <c r="C1159" s="124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27"/>
      <c r="C1160" s="124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27"/>
      <c r="C1161" s="124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27"/>
      <c r="C1162" s="124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27"/>
      <c r="C1163" s="124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27"/>
      <c r="C1164" s="124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27"/>
      <c r="C1165" s="124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27"/>
      <c r="C1166" s="124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27"/>
      <c r="C1167" s="124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27"/>
      <c r="C1168" s="124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27"/>
      <c r="C1169" s="124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27"/>
      <c r="C1170" s="124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27"/>
      <c r="C1171" s="124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27"/>
      <c r="C1172" s="124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27"/>
      <c r="C1173" s="124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27"/>
      <c r="C1174" s="124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27"/>
      <c r="C1175" s="124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27"/>
      <c r="C1176" s="124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27"/>
      <c r="C1177" s="124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27"/>
      <c r="C1178" s="124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27"/>
      <c r="C1179" s="124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27"/>
      <c r="C1180" s="124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27"/>
      <c r="C1181" s="124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27"/>
      <c r="C1182" s="124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27"/>
      <c r="C1183" s="124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27"/>
      <c r="C1184" s="124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27"/>
      <c r="C1185" s="124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27"/>
      <c r="C1186" s="124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27"/>
      <c r="C1187" s="124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27"/>
      <c r="C1188" s="124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27"/>
      <c r="C1189" s="124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27"/>
      <c r="C1190" s="124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27"/>
      <c r="C1191" s="124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27"/>
      <c r="C1192" s="124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27"/>
      <c r="C1193" s="124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27"/>
      <c r="C1194" s="124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27"/>
      <c r="C1195" s="124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27"/>
      <c r="C1196" s="124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27"/>
      <c r="C1197" s="124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27"/>
      <c r="C1198" s="124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27"/>
      <c r="C1199" s="124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27"/>
      <c r="C1200" s="124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27"/>
      <c r="C1201" s="124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27"/>
      <c r="C1202" s="124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27"/>
      <c r="C1203" s="124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27"/>
      <c r="C1204" s="124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27"/>
      <c r="C1205" s="124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27"/>
      <c r="C1206" s="124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27"/>
      <c r="C1207" s="124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27"/>
      <c r="C1208" s="124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27"/>
      <c r="C1209" s="124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27"/>
      <c r="C1210" s="124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27"/>
      <c r="C1211" s="124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27"/>
      <c r="C1212" s="124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27"/>
      <c r="C1213" s="124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27"/>
      <c r="C1214" s="124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27"/>
      <c r="C1215" s="124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27"/>
      <c r="C1216" s="124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27"/>
      <c r="C1217" s="124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27"/>
      <c r="C1218" s="124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27"/>
      <c r="C1219" s="124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27"/>
      <c r="C1220" s="124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27"/>
      <c r="C1221" s="124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27"/>
      <c r="C1222" s="124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27"/>
      <c r="C1223" s="124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27"/>
      <c r="C1224" s="124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27"/>
      <c r="C1225" s="124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27"/>
      <c r="C1226" s="124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27"/>
      <c r="C1227" s="124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27"/>
      <c r="C1228" s="124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27"/>
      <c r="C1229" s="124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27"/>
      <c r="C1230" s="124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27"/>
      <c r="C1231" s="124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27"/>
      <c r="C1232" s="124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27"/>
      <c r="C1233" s="124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27"/>
      <c r="C1234" s="124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27"/>
      <c r="C1235" s="124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27"/>
      <c r="C1236" s="124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27"/>
      <c r="C1237" s="124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27"/>
      <c r="C1238" s="124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27"/>
      <c r="C1239" s="124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27"/>
      <c r="C1240" s="124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27"/>
      <c r="C1241" s="124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27"/>
      <c r="C1242" s="124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27"/>
      <c r="C1243" s="124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27"/>
      <c r="C1244" s="124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27"/>
      <c r="C1245" s="124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27"/>
      <c r="C1246" s="124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27"/>
      <c r="C1247" s="124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27"/>
      <c r="C1248" s="124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27"/>
      <c r="C1249" s="124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27"/>
      <c r="C1250" s="124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27"/>
      <c r="C1251" s="124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27"/>
      <c r="C1252" s="124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27"/>
      <c r="C1253" s="124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27"/>
      <c r="C1254" s="124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27"/>
      <c r="C1255" s="124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27"/>
      <c r="C1256" s="124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27"/>
      <c r="C1257" s="124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27"/>
      <c r="C1258" s="124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27"/>
      <c r="C1259" s="124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27"/>
      <c r="C1260" s="124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27"/>
      <c r="C1261" s="124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27"/>
      <c r="C1262" s="124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27"/>
      <c r="C1263" s="124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27"/>
      <c r="C1264" s="124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27"/>
      <c r="C1265" s="124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27"/>
      <c r="C1266" s="124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27"/>
      <c r="C1267" s="124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27"/>
      <c r="C1268" s="124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27"/>
      <c r="C1269" s="124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27"/>
      <c r="C1270" s="124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27"/>
      <c r="C1271" s="124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27"/>
      <c r="C1272" s="124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27"/>
      <c r="C1273" s="124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27"/>
      <c r="C1274" s="124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27"/>
      <c r="C1275" s="124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27"/>
      <c r="C1276" s="124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27"/>
      <c r="C1277" s="124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27"/>
      <c r="C1278" s="124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27"/>
      <c r="C1279" s="124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27"/>
      <c r="C1280" s="124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27"/>
      <c r="C1281" s="124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27"/>
      <c r="C1282" s="124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27"/>
      <c r="C1283" s="124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27"/>
      <c r="C1284" s="124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27"/>
      <c r="C1285" s="124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27"/>
      <c r="C1286" s="124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27"/>
      <c r="C1287" s="124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27"/>
      <c r="C1288" s="124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27"/>
      <c r="C1289" s="124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27"/>
      <c r="C1290" s="124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27"/>
      <c r="C1291" s="124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27"/>
      <c r="C1292" s="124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27"/>
      <c r="C1293" s="124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27"/>
      <c r="C1294" s="124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27"/>
      <c r="C1295" s="124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27"/>
      <c r="C1296" s="124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27"/>
      <c r="C1297" s="124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27"/>
      <c r="C1298" s="124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27"/>
      <c r="C1299" s="124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27"/>
      <c r="C1300" s="124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27"/>
      <c r="C1301" s="124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27"/>
      <c r="C1302" s="124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27"/>
      <c r="C1303" s="124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27"/>
      <c r="C1304" s="124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27"/>
      <c r="C1305" s="124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27"/>
      <c r="C1306" s="124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27"/>
      <c r="C1307" s="124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27"/>
      <c r="C1308" s="124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27"/>
      <c r="C1309" s="124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27"/>
      <c r="C1310" s="124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27"/>
      <c r="C1311" s="124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27"/>
      <c r="C1312" s="124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27"/>
      <c r="C1313" s="124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27"/>
      <c r="C1314" s="124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27"/>
      <c r="C1315" s="124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27"/>
      <c r="C1316" s="124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27"/>
      <c r="C1317" s="124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27"/>
      <c r="C1318" s="124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27"/>
      <c r="C1319" s="124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27"/>
      <c r="C1320" s="124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27"/>
      <c r="C1321" s="124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27"/>
      <c r="C1322" s="124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27"/>
      <c r="C1323" s="124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27"/>
      <c r="C1324" s="124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27"/>
      <c r="C1325" s="124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27"/>
      <c r="C1326" s="124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27"/>
      <c r="C1327" s="124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27"/>
      <c r="C1328" s="124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27"/>
      <c r="C1329" s="124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27"/>
      <c r="C1330" s="124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27"/>
      <c r="C1331" s="124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27"/>
      <c r="C1332" s="124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27"/>
      <c r="C1333" s="124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27"/>
      <c r="C1334" s="124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27"/>
      <c r="C1335" s="124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27"/>
      <c r="C1336" s="124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27"/>
      <c r="C1337" s="124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27"/>
      <c r="C1338" s="124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27"/>
      <c r="C1339" s="124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27"/>
      <c r="C1340" s="124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27"/>
      <c r="C1341" s="124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27"/>
      <c r="C1342" s="124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27"/>
      <c r="C1343" s="124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27"/>
      <c r="C1344" s="124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27"/>
      <c r="C1345" s="124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27"/>
      <c r="C1346" s="124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27"/>
      <c r="C1347" s="124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27"/>
      <c r="C1348" s="124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27"/>
      <c r="C1349" s="124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27"/>
      <c r="C1350" s="124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27"/>
      <c r="C1351" s="124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27"/>
      <c r="C1352" s="124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27"/>
      <c r="C1353" s="124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27"/>
      <c r="C1354" s="124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27"/>
      <c r="C1355" s="124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27"/>
      <c r="C1356" s="124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27"/>
      <c r="C1357" s="124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27"/>
      <c r="C1358" s="124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27"/>
      <c r="C1359" s="124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27"/>
      <c r="C1360" s="124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27"/>
      <c r="C1361" s="124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27"/>
      <c r="C1362" s="124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27"/>
      <c r="C1363" s="124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27"/>
      <c r="C1364" s="124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27"/>
      <c r="C1365" s="124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27"/>
      <c r="C1366" s="124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27"/>
      <c r="C1367" s="124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27"/>
      <c r="C1368" s="124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27"/>
      <c r="C1369" s="124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27"/>
      <c r="C1370" s="124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27"/>
      <c r="C1371" s="124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27"/>
      <c r="C1372" s="124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27"/>
      <c r="C1373" s="124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27"/>
      <c r="C1374" s="124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27"/>
      <c r="C1375" s="124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27"/>
      <c r="C1376" s="124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27"/>
      <c r="C1377" s="124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27"/>
      <c r="C1378" s="124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27"/>
      <c r="C1379" s="124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27"/>
      <c r="C1380" s="124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27"/>
      <c r="C1381" s="124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27"/>
      <c r="C1382" s="124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27"/>
      <c r="C1383" s="124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27"/>
      <c r="C1384" s="124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27"/>
      <c r="C1385" s="124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27"/>
      <c r="C1386" s="124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27"/>
      <c r="C1387" s="124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27"/>
      <c r="C1388" s="124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27"/>
      <c r="C1389" s="124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27"/>
      <c r="C1390" s="124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27"/>
      <c r="C1391" s="124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27"/>
      <c r="C1392" s="124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27"/>
      <c r="C1393" s="124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27"/>
      <c r="C1394" s="124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27"/>
      <c r="C1395" s="124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27"/>
      <c r="C1396" s="124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27"/>
      <c r="C1397" s="124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27"/>
      <c r="C1398" s="124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27"/>
      <c r="C1399" s="124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27"/>
      <c r="C1400" s="124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27"/>
      <c r="C1401" s="124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27"/>
      <c r="C1402" s="124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27"/>
      <c r="C1403" s="124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27"/>
      <c r="C1404" s="124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27"/>
      <c r="C1405" s="124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27"/>
      <c r="C1406" s="124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27"/>
      <c r="C1407" s="124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27"/>
      <c r="C1408" s="124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27"/>
      <c r="C1409" s="124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27"/>
      <c r="C1410" s="124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27"/>
      <c r="C1411" s="124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27"/>
      <c r="C1412" s="124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27"/>
      <c r="C1413" s="124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27"/>
      <c r="C1414" s="124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27"/>
      <c r="C1415" s="124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27"/>
      <c r="C1416" s="124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27"/>
      <c r="C1417" s="124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27"/>
      <c r="C1418" s="124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27"/>
      <c r="C1419" s="124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27"/>
      <c r="C1420" s="124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27"/>
      <c r="C1421" s="124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27"/>
      <c r="C1422" s="124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27"/>
      <c r="C1423" s="124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27"/>
      <c r="C1424" s="124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27"/>
      <c r="C1425" s="124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27"/>
      <c r="C1426" s="124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27"/>
      <c r="C1427" s="124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27"/>
      <c r="C1428" s="124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27"/>
      <c r="C1429" s="124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27"/>
      <c r="C1430" s="124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27"/>
      <c r="C1431" s="124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27"/>
      <c r="C1432" s="124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27"/>
      <c r="C1433" s="124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27"/>
      <c r="C1434" s="124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27"/>
      <c r="C1435" s="124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27"/>
      <c r="C1436" s="124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27"/>
      <c r="C1437" s="124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27"/>
      <c r="C1438" s="124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27"/>
      <c r="C1439" s="124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27"/>
      <c r="C1440" s="124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27"/>
      <c r="C1441" s="124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27"/>
      <c r="C1442" s="124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27"/>
      <c r="C1443" s="124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27"/>
      <c r="C1444" s="124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27"/>
      <c r="C1445" s="124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27"/>
      <c r="C1446" s="124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27"/>
      <c r="C1447" s="124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27"/>
      <c r="C1448" s="124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27"/>
      <c r="C1449" s="124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27"/>
      <c r="C1450" s="124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27"/>
      <c r="C1451" s="124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27"/>
      <c r="C1452" s="124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27"/>
      <c r="C1453" s="124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27"/>
      <c r="C1454" s="124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27"/>
      <c r="C1455" s="124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27"/>
      <c r="C1456" s="124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27"/>
      <c r="C1457" s="124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27"/>
      <c r="C1458" s="124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27"/>
      <c r="C1459" s="124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27"/>
      <c r="C1460" s="124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27"/>
      <c r="C1461" s="124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27"/>
      <c r="C1462" s="124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27"/>
      <c r="C1463" s="124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27"/>
      <c r="C1464" s="124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27"/>
      <c r="C1465" s="124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27"/>
      <c r="C1466" s="124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27"/>
      <c r="C1467" s="124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27"/>
      <c r="C1468" s="124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27"/>
      <c r="C1469" s="124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27"/>
      <c r="C1470" s="124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27"/>
      <c r="C1471" s="124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27"/>
      <c r="C1472" s="124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27"/>
      <c r="C1473" s="124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27"/>
      <c r="C1474" s="124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27"/>
      <c r="C1475" s="124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27"/>
      <c r="C1476" s="124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27"/>
      <c r="C1477" s="124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27"/>
      <c r="C1478" s="124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27"/>
      <c r="C1479" s="124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27"/>
      <c r="C1480" s="124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27"/>
      <c r="C1481" s="124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27"/>
      <c r="C1482" s="124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27"/>
      <c r="C1483" s="124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27"/>
      <c r="C1484" s="124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27"/>
      <c r="C1485" s="124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27"/>
      <c r="C1486" s="124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27"/>
      <c r="C1487" s="124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27"/>
      <c r="C1488" s="124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27"/>
      <c r="C1489" s="124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27"/>
      <c r="C1490" s="124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27"/>
      <c r="C1491" s="124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27"/>
      <c r="C1492" s="124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27"/>
      <c r="C1493" s="124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27"/>
      <c r="C1494" s="124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27"/>
      <c r="C1495" s="124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27"/>
      <c r="C1496" s="124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27"/>
      <c r="C1497" s="124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27"/>
      <c r="C1498" s="124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27"/>
      <c r="C1499" s="124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27"/>
      <c r="C1500" s="124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27"/>
      <c r="C1501" s="124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27"/>
      <c r="C1502" s="124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27"/>
      <c r="C1503" s="124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27"/>
      <c r="C1504" s="124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27"/>
      <c r="C1505" s="124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27"/>
      <c r="C1506" s="124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27"/>
      <c r="C1507" s="124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27"/>
      <c r="C1508" s="124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27"/>
      <c r="C1509" s="124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27"/>
      <c r="C1510" s="124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27"/>
      <c r="C1511" s="124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27"/>
      <c r="C1512" s="124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27"/>
      <c r="C1513" s="124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27"/>
      <c r="C1514" s="124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27"/>
      <c r="C1515" s="124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27"/>
      <c r="C1516" s="124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27"/>
      <c r="C1517" s="124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27"/>
      <c r="C1518" s="124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27"/>
      <c r="C1519" s="124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27"/>
      <c r="C1520" s="124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27"/>
      <c r="C1521" s="124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27"/>
      <c r="C1522" s="124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27"/>
      <c r="C1523" s="124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27"/>
      <c r="C1524" s="124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27"/>
      <c r="C1525" s="124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27"/>
      <c r="C1526" s="124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27"/>
      <c r="C1527" s="124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27"/>
      <c r="C1528" s="124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27"/>
      <c r="C1529" s="124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27"/>
      <c r="C1530" s="124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27"/>
      <c r="C1531" s="124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27"/>
      <c r="C1532" s="124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27"/>
      <c r="C1533" s="124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27"/>
      <c r="C1534" s="124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27"/>
      <c r="C1535" s="124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27"/>
      <c r="C1536" s="124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27"/>
      <c r="C1537" s="124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27"/>
      <c r="C1538" s="124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27"/>
      <c r="C1539" s="124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27"/>
      <c r="C1540" s="124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27"/>
      <c r="C1541" s="124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27"/>
      <c r="C1542" s="124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27"/>
      <c r="C1543" s="124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27"/>
      <c r="C1544" s="124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27"/>
      <c r="C1545" s="124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27"/>
      <c r="C1546" s="124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27"/>
      <c r="C1547" s="124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27"/>
      <c r="C1548" s="124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27"/>
      <c r="C1549" s="124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27"/>
      <c r="C1550" s="124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27"/>
      <c r="C1551" s="124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27"/>
      <c r="C1552" s="124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27"/>
      <c r="C1553" s="124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27"/>
      <c r="C1554" s="124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27"/>
      <c r="C1555" s="124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27"/>
      <c r="C1556" s="124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27"/>
      <c r="C1557" s="124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27"/>
      <c r="C1558" s="124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27"/>
      <c r="C1559" s="124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27"/>
      <c r="C1560" s="124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27"/>
      <c r="C1561" s="124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27"/>
      <c r="C1562" s="124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27"/>
      <c r="C1563" s="124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27"/>
      <c r="C1564" s="124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27"/>
      <c r="C1565" s="124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27"/>
      <c r="C1566" s="124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27"/>
      <c r="C1567" s="124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27"/>
      <c r="C1568" s="124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27"/>
      <c r="C1569" s="124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27"/>
      <c r="C1570" s="124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27"/>
      <c r="C1571" s="124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27"/>
      <c r="C1572" s="124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27"/>
      <c r="C1573" s="124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27"/>
      <c r="C1574" s="124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27"/>
      <c r="C1575" s="124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27"/>
      <c r="C1576" s="124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27"/>
      <c r="C1577" s="124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27"/>
      <c r="C1578" s="124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27"/>
      <c r="C1579" s="124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27"/>
      <c r="C1580" s="124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27"/>
      <c r="C1581" s="124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27"/>
      <c r="C1582" s="124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27"/>
      <c r="C1583" s="124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27"/>
      <c r="C1584" s="124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27"/>
      <c r="C1585" s="124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27"/>
      <c r="C1586" s="124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27"/>
      <c r="C1587" s="124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27"/>
      <c r="C1588" s="124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27"/>
      <c r="C1589" s="124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27"/>
      <c r="C1590" s="124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27"/>
      <c r="C1591" s="124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27"/>
      <c r="C1592" s="124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27"/>
      <c r="C1593" s="124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27"/>
      <c r="C1594" s="124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27"/>
      <c r="C1595" s="124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27"/>
      <c r="C1596" s="124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27"/>
      <c r="C1597" s="124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27"/>
      <c r="C1598" s="124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27"/>
      <c r="C1599" s="124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27"/>
      <c r="C1600" s="124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27"/>
      <c r="C1601" s="124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27"/>
      <c r="C1602" s="124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27"/>
      <c r="C1603" s="124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27"/>
      <c r="C1604" s="124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27"/>
      <c r="C1605" s="124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27"/>
      <c r="C1606" s="124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27"/>
      <c r="C1607" s="124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27"/>
      <c r="C1608" s="124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27"/>
      <c r="C1609" s="124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27"/>
      <c r="C1610" s="124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27"/>
      <c r="C1611" s="124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27"/>
      <c r="C1612" s="124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27"/>
      <c r="C1613" s="124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27"/>
      <c r="C1614" s="124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27"/>
      <c r="C1615" s="124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27"/>
      <c r="C1616" s="124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27"/>
      <c r="C1617" s="124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27"/>
      <c r="C1618" s="124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27"/>
      <c r="C1619" s="124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27"/>
      <c r="C1620" s="124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27"/>
      <c r="C1621" s="124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27"/>
      <c r="C1622" s="124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27"/>
      <c r="C1623" s="124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27"/>
      <c r="C1624" s="124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27"/>
      <c r="C1625" s="124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27"/>
      <c r="C1626" s="124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27"/>
      <c r="C1627" s="124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27"/>
      <c r="C1628" s="124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27"/>
      <c r="C1629" s="124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27"/>
      <c r="C1630" s="124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27"/>
      <c r="C1631" s="124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27"/>
      <c r="C1632" s="124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27"/>
      <c r="C1633" s="124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27"/>
      <c r="C1634" s="124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27"/>
      <c r="C1635" s="124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27"/>
      <c r="C1636" s="124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27"/>
      <c r="C1637" s="124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27"/>
      <c r="C1638" s="124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27"/>
      <c r="C1639" s="124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27"/>
      <c r="C1640" s="124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27"/>
      <c r="C1641" s="124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27"/>
      <c r="C1642" s="124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27"/>
      <c r="C1643" s="124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27"/>
      <c r="C1644" s="124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27"/>
      <c r="C1645" s="124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27"/>
      <c r="C1646" s="124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27"/>
      <c r="C1647" s="124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27"/>
      <c r="C1648" s="124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27"/>
      <c r="C1649" s="124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27"/>
      <c r="C1650" s="124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27"/>
      <c r="C1651" s="124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27"/>
      <c r="C1652" s="124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27"/>
      <c r="C1653" s="124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27"/>
      <c r="C1654" s="124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27"/>
      <c r="C1655" s="124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27"/>
      <c r="C1656" s="124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27"/>
      <c r="C1657" s="124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27"/>
      <c r="C1658" s="124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27"/>
      <c r="C1659" s="124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27"/>
      <c r="C1660" s="124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27"/>
      <c r="C1661" s="124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27"/>
      <c r="C1662" s="124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27"/>
      <c r="C1663" s="124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27"/>
      <c r="C1664" s="124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27"/>
      <c r="C1665" s="124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27"/>
      <c r="C1666" s="124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27"/>
      <c r="C1667" s="124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27"/>
      <c r="C1668" s="124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27"/>
      <c r="C1669" s="124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27"/>
      <c r="C1670" s="124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27"/>
      <c r="C1671" s="124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27"/>
      <c r="C1672" s="124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27"/>
      <c r="C1673" s="124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27"/>
      <c r="C1674" s="124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27"/>
      <c r="C1675" s="124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27"/>
      <c r="C1676" s="124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27"/>
      <c r="C1677" s="124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27"/>
      <c r="C1678" s="124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27"/>
      <c r="C1679" s="124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27"/>
      <c r="C1680" s="124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27"/>
      <c r="C1681" s="124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27"/>
      <c r="C1682" s="124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27"/>
      <c r="C1683" s="124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27"/>
      <c r="C1684" s="124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27"/>
      <c r="C1685" s="124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27"/>
      <c r="C1686" s="124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27"/>
      <c r="C1687" s="124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27"/>
      <c r="C1688" s="124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27"/>
      <c r="C1689" s="124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27"/>
      <c r="C1690" s="124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27"/>
      <c r="C1691" s="124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27"/>
      <c r="C1692" s="124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27"/>
      <c r="C1693" s="124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27"/>
      <c r="C1694" s="124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27"/>
      <c r="C1695" s="124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27"/>
      <c r="C1696" s="124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27"/>
      <c r="C1697" s="124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27"/>
      <c r="C1698" s="124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27"/>
      <c r="C1699" s="124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27"/>
      <c r="C1700" s="124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27"/>
      <c r="C1701" s="124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27"/>
      <c r="C1702" s="124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27"/>
      <c r="C1703" s="124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27"/>
      <c r="C1704" s="124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27"/>
      <c r="C1705" s="124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27"/>
      <c r="C1706" s="124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27"/>
      <c r="C1707" s="124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27"/>
      <c r="C1708" s="124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27"/>
      <c r="C1709" s="124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27"/>
      <c r="C1710" s="124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27"/>
      <c r="C1711" s="124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27"/>
      <c r="C1712" s="124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27"/>
      <c r="C1713" s="124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27"/>
      <c r="C1714" s="124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27"/>
      <c r="C1715" s="124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27"/>
      <c r="C1716" s="124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27"/>
      <c r="C1717" s="124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27"/>
      <c r="C1718" s="124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27"/>
      <c r="C1719" s="124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27"/>
      <c r="C1720" s="124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27"/>
      <c r="C1721" s="124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27"/>
      <c r="C1722" s="124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27"/>
      <c r="C1723" s="124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27"/>
      <c r="C1724" s="124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27"/>
      <c r="C1725" s="124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27"/>
      <c r="C1726" s="124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27"/>
      <c r="C1727" s="124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27"/>
      <c r="C1728" s="124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27"/>
      <c r="C1729" s="124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27"/>
      <c r="C1730" s="124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27"/>
      <c r="C1731" s="124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27"/>
      <c r="C1732" s="124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27"/>
      <c r="C1733" s="124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27"/>
      <c r="C1734" s="124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27"/>
      <c r="C1735" s="124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27"/>
      <c r="C1736" s="124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27"/>
      <c r="C1737" s="124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27"/>
      <c r="C1738" s="124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27"/>
      <c r="C1739" s="124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27"/>
      <c r="C1740" s="124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27"/>
      <c r="C1741" s="124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27"/>
      <c r="C1742" s="124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27"/>
      <c r="C1743" s="124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27"/>
      <c r="C1744" s="124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27"/>
      <c r="C1745" s="124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27"/>
      <c r="C1746" s="124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27"/>
      <c r="C1747" s="124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27"/>
      <c r="C1748" s="124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27"/>
      <c r="C1749" s="124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27"/>
      <c r="C1750" s="124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27"/>
      <c r="C1751" s="124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27"/>
      <c r="C1752" s="124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27"/>
      <c r="C1753" s="124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27"/>
      <c r="C1754" s="124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27"/>
      <c r="C1755" s="124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27"/>
      <c r="C1756" s="124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27"/>
      <c r="C1757" s="124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27"/>
      <c r="C1758" s="124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27"/>
      <c r="C1759" s="124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27"/>
      <c r="C1760" s="124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27"/>
      <c r="C1761" s="124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27"/>
      <c r="C1762" s="124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27"/>
      <c r="C1763" s="124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27"/>
      <c r="C1764" s="124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27"/>
      <c r="C1765" s="124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27"/>
      <c r="C1766" s="124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27"/>
      <c r="C1767" s="124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27"/>
      <c r="C1768" s="124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27"/>
      <c r="C1769" s="124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27"/>
      <c r="C1770" s="124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27"/>
      <c r="C1771" s="124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27"/>
      <c r="C1772" s="124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27"/>
      <c r="C1773" s="124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27"/>
      <c r="C1774" s="124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27"/>
      <c r="C1775" s="124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27"/>
      <c r="C1776" s="124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27"/>
      <c r="C1777" s="124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27"/>
      <c r="C1778" s="124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27"/>
      <c r="C1779" s="124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27"/>
      <c r="C1780" s="124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27"/>
      <c r="C1781" s="124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27"/>
      <c r="C1782" s="124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27"/>
      <c r="C1783" s="124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27"/>
      <c r="C1784" s="124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27"/>
      <c r="C1785" s="124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27"/>
      <c r="C1786" s="124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27"/>
      <c r="C1787" s="124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27"/>
      <c r="C1788" s="124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27"/>
      <c r="C1789" s="124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27"/>
      <c r="C1790" s="124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27"/>
      <c r="C1791" s="124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27"/>
      <c r="C1792" s="124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27"/>
      <c r="C1793" s="124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27"/>
      <c r="C1794" s="124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27"/>
      <c r="C1795" s="124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27"/>
      <c r="C1796" s="124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27"/>
      <c r="C1797" s="124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27"/>
      <c r="C1798" s="124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27"/>
      <c r="C1799" s="124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27"/>
      <c r="C1800" s="124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27"/>
      <c r="C1801" s="124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27"/>
      <c r="C1802" s="124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27"/>
      <c r="C1803" s="124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27"/>
      <c r="C1804" s="124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27"/>
      <c r="C1805" s="124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27"/>
      <c r="C1806" s="124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27"/>
      <c r="C1807" s="124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27"/>
      <c r="C1808" s="124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27"/>
      <c r="C1809" s="124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27"/>
      <c r="C1810" s="124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27"/>
      <c r="C1811" s="124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27"/>
      <c r="C1812" s="124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27"/>
      <c r="C1813" s="124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27"/>
      <c r="C1814" s="124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27"/>
      <c r="C1815" s="124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27"/>
      <c r="C1816" s="124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27"/>
      <c r="C1817" s="124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27"/>
      <c r="C1818" s="124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27"/>
      <c r="C1819" s="124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27"/>
      <c r="C1820" s="124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27"/>
      <c r="C1821" s="124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27"/>
      <c r="C1822" s="124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27"/>
      <c r="C1823" s="124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27"/>
      <c r="C1824" s="124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27"/>
      <c r="C1825" s="124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27"/>
      <c r="C1826" s="124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27"/>
      <c r="C1827" s="124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27"/>
      <c r="C1828" s="124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27"/>
      <c r="C1829" s="124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27"/>
      <c r="C1830" s="124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27"/>
      <c r="C1831" s="124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27"/>
      <c r="C1832" s="124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27"/>
      <c r="C1833" s="124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27"/>
      <c r="C1834" s="124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27"/>
      <c r="C1835" s="124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27"/>
      <c r="C1836" s="124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27"/>
      <c r="C1837" s="124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27"/>
      <c r="C1838" s="124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27"/>
      <c r="C1839" s="124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27"/>
      <c r="C1840" s="124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27"/>
      <c r="C1841" s="124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27"/>
      <c r="C1842" s="124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27"/>
      <c r="C1843" s="124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27"/>
      <c r="C1844" s="124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27"/>
      <c r="C1845" s="124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27"/>
      <c r="C1846" s="124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27"/>
      <c r="C1847" s="124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27"/>
      <c r="C1848" s="124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27"/>
      <c r="C1849" s="124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27"/>
      <c r="C1850" s="124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27"/>
      <c r="C1851" s="124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27"/>
      <c r="C1852" s="124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27"/>
      <c r="C1853" s="124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27"/>
      <c r="C1854" s="124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27"/>
      <c r="C1855" s="124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27"/>
      <c r="C1856" s="124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27"/>
      <c r="C1857" s="124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27"/>
      <c r="C1858" s="124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27"/>
      <c r="C1859" s="124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27"/>
      <c r="C1860" s="124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27"/>
      <c r="C1861" s="124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27"/>
      <c r="C1862" s="124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27"/>
      <c r="C1863" s="124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27"/>
      <c r="C1864" s="124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27"/>
      <c r="C1865" s="124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27"/>
      <c r="C1866" s="124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27"/>
      <c r="C1867" s="124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27"/>
      <c r="C1868" s="124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27"/>
      <c r="C1869" s="124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27"/>
      <c r="C1870" s="124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27"/>
      <c r="C1871" s="124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27"/>
      <c r="C1872" s="124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27"/>
      <c r="C1873" s="124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27"/>
      <c r="C1874" s="124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27"/>
      <c r="C1875" s="124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27"/>
      <c r="C1876" s="124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27"/>
      <c r="C1877" s="124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27"/>
      <c r="C1878" s="124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27"/>
      <c r="C1879" s="124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27"/>
      <c r="C1880" s="124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27"/>
      <c r="C1881" s="124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27"/>
      <c r="C1882" s="124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27"/>
      <c r="C1883" s="124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27"/>
      <c r="C1884" s="124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27"/>
      <c r="C1885" s="124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27"/>
      <c r="C1886" s="124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27"/>
      <c r="C1887" s="124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27"/>
      <c r="C1888" s="124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27"/>
      <c r="C1889" s="124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27"/>
      <c r="C1890" s="124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27"/>
      <c r="C1891" s="124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27"/>
      <c r="C1892" s="124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27"/>
      <c r="C1893" s="124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27"/>
      <c r="C1894" s="124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27"/>
      <c r="C1895" s="124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27"/>
      <c r="C1896" s="124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27"/>
      <c r="C1897" s="124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27"/>
      <c r="C1898" s="124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27"/>
      <c r="C1899" s="124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27"/>
      <c r="C1900" s="124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27"/>
      <c r="C1901" s="124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27"/>
      <c r="C1902" s="124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27"/>
      <c r="C1903" s="124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27"/>
      <c r="C1904" s="124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27"/>
      <c r="C1905" s="124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27"/>
      <c r="C1906" s="124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27"/>
      <c r="C1907" s="124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27"/>
      <c r="C1908" s="124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27"/>
      <c r="C1909" s="124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27"/>
      <c r="C1910" s="124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27"/>
      <c r="C1911" s="124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27"/>
      <c r="C1912" s="124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27"/>
      <c r="C1913" s="124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27"/>
      <c r="C1914" s="124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27"/>
      <c r="C1915" s="124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27"/>
      <c r="C1916" s="124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27"/>
      <c r="C1917" s="124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27"/>
      <c r="C1918" s="124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27"/>
      <c r="C1919" s="124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27"/>
      <c r="C1920" s="124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27"/>
      <c r="C1921" s="124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27"/>
      <c r="C1922" s="124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27"/>
      <c r="C1923" s="124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27"/>
      <c r="C1924" s="124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27"/>
      <c r="C1925" s="124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27"/>
      <c r="C1926" s="124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27"/>
      <c r="C1927" s="124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27"/>
      <c r="C1928" s="124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27"/>
      <c r="C1929" s="124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27"/>
      <c r="C1930" s="124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27"/>
      <c r="C1931" s="124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27"/>
      <c r="C1932" s="124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27"/>
      <c r="C1933" s="124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27"/>
      <c r="C1934" s="124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27"/>
      <c r="C1935" s="124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27"/>
      <c r="C1936" s="124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27"/>
      <c r="C1937" s="124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27"/>
      <c r="C1938" s="124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27"/>
      <c r="C1939" s="124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27"/>
      <c r="C1940" s="124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27"/>
      <c r="C1941" s="124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27"/>
      <c r="C1942" s="124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27"/>
      <c r="C1943" s="124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27"/>
      <c r="C1944" s="124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27"/>
      <c r="C1945" s="124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27"/>
      <c r="C1946" s="124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27"/>
      <c r="C1947" s="124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27"/>
      <c r="C1948" s="124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27"/>
      <c r="C1949" s="124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27"/>
      <c r="C1950" s="124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27"/>
      <c r="C1951" s="124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27"/>
      <c r="C1952" s="124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27"/>
      <c r="C1953" s="124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27"/>
      <c r="C1954" s="124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27"/>
      <c r="C1955" s="124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27"/>
      <c r="C1956" s="124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27"/>
      <c r="C1957" s="124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27"/>
      <c r="C1958" s="124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27"/>
      <c r="C1959" s="124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27"/>
      <c r="C1960" s="124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27"/>
      <c r="C1961" s="124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27"/>
      <c r="C1962" s="124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27"/>
      <c r="C1963" s="124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27"/>
      <c r="C1964" s="124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27"/>
      <c r="C1965" s="124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27"/>
      <c r="C1966" s="124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27"/>
      <c r="C1967" s="124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27"/>
      <c r="C1968" s="124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27"/>
      <c r="C1969" s="124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27"/>
      <c r="C1970" s="124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27"/>
      <c r="C1971" s="124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27"/>
      <c r="C1972" s="124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27"/>
      <c r="C1973" s="124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27"/>
      <c r="C1974" s="124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27"/>
      <c r="C1975" s="124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27"/>
      <c r="C1976" s="124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27"/>
      <c r="C1977" s="124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27"/>
      <c r="C1978" s="124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27"/>
      <c r="C1979" s="124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27"/>
      <c r="C1980" s="124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27"/>
      <c r="C1981" s="124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27"/>
      <c r="C1982" s="124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27"/>
      <c r="C1983" s="124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27"/>
      <c r="C1984" s="124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27"/>
      <c r="C1985" s="124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27"/>
      <c r="C1986" s="124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27"/>
      <c r="C1987" s="124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27"/>
      <c r="C1988" s="124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27"/>
      <c r="C1989" s="124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27"/>
      <c r="C1990" s="124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27"/>
      <c r="C1991" s="124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27"/>
      <c r="C1992" s="124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27"/>
      <c r="C1993" s="124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27"/>
      <c r="C1994" s="124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27"/>
      <c r="C1995" s="124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27"/>
      <c r="C1996" s="124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27"/>
      <c r="C1997" s="124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27"/>
      <c r="C1998" s="124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27"/>
      <c r="C1999" s="124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27"/>
      <c r="C2000" s="124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27"/>
      <c r="C2001" s="124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27"/>
      <c r="C2002" s="124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27"/>
      <c r="C2003" s="124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27"/>
      <c r="C2004" s="124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27"/>
      <c r="C2005" s="124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27"/>
      <c r="C2006" s="124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27"/>
      <c r="C2007" s="124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27"/>
      <c r="C2008" s="124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27"/>
      <c r="C2009" s="124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27"/>
      <c r="C2010" s="124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27"/>
      <c r="C2011" s="124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27"/>
      <c r="C2012" s="124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27"/>
      <c r="C2013" s="124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27"/>
      <c r="C2014" s="124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27"/>
      <c r="C2015" s="124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27"/>
      <c r="C2016" s="124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27"/>
      <c r="C2017" s="124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27"/>
      <c r="C2018" s="124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27"/>
      <c r="C2019" s="124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27"/>
      <c r="C2020" s="124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27"/>
      <c r="C2021" s="124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27"/>
      <c r="C2022" s="124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27"/>
      <c r="C2023" s="124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27"/>
      <c r="C2024" s="124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27"/>
      <c r="C2025" s="124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27"/>
      <c r="C2026" s="124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27"/>
      <c r="C2027" s="124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27"/>
      <c r="C2028" s="124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27"/>
      <c r="C2029" s="124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27"/>
      <c r="C2030" s="124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27"/>
      <c r="C2031" s="124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27"/>
      <c r="C2032" s="124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27"/>
      <c r="C2033" s="124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27"/>
      <c r="C2034" s="124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27"/>
      <c r="C2035" s="124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27"/>
      <c r="C2036" s="124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27"/>
      <c r="C2037" s="124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27"/>
      <c r="C2038" s="124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27"/>
      <c r="C2039" s="124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27"/>
      <c r="C2040" s="124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27"/>
      <c r="C2041" s="124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27"/>
      <c r="C2042" s="124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27"/>
      <c r="C2043" s="124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27"/>
      <c r="C2044" s="124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27"/>
      <c r="C2045" s="124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27"/>
      <c r="C2046" s="124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27"/>
      <c r="C2047" s="124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27"/>
      <c r="C2048" s="124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27"/>
      <c r="C2049" s="124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27"/>
      <c r="C2050" s="124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27"/>
      <c r="C2051" s="124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27"/>
      <c r="C2052" s="124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27"/>
      <c r="C2053" s="124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27"/>
      <c r="C2054" s="124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27"/>
      <c r="C2055" s="124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27"/>
      <c r="C2056" s="124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27"/>
      <c r="C2057" s="124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27"/>
      <c r="C2058" s="124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27"/>
      <c r="C2059" s="124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27"/>
      <c r="C2060" s="124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27"/>
      <c r="C2061" s="124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27"/>
      <c r="C2062" s="124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27"/>
      <c r="C2063" s="124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27"/>
      <c r="C2064" s="124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27"/>
      <c r="C2065" s="124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27"/>
      <c r="C2066" s="124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27"/>
      <c r="C2067" s="124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27"/>
      <c r="C2068" s="124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27"/>
      <c r="C2069" s="124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27"/>
      <c r="C2070" s="124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27"/>
      <c r="C2071" s="124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27"/>
      <c r="C2072" s="124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27"/>
      <c r="C2073" s="124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27"/>
      <c r="C2074" s="124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27"/>
      <c r="C2075" s="124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27"/>
      <c r="C2076" s="124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27"/>
      <c r="C2077" s="124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27"/>
      <c r="C2078" s="124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27"/>
      <c r="C2079" s="124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27"/>
      <c r="C2080" s="124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27"/>
      <c r="C2081" s="124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27"/>
      <c r="C2082" s="124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27"/>
      <c r="C2083" s="124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27"/>
      <c r="C2084" s="124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27"/>
      <c r="C2085" s="124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27"/>
      <c r="C2086" s="124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27"/>
      <c r="C2087" s="124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27"/>
      <c r="C2088" s="124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27"/>
      <c r="C2089" s="124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27"/>
      <c r="C2090" s="124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27"/>
      <c r="C2091" s="124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27"/>
      <c r="C2092" s="124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27"/>
      <c r="C2093" s="124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27"/>
      <c r="C2094" s="124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27"/>
      <c r="C2095" s="124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27"/>
      <c r="C2096" s="124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27"/>
      <c r="C2097" s="124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27"/>
      <c r="C2098" s="124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27"/>
      <c r="C2099" s="124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27"/>
      <c r="C2100" s="124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27"/>
      <c r="C2101" s="124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27"/>
      <c r="C2102" s="124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27"/>
      <c r="C2103" s="124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27"/>
      <c r="C2104" s="124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27"/>
      <c r="C2105" s="124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27"/>
      <c r="C2106" s="124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27"/>
      <c r="C2107" s="124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27"/>
      <c r="C2108" s="124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27"/>
      <c r="C2109" s="124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27"/>
      <c r="C2110" s="124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27"/>
      <c r="C2111" s="124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27"/>
      <c r="C2112" s="124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27"/>
      <c r="C2113" s="124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27"/>
      <c r="C2114" s="124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27"/>
      <c r="C2115" s="124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27"/>
      <c r="C2116" s="124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27"/>
      <c r="C2117" s="124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27"/>
      <c r="C2118" s="124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27"/>
      <c r="C2119" s="124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27"/>
      <c r="C2120" s="124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27"/>
      <c r="C2121" s="124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27"/>
      <c r="C2122" s="124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27"/>
      <c r="C2123" s="124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27"/>
      <c r="C2124" s="124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27"/>
      <c r="C2125" s="124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27"/>
      <c r="C2126" s="124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27"/>
      <c r="C2127" s="124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27"/>
      <c r="C2128" s="124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27"/>
      <c r="C2129" s="124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27"/>
      <c r="C2130" s="124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27"/>
      <c r="C2131" s="124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27"/>
      <c r="C2132" s="124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27"/>
      <c r="C2133" s="124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27"/>
      <c r="C2134" s="124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27"/>
      <c r="C2135" s="124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27"/>
      <c r="C2136" s="124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27"/>
      <c r="C2137" s="124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27"/>
      <c r="C2138" s="124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27"/>
      <c r="C2139" s="124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27"/>
      <c r="C2140" s="124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27"/>
      <c r="C2141" s="124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27"/>
      <c r="C2142" s="124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27"/>
      <c r="C2143" s="124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27"/>
      <c r="C2144" s="124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27"/>
      <c r="C2145" s="124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27"/>
      <c r="C2146" s="124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27"/>
      <c r="C2147" s="124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27"/>
      <c r="C2148" s="124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27"/>
      <c r="C2149" s="124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27"/>
      <c r="C2150" s="124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27"/>
      <c r="C2151" s="124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27"/>
      <c r="C2152" s="124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27"/>
      <c r="C2153" s="124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27"/>
      <c r="C2154" s="124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27"/>
      <c r="C2155" s="124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27"/>
      <c r="C2156" s="124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27"/>
      <c r="C2157" s="124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27"/>
      <c r="C2158" s="124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27"/>
      <c r="C2159" s="124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27"/>
      <c r="C2160" s="124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27"/>
      <c r="C2161" s="124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27"/>
      <c r="C2162" s="124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27"/>
      <c r="C2163" s="124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27"/>
      <c r="C2164" s="124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27"/>
      <c r="C2165" s="124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27"/>
      <c r="C2166" s="124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27"/>
      <c r="C2167" s="124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27"/>
      <c r="C2168" s="124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27"/>
      <c r="C2169" s="124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27"/>
      <c r="C2170" s="124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27"/>
      <c r="C2171" s="124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27"/>
      <c r="C2172" s="124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27"/>
      <c r="C2173" s="124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27"/>
      <c r="C2174" s="124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27"/>
      <c r="C2175" s="124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27"/>
      <c r="C2176" s="124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27"/>
      <c r="C2177" s="124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27"/>
      <c r="C2178" s="124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27"/>
      <c r="C2179" s="124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27"/>
      <c r="C2180" s="124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27"/>
      <c r="C2181" s="124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27"/>
      <c r="C2182" s="124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27"/>
      <c r="C2183" s="124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27"/>
      <c r="C2184" s="124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27"/>
      <c r="C2185" s="124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27"/>
      <c r="C2186" s="124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27"/>
      <c r="C2187" s="124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27"/>
      <c r="C2188" s="124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27"/>
      <c r="C2189" s="124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27"/>
      <c r="C2190" s="124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27"/>
      <c r="C2191" s="124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27"/>
      <c r="C2192" s="124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27"/>
      <c r="C2193" s="124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27"/>
      <c r="C2194" s="124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27"/>
      <c r="C2195" s="124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27"/>
      <c r="C2196" s="124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27"/>
      <c r="C2197" s="124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27"/>
      <c r="C2198" s="124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27"/>
      <c r="C2199" s="124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27"/>
      <c r="C2200" s="124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27"/>
      <c r="C2201" s="124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27"/>
      <c r="C2202" s="124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27"/>
      <c r="C2203" s="124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27"/>
      <c r="C2204" s="124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27"/>
      <c r="C2205" s="124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27"/>
      <c r="C2206" s="124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27"/>
      <c r="C2207" s="124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27"/>
      <c r="C2208" s="124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27"/>
      <c r="C2209" s="124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27"/>
      <c r="C2210" s="124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27"/>
      <c r="C2211" s="124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27"/>
      <c r="C2212" s="124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27"/>
      <c r="C2213" s="124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27"/>
      <c r="C2214" s="124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27"/>
      <c r="C2215" s="124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27"/>
      <c r="C2216" s="124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27"/>
      <c r="C2217" s="124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27"/>
      <c r="C2218" s="124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27"/>
      <c r="C2219" s="124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27"/>
      <c r="C2220" s="124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27"/>
      <c r="C2221" s="124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27"/>
      <c r="C2222" s="124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27"/>
      <c r="C2223" s="124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27"/>
      <c r="C2224" s="124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27"/>
      <c r="C2225" s="124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27"/>
      <c r="C2226" s="124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27"/>
      <c r="C2227" s="124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27"/>
      <c r="C2228" s="124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27"/>
      <c r="C2229" s="124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27"/>
      <c r="C2230" s="124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27"/>
      <c r="C2231" s="124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27"/>
      <c r="C2232" s="124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27"/>
      <c r="C2233" s="124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27"/>
      <c r="C2234" s="124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27"/>
      <c r="C2235" s="124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27"/>
      <c r="C2236" s="124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27"/>
      <c r="C2237" s="124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27"/>
      <c r="C2238" s="124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27"/>
      <c r="C2239" s="124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27"/>
      <c r="C2240" s="124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27"/>
      <c r="C2241" s="124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27"/>
      <c r="C2242" s="124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27"/>
      <c r="C2243" s="124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27"/>
      <c r="C2244" s="124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27"/>
      <c r="C2245" s="124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27"/>
      <c r="C2246" s="124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27"/>
      <c r="C2247" s="124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27"/>
      <c r="C2248" s="124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27"/>
      <c r="C2249" s="124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27"/>
      <c r="C2250" s="124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27"/>
      <c r="C2251" s="124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27"/>
      <c r="C2252" s="124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27"/>
      <c r="C2253" s="124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27"/>
      <c r="C2254" s="124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27"/>
      <c r="C2255" s="124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27"/>
      <c r="C2256" s="124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27"/>
      <c r="C2257" s="124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27"/>
      <c r="C2258" s="124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27"/>
      <c r="C2259" s="124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27"/>
      <c r="C2260" s="124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27"/>
      <c r="C2261" s="124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27"/>
      <c r="C2262" s="124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27"/>
      <c r="C2263" s="124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27"/>
      <c r="C2264" s="124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27"/>
      <c r="C2265" s="124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27"/>
      <c r="C2266" s="124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27"/>
      <c r="C2267" s="124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27"/>
      <c r="C2268" s="124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27"/>
      <c r="C2269" s="124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27"/>
      <c r="C2270" s="124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27"/>
      <c r="C2271" s="124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27"/>
      <c r="C2272" s="124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27"/>
      <c r="C2273" s="124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27"/>
      <c r="C2274" s="124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27"/>
      <c r="C2275" s="124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27"/>
      <c r="C2276" s="124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27"/>
      <c r="C2277" s="124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27"/>
      <c r="C2278" s="124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27"/>
      <c r="C2279" s="124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27"/>
      <c r="C2280" s="124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27"/>
      <c r="C2281" s="124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27"/>
      <c r="C2282" s="124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27"/>
      <c r="C2283" s="124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27"/>
      <c r="C2284" s="124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27"/>
      <c r="C2285" s="124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27"/>
      <c r="C2286" s="124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27"/>
      <c r="C2287" s="124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27"/>
      <c r="C2288" s="124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27"/>
      <c r="C2289" s="124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27"/>
      <c r="C2290" s="124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27"/>
      <c r="C2291" s="124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27"/>
      <c r="C2292" s="124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27"/>
      <c r="C2293" s="124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27"/>
      <c r="C2294" s="124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27"/>
      <c r="C2295" s="124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27"/>
      <c r="C2296" s="124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27"/>
      <c r="C2297" s="124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27"/>
      <c r="C2298" s="124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27"/>
      <c r="C2299" s="124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27"/>
      <c r="C2300" s="124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27"/>
      <c r="C2301" s="124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27"/>
      <c r="C2302" s="124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27"/>
      <c r="C2303" s="124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27"/>
      <c r="C2304" s="124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27"/>
      <c r="C2305" s="124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27"/>
      <c r="C2306" s="124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27"/>
      <c r="C2307" s="124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27"/>
      <c r="C2308" s="124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27"/>
      <c r="C2309" s="124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27"/>
      <c r="C2310" s="124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27"/>
      <c r="C2311" s="124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27"/>
      <c r="C2312" s="124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27"/>
      <c r="C2313" s="124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27"/>
      <c r="C2314" s="124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27"/>
      <c r="C2315" s="124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27"/>
      <c r="C2316" s="124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27"/>
      <c r="C2317" s="124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27"/>
      <c r="C2318" s="124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27"/>
      <c r="C2319" s="124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27"/>
      <c r="C2320" s="124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27"/>
      <c r="C2321" s="124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27"/>
      <c r="C2322" s="124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27"/>
      <c r="C2323" s="124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27"/>
      <c r="C2324" s="124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27"/>
      <c r="C2325" s="124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27"/>
      <c r="C2326" s="124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27"/>
      <c r="C2327" s="124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27"/>
      <c r="C2328" s="124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27"/>
      <c r="C2329" s="124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27"/>
      <c r="C2330" s="124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27"/>
      <c r="C2331" s="124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27"/>
      <c r="C2332" s="124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27"/>
      <c r="C2333" s="124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27"/>
      <c r="C2334" s="124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27"/>
      <c r="C2335" s="124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27"/>
      <c r="C2336" s="124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27"/>
      <c r="C2337" s="124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27"/>
      <c r="C2338" s="124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27"/>
      <c r="C2339" s="124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27"/>
      <c r="C2340" s="124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27"/>
      <c r="C2341" s="124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27"/>
      <c r="C2342" s="124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27"/>
      <c r="C2343" s="124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27"/>
      <c r="C2344" s="124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27"/>
      <c r="C2345" s="124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27"/>
      <c r="C2346" s="124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27"/>
      <c r="C2347" s="124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27"/>
      <c r="C2348" s="124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27"/>
      <c r="C2349" s="124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27"/>
      <c r="C2350" s="124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27"/>
      <c r="C2351" s="124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27"/>
      <c r="C2352" s="124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27"/>
      <c r="C2353" s="124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27"/>
      <c r="C2354" s="124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27"/>
      <c r="C2355" s="124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27"/>
      <c r="C2356" s="124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27"/>
      <c r="C2357" s="124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27"/>
      <c r="C2358" s="124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27"/>
      <c r="C2359" s="124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27"/>
      <c r="C2360" s="124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27"/>
      <c r="C2361" s="124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27"/>
      <c r="C2362" s="124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27"/>
      <c r="C2363" s="124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27"/>
      <c r="C2364" s="124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27"/>
      <c r="C2365" s="124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27"/>
      <c r="C2366" s="124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27"/>
      <c r="C2367" s="124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27"/>
      <c r="C2368" s="124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27"/>
      <c r="C2369" s="124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27"/>
      <c r="C2370" s="124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27"/>
      <c r="C2371" s="124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27"/>
      <c r="C2372" s="124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27"/>
      <c r="C2373" s="124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27"/>
      <c r="C2374" s="124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27"/>
      <c r="C2375" s="124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27"/>
      <c r="C2376" s="124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27"/>
      <c r="C2377" s="124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27"/>
      <c r="C2378" s="124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27"/>
      <c r="C2379" s="124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27"/>
      <c r="C2380" s="124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27"/>
      <c r="C2381" s="124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27"/>
      <c r="C2382" s="124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27"/>
      <c r="C2383" s="124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27"/>
      <c r="C2384" s="124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27"/>
      <c r="C2385" s="124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27"/>
      <c r="C2386" s="124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27"/>
      <c r="C2387" s="124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27"/>
      <c r="C2388" s="124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27"/>
      <c r="C2389" s="124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27"/>
      <c r="C2390" s="124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27"/>
      <c r="C2391" s="124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27"/>
      <c r="C2392" s="124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27"/>
      <c r="C2393" s="124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27"/>
      <c r="C2394" s="124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27"/>
      <c r="C2395" s="124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27"/>
      <c r="C2396" s="124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27"/>
      <c r="C2397" s="124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27"/>
      <c r="C2398" s="124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27"/>
      <c r="C2399" s="124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27"/>
      <c r="C2400" s="124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27"/>
      <c r="C2401" s="124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27"/>
      <c r="C2402" s="124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27"/>
      <c r="C2403" s="124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27"/>
      <c r="C2404" s="124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27"/>
      <c r="C2405" s="124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27"/>
      <c r="C2406" s="124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27"/>
      <c r="C2407" s="124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27"/>
      <c r="C2408" s="124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27"/>
      <c r="C2409" s="124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27"/>
      <c r="C2410" s="124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27"/>
      <c r="C2411" s="124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27"/>
      <c r="C2412" s="124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27"/>
      <c r="C2413" s="124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27"/>
      <c r="C2414" s="124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27"/>
      <c r="C2415" s="124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27"/>
      <c r="C2416" s="124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27"/>
      <c r="C2417" s="124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27"/>
      <c r="C2418" s="124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27"/>
      <c r="C2419" s="124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27"/>
      <c r="C2420" s="124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27"/>
      <c r="C2421" s="124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27"/>
      <c r="C2422" s="124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27"/>
      <c r="C2423" s="124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27"/>
      <c r="C2424" s="124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27"/>
      <c r="C2425" s="124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27"/>
      <c r="C2426" s="124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27"/>
      <c r="C2427" s="124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27"/>
      <c r="C2428" s="124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27"/>
      <c r="C2429" s="124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27"/>
      <c r="C2430" s="124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27"/>
      <c r="C2431" s="124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27"/>
      <c r="C2432" s="124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27"/>
      <c r="C2433" s="124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27"/>
      <c r="C2434" s="124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27"/>
      <c r="C2435" s="124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27"/>
      <c r="C2436" s="124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27"/>
      <c r="C2437" s="124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27"/>
      <c r="C2438" s="124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27"/>
      <c r="C2439" s="124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27"/>
      <c r="C2440" s="124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27"/>
      <c r="C2441" s="124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27"/>
      <c r="C2442" s="124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27"/>
      <c r="C2443" s="124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27"/>
      <c r="C2444" s="124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27"/>
      <c r="C2445" s="124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27"/>
      <c r="C2446" s="124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27"/>
      <c r="C2447" s="124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27"/>
      <c r="C2448" s="124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27"/>
      <c r="C2449" s="124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27"/>
      <c r="C2450" s="124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27"/>
      <c r="C2451" s="124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27"/>
      <c r="C2452" s="124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27"/>
      <c r="C2453" s="124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27"/>
      <c r="C2454" s="124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27"/>
      <c r="C2455" s="124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27"/>
      <c r="C2456" s="124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27"/>
      <c r="C2457" s="124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27"/>
      <c r="C2458" s="124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27"/>
      <c r="C2459" s="124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27"/>
      <c r="C2460" s="124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27"/>
      <c r="C2461" s="124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27"/>
      <c r="C2462" s="124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27"/>
      <c r="C2463" s="124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27"/>
      <c r="C2464" s="124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27"/>
      <c r="C2465" s="124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27"/>
      <c r="C2466" s="124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27"/>
      <c r="C2467" s="124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27"/>
      <c r="C2468" s="124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27"/>
      <c r="C2469" s="124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27"/>
      <c r="C2470" s="124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27"/>
      <c r="C2471" s="124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27"/>
      <c r="C2472" s="124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27"/>
      <c r="C2473" s="124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27"/>
      <c r="C2474" s="124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27"/>
      <c r="C2475" s="124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27"/>
      <c r="C2476" s="124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27"/>
      <c r="C2477" s="124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27"/>
      <c r="C2478" s="124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27"/>
      <c r="C2479" s="124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27"/>
      <c r="C2480" s="124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27"/>
      <c r="C2481" s="124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27"/>
      <c r="C2482" s="124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27"/>
      <c r="C2483" s="124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27"/>
      <c r="C2484" s="124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27"/>
      <c r="C2485" s="124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27"/>
      <c r="C2486" s="124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27"/>
      <c r="C2487" s="124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27"/>
      <c r="C2488" s="124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27"/>
      <c r="C2489" s="124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27"/>
      <c r="C2490" s="124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27"/>
      <c r="C2491" s="124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27"/>
      <c r="C2492" s="124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27"/>
      <c r="C2493" s="124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27"/>
      <c r="C2494" s="124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27"/>
      <c r="C2495" s="124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27"/>
      <c r="C2496" s="124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27"/>
      <c r="C2497" s="124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27"/>
      <c r="C2498" s="124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27"/>
      <c r="C2499" s="124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27"/>
      <c r="C2500" s="124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27"/>
      <c r="C2501" s="124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27"/>
      <c r="C2502" s="124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27"/>
      <c r="C2503" s="124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27"/>
      <c r="C2504" s="124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27"/>
      <c r="C2505" s="124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27"/>
      <c r="C2506" s="124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27"/>
      <c r="C2507" s="124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27"/>
      <c r="C2508" s="124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27"/>
      <c r="C2509" s="124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27"/>
      <c r="C2510" s="124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27"/>
      <c r="C2511" s="124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27"/>
      <c r="C2512" s="124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27"/>
      <c r="C2513" s="124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27"/>
      <c r="C2514" s="124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27"/>
      <c r="C2515" s="124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27"/>
      <c r="C2516" s="124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27"/>
      <c r="C2517" s="124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27"/>
      <c r="C2518" s="124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27"/>
      <c r="C2519" s="124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27"/>
      <c r="C2520" s="124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27"/>
      <c r="C2521" s="124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27"/>
      <c r="C2522" s="124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27"/>
      <c r="C2523" s="124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27"/>
      <c r="C2524" s="124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27"/>
      <c r="C2525" s="124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27"/>
      <c r="C2526" s="124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27"/>
      <c r="C2527" s="124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27"/>
      <c r="C2528" s="124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27"/>
      <c r="C2529" s="124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27"/>
      <c r="C2530" s="124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27"/>
      <c r="C2531" s="124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27"/>
      <c r="C2532" s="124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27"/>
      <c r="C2533" s="124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27"/>
      <c r="C2534" s="124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27"/>
      <c r="C2535" s="124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27"/>
      <c r="C2536" s="124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27"/>
      <c r="C2537" s="124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27"/>
      <c r="C2538" s="124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27"/>
      <c r="C2539" s="124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27"/>
      <c r="C2540" s="124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27"/>
      <c r="C2541" s="124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27"/>
      <c r="C2542" s="124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27"/>
      <c r="C2543" s="124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27"/>
      <c r="C2544" s="124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27"/>
      <c r="C2545" s="124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27"/>
      <c r="C2546" s="124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27"/>
      <c r="C2547" s="124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27"/>
      <c r="C2548" s="124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27"/>
      <c r="C2549" s="124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27"/>
      <c r="C2550" s="124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27"/>
      <c r="C2551" s="124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27"/>
      <c r="C2552" s="124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27"/>
      <c r="C2553" s="124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27"/>
      <c r="C2554" s="124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27"/>
      <c r="C2555" s="124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27"/>
      <c r="C2556" s="124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27"/>
      <c r="C2557" s="124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27"/>
      <c r="C2558" s="124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27"/>
      <c r="C2559" s="124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27"/>
      <c r="C2560" s="124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27"/>
      <c r="C2561" s="124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27"/>
      <c r="C2562" s="124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27"/>
      <c r="C2563" s="124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27"/>
      <c r="C2564" s="124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27"/>
      <c r="C2565" s="124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27"/>
      <c r="C2566" s="124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27"/>
      <c r="C2567" s="124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27"/>
      <c r="C2568" s="124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27"/>
      <c r="C2569" s="124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27"/>
      <c r="C2570" s="124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27"/>
      <c r="C2571" s="124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27"/>
      <c r="C2572" s="124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27"/>
      <c r="C2573" s="124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27"/>
      <c r="C2574" s="124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27"/>
      <c r="C2575" s="124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27"/>
      <c r="C2576" s="124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27"/>
      <c r="C2577" s="124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27"/>
      <c r="C2578" s="124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27"/>
      <c r="C2579" s="124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27"/>
      <c r="C2580" s="124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27"/>
      <c r="C2581" s="124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27"/>
      <c r="C2582" s="124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27"/>
      <c r="C2583" s="124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27"/>
      <c r="C2584" s="124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27"/>
      <c r="C2585" s="124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27"/>
      <c r="C2586" s="124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27"/>
      <c r="C2587" s="124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27"/>
      <c r="C2588" s="124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27"/>
      <c r="C2589" s="124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27"/>
      <c r="C2590" s="124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27"/>
      <c r="C2591" s="124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27"/>
      <c r="C2592" s="124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27"/>
      <c r="C2593" s="124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27"/>
      <c r="C2594" s="124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27"/>
      <c r="C2595" s="124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27"/>
      <c r="C2596" s="124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27"/>
      <c r="C2597" s="124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27"/>
      <c r="C2598" s="124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27"/>
      <c r="C2599" s="124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27"/>
      <c r="C2600" s="124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27"/>
      <c r="C2601" s="124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27"/>
      <c r="C2602" s="124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27"/>
      <c r="C2603" s="124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27"/>
      <c r="C2604" s="124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27"/>
      <c r="C2605" s="124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27"/>
      <c r="C2606" s="124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27"/>
      <c r="C2607" s="124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27"/>
      <c r="C2608" s="124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27"/>
      <c r="C2609" s="124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27"/>
      <c r="C2610" s="124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27"/>
      <c r="C2611" s="124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27"/>
      <c r="C2612" s="124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27"/>
      <c r="C2613" s="124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27"/>
      <c r="C2614" s="124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27"/>
      <c r="C2615" s="124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27"/>
      <c r="C2616" s="124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27"/>
      <c r="C2617" s="124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27"/>
      <c r="C2618" s="124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27"/>
      <c r="C2619" s="124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27"/>
      <c r="C2620" s="124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27"/>
      <c r="C2621" s="124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27"/>
      <c r="C2622" s="124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27"/>
      <c r="C2623" s="124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27"/>
      <c r="C2624" s="124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27"/>
      <c r="C2625" s="124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27"/>
      <c r="C2626" s="124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27"/>
      <c r="C2627" s="124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27"/>
      <c r="C2628" s="124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27"/>
      <c r="C2629" s="124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27"/>
      <c r="C2630" s="124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27"/>
      <c r="C2631" s="124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27"/>
      <c r="C2632" s="124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27"/>
      <c r="C2633" s="124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27"/>
      <c r="C2634" s="124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27"/>
      <c r="C2635" s="124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27"/>
      <c r="C2636" s="124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27"/>
      <c r="C2637" s="124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27"/>
      <c r="C2638" s="124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27"/>
      <c r="C2639" s="124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27"/>
      <c r="C2640" s="124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27"/>
      <c r="C2641" s="124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27"/>
      <c r="C2642" s="124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27"/>
      <c r="C2643" s="124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27"/>
      <c r="C2644" s="124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27"/>
      <c r="C2645" s="124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27"/>
      <c r="C2646" s="124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27"/>
      <c r="C2647" s="124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27"/>
      <c r="C2648" s="124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27"/>
      <c r="C2649" s="124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27"/>
      <c r="C2650" s="124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27"/>
      <c r="C2651" s="124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27"/>
      <c r="C2652" s="124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27"/>
      <c r="C2653" s="124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27"/>
      <c r="C2654" s="124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27"/>
      <c r="C2655" s="124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27"/>
      <c r="C2656" s="124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27"/>
      <c r="C2657" s="124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27"/>
      <c r="C2658" s="124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27"/>
      <c r="C2659" s="124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27"/>
      <c r="C2660" s="124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27"/>
      <c r="C2661" s="124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27"/>
      <c r="C2662" s="124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27"/>
      <c r="C2663" s="124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27"/>
      <c r="C2664" s="124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27"/>
      <c r="C2665" s="124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27"/>
      <c r="C2666" s="124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27"/>
      <c r="C2667" s="124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27"/>
      <c r="C2668" s="124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27"/>
      <c r="C2669" s="124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27"/>
      <c r="C2670" s="124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27"/>
      <c r="C2671" s="124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27"/>
      <c r="C2672" s="124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27"/>
      <c r="C2673" s="124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27"/>
      <c r="C2674" s="124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27"/>
      <c r="C2675" s="124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27"/>
      <c r="C2676" s="124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27"/>
      <c r="C2677" s="124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27"/>
      <c r="C2678" s="124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27"/>
      <c r="C2679" s="124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27"/>
      <c r="C2680" s="124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27"/>
      <c r="C2681" s="124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27"/>
      <c r="C2682" s="124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27"/>
      <c r="C2683" s="124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27"/>
      <c r="C2684" s="124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27"/>
      <c r="C2685" s="124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27"/>
      <c r="C2686" s="124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27"/>
      <c r="C2687" s="124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27"/>
      <c r="C2688" s="124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27"/>
      <c r="C2689" s="124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27"/>
      <c r="C2690" s="124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27"/>
      <c r="C2691" s="124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27"/>
      <c r="C2692" s="124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27"/>
      <c r="C2693" s="124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27"/>
      <c r="C2694" s="124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27"/>
      <c r="C2695" s="124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27"/>
      <c r="C2696" s="124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27"/>
      <c r="C2697" s="124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27"/>
      <c r="C2698" s="124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27"/>
      <c r="C2699" s="124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27"/>
      <c r="C2700" s="124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27"/>
      <c r="C2701" s="124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27"/>
      <c r="C2702" s="124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27"/>
      <c r="C2703" s="124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27"/>
      <c r="C2704" s="124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27"/>
      <c r="C2705" s="124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27"/>
      <c r="C2706" s="124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27"/>
      <c r="C2707" s="124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27"/>
      <c r="C2708" s="124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27"/>
      <c r="C2709" s="124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27"/>
      <c r="C2710" s="124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27"/>
      <c r="C2711" s="124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27"/>
      <c r="C2712" s="124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27"/>
      <c r="C2713" s="124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27"/>
      <c r="C2714" s="124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27"/>
      <c r="C2715" s="124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27"/>
      <c r="C2716" s="124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27"/>
      <c r="C2717" s="124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27"/>
      <c r="C2718" s="124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27"/>
      <c r="C2719" s="124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27"/>
      <c r="C2720" s="124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27"/>
      <c r="C2721" s="124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27"/>
      <c r="C2722" s="124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27"/>
      <c r="C2723" s="124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27"/>
      <c r="C2724" s="124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27"/>
      <c r="C2725" s="124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27"/>
      <c r="C2726" s="124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27"/>
      <c r="C2727" s="124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27"/>
      <c r="C2728" s="124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27"/>
      <c r="C2729" s="124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27"/>
      <c r="C2730" s="124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27"/>
      <c r="C2731" s="124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27"/>
      <c r="C2732" s="124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27"/>
      <c r="C2733" s="124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27"/>
      <c r="C2734" s="124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27"/>
      <c r="C2735" s="124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27"/>
      <c r="C2736" s="124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27"/>
      <c r="C2737" s="124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27"/>
      <c r="C2738" s="124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27"/>
      <c r="C2739" s="124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27"/>
      <c r="C2740" s="124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27"/>
      <c r="C2741" s="124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27"/>
      <c r="C2742" s="124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27"/>
      <c r="C2743" s="124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27"/>
      <c r="C2744" s="124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27"/>
      <c r="C2745" s="124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27"/>
      <c r="C2746" s="124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27"/>
      <c r="C2747" s="124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27"/>
      <c r="C2748" s="124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27"/>
      <c r="C2749" s="124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27"/>
      <c r="C2750" s="124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27"/>
      <c r="C2751" s="124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27"/>
      <c r="C2752" s="124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27"/>
      <c r="C2753" s="124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27"/>
      <c r="C2754" s="124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27"/>
      <c r="C2755" s="124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27"/>
      <c r="C2756" s="124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27"/>
      <c r="C2757" s="124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27"/>
      <c r="C2758" s="124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27"/>
      <c r="C2759" s="124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27"/>
      <c r="C2760" s="124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27"/>
      <c r="C2761" s="124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27"/>
      <c r="C2762" s="124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27"/>
      <c r="C2763" s="124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27"/>
      <c r="C2764" s="124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27"/>
      <c r="C2765" s="124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27"/>
      <c r="C2766" s="124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27"/>
      <c r="C2767" s="124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27"/>
      <c r="C2768" s="124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27"/>
      <c r="C2769" s="124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27"/>
      <c r="C2770" s="124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27"/>
      <c r="C2771" s="124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27"/>
      <c r="C2772" s="124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27"/>
      <c r="C2773" s="124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27"/>
      <c r="C2774" s="124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27"/>
      <c r="C2775" s="124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27"/>
      <c r="C2776" s="124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27"/>
      <c r="C2777" s="124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27"/>
      <c r="C2778" s="124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27"/>
      <c r="C2779" s="124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27"/>
      <c r="C2780" s="124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27"/>
      <c r="C2781" s="124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27"/>
      <c r="C2782" s="124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27"/>
      <c r="C2783" s="124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27"/>
      <c r="C2784" s="124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27"/>
      <c r="C2785" s="124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27"/>
      <c r="C2786" s="124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27"/>
      <c r="C2787" s="124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27"/>
      <c r="C2788" s="124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27"/>
      <c r="C2789" s="124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27"/>
      <c r="C2790" s="124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27"/>
      <c r="C2791" s="124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27"/>
      <c r="C2792" s="124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27"/>
      <c r="C2793" s="124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27"/>
      <c r="C2794" s="124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27"/>
      <c r="C2795" s="124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27"/>
      <c r="C2796" s="124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27"/>
      <c r="C2797" s="124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27"/>
      <c r="C2798" s="124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27"/>
      <c r="C2799" s="124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27"/>
      <c r="C2800" s="124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27"/>
      <c r="C2801" s="124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27"/>
      <c r="C2802" s="124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27"/>
      <c r="C2803" s="124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27"/>
      <c r="C2804" s="124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27"/>
      <c r="C2805" s="124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27"/>
      <c r="C2806" s="124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27"/>
      <c r="C2807" s="124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27"/>
      <c r="C2808" s="124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27"/>
      <c r="C2809" s="124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27"/>
      <c r="C2810" s="124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27"/>
      <c r="C2811" s="124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27"/>
      <c r="C2812" s="124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27"/>
      <c r="C2813" s="124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27"/>
      <c r="C2814" s="124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27"/>
      <c r="C2815" s="124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27"/>
      <c r="C2816" s="124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27"/>
      <c r="C2817" s="124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27"/>
      <c r="C2818" s="124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27"/>
      <c r="C2819" s="124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27"/>
      <c r="C2820" s="124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27"/>
      <c r="C2821" s="124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27"/>
      <c r="C2822" s="124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27"/>
      <c r="C2823" s="124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27"/>
      <c r="C2824" s="124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27"/>
      <c r="C2825" s="124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27"/>
      <c r="C2826" s="124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27"/>
      <c r="C2827" s="124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27"/>
      <c r="C2828" s="124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27"/>
      <c r="C2829" s="124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27"/>
      <c r="C2830" s="124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27"/>
      <c r="C2831" s="124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27"/>
      <c r="C2832" s="124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27"/>
      <c r="C2833" s="124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27"/>
      <c r="C2834" s="124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27"/>
      <c r="C2835" s="124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27"/>
      <c r="C2836" s="124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27"/>
      <c r="C2837" s="124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27"/>
      <c r="C2838" s="124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27"/>
      <c r="C2839" s="124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27"/>
      <c r="C2840" s="124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27"/>
      <c r="C2841" s="124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27"/>
      <c r="C2842" s="124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27"/>
      <c r="C2843" s="124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27"/>
      <c r="C2844" s="124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27"/>
      <c r="C2845" s="124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27"/>
      <c r="C2846" s="124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27"/>
      <c r="C2847" s="124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27"/>
      <c r="C2848" s="124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27"/>
      <c r="C2849" s="124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27"/>
      <c r="C2850" s="124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27"/>
      <c r="C2851" s="124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27"/>
      <c r="C2852" s="124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27"/>
      <c r="C2853" s="124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27"/>
      <c r="C2854" s="124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27"/>
      <c r="C2855" s="124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27"/>
      <c r="C2856" s="124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27"/>
      <c r="C2857" s="124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27"/>
      <c r="C2858" s="124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27"/>
      <c r="C2859" s="124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27"/>
      <c r="C2860" s="124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27"/>
      <c r="C2861" s="124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27"/>
      <c r="C2862" s="124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27"/>
      <c r="C2863" s="124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27"/>
      <c r="C2864" s="124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27"/>
      <c r="C2865" s="124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27"/>
      <c r="C2866" s="124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27"/>
      <c r="C2867" s="124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27"/>
      <c r="C2868" s="124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27"/>
      <c r="C2869" s="124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27"/>
      <c r="C2870" s="124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27"/>
      <c r="C2871" s="124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27"/>
      <c r="C2872" s="124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27"/>
      <c r="C2873" s="124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27"/>
      <c r="C2874" s="124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27"/>
      <c r="C2875" s="124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27"/>
      <c r="C2876" s="124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27"/>
      <c r="C2877" s="124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27"/>
      <c r="C2878" s="124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27"/>
      <c r="C2879" s="124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27"/>
      <c r="C2880" s="124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27"/>
      <c r="C2881" s="124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27"/>
      <c r="C2882" s="124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27"/>
      <c r="C2883" s="124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27"/>
      <c r="C2884" s="124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27"/>
      <c r="C2885" s="124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27"/>
      <c r="C2886" s="124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27"/>
      <c r="C2887" s="124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27"/>
      <c r="C2888" s="124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27"/>
      <c r="C2889" s="124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27"/>
      <c r="C2890" s="124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27"/>
      <c r="C2891" s="124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27"/>
      <c r="C2892" s="124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27"/>
      <c r="C2893" s="124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27"/>
      <c r="C2894" s="124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27"/>
      <c r="C2895" s="124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27"/>
      <c r="C2896" s="124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27"/>
      <c r="C2897" s="124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27"/>
      <c r="C2898" s="124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27"/>
      <c r="C2899" s="124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27"/>
      <c r="C2900" s="124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27"/>
      <c r="C2901" s="124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27"/>
      <c r="C2902" s="124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27"/>
      <c r="C2903" s="124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27"/>
      <c r="C2904" s="124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27"/>
      <c r="C2905" s="124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27"/>
      <c r="C2906" s="124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27"/>
      <c r="C2907" s="124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27"/>
      <c r="C2908" s="124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27"/>
      <c r="C2909" s="124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27"/>
      <c r="C2910" s="124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27"/>
      <c r="C2911" s="124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27"/>
      <c r="C2912" s="124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27"/>
      <c r="C2913" s="124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27"/>
      <c r="C2914" s="124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27"/>
      <c r="C2915" s="124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27"/>
      <c r="C2916" s="124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27"/>
      <c r="C2917" s="124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27"/>
      <c r="C2918" s="124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27"/>
      <c r="C2919" s="124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27"/>
      <c r="C2920" s="124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27"/>
      <c r="C2921" s="124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27"/>
      <c r="C2922" s="124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27"/>
      <c r="C2923" s="124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27"/>
      <c r="C2924" s="124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27"/>
      <c r="C2925" s="124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27"/>
      <c r="C2926" s="124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27"/>
      <c r="C2927" s="124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27"/>
      <c r="C2928" s="124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27"/>
      <c r="C2929" s="124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27"/>
      <c r="C2930" s="124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27"/>
      <c r="C2931" s="124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27"/>
      <c r="C2932" s="124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27"/>
      <c r="C2933" s="124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27"/>
      <c r="C2934" s="124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27"/>
      <c r="C2935" s="124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27"/>
      <c r="C2936" s="124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27"/>
      <c r="C2937" s="124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27"/>
      <c r="C2938" s="124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27"/>
      <c r="C2939" s="124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27"/>
      <c r="C2940" s="124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27"/>
      <c r="C2941" s="124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27"/>
      <c r="C2942" s="124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27"/>
      <c r="C2943" s="124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27"/>
      <c r="C2944" s="124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27"/>
      <c r="C2945" s="124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27"/>
      <c r="C2946" s="124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27"/>
      <c r="C2947" s="124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27"/>
      <c r="C2948" s="124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27"/>
      <c r="C2949" s="124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27"/>
      <c r="C2950" s="124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27"/>
      <c r="C2951" s="124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27"/>
      <c r="C2952" s="124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27"/>
      <c r="C2953" s="124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27"/>
      <c r="C2954" s="124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27"/>
      <c r="C2955" s="124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27"/>
      <c r="C2956" s="124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27"/>
      <c r="C2957" s="124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27"/>
      <c r="C2958" s="124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27"/>
      <c r="C2959" s="124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27"/>
      <c r="C2960" s="124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27"/>
      <c r="C2961" s="124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27"/>
      <c r="C2962" s="124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27"/>
      <c r="C2963" s="124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27"/>
      <c r="C2964" s="124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27"/>
      <c r="C2965" s="124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27"/>
      <c r="C2966" s="124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27"/>
      <c r="C2967" s="124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27"/>
      <c r="C2968" s="124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27"/>
      <c r="C2969" s="124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27"/>
      <c r="C2970" s="124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27"/>
      <c r="C2971" s="124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27"/>
      <c r="C2972" s="124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27"/>
      <c r="C2973" s="124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27"/>
      <c r="C2974" s="124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27"/>
      <c r="C2975" s="124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27"/>
      <c r="C2976" s="124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27"/>
      <c r="C2977" s="124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27"/>
      <c r="C2978" s="124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27"/>
      <c r="C2979" s="124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27"/>
      <c r="C2980" s="124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27"/>
      <c r="C2981" s="124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27"/>
      <c r="C2982" s="124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27"/>
      <c r="C2983" s="124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27"/>
      <c r="C2984" s="124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27"/>
      <c r="C2985" s="124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27"/>
      <c r="C2986" s="124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27"/>
      <c r="C2987" s="124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27"/>
      <c r="C2988" s="124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27"/>
      <c r="C2989" s="124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27"/>
      <c r="C2990" s="124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27"/>
      <c r="C2991" s="124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27"/>
      <c r="C2992" s="124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27"/>
      <c r="C2993" s="124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27"/>
      <c r="C2994" s="124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27"/>
      <c r="C2995" s="124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27"/>
      <c r="C2996" s="124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27"/>
      <c r="C2997" s="124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27"/>
      <c r="C2998" s="124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27"/>
      <c r="C2999" s="124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27"/>
      <c r="C3000" s="124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27"/>
      <c r="C3001" s="124"/>
    </row>
    <row r="3002" spans="1:10" ht="18.75" customHeight="1" x14ac:dyDescent="0.35">
      <c r="A3002" s="127"/>
      <c r="C3002" s="124"/>
    </row>
    <row r="3003" spans="1:10" ht="18.75" customHeight="1" x14ac:dyDescent="0.35">
      <c r="A3003" s="127"/>
      <c r="C3003" s="124"/>
    </row>
    <row r="3004" spans="1:10" ht="18.75" customHeight="1" x14ac:dyDescent="0.35">
      <c r="A3004" s="127"/>
      <c r="C3004" s="124"/>
    </row>
    <row r="3005" spans="1:10" ht="18.75" customHeight="1" x14ac:dyDescent="0.35">
      <c r="A3005" s="127"/>
      <c r="C3005" s="124"/>
    </row>
    <row r="3006" spans="1:10" ht="18.75" customHeight="1" x14ac:dyDescent="0.35">
      <c r="A3006" s="127"/>
      <c r="C3006" s="124"/>
    </row>
    <row r="3007" spans="1:10" ht="18.75" customHeight="1" x14ac:dyDescent="0.35">
      <c r="A3007" s="127"/>
      <c r="C3007" s="124"/>
    </row>
    <row r="3008" spans="1:10" ht="18.75" customHeight="1" x14ac:dyDescent="0.35">
      <c r="A3008" s="127"/>
      <c r="C3008" s="124"/>
    </row>
    <row r="3009" spans="1:3" ht="18.75" customHeight="1" x14ac:dyDescent="0.35">
      <c r="A3009" s="127"/>
      <c r="C3009" s="124"/>
    </row>
    <row r="3010" spans="1:3" ht="18.75" customHeight="1" x14ac:dyDescent="0.35">
      <c r="A3010" s="127"/>
      <c r="C3010" s="124"/>
    </row>
    <row r="3011" spans="1:3" ht="18.75" customHeight="1" x14ac:dyDescent="0.35">
      <c r="A3011" s="127"/>
      <c r="C3011" s="124"/>
    </row>
    <row r="3012" spans="1:3" ht="18.75" customHeight="1" x14ac:dyDescent="0.35">
      <c r="A3012" s="127"/>
      <c r="C3012" s="124"/>
    </row>
    <row r="3013" spans="1:3" ht="18.75" customHeight="1" x14ac:dyDescent="0.35">
      <c r="A3013" s="127"/>
      <c r="C3013" s="124"/>
    </row>
    <row r="3014" spans="1:3" ht="18.75" customHeight="1" x14ac:dyDescent="0.35">
      <c r="A3014" s="127"/>
      <c r="C3014" s="124"/>
    </row>
    <row r="3015" spans="1:3" ht="18.75" customHeight="1" x14ac:dyDescent="0.35">
      <c r="A3015" s="127"/>
      <c r="C3015" s="124"/>
    </row>
    <row r="3016" spans="1:3" ht="18.75" customHeight="1" x14ac:dyDescent="0.35">
      <c r="A3016" s="127"/>
      <c r="C3016" s="124"/>
    </row>
    <row r="3017" spans="1:3" ht="18.75" customHeight="1" x14ac:dyDescent="0.35">
      <c r="A3017" s="127"/>
      <c r="C3017" s="124"/>
    </row>
    <row r="3018" spans="1:3" ht="18.75" customHeight="1" x14ac:dyDescent="0.35">
      <c r="A3018" s="127"/>
      <c r="C3018" s="124"/>
    </row>
    <row r="3019" spans="1:3" ht="18.75" customHeight="1" x14ac:dyDescent="0.35">
      <c r="A3019" s="127"/>
      <c r="C3019" s="124"/>
    </row>
    <row r="3020" spans="1:3" ht="18.75" customHeight="1" x14ac:dyDescent="0.35">
      <c r="A3020" s="127"/>
      <c r="C3020" s="124"/>
    </row>
    <row r="3021" spans="1:3" ht="18.75" customHeight="1" x14ac:dyDescent="0.35">
      <c r="A3021" s="127"/>
      <c r="C3021" s="124"/>
    </row>
    <row r="3022" spans="1:3" ht="18.75" customHeight="1" x14ac:dyDescent="0.35">
      <c r="A3022" s="127"/>
      <c r="C3022" s="124"/>
    </row>
    <row r="3023" spans="1:3" ht="18.75" customHeight="1" x14ac:dyDescent="0.35">
      <c r="A3023" s="127"/>
      <c r="C3023" s="124"/>
    </row>
    <row r="3024" spans="1:3" ht="18.75" customHeight="1" x14ac:dyDescent="0.35">
      <c r="A3024" s="127"/>
      <c r="C3024" s="124"/>
    </row>
    <row r="3025" spans="1:3" ht="18.75" customHeight="1" x14ac:dyDescent="0.35">
      <c r="A3025" s="127"/>
      <c r="C3025" s="124"/>
    </row>
    <row r="3026" spans="1:3" ht="18.75" customHeight="1" x14ac:dyDescent="0.35">
      <c r="A3026" s="127"/>
      <c r="C3026" s="124"/>
    </row>
    <row r="3027" spans="1:3" ht="18.75" customHeight="1" x14ac:dyDescent="0.35">
      <c r="A3027" s="127"/>
      <c r="C3027" s="124"/>
    </row>
    <row r="3028" spans="1:3" ht="18.75" customHeight="1" x14ac:dyDescent="0.35">
      <c r="A3028" s="127"/>
      <c r="C3028" s="124"/>
    </row>
    <row r="3029" spans="1:3" ht="18.75" customHeight="1" x14ac:dyDescent="0.35">
      <c r="A3029" s="127"/>
      <c r="C3029" s="124"/>
    </row>
    <row r="3030" spans="1:3" ht="18.75" customHeight="1" x14ac:dyDescent="0.35">
      <c r="A3030" s="127"/>
      <c r="C3030" s="124"/>
    </row>
    <row r="3031" spans="1:3" ht="18.75" customHeight="1" x14ac:dyDescent="0.35">
      <c r="A3031" s="127"/>
      <c r="C3031" s="124"/>
    </row>
    <row r="3032" spans="1:3" ht="18.75" customHeight="1" x14ac:dyDescent="0.35">
      <c r="A3032" s="127"/>
      <c r="C3032" s="124"/>
    </row>
    <row r="3033" spans="1:3" ht="18.75" customHeight="1" x14ac:dyDescent="0.35">
      <c r="A3033" s="127"/>
      <c r="C3033" s="124"/>
    </row>
    <row r="3034" spans="1:3" ht="18.75" customHeight="1" x14ac:dyDescent="0.35">
      <c r="A3034" s="127"/>
      <c r="C3034" s="124"/>
    </row>
    <row r="3035" spans="1:3" ht="18.75" customHeight="1" x14ac:dyDescent="0.35">
      <c r="A3035" s="127"/>
      <c r="C3035" s="124"/>
    </row>
    <row r="3036" spans="1:3" ht="18.75" customHeight="1" x14ac:dyDescent="0.35">
      <c r="A3036" s="127"/>
      <c r="C3036" s="124"/>
    </row>
    <row r="3037" spans="1:3" ht="18.75" customHeight="1" x14ac:dyDescent="0.35">
      <c r="A3037" s="127"/>
      <c r="C3037" s="124"/>
    </row>
    <row r="3038" spans="1:3" ht="18.75" customHeight="1" x14ac:dyDescent="0.35">
      <c r="A3038" s="127"/>
      <c r="C3038" s="124"/>
    </row>
    <row r="3039" spans="1:3" ht="18.75" customHeight="1" x14ac:dyDescent="0.35">
      <c r="A3039" s="127"/>
      <c r="C3039" s="124"/>
    </row>
    <row r="3040" spans="1:3" ht="18.75" customHeight="1" x14ac:dyDescent="0.35">
      <c r="A3040" s="127"/>
      <c r="C3040" s="124"/>
    </row>
    <row r="3041" spans="1:3" ht="18.75" customHeight="1" x14ac:dyDescent="0.35">
      <c r="A3041" s="127"/>
      <c r="C3041" s="124"/>
    </row>
    <row r="3042" spans="1:3" ht="18.75" customHeight="1" x14ac:dyDescent="0.35">
      <c r="A3042" s="127"/>
      <c r="C3042" s="124"/>
    </row>
    <row r="3043" spans="1:3" ht="18.75" customHeight="1" x14ac:dyDescent="0.35">
      <c r="A3043" s="127"/>
      <c r="C3043" s="124"/>
    </row>
    <row r="3044" spans="1:3" ht="18.75" customHeight="1" x14ac:dyDescent="0.35">
      <c r="A3044" s="127"/>
      <c r="C3044" s="124"/>
    </row>
    <row r="3045" spans="1:3" ht="18.75" customHeight="1" x14ac:dyDescent="0.35">
      <c r="A3045" s="127"/>
      <c r="C3045" s="124"/>
    </row>
    <row r="3046" spans="1:3" ht="18.75" customHeight="1" x14ac:dyDescent="0.35">
      <c r="A3046" s="127"/>
      <c r="C3046" s="124"/>
    </row>
    <row r="3047" spans="1:3" ht="18.75" customHeight="1" x14ac:dyDescent="0.35">
      <c r="A3047" s="127"/>
      <c r="C3047" s="124"/>
    </row>
    <row r="3048" spans="1:3" ht="18.75" customHeight="1" x14ac:dyDescent="0.35">
      <c r="A3048" s="127"/>
      <c r="C3048" s="124"/>
    </row>
    <row r="3049" spans="1:3" ht="18.75" customHeight="1" x14ac:dyDescent="0.35">
      <c r="A3049" s="127"/>
      <c r="C3049" s="124"/>
    </row>
    <row r="3050" spans="1:3" ht="18.75" customHeight="1" x14ac:dyDescent="0.35">
      <c r="A3050" s="127"/>
      <c r="C3050" s="124"/>
    </row>
    <row r="3051" spans="1:3" ht="18.75" customHeight="1" x14ac:dyDescent="0.35">
      <c r="A3051" s="127"/>
      <c r="C3051" s="124"/>
    </row>
    <row r="3052" spans="1:3" ht="18.75" customHeight="1" x14ac:dyDescent="0.35">
      <c r="A3052" s="127"/>
      <c r="C3052" s="124"/>
    </row>
    <row r="3053" spans="1:3" ht="18.75" customHeight="1" x14ac:dyDescent="0.35">
      <c r="A3053" s="127"/>
      <c r="C3053" s="124"/>
    </row>
    <row r="3054" spans="1:3" ht="18.75" customHeight="1" x14ac:dyDescent="0.35">
      <c r="A3054" s="127"/>
      <c r="C3054" s="124"/>
    </row>
    <row r="3055" spans="1:3" ht="18.75" customHeight="1" x14ac:dyDescent="0.35">
      <c r="A3055" s="127"/>
      <c r="C3055" s="124"/>
    </row>
    <row r="3056" spans="1:3" ht="18.75" customHeight="1" x14ac:dyDescent="0.35">
      <c r="A3056" s="127"/>
      <c r="C3056" s="124"/>
    </row>
    <row r="3057" spans="1:3" ht="18.75" customHeight="1" x14ac:dyDescent="0.35">
      <c r="A3057" s="127"/>
      <c r="C3057" s="124"/>
    </row>
    <row r="3058" spans="1:3" ht="18.75" customHeight="1" x14ac:dyDescent="0.35">
      <c r="A3058" s="127"/>
      <c r="C3058" s="124"/>
    </row>
    <row r="3059" spans="1:3" ht="18.75" customHeight="1" x14ac:dyDescent="0.35">
      <c r="A3059" s="127"/>
      <c r="C3059" s="124"/>
    </row>
    <row r="3060" spans="1:3" ht="18.75" customHeight="1" x14ac:dyDescent="0.35">
      <c r="A3060" s="127"/>
      <c r="C3060" s="124"/>
    </row>
    <row r="3061" spans="1:3" ht="18.75" customHeight="1" x14ac:dyDescent="0.35">
      <c r="A3061" s="127"/>
      <c r="C3061" s="124"/>
    </row>
    <row r="3062" spans="1:3" ht="18.75" customHeight="1" x14ac:dyDescent="0.35">
      <c r="A3062" s="127"/>
      <c r="C3062" s="124"/>
    </row>
    <row r="3063" spans="1:3" ht="18.75" customHeight="1" x14ac:dyDescent="0.35">
      <c r="A3063" s="127"/>
      <c r="C3063" s="124"/>
    </row>
    <row r="3064" spans="1:3" ht="18.75" customHeight="1" x14ac:dyDescent="0.35">
      <c r="A3064" s="127"/>
      <c r="C3064" s="124"/>
    </row>
    <row r="3065" spans="1:3" ht="18.75" customHeight="1" x14ac:dyDescent="0.35">
      <c r="A3065" s="127"/>
      <c r="C3065" s="124"/>
    </row>
    <row r="3066" spans="1:3" ht="18.75" customHeight="1" x14ac:dyDescent="0.35">
      <c r="A3066" s="127"/>
      <c r="C3066" s="124"/>
    </row>
    <row r="3067" spans="1:3" ht="18.75" customHeight="1" x14ac:dyDescent="0.35">
      <c r="A3067" s="127"/>
      <c r="C3067" s="124"/>
    </row>
    <row r="3068" spans="1:3" ht="18.75" customHeight="1" x14ac:dyDescent="0.35">
      <c r="A3068" s="127"/>
      <c r="C3068" s="124"/>
    </row>
    <row r="3069" spans="1:3" ht="18.75" customHeight="1" x14ac:dyDescent="0.35">
      <c r="A3069" s="127"/>
      <c r="C3069" s="124"/>
    </row>
    <row r="3070" spans="1:3" ht="18.75" customHeight="1" x14ac:dyDescent="0.35">
      <c r="A3070" s="127"/>
      <c r="C3070" s="124"/>
    </row>
    <row r="3071" spans="1:3" ht="18.75" customHeight="1" x14ac:dyDescent="0.35">
      <c r="A3071" s="127"/>
      <c r="C3071" s="124"/>
    </row>
    <row r="3072" spans="1:3" ht="18.75" customHeight="1" x14ac:dyDescent="0.35">
      <c r="A3072" s="127"/>
      <c r="C3072" s="124"/>
    </row>
    <row r="3073" spans="1:3" ht="18.75" customHeight="1" x14ac:dyDescent="0.35">
      <c r="A3073" s="127"/>
      <c r="C3073" s="124"/>
    </row>
    <row r="3074" spans="1:3" ht="18.75" customHeight="1" x14ac:dyDescent="0.35">
      <c r="A3074" s="127"/>
      <c r="C3074" s="124"/>
    </row>
    <row r="3075" spans="1:3" ht="18.75" customHeight="1" x14ac:dyDescent="0.35">
      <c r="A3075" s="127"/>
      <c r="C3075" s="124"/>
    </row>
    <row r="3076" spans="1:3" ht="18.75" customHeight="1" x14ac:dyDescent="0.35">
      <c r="A3076" s="127"/>
      <c r="C3076" s="124"/>
    </row>
    <row r="3077" spans="1:3" ht="18.75" customHeight="1" x14ac:dyDescent="0.35">
      <c r="A3077" s="127"/>
      <c r="C3077" s="124"/>
    </row>
    <row r="3078" spans="1:3" ht="18.75" customHeight="1" x14ac:dyDescent="0.35">
      <c r="A3078" s="127"/>
      <c r="C3078" s="124"/>
    </row>
    <row r="3079" spans="1:3" ht="18.75" customHeight="1" x14ac:dyDescent="0.35">
      <c r="A3079" s="127"/>
      <c r="C3079" s="124"/>
    </row>
    <row r="3080" spans="1:3" ht="18.75" customHeight="1" x14ac:dyDescent="0.35">
      <c r="A3080" s="127"/>
      <c r="C3080" s="124"/>
    </row>
    <row r="3081" spans="1:3" ht="18.75" customHeight="1" x14ac:dyDescent="0.35">
      <c r="A3081" s="127"/>
      <c r="C3081" s="124"/>
    </row>
    <row r="3082" spans="1:3" ht="18.75" customHeight="1" x14ac:dyDescent="0.35">
      <c r="A3082" s="127"/>
      <c r="C3082" s="124"/>
    </row>
    <row r="3083" spans="1:3" ht="18.75" customHeight="1" x14ac:dyDescent="0.35">
      <c r="A3083" s="127"/>
      <c r="C3083" s="124"/>
    </row>
    <row r="3084" spans="1:3" ht="18.75" customHeight="1" x14ac:dyDescent="0.35">
      <c r="A3084" s="127"/>
      <c r="C3084" s="124"/>
    </row>
    <row r="3085" spans="1:3" ht="18.75" customHeight="1" x14ac:dyDescent="0.35">
      <c r="A3085" s="127"/>
      <c r="C3085" s="124"/>
    </row>
    <row r="3086" spans="1:3" ht="18.75" customHeight="1" x14ac:dyDescent="0.35">
      <c r="A3086" s="127"/>
      <c r="C3086" s="124"/>
    </row>
    <row r="3087" spans="1:3" ht="18.75" customHeight="1" x14ac:dyDescent="0.35">
      <c r="A3087" s="127"/>
      <c r="C3087" s="124"/>
    </row>
    <row r="3088" spans="1:3" ht="18.75" customHeight="1" x14ac:dyDescent="0.35">
      <c r="A3088" s="127"/>
      <c r="C3088" s="124"/>
    </row>
    <row r="3089" spans="1:3" ht="18.75" customHeight="1" x14ac:dyDescent="0.35">
      <c r="A3089" s="127"/>
      <c r="C3089" s="124"/>
    </row>
    <row r="3090" spans="1:3" ht="18.75" customHeight="1" x14ac:dyDescent="0.35">
      <c r="A3090" s="127"/>
      <c r="C3090" s="124"/>
    </row>
    <row r="3091" spans="1:3" ht="18.75" customHeight="1" x14ac:dyDescent="0.35">
      <c r="A3091" s="127"/>
      <c r="C3091" s="124"/>
    </row>
    <row r="3092" spans="1:3" ht="18.75" customHeight="1" x14ac:dyDescent="0.35">
      <c r="A3092" s="127"/>
      <c r="C3092" s="124"/>
    </row>
    <row r="3093" spans="1:3" ht="18.75" customHeight="1" x14ac:dyDescent="0.35">
      <c r="A3093" s="127"/>
      <c r="C3093" s="124"/>
    </row>
    <row r="3094" spans="1:3" ht="18.75" customHeight="1" x14ac:dyDescent="0.35">
      <c r="A3094" s="127"/>
      <c r="C3094" s="124"/>
    </row>
    <row r="3095" spans="1:3" ht="18.75" customHeight="1" x14ac:dyDescent="0.35">
      <c r="A3095" s="127"/>
      <c r="C3095" s="124"/>
    </row>
    <row r="3096" spans="1:3" ht="18.75" customHeight="1" x14ac:dyDescent="0.35">
      <c r="A3096" s="127"/>
      <c r="C3096" s="124"/>
    </row>
    <row r="3097" spans="1:3" ht="18.75" customHeight="1" x14ac:dyDescent="0.35">
      <c r="A3097" s="127"/>
      <c r="C3097" s="124"/>
    </row>
    <row r="3098" spans="1:3" ht="18.75" customHeight="1" x14ac:dyDescent="0.35">
      <c r="A3098" s="127"/>
      <c r="C3098" s="124"/>
    </row>
    <row r="3099" spans="1:3" ht="18.75" customHeight="1" x14ac:dyDescent="0.35">
      <c r="A3099" s="127"/>
      <c r="C3099" s="124"/>
    </row>
    <row r="3100" spans="1:3" ht="18.75" customHeight="1" x14ac:dyDescent="0.35">
      <c r="A3100" s="127"/>
      <c r="C3100" s="124"/>
    </row>
    <row r="3101" spans="1:3" ht="18.75" customHeight="1" x14ac:dyDescent="0.35">
      <c r="A3101" s="127"/>
      <c r="C3101" s="124"/>
    </row>
    <row r="3102" spans="1:3" ht="18.75" customHeight="1" x14ac:dyDescent="0.35">
      <c r="A3102" s="127"/>
      <c r="C3102" s="124"/>
    </row>
    <row r="3103" spans="1:3" ht="18.75" customHeight="1" x14ac:dyDescent="0.35">
      <c r="A3103" s="127"/>
      <c r="C3103" s="124"/>
    </row>
    <row r="3104" spans="1:3" ht="18.75" customHeight="1" x14ac:dyDescent="0.35">
      <c r="A3104" s="127"/>
      <c r="C3104" s="124"/>
    </row>
    <row r="3105" spans="1:3" ht="18.75" customHeight="1" x14ac:dyDescent="0.35">
      <c r="A3105" s="127"/>
      <c r="C3105" s="124"/>
    </row>
    <row r="3106" spans="1:3" ht="18.75" customHeight="1" x14ac:dyDescent="0.35">
      <c r="A3106" s="127"/>
      <c r="C3106" s="124"/>
    </row>
    <row r="3107" spans="1:3" ht="18.75" customHeight="1" x14ac:dyDescent="0.35">
      <c r="A3107" s="127"/>
      <c r="C3107" s="124"/>
    </row>
    <row r="3108" spans="1:3" ht="18.75" customHeight="1" x14ac:dyDescent="0.35">
      <c r="A3108" s="127"/>
      <c r="C3108" s="124"/>
    </row>
    <row r="3109" spans="1:3" ht="18.75" customHeight="1" x14ac:dyDescent="0.35">
      <c r="A3109" s="127"/>
      <c r="C3109" s="124"/>
    </row>
    <row r="3110" spans="1:3" ht="18.75" customHeight="1" x14ac:dyDescent="0.35">
      <c r="A3110" s="127"/>
      <c r="C3110" s="124"/>
    </row>
    <row r="3111" spans="1:3" ht="18.75" customHeight="1" x14ac:dyDescent="0.35">
      <c r="A3111" s="127"/>
      <c r="C3111" s="124"/>
    </row>
    <row r="3112" spans="1:3" ht="18.75" customHeight="1" x14ac:dyDescent="0.35">
      <c r="A3112" s="127"/>
      <c r="C3112" s="124"/>
    </row>
    <row r="3113" spans="1:3" ht="18.75" customHeight="1" x14ac:dyDescent="0.35">
      <c r="A3113" s="127"/>
      <c r="C3113" s="124"/>
    </row>
    <row r="3114" spans="1:3" ht="18.75" customHeight="1" x14ac:dyDescent="0.35">
      <c r="A3114" s="127"/>
      <c r="C3114" s="124"/>
    </row>
    <row r="3115" spans="1:3" ht="18.75" customHeight="1" x14ac:dyDescent="0.35">
      <c r="A3115" s="127"/>
      <c r="C3115" s="124"/>
    </row>
    <row r="3116" spans="1:3" ht="18.75" customHeight="1" x14ac:dyDescent="0.35">
      <c r="A3116" s="127"/>
      <c r="C3116" s="124"/>
    </row>
    <row r="3117" spans="1:3" ht="18.75" customHeight="1" x14ac:dyDescent="0.35">
      <c r="A3117" s="127"/>
      <c r="C3117" s="124"/>
    </row>
    <row r="3118" spans="1:3" ht="18.75" customHeight="1" x14ac:dyDescent="0.35">
      <c r="A3118" s="127"/>
      <c r="C3118" s="124"/>
    </row>
    <row r="3119" spans="1:3" ht="18.75" customHeight="1" x14ac:dyDescent="0.35">
      <c r="A3119" s="127"/>
      <c r="C3119" s="124"/>
    </row>
    <row r="3120" spans="1:3" ht="18.75" customHeight="1" x14ac:dyDescent="0.35">
      <c r="A3120" s="127"/>
      <c r="C3120" s="124"/>
    </row>
    <row r="3121" spans="1:3" ht="18.75" customHeight="1" x14ac:dyDescent="0.35">
      <c r="A3121" s="127"/>
      <c r="C3121" s="124"/>
    </row>
    <row r="3122" spans="1:3" ht="18.75" customHeight="1" x14ac:dyDescent="0.35">
      <c r="A3122" s="127"/>
      <c r="C3122" s="124"/>
    </row>
    <row r="3123" spans="1:3" ht="18.75" customHeight="1" x14ac:dyDescent="0.35">
      <c r="A3123" s="127"/>
      <c r="C3123" s="124"/>
    </row>
    <row r="3124" spans="1:3" ht="18.75" customHeight="1" x14ac:dyDescent="0.35">
      <c r="A3124" s="127"/>
      <c r="C3124" s="124"/>
    </row>
    <row r="3125" spans="1:3" ht="18.75" customHeight="1" x14ac:dyDescent="0.35">
      <c r="A3125" s="127"/>
      <c r="C3125" s="124"/>
    </row>
    <row r="3126" spans="1:3" ht="18.75" customHeight="1" x14ac:dyDescent="0.35">
      <c r="A3126" s="127"/>
      <c r="C3126" s="124"/>
    </row>
    <row r="3127" spans="1:3" ht="18.75" customHeight="1" x14ac:dyDescent="0.35">
      <c r="A3127" s="127"/>
      <c r="C3127" s="124"/>
    </row>
    <row r="3128" spans="1:3" ht="18.75" customHeight="1" x14ac:dyDescent="0.35">
      <c r="A3128" s="127"/>
      <c r="C3128" s="124"/>
    </row>
    <row r="3129" spans="1:3" ht="18.75" customHeight="1" x14ac:dyDescent="0.35">
      <c r="A3129" s="127"/>
      <c r="C3129" s="124"/>
    </row>
    <row r="3130" spans="1:3" ht="18.75" customHeight="1" x14ac:dyDescent="0.35">
      <c r="A3130" s="127"/>
      <c r="C3130" s="124"/>
    </row>
    <row r="3131" spans="1:3" ht="18.75" customHeight="1" x14ac:dyDescent="0.35">
      <c r="A3131" s="127"/>
      <c r="C3131" s="124"/>
    </row>
    <row r="3132" spans="1:3" ht="18.75" customHeight="1" x14ac:dyDescent="0.35">
      <c r="A3132" s="127"/>
      <c r="C3132" s="124"/>
    </row>
    <row r="3133" spans="1:3" ht="18.75" customHeight="1" x14ac:dyDescent="0.35">
      <c r="A3133" s="127"/>
      <c r="C3133" s="124"/>
    </row>
    <row r="3134" spans="1:3" ht="18.75" customHeight="1" x14ac:dyDescent="0.35">
      <c r="A3134" s="127"/>
      <c r="C3134" s="124"/>
    </row>
    <row r="3135" spans="1:3" ht="18.75" customHeight="1" x14ac:dyDescent="0.35">
      <c r="A3135" s="127"/>
      <c r="C3135" s="124"/>
    </row>
    <row r="3136" spans="1:3" ht="18.75" customHeight="1" x14ac:dyDescent="0.35">
      <c r="A3136" s="127"/>
      <c r="C3136" s="124"/>
    </row>
    <row r="3137" spans="1:3" ht="18.75" customHeight="1" x14ac:dyDescent="0.35">
      <c r="A3137" s="127"/>
      <c r="C3137" s="124"/>
    </row>
    <row r="3138" spans="1:3" ht="18.75" customHeight="1" x14ac:dyDescent="0.35">
      <c r="A3138" s="127"/>
      <c r="C3138" s="124"/>
    </row>
    <row r="3139" spans="1:3" ht="18.75" customHeight="1" x14ac:dyDescent="0.35">
      <c r="A3139" s="127"/>
      <c r="C3139" s="124"/>
    </row>
    <row r="3140" spans="1:3" ht="18.75" customHeight="1" x14ac:dyDescent="0.35">
      <c r="A3140" s="127"/>
      <c r="C3140" s="124"/>
    </row>
    <row r="3141" spans="1:3" ht="18.75" customHeight="1" x14ac:dyDescent="0.35">
      <c r="A3141" s="127"/>
      <c r="C3141" s="124"/>
    </row>
    <row r="3142" spans="1:3" ht="18.75" customHeight="1" x14ac:dyDescent="0.35">
      <c r="A3142" s="127"/>
      <c r="C3142" s="124"/>
    </row>
    <row r="3143" spans="1:3" ht="18.75" customHeight="1" x14ac:dyDescent="0.35">
      <c r="A3143" s="127"/>
      <c r="C3143" s="124"/>
    </row>
    <row r="3144" spans="1:3" ht="18.75" customHeight="1" x14ac:dyDescent="0.35">
      <c r="A3144" s="127"/>
      <c r="C3144" s="124"/>
    </row>
    <row r="3145" spans="1:3" ht="18.75" customHeight="1" x14ac:dyDescent="0.35">
      <c r="A3145" s="127"/>
      <c r="C3145" s="124"/>
    </row>
    <row r="3146" spans="1:3" ht="18.75" customHeight="1" x14ac:dyDescent="0.35">
      <c r="A3146" s="127"/>
      <c r="C3146" s="124"/>
    </row>
    <row r="3147" spans="1:3" ht="18.75" customHeight="1" x14ac:dyDescent="0.35">
      <c r="A3147" s="127"/>
      <c r="C3147" s="124"/>
    </row>
    <row r="3148" spans="1:3" ht="18.75" customHeight="1" x14ac:dyDescent="0.35">
      <c r="A3148" s="127"/>
      <c r="C3148" s="124"/>
    </row>
    <row r="3149" spans="1:3" ht="18.75" customHeight="1" x14ac:dyDescent="0.35">
      <c r="A3149" s="127"/>
      <c r="C3149" s="124"/>
    </row>
    <row r="3150" spans="1:3" ht="18.75" customHeight="1" x14ac:dyDescent="0.35">
      <c r="A3150" s="127"/>
      <c r="C3150" s="124"/>
    </row>
    <row r="3151" spans="1:3" ht="18.75" customHeight="1" x14ac:dyDescent="0.35">
      <c r="A3151" s="127"/>
      <c r="C3151" s="124"/>
    </row>
    <row r="3152" spans="1:3" ht="18.75" customHeight="1" x14ac:dyDescent="0.35">
      <c r="A3152" s="127"/>
      <c r="C3152" s="124"/>
    </row>
    <row r="3153" spans="1:3" ht="18.75" customHeight="1" x14ac:dyDescent="0.35">
      <c r="A3153" s="127"/>
      <c r="C3153" s="124"/>
    </row>
    <row r="3154" spans="1:3" ht="18.75" customHeight="1" x14ac:dyDescent="0.35">
      <c r="A3154" s="127"/>
      <c r="C3154" s="124"/>
    </row>
    <row r="3155" spans="1:3" ht="18.75" customHeight="1" x14ac:dyDescent="0.35">
      <c r="A3155" s="127"/>
      <c r="C3155" s="124"/>
    </row>
    <row r="3156" spans="1:3" ht="18.75" customHeight="1" x14ac:dyDescent="0.35">
      <c r="A3156" s="127"/>
      <c r="C3156" s="124"/>
    </row>
    <row r="3157" spans="1:3" ht="18.75" customHeight="1" x14ac:dyDescent="0.35">
      <c r="A3157" s="127"/>
      <c r="C3157" s="124"/>
    </row>
    <row r="3158" spans="1:3" ht="18.75" customHeight="1" x14ac:dyDescent="0.35">
      <c r="A3158" s="127"/>
      <c r="C3158" s="124"/>
    </row>
    <row r="3159" spans="1:3" ht="18.75" customHeight="1" x14ac:dyDescent="0.35">
      <c r="A3159" s="127"/>
      <c r="C3159" s="124"/>
    </row>
    <row r="3160" spans="1:3" ht="18.75" customHeight="1" x14ac:dyDescent="0.35">
      <c r="A3160" s="127"/>
      <c r="C3160" s="124"/>
    </row>
    <row r="3161" spans="1:3" ht="18.75" customHeight="1" x14ac:dyDescent="0.35">
      <c r="A3161" s="127"/>
      <c r="C3161" s="124"/>
    </row>
    <row r="3162" spans="1:3" ht="18.75" customHeight="1" x14ac:dyDescent="0.35">
      <c r="A3162" s="127"/>
      <c r="C3162" s="124"/>
    </row>
    <row r="3163" spans="1:3" ht="18.75" customHeight="1" x14ac:dyDescent="0.35">
      <c r="A3163" s="127"/>
      <c r="C3163" s="124"/>
    </row>
    <row r="3164" spans="1:3" ht="18.75" customHeight="1" x14ac:dyDescent="0.35">
      <c r="A3164" s="127"/>
      <c r="C3164" s="124"/>
    </row>
    <row r="3165" spans="1:3" ht="18.75" customHeight="1" x14ac:dyDescent="0.35">
      <c r="A3165" s="127"/>
      <c r="C3165" s="124"/>
    </row>
    <row r="3166" spans="1:3" ht="18.75" customHeight="1" x14ac:dyDescent="0.35">
      <c r="A3166" s="127"/>
      <c r="C3166" s="124"/>
    </row>
    <row r="3167" spans="1:3" ht="18.75" customHeight="1" x14ac:dyDescent="0.35">
      <c r="A3167" s="127"/>
      <c r="C3167" s="124"/>
    </row>
    <row r="3168" spans="1:3" ht="18.75" customHeight="1" x14ac:dyDescent="0.35">
      <c r="A3168" s="127"/>
      <c r="C3168" s="124"/>
    </row>
    <row r="3169" spans="1:3" ht="18.75" customHeight="1" x14ac:dyDescent="0.35">
      <c r="A3169" s="127"/>
      <c r="C3169" s="124"/>
    </row>
    <row r="3170" spans="1:3" ht="18.75" customHeight="1" x14ac:dyDescent="0.35">
      <c r="A3170" s="127"/>
      <c r="C3170" s="124"/>
    </row>
    <row r="3171" spans="1:3" ht="18.75" customHeight="1" x14ac:dyDescent="0.35">
      <c r="A3171" s="127"/>
      <c r="C3171" s="124"/>
    </row>
    <row r="3172" spans="1:3" ht="18.75" customHeight="1" x14ac:dyDescent="0.35">
      <c r="A3172" s="127"/>
      <c r="C3172" s="124"/>
    </row>
    <row r="3173" spans="1:3" ht="18.75" customHeight="1" x14ac:dyDescent="0.35">
      <c r="A3173" s="127"/>
      <c r="C3173" s="124"/>
    </row>
    <row r="3174" spans="1:3" ht="18.75" customHeight="1" x14ac:dyDescent="0.35">
      <c r="A3174" s="127"/>
      <c r="C3174" s="124"/>
    </row>
    <row r="3175" spans="1:3" ht="18.75" customHeight="1" x14ac:dyDescent="0.35">
      <c r="A3175" s="127"/>
      <c r="C3175" s="124"/>
    </row>
    <row r="3176" spans="1:3" ht="18.75" customHeight="1" x14ac:dyDescent="0.35">
      <c r="A3176" s="127"/>
      <c r="C3176" s="124"/>
    </row>
    <row r="3177" spans="1:3" ht="18.75" customHeight="1" x14ac:dyDescent="0.35">
      <c r="A3177" s="127"/>
      <c r="C3177" s="124"/>
    </row>
    <row r="3178" spans="1:3" ht="18.75" customHeight="1" x14ac:dyDescent="0.35">
      <c r="A3178" s="127"/>
      <c r="C3178" s="124"/>
    </row>
    <row r="3179" spans="1:3" ht="18.75" customHeight="1" x14ac:dyDescent="0.35">
      <c r="A3179" s="127"/>
      <c r="C3179" s="124"/>
    </row>
    <row r="3180" spans="1:3" ht="18.75" customHeight="1" x14ac:dyDescent="0.35">
      <c r="A3180" s="127"/>
      <c r="C3180" s="124"/>
    </row>
    <row r="3181" spans="1:3" ht="18.75" customHeight="1" x14ac:dyDescent="0.35">
      <c r="A3181" s="127"/>
      <c r="C3181" s="124"/>
    </row>
    <row r="3182" spans="1:3" ht="18.75" customHeight="1" x14ac:dyDescent="0.35">
      <c r="A3182" s="127"/>
      <c r="C3182" s="124"/>
    </row>
    <row r="3183" spans="1:3" ht="18.75" customHeight="1" x14ac:dyDescent="0.35">
      <c r="A3183" s="127"/>
      <c r="C3183" s="124"/>
    </row>
    <row r="3184" spans="1:3" ht="18.75" customHeight="1" x14ac:dyDescent="0.35">
      <c r="A3184" s="127"/>
      <c r="C3184" s="124"/>
    </row>
    <row r="3185" spans="1:3" ht="18.75" customHeight="1" x14ac:dyDescent="0.35">
      <c r="A3185" s="127"/>
      <c r="C3185" s="124"/>
    </row>
    <row r="3186" spans="1:3" ht="18.75" customHeight="1" x14ac:dyDescent="0.35">
      <c r="A3186" s="127"/>
      <c r="C3186" s="124"/>
    </row>
    <row r="3187" spans="1:3" ht="18.75" customHeight="1" x14ac:dyDescent="0.35">
      <c r="A3187" s="127"/>
      <c r="C3187" s="124"/>
    </row>
    <row r="3188" spans="1:3" ht="18.75" customHeight="1" x14ac:dyDescent="0.35">
      <c r="A3188" s="127"/>
      <c r="C3188" s="124"/>
    </row>
    <row r="3189" spans="1:3" ht="18.75" customHeight="1" x14ac:dyDescent="0.35">
      <c r="A3189" s="127"/>
      <c r="C3189" s="124"/>
    </row>
    <row r="3190" spans="1:3" ht="18.75" customHeight="1" x14ac:dyDescent="0.35">
      <c r="A3190" s="127"/>
      <c r="C3190" s="124"/>
    </row>
    <row r="3191" spans="1:3" ht="18.75" customHeight="1" x14ac:dyDescent="0.35">
      <c r="A3191" s="127"/>
      <c r="C3191" s="124"/>
    </row>
    <row r="3192" spans="1:3" ht="18.75" customHeight="1" x14ac:dyDescent="0.35">
      <c r="A3192" s="127"/>
      <c r="C3192" s="124"/>
    </row>
    <row r="3193" spans="1:3" ht="18.75" customHeight="1" x14ac:dyDescent="0.35">
      <c r="A3193" s="127"/>
      <c r="C3193" s="124"/>
    </row>
    <row r="3194" spans="1:3" ht="18.75" customHeight="1" x14ac:dyDescent="0.35">
      <c r="A3194" s="127"/>
      <c r="C3194" s="124"/>
    </row>
    <row r="3195" spans="1:3" ht="18.75" customHeight="1" x14ac:dyDescent="0.35">
      <c r="A3195" s="127"/>
      <c r="C3195" s="124"/>
    </row>
    <row r="3196" spans="1:3" ht="18.75" customHeight="1" x14ac:dyDescent="0.35">
      <c r="A3196" s="127"/>
      <c r="C3196" s="124"/>
    </row>
    <row r="3197" spans="1:3" ht="18.75" customHeight="1" x14ac:dyDescent="0.35">
      <c r="A3197" s="127"/>
      <c r="C3197" s="124"/>
    </row>
    <row r="3198" spans="1:3" ht="18.75" customHeight="1" x14ac:dyDescent="0.35">
      <c r="A3198" s="127"/>
      <c r="C3198" s="124"/>
    </row>
    <row r="3199" spans="1:3" ht="18.75" customHeight="1" x14ac:dyDescent="0.35">
      <c r="A3199" s="127"/>
      <c r="C3199" s="124"/>
    </row>
    <row r="3200" spans="1:3" ht="18.75" customHeight="1" x14ac:dyDescent="0.35">
      <c r="A3200" s="127"/>
      <c r="C3200" s="124"/>
    </row>
    <row r="3201" spans="1:3" ht="18.75" customHeight="1" x14ac:dyDescent="0.35">
      <c r="A3201" s="127"/>
      <c r="C3201" s="124"/>
    </row>
    <row r="3202" spans="1:3" ht="18.75" customHeight="1" x14ac:dyDescent="0.35">
      <c r="A3202" s="127"/>
      <c r="C3202" s="124"/>
    </row>
    <row r="3203" spans="1:3" ht="18.75" customHeight="1" x14ac:dyDescent="0.35">
      <c r="A3203" s="127"/>
      <c r="C3203" s="124"/>
    </row>
    <row r="3204" spans="1:3" ht="18.75" customHeight="1" x14ac:dyDescent="0.35">
      <c r="A3204" s="127"/>
      <c r="C3204" s="124"/>
    </row>
    <row r="3205" spans="1:3" ht="18.75" customHeight="1" x14ac:dyDescent="0.35">
      <c r="A3205" s="127"/>
      <c r="C3205" s="124"/>
    </row>
    <row r="3206" spans="1:3" ht="18.75" customHeight="1" x14ac:dyDescent="0.35">
      <c r="A3206" s="127"/>
      <c r="C3206" s="124"/>
    </row>
    <row r="3207" spans="1:3" ht="18.75" customHeight="1" x14ac:dyDescent="0.35">
      <c r="A3207" s="127"/>
      <c r="C3207" s="124"/>
    </row>
    <row r="3208" spans="1:3" ht="18.75" customHeight="1" x14ac:dyDescent="0.35">
      <c r="A3208" s="127"/>
      <c r="C3208" s="124"/>
    </row>
    <row r="3209" spans="1:3" ht="18.75" customHeight="1" x14ac:dyDescent="0.35">
      <c r="A3209" s="127"/>
      <c r="C3209" s="124"/>
    </row>
    <row r="3210" spans="1:3" ht="18.75" customHeight="1" x14ac:dyDescent="0.35">
      <c r="A3210" s="127"/>
      <c r="C3210" s="124"/>
    </row>
    <row r="3211" spans="1:3" ht="18.75" customHeight="1" x14ac:dyDescent="0.35">
      <c r="A3211" s="127"/>
      <c r="C3211" s="124"/>
    </row>
    <row r="3212" spans="1:3" ht="18.75" customHeight="1" x14ac:dyDescent="0.35">
      <c r="A3212" s="127"/>
      <c r="C3212" s="124"/>
    </row>
    <row r="3213" spans="1:3" ht="18.75" customHeight="1" x14ac:dyDescent="0.35">
      <c r="A3213" s="127"/>
      <c r="C3213" s="124"/>
    </row>
    <row r="3214" spans="1:3" ht="18.75" customHeight="1" x14ac:dyDescent="0.35">
      <c r="A3214" s="127"/>
      <c r="C3214" s="124"/>
    </row>
    <row r="3215" spans="1:3" ht="18.75" customHeight="1" x14ac:dyDescent="0.35">
      <c r="A3215" s="127"/>
      <c r="C3215" s="124"/>
    </row>
    <row r="3216" spans="1:3" ht="18.75" customHeight="1" x14ac:dyDescent="0.35">
      <c r="A3216" s="127"/>
      <c r="C3216" s="124"/>
    </row>
    <row r="3217" spans="1:3" ht="18.75" customHeight="1" x14ac:dyDescent="0.35">
      <c r="A3217" s="127"/>
      <c r="C3217" s="124"/>
    </row>
    <row r="3218" spans="1:3" ht="18.75" customHeight="1" x14ac:dyDescent="0.35">
      <c r="A3218" s="127"/>
      <c r="C3218" s="124"/>
    </row>
    <row r="3219" spans="1:3" ht="18.75" customHeight="1" x14ac:dyDescent="0.35">
      <c r="A3219" s="127"/>
      <c r="C3219" s="124"/>
    </row>
    <row r="3220" spans="1:3" ht="18.75" customHeight="1" x14ac:dyDescent="0.35">
      <c r="A3220" s="127"/>
      <c r="C3220" s="124"/>
    </row>
    <row r="3221" spans="1:3" ht="18.75" customHeight="1" x14ac:dyDescent="0.35">
      <c r="A3221" s="127"/>
      <c r="C3221" s="124"/>
    </row>
    <row r="3222" spans="1:3" ht="18.75" customHeight="1" x14ac:dyDescent="0.35">
      <c r="A3222" s="127"/>
      <c r="C3222" s="124"/>
    </row>
    <row r="3223" spans="1:3" ht="18.75" customHeight="1" x14ac:dyDescent="0.35">
      <c r="A3223" s="127"/>
      <c r="C3223" s="124"/>
    </row>
    <row r="3224" spans="1:3" ht="18.75" customHeight="1" x14ac:dyDescent="0.35">
      <c r="A3224" s="127"/>
      <c r="C3224" s="124"/>
    </row>
    <row r="3225" spans="1:3" ht="18.75" customHeight="1" x14ac:dyDescent="0.35">
      <c r="A3225" s="127"/>
      <c r="C3225" s="124"/>
    </row>
    <row r="3226" spans="1:3" ht="18.75" customHeight="1" x14ac:dyDescent="0.35">
      <c r="A3226" s="127"/>
      <c r="C3226" s="124"/>
    </row>
    <row r="3227" spans="1:3" ht="18.75" customHeight="1" x14ac:dyDescent="0.35">
      <c r="A3227" s="127"/>
      <c r="C3227" s="124"/>
    </row>
    <row r="3228" spans="1:3" ht="18.75" customHeight="1" x14ac:dyDescent="0.35">
      <c r="A3228" s="127"/>
      <c r="C3228" s="124"/>
    </row>
    <row r="3229" spans="1:3" ht="18.75" customHeight="1" x14ac:dyDescent="0.35">
      <c r="A3229" s="127"/>
      <c r="C3229" s="124"/>
    </row>
    <row r="3230" spans="1:3" ht="18.75" customHeight="1" x14ac:dyDescent="0.35">
      <c r="A3230" s="127"/>
      <c r="C3230" s="124"/>
    </row>
    <row r="3231" spans="1:3" ht="18.75" customHeight="1" x14ac:dyDescent="0.35">
      <c r="A3231" s="127"/>
      <c r="C3231" s="124"/>
    </row>
    <row r="3232" spans="1:3" ht="18.75" customHeight="1" x14ac:dyDescent="0.35">
      <c r="A3232" s="127"/>
      <c r="C3232" s="124"/>
    </row>
    <row r="3233" spans="1:3" ht="18.75" customHeight="1" x14ac:dyDescent="0.35">
      <c r="A3233" s="127"/>
      <c r="C3233" s="124"/>
    </row>
    <row r="3234" spans="1:3" ht="18.75" customHeight="1" x14ac:dyDescent="0.35">
      <c r="A3234" s="127"/>
      <c r="C3234" s="124"/>
    </row>
    <row r="3235" spans="1:3" ht="18.75" customHeight="1" x14ac:dyDescent="0.35">
      <c r="A3235" s="127"/>
      <c r="C3235" s="124"/>
    </row>
    <row r="3236" spans="1:3" ht="18.75" customHeight="1" x14ac:dyDescent="0.35">
      <c r="A3236" s="127"/>
      <c r="C3236" s="124"/>
    </row>
    <row r="3237" spans="1:3" ht="18.75" customHeight="1" x14ac:dyDescent="0.35">
      <c r="A3237" s="127"/>
      <c r="C3237" s="124"/>
    </row>
    <row r="3238" spans="1:3" ht="18.75" customHeight="1" x14ac:dyDescent="0.35">
      <c r="A3238" s="127"/>
      <c r="C3238" s="124"/>
    </row>
    <row r="3239" spans="1:3" ht="18.75" customHeight="1" x14ac:dyDescent="0.35">
      <c r="A3239" s="127"/>
      <c r="C3239" s="124"/>
    </row>
    <row r="3240" spans="1:3" ht="18.75" customHeight="1" x14ac:dyDescent="0.35">
      <c r="A3240" s="127"/>
      <c r="C3240" s="124"/>
    </row>
    <row r="3241" spans="1:3" ht="18.75" customHeight="1" x14ac:dyDescent="0.35">
      <c r="A3241" s="127"/>
      <c r="C3241" s="124"/>
    </row>
    <row r="3242" spans="1:3" ht="18.75" customHeight="1" x14ac:dyDescent="0.35">
      <c r="A3242" s="127"/>
      <c r="C3242" s="124"/>
    </row>
    <row r="3243" spans="1:3" ht="18.75" customHeight="1" x14ac:dyDescent="0.35">
      <c r="A3243" s="127"/>
      <c r="C3243" s="124"/>
    </row>
    <row r="3244" spans="1:3" ht="18.75" customHeight="1" x14ac:dyDescent="0.35">
      <c r="A3244" s="127"/>
      <c r="C3244" s="124"/>
    </row>
    <row r="3245" spans="1:3" ht="18.75" customHeight="1" x14ac:dyDescent="0.35">
      <c r="A3245" s="127"/>
      <c r="C3245" s="124"/>
    </row>
    <row r="3246" spans="1:3" ht="18.75" customHeight="1" x14ac:dyDescent="0.35">
      <c r="A3246" s="127"/>
      <c r="C3246" s="124"/>
    </row>
    <row r="3247" spans="1:3" ht="18.75" customHeight="1" x14ac:dyDescent="0.35">
      <c r="A3247" s="127"/>
      <c r="C3247" s="124"/>
    </row>
    <row r="3248" spans="1:3" ht="18.75" customHeight="1" x14ac:dyDescent="0.35">
      <c r="A3248" s="127"/>
      <c r="C3248" s="124"/>
    </row>
    <row r="3249" spans="1:3" ht="18.75" customHeight="1" x14ac:dyDescent="0.35">
      <c r="A3249" s="127"/>
      <c r="C3249" s="124"/>
    </row>
    <row r="3250" spans="1:3" ht="18.75" customHeight="1" x14ac:dyDescent="0.35">
      <c r="A3250" s="127"/>
      <c r="C3250" s="124"/>
    </row>
    <row r="3251" spans="1:3" ht="18.75" customHeight="1" x14ac:dyDescent="0.35">
      <c r="A3251" s="127"/>
      <c r="C3251" s="124"/>
    </row>
    <row r="3252" spans="1:3" ht="18.75" customHeight="1" x14ac:dyDescent="0.35">
      <c r="A3252" s="127"/>
      <c r="C3252" s="124"/>
    </row>
    <row r="3253" spans="1:3" ht="18.75" customHeight="1" x14ac:dyDescent="0.35">
      <c r="A3253" s="127"/>
      <c r="C3253" s="124"/>
    </row>
    <row r="3254" spans="1:3" ht="18.75" customHeight="1" x14ac:dyDescent="0.35">
      <c r="A3254" s="127"/>
      <c r="C3254" s="124"/>
    </row>
    <row r="3255" spans="1:3" ht="18.75" customHeight="1" x14ac:dyDescent="0.35">
      <c r="A3255" s="127"/>
      <c r="C3255" s="124"/>
    </row>
    <row r="3256" spans="1:3" ht="18.75" customHeight="1" x14ac:dyDescent="0.35">
      <c r="A3256" s="127"/>
      <c r="C3256" s="124"/>
    </row>
    <row r="3257" spans="1:3" ht="18.75" customHeight="1" x14ac:dyDescent="0.35">
      <c r="A3257" s="127"/>
      <c r="C3257" s="124"/>
    </row>
    <row r="3258" spans="1:3" ht="18.75" customHeight="1" x14ac:dyDescent="0.35">
      <c r="A3258" s="127"/>
      <c r="C3258" s="124"/>
    </row>
    <row r="3259" spans="1:3" ht="18.75" customHeight="1" x14ac:dyDescent="0.35">
      <c r="A3259" s="127"/>
      <c r="C3259" s="124"/>
    </row>
    <row r="3260" spans="1:3" ht="18.75" customHeight="1" x14ac:dyDescent="0.35">
      <c r="A3260" s="127"/>
      <c r="C3260" s="124"/>
    </row>
    <row r="3261" spans="1:3" ht="18.75" customHeight="1" x14ac:dyDescent="0.35">
      <c r="A3261" s="127"/>
      <c r="C3261" s="124"/>
    </row>
    <row r="3262" spans="1:3" ht="18.75" customHeight="1" x14ac:dyDescent="0.35">
      <c r="A3262" s="127"/>
      <c r="C3262" s="124"/>
    </row>
    <row r="3263" spans="1:3" ht="18.75" customHeight="1" x14ac:dyDescent="0.35">
      <c r="A3263" s="127"/>
      <c r="C3263" s="124"/>
    </row>
    <row r="3264" spans="1:3" ht="18.75" customHeight="1" x14ac:dyDescent="0.35">
      <c r="A3264" s="127"/>
      <c r="C3264" s="124"/>
    </row>
    <row r="3265" spans="1:3" ht="18.75" customHeight="1" x14ac:dyDescent="0.35">
      <c r="A3265" s="127"/>
      <c r="C3265" s="124"/>
    </row>
    <row r="3266" spans="1:3" ht="18.75" customHeight="1" x14ac:dyDescent="0.35">
      <c r="A3266" s="127"/>
      <c r="C3266" s="124"/>
    </row>
    <row r="3267" spans="1:3" ht="18.75" customHeight="1" x14ac:dyDescent="0.35">
      <c r="A3267" s="127"/>
      <c r="C3267" s="124"/>
    </row>
    <row r="3268" spans="1:3" ht="18.75" customHeight="1" x14ac:dyDescent="0.35">
      <c r="A3268" s="127"/>
      <c r="C3268" s="124"/>
    </row>
    <row r="3269" spans="1:3" ht="18.75" customHeight="1" x14ac:dyDescent="0.35">
      <c r="A3269" s="127"/>
      <c r="C3269" s="124"/>
    </row>
    <row r="3270" spans="1:3" ht="18.75" customHeight="1" x14ac:dyDescent="0.35">
      <c r="A3270" s="127"/>
      <c r="C3270" s="124"/>
    </row>
    <row r="3271" spans="1:3" ht="18.75" customHeight="1" x14ac:dyDescent="0.35">
      <c r="A3271" s="127"/>
      <c r="C3271" s="124"/>
    </row>
    <row r="3272" spans="1:3" ht="18.75" customHeight="1" x14ac:dyDescent="0.35">
      <c r="A3272" s="127"/>
      <c r="C3272" s="124"/>
    </row>
    <row r="3273" spans="1:3" ht="18.75" customHeight="1" x14ac:dyDescent="0.35">
      <c r="A3273" s="127"/>
      <c r="C3273" s="124"/>
    </row>
    <row r="3274" spans="1:3" ht="18.75" customHeight="1" x14ac:dyDescent="0.35">
      <c r="A3274" s="127"/>
      <c r="C3274" s="124"/>
    </row>
    <row r="3275" spans="1:3" ht="18.75" customHeight="1" x14ac:dyDescent="0.35">
      <c r="A3275" s="127"/>
      <c r="C3275" s="124"/>
    </row>
    <row r="3276" spans="1:3" ht="18.75" customHeight="1" x14ac:dyDescent="0.35">
      <c r="A3276" s="127"/>
      <c r="C3276" s="124"/>
    </row>
    <row r="3277" spans="1:3" ht="18.75" customHeight="1" x14ac:dyDescent="0.35">
      <c r="A3277" s="127"/>
      <c r="C3277" s="124"/>
    </row>
    <row r="3278" spans="1:3" ht="18.75" customHeight="1" x14ac:dyDescent="0.35">
      <c r="A3278" s="127"/>
      <c r="C3278" s="124"/>
    </row>
    <row r="3279" spans="1:3" ht="18.75" customHeight="1" x14ac:dyDescent="0.35">
      <c r="A3279" s="127"/>
      <c r="C3279" s="124"/>
    </row>
    <row r="3280" spans="1:3" ht="18.75" customHeight="1" x14ac:dyDescent="0.35">
      <c r="A3280" s="127"/>
      <c r="C3280" s="124"/>
    </row>
    <row r="3281" spans="1:3" ht="18.75" customHeight="1" x14ac:dyDescent="0.35">
      <c r="A3281" s="127"/>
      <c r="C3281" s="124"/>
    </row>
    <row r="3282" spans="1:3" ht="18.75" customHeight="1" x14ac:dyDescent="0.35">
      <c r="A3282" s="127"/>
      <c r="C3282" s="124"/>
    </row>
    <row r="3283" spans="1:3" ht="18.75" customHeight="1" x14ac:dyDescent="0.35">
      <c r="A3283" s="127"/>
      <c r="C3283" s="124"/>
    </row>
    <row r="3284" spans="1:3" ht="18.75" customHeight="1" x14ac:dyDescent="0.35">
      <c r="A3284" s="127"/>
      <c r="C3284" s="124"/>
    </row>
    <row r="3285" spans="1:3" ht="18.75" customHeight="1" x14ac:dyDescent="0.35">
      <c r="A3285" s="127"/>
      <c r="C3285" s="124"/>
    </row>
    <row r="3286" spans="1:3" ht="18.75" customHeight="1" x14ac:dyDescent="0.35">
      <c r="A3286" s="127"/>
      <c r="C3286" s="124"/>
    </row>
    <row r="3287" spans="1:3" ht="18.75" customHeight="1" x14ac:dyDescent="0.35">
      <c r="A3287" s="127"/>
      <c r="C3287" s="124"/>
    </row>
    <row r="3288" spans="1:3" ht="18.75" customHeight="1" x14ac:dyDescent="0.35">
      <c r="A3288" s="127"/>
      <c r="C3288" s="124"/>
    </row>
    <row r="3289" spans="1:3" ht="18.75" customHeight="1" x14ac:dyDescent="0.35">
      <c r="A3289" s="127"/>
      <c r="C3289" s="124"/>
    </row>
    <row r="3290" spans="1:3" ht="18.75" customHeight="1" x14ac:dyDescent="0.35">
      <c r="A3290" s="127"/>
      <c r="C3290" s="124"/>
    </row>
    <row r="3291" spans="1:3" ht="18.75" customHeight="1" x14ac:dyDescent="0.35">
      <c r="A3291" s="127"/>
      <c r="C3291" s="124"/>
    </row>
    <row r="3292" spans="1:3" ht="18.75" customHeight="1" x14ac:dyDescent="0.35">
      <c r="A3292" s="127"/>
      <c r="C3292" s="124"/>
    </row>
    <row r="3293" spans="1:3" ht="18.75" customHeight="1" x14ac:dyDescent="0.35">
      <c r="A3293" s="127"/>
      <c r="C3293" s="124"/>
    </row>
    <row r="3294" spans="1:3" ht="18.75" customHeight="1" x14ac:dyDescent="0.35">
      <c r="A3294" s="127"/>
      <c r="C3294" s="124"/>
    </row>
    <row r="3295" spans="1:3" ht="18.75" customHeight="1" x14ac:dyDescent="0.35">
      <c r="A3295" s="127"/>
      <c r="C3295" s="124"/>
    </row>
    <row r="3296" spans="1:3" ht="18.75" customHeight="1" x14ac:dyDescent="0.35">
      <c r="A3296" s="127"/>
      <c r="C3296" s="124"/>
    </row>
    <row r="3297" spans="1:3" ht="18.75" customHeight="1" x14ac:dyDescent="0.35">
      <c r="A3297" s="127"/>
      <c r="C3297" s="124"/>
    </row>
    <row r="3298" spans="1:3" ht="18.75" customHeight="1" x14ac:dyDescent="0.35">
      <c r="A3298" s="127"/>
      <c r="C3298" s="124"/>
    </row>
    <row r="3299" spans="1:3" ht="18.75" customHeight="1" x14ac:dyDescent="0.35">
      <c r="A3299" s="127"/>
      <c r="C3299" s="124"/>
    </row>
    <row r="3300" spans="1:3" ht="18.75" customHeight="1" x14ac:dyDescent="0.35">
      <c r="A3300" s="127"/>
      <c r="C3300" s="124"/>
    </row>
    <row r="3301" spans="1:3" ht="18.75" customHeight="1" x14ac:dyDescent="0.35">
      <c r="A3301" s="127"/>
      <c r="C3301" s="124"/>
    </row>
    <row r="3302" spans="1:3" ht="18.75" customHeight="1" x14ac:dyDescent="0.35">
      <c r="A3302" s="127"/>
      <c r="C3302" s="124"/>
    </row>
    <row r="3303" spans="1:3" ht="18.75" customHeight="1" x14ac:dyDescent="0.35">
      <c r="A3303" s="127"/>
      <c r="C3303" s="124"/>
    </row>
    <row r="3304" spans="1:3" ht="18.75" customHeight="1" x14ac:dyDescent="0.35">
      <c r="A3304" s="127"/>
      <c r="C3304" s="124"/>
    </row>
    <row r="3305" spans="1:3" ht="18.75" customHeight="1" x14ac:dyDescent="0.35">
      <c r="A3305" s="127"/>
      <c r="C3305" s="124"/>
    </row>
    <row r="3306" spans="1:3" ht="18.75" customHeight="1" x14ac:dyDescent="0.35">
      <c r="A3306" s="127"/>
      <c r="C3306" s="124"/>
    </row>
    <row r="3307" spans="1:3" ht="18.75" customHeight="1" x14ac:dyDescent="0.35">
      <c r="A3307" s="127"/>
      <c r="C3307" s="124"/>
    </row>
    <row r="3308" spans="1:3" ht="18.75" customHeight="1" x14ac:dyDescent="0.35">
      <c r="A3308" s="127"/>
      <c r="C3308" s="124"/>
    </row>
    <row r="3309" spans="1:3" ht="18.75" customHeight="1" x14ac:dyDescent="0.35">
      <c r="A3309" s="127"/>
      <c r="C3309" s="124"/>
    </row>
    <row r="3310" spans="1:3" ht="18.75" customHeight="1" x14ac:dyDescent="0.35">
      <c r="A3310" s="127"/>
      <c r="C3310" s="124"/>
    </row>
    <row r="3311" spans="1:3" ht="18.75" customHeight="1" x14ac:dyDescent="0.35">
      <c r="A3311" s="127"/>
      <c r="C3311" s="124"/>
    </row>
    <row r="3312" spans="1:3" ht="18.75" customHeight="1" x14ac:dyDescent="0.35">
      <c r="A3312" s="127"/>
      <c r="C3312" s="124"/>
    </row>
    <row r="3313" spans="1:3" ht="18.75" customHeight="1" x14ac:dyDescent="0.35">
      <c r="A3313" s="127"/>
      <c r="C3313" s="124"/>
    </row>
    <row r="3314" spans="1:3" ht="18.75" customHeight="1" x14ac:dyDescent="0.35">
      <c r="A3314" s="127"/>
      <c r="C3314" s="124"/>
    </row>
    <row r="3315" spans="1:3" ht="18.75" customHeight="1" x14ac:dyDescent="0.35">
      <c r="A3315" s="127"/>
      <c r="C3315" s="124"/>
    </row>
    <row r="3316" spans="1:3" ht="18.75" customHeight="1" x14ac:dyDescent="0.35">
      <c r="A3316" s="127"/>
      <c r="C3316" s="124"/>
    </row>
    <row r="3317" spans="1:3" ht="18.75" customHeight="1" x14ac:dyDescent="0.35">
      <c r="A3317" s="127"/>
      <c r="C3317" s="124"/>
    </row>
    <row r="3318" spans="1:3" ht="18.75" customHeight="1" x14ac:dyDescent="0.35">
      <c r="A3318" s="127"/>
      <c r="C3318" s="124"/>
    </row>
    <row r="3319" spans="1:3" ht="18.75" customHeight="1" x14ac:dyDescent="0.35">
      <c r="A3319" s="127"/>
      <c r="C3319" s="124"/>
    </row>
    <row r="3320" spans="1:3" ht="18.75" customHeight="1" x14ac:dyDescent="0.35">
      <c r="A3320" s="127"/>
      <c r="C3320" s="124"/>
    </row>
    <row r="3321" spans="1:3" ht="18.75" customHeight="1" x14ac:dyDescent="0.35">
      <c r="A3321" s="127"/>
      <c r="C3321" s="124"/>
    </row>
    <row r="3322" spans="1:3" ht="18.75" customHeight="1" x14ac:dyDescent="0.35">
      <c r="A3322" s="127"/>
      <c r="C3322" s="124"/>
    </row>
    <row r="3323" spans="1:3" ht="18.75" customHeight="1" x14ac:dyDescent="0.35">
      <c r="A3323" s="127"/>
      <c r="C3323" s="124"/>
    </row>
    <row r="3324" spans="1:3" ht="18.75" customHeight="1" x14ac:dyDescent="0.35">
      <c r="A3324" s="127"/>
      <c r="C3324" s="124"/>
    </row>
    <row r="3325" spans="1:3" ht="18.75" customHeight="1" x14ac:dyDescent="0.35">
      <c r="A3325" s="127"/>
      <c r="C3325" s="124"/>
    </row>
    <row r="3326" spans="1:3" ht="18.75" customHeight="1" x14ac:dyDescent="0.35">
      <c r="A3326" s="127"/>
      <c r="C3326" s="124"/>
    </row>
    <row r="3327" spans="1:3" ht="18.75" customHeight="1" x14ac:dyDescent="0.35">
      <c r="A3327" s="127"/>
      <c r="C3327" s="124"/>
    </row>
    <row r="3328" spans="1:3" ht="18.75" customHeight="1" x14ac:dyDescent="0.35">
      <c r="A3328" s="127"/>
      <c r="C3328" s="124"/>
    </row>
    <row r="3329" spans="1:3" ht="18.75" customHeight="1" x14ac:dyDescent="0.35">
      <c r="A3329" s="127"/>
      <c r="C3329" s="124"/>
    </row>
    <row r="3330" spans="1:3" ht="18.75" customHeight="1" x14ac:dyDescent="0.35">
      <c r="A3330" s="127"/>
      <c r="C3330" s="124"/>
    </row>
    <row r="3331" spans="1:3" ht="18.75" customHeight="1" x14ac:dyDescent="0.35">
      <c r="A3331" s="127"/>
      <c r="C3331" s="124"/>
    </row>
    <row r="3332" spans="1:3" ht="18.75" customHeight="1" x14ac:dyDescent="0.35">
      <c r="A3332" s="127"/>
      <c r="C3332" s="124"/>
    </row>
    <row r="3333" spans="1:3" ht="18.75" customHeight="1" x14ac:dyDescent="0.35">
      <c r="A3333" s="127"/>
      <c r="C3333" s="124"/>
    </row>
    <row r="3334" spans="1:3" ht="18.75" customHeight="1" x14ac:dyDescent="0.35">
      <c r="A3334" s="127"/>
      <c r="C3334" s="124"/>
    </row>
    <row r="3335" spans="1:3" ht="18.75" customHeight="1" x14ac:dyDescent="0.35">
      <c r="A3335" s="127"/>
      <c r="C3335" s="124"/>
    </row>
    <row r="3336" spans="1:3" ht="18.75" customHeight="1" x14ac:dyDescent="0.35">
      <c r="A3336" s="127"/>
      <c r="C3336" s="124"/>
    </row>
    <row r="3337" spans="1:3" ht="18.75" customHeight="1" x14ac:dyDescent="0.35">
      <c r="A3337" s="127"/>
      <c r="C3337" s="124"/>
    </row>
    <row r="3338" spans="1:3" ht="18.75" customHeight="1" x14ac:dyDescent="0.35">
      <c r="A3338" s="127"/>
      <c r="C3338" s="124"/>
    </row>
    <row r="3339" spans="1:3" ht="18.75" customHeight="1" x14ac:dyDescent="0.35">
      <c r="A3339" s="127"/>
      <c r="C3339" s="124"/>
    </row>
    <row r="3340" spans="1:3" ht="18.75" customHeight="1" x14ac:dyDescent="0.35">
      <c r="A3340" s="127"/>
      <c r="C3340" s="124"/>
    </row>
    <row r="3341" spans="1:3" ht="18.75" customHeight="1" x14ac:dyDescent="0.35">
      <c r="A3341" s="127"/>
      <c r="C3341" s="124"/>
    </row>
    <row r="3342" spans="1:3" ht="18.75" customHeight="1" x14ac:dyDescent="0.35">
      <c r="A3342" s="127"/>
      <c r="C3342" s="124"/>
    </row>
    <row r="3343" spans="1:3" ht="18.75" customHeight="1" x14ac:dyDescent="0.35">
      <c r="A3343" s="127"/>
      <c r="C3343" s="124"/>
    </row>
    <row r="3344" spans="1:3" ht="18.75" customHeight="1" x14ac:dyDescent="0.35">
      <c r="A3344" s="127"/>
      <c r="C3344" s="124"/>
    </row>
    <row r="3345" spans="1:3" ht="18.75" customHeight="1" x14ac:dyDescent="0.35">
      <c r="A3345" s="127"/>
      <c r="C3345" s="124"/>
    </row>
    <row r="3346" spans="1:3" ht="18.75" customHeight="1" x14ac:dyDescent="0.35">
      <c r="A3346" s="127"/>
      <c r="C3346" s="124"/>
    </row>
    <row r="3347" spans="1:3" ht="18.75" customHeight="1" x14ac:dyDescent="0.35">
      <c r="A3347" s="127"/>
      <c r="C3347" s="124"/>
    </row>
    <row r="3348" spans="1:3" ht="18.75" customHeight="1" x14ac:dyDescent="0.35">
      <c r="A3348" s="127"/>
      <c r="C3348" s="124"/>
    </row>
    <row r="3349" spans="1:3" ht="18.75" customHeight="1" x14ac:dyDescent="0.35">
      <c r="A3349" s="127"/>
      <c r="C3349" s="124"/>
    </row>
    <row r="3350" spans="1:3" ht="18.75" customHeight="1" x14ac:dyDescent="0.35">
      <c r="A3350" s="127"/>
      <c r="C3350" s="124"/>
    </row>
    <row r="3351" spans="1:3" ht="18.75" customHeight="1" x14ac:dyDescent="0.35">
      <c r="A3351" s="127"/>
      <c r="C3351" s="124"/>
    </row>
    <row r="3352" spans="1:3" ht="18.75" customHeight="1" x14ac:dyDescent="0.35">
      <c r="A3352" s="127"/>
      <c r="C3352" s="124"/>
    </row>
    <row r="3353" spans="1:3" ht="18.75" customHeight="1" x14ac:dyDescent="0.35">
      <c r="A3353" s="127"/>
      <c r="C3353" s="124"/>
    </row>
    <row r="3354" spans="1:3" ht="18.75" customHeight="1" x14ac:dyDescent="0.35">
      <c r="A3354" s="127"/>
      <c r="C3354" s="124"/>
    </row>
    <row r="3355" spans="1:3" ht="18.75" customHeight="1" x14ac:dyDescent="0.35">
      <c r="A3355" s="127"/>
      <c r="C3355" s="124"/>
    </row>
    <row r="3356" spans="1:3" ht="18.75" customHeight="1" x14ac:dyDescent="0.35">
      <c r="A3356" s="127"/>
      <c r="C3356" s="124"/>
    </row>
    <row r="3357" spans="1:3" ht="18.75" customHeight="1" x14ac:dyDescent="0.35">
      <c r="A3357" s="127"/>
      <c r="C3357" s="124"/>
    </row>
    <row r="3358" spans="1:3" ht="18.75" customHeight="1" x14ac:dyDescent="0.35">
      <c r="A3358" s="127"/>
      <c r="C3358" s="124"/>
    </row>
    <row r="3359" spans="1:3" ht="18.75" customHeight="1" x14ac:dyDescent="0.35">
      <c r="A3359" s="127"/>
      <c r="C3359" s="124"/>
    </row>
    <row r="3360" spans="1:3" ht="18.75" customHeight="1" x14ac:dyDescent="0.35">
      <c r="A3360" s="127"/>
      <c r="C3360" s="124"/>
    </row>
    <row r="3361" spans="1:3" ht="18.75" customHeight="1" x14ac:dyDescent="0.35">
      <c r="A3361" s="127"/>
      <c r="C3361" s="124"/>
    </row>
    <row r="3362" spans="1:3" ht="18.75" customHeight="1" x14ac:dyDescent="0.35">
      <c r="A3362" s="127"/>
      <c r="C3362" s="124"/>
    </row>
    <row r="3363" spans="1:3" ht="18.75" customHeight="1" x14ac:dyDescent="0.35">
      <c r="A3363" s="127"/>
      <c r="C3363" s="124"/>
    </row>
    <row r="3364" spans="1:3" ht="18.75" customHeight="1" x14ac:dyDescent="0.35">
      <c r="A3364" s="127"/>
      <c r="C3364" s="124"/>
    </row>
    <row r="3365" spans="1:3" ht="18.75" customHeight="1" x14ac:dyDescent="0.35">
      <c r="A3365" s="127"/>
      <c r="C3365" s="124"/>
    </row>
    <row r="3366" spans="1:3" ht="18.75" customHeight="1" x14ac:dyDescent="0.35">
      <c r="A3366" s="127"/>
      <c r="C3366" s="124"/>
    </row>
    <row r="3367" spans="1:3" ht="18.75" customHeight="1" x14ac:dyDescent="0.35">
      <c r="A3367" s="127"/>
      <c r="C3367" s="124"/>
    </row>
    <row r="3368" spans="1:3" ht="18.75" customHeight="1" x14ac:dyDescent="0.35">
      <c r="A3368" s="127"/>
      <c r="C3368" s="124"/>
    </row>
    <row r="3369" spans="1:3" ht="18.75" customHeight="1" x14ac:dyDescent="0.35">
      <c r="A3369" s="127"/>
      <c r="C3369" s="124"/>
    </row>
    <row r="3370" spans="1:3" ht="18.75" customHeight="1" x14ac:dyDescent="0.35">
      <c r="A3370" s="127"/>
      <c r="C3370" s="124"/>
    </row>
    <row r="3371" spans="1:3" ht="18.75" customHeight="1" x14ac:dyDescent="0.35">
      <c r="A3371" s="127"/>
      <c r="C3371" s="124"/>
    </row>
    <row r="3372" spans="1:3" ht="18.75" customHeight="1" x14ac:dyDescent="0.35">
      <c r="A3372" s="127"/>
      <c r="C3372" s="124"/>
    </row>
    <row r="3373" spans="1:3" ht="18.75" customHeight="1" x14ac:dyDescent="0.35">
      <c r="A3373" s="127"/>
      <c r="C3373" s="124"/>
    </row>
    <row r="3374" spans="1:3" ht="18.75" customHeight="1" x14ac:dyDescent="0.35">
      <c r="A3374" s="127"/>
      <c r="C3374" s="124"/>
    </row>
    <row r="3375" spans="1:3" ht="18.75" customHeight="1" x14ac:dyDescent="0.35">
      <c r="A3375" s="127"/>
      <c r="C3375" s="124"/>
    </row>
    <row r="3376" spans="1:3" ht="18.75" customHeight="1" x14ac:dyDescent="0.35">
      <c r="A3376" s="127"/>
      <c r="C3376" s="124"/>
    </row>
    <row r="3377" spans="1:3" ht="18.75" customHeight="1" x14ac:dyDescent="0.35">
      <c r="A3377" s="127"/>
      <c r="C3377" s="124"/>
    </row>
    <row r="3378" spans="1:3" ht="18.75" customHeight="1" x14ac:dyDescent="0.35">
      <c r="A3378" s="127"/>
      <c r="C3378" s="124"/>
    </row>
    <row r="3379" spans="1:3" ht="18.75" customHeight="1" x14ac:dyDescent="0.35">
      <c r="A3379" s="127"/>
      <c r="C3379" s="124"/>
    </row>
    <row r="3380" spans="1:3" ht="18.75" customHeight="1" x14ac:dyDescent="0.35">
      <c r="A3380" s="127"/>
      <c r="C3380" s="124"/>
    </row>
    <row r="3381" spans="1:3" ht="18.75" customHeight="1" x14ac:dyDescent="0.35">
      <c r="A3381" s="127"/>
      <c r="C3381" s="124"/>
    </row>
    <row r="3382" spans="1:3" ht="18.75" customHeight="1" x14ac:dyDescent="0.35">
      <c r="A3382" s="127"/>
      <c r="C3382" s="124"/>
    </row>
    <row r="3383" spans="1:3" ht="18.75" customHeight="1" x14ac:dyDescent="0.35">
      <c r="A3383" s="127"/>
      <c r="C3383" s="124"/>
    </row>
    <row r="3384" spans="1:3" ht="18.75" customHeight="1" x14ac:dyDescent="0.35">
      <c r="A3384" s="127"/>
      <c r="C3384" s="124"/>
    </row>
    <row r="3385" spans="1:3" ht="18.75" customHeight="1" x14ac:dyDescent="0.35">
      <c r="A3385" s="127"/>
      <c r="C3385" s="124"/>
    </row>
    <row r="3386" spans="1:3" ht="18.75" customHeight="1" x14ac:dyDescent="0.35">
      <c r="A3386" s="127"/>
      <c r="C3386" s="124"/>
    </row>
    <row r="3387" spans="1:3" ht="18.75" customHeight="1" x14ac:dyDescent="0.35">
      <c r="A3387" s="127"/>
      <c r="C3387" s="124"/>
    </row>
    <row r="3388" spans="1:3" ht="18.75" customHeight="1" x14ac:dyDescent="0.35">
      <c r="A3388" s="127"/>
      <c r="C3388" s="124"/>
    </row>
    <row r="3389" spans="1:3" ht="18.75" customHeight="1" x14ac:dyDescent="0.35">
      <c r="A3389" s="127"/>
      <c r="C3389" s="124"/>
    </row>
    <row r="3390" spans="1:3" ht="18.75" customHeight="1" x14ac:dyDescent="0.35">
      <c r="A3390" s="127"/>
      <c r="C3390" s="124"/>
    </row>
    <row r="3391" spans="1:3" ht="18.75" customHeight="1" x14ac:dyDescent="0.35">
      <c r="A3391" s="127"/>
      <c r="C3391" s="124"/>
    </row>
    <row r="3392" spans="1:3" ht="18.75" customHeight="1" x14ac:dyDescent="0.35">
      <c r="A3392" s="127"/>
      <c r="C3392" s="124"/>
    </row>
    <row r="3393" spans="1:3" ht="18.75" customHeight="1" x14ac:dyDescent="0.35">
      <c r="A3393" s="127"/>
      <c r="C3393" s="124"/>
    </row>
    <row r="3394" spans="1:3" ht="18.75" customHeight="1" x14ac:dyDescent="0.35">
      <c r="A3394" s="127"/>
      <c r="C3394" s="124"/>
    </row>
    <row r="3395" spans="1:3" ht="18.75" customHeight="1" x14ac:dyDescent="0.35">
      <c r="A3395" s="127"/>
      <c r="C3395" s="124"/>
    </row>
    <row r="3396" spans="1:3" ht="18.75" customHeight="1" x14ac:dyDescent="0.35">
      <c r="A3396" s="127"/>
      <c r="C3396" s="124"/>
    </row>
    <row r="3397" spans="1:3" ht="18.75" customHeight="1" x14ac:dyDescent="0.35">
      <c r="A3397" s="127"/>
      <c r="C3397" s="124"/>
    </row>
    <row r="3398" spans="1:3" ht="18.75" customHeight="1" x14ac:dyDescent="0.35">
      <c r="A3398" s="127"/>
      <c r="C3398" s="124"/>
    </row>
    <row r="3399" spans="1:3" ht="18.75" customHeight="1" x14ac:dyDescent="0.35">
      <c r="A3399" s="127"/>
      <c r="C3399" s="124"/>
    </row>
    <row r="3400" spans="1:3" ht="18.75" customHeight="1" x14ac:dyDescent="0.35">
      <c r="A3400" s="127"/>
      <c r="C3400" s="124"/>
    </row>
    <row r="3401" spans="1:3" ht="18.75" customHeight="1" x14ac:dyDescent="0.35">
      <c r="A3401" s="127"/>
      <c r="C3401" s="124"/>
    </row>
    <row r="3402" spans="1:3" ht="18.75" customHeight="1" x14ac:dyDescent="0.35">
      <c r="A3402" s="127"/>
      <c r="C3402" s="124"/>
    </row>
    <row r="3403" spans="1:3" ht="18.75" customHeight="1" x14ac:dyDescent="0.35">
      <c r="A3403" s="127"/>
      <c r="C3403" s="124"/>
    </row>
    <row r="3404" spans="1:3" ht="18.75" customHeight="1" x14ac:dyDescent="0.35">
      <c r="A3404" s="127"/>
      <c r="C3404" s="124"/>
    </row>
    <row r="3405" spans="1:3" ht="18.75" customHeight="1" x14ac:dyDescent="0.35">
      <c r="A3405" s="127"/>
      <c r="C3405" s="124"/>
    </row>
    <row r="3406" spans="1:3" ht="18.75" customHeight="1" x14ac:dyDescent="0.35">
      <c r="A3406" s="127"/>
      <c r="C3406" s="124"/>
    </row>
    <row r="3407" spans="1:3" ht="18.75" customHeight="1" x14ac:dyDescent="0.35">
      <c r="A3407" s="127"/>
      <c r="C3407" s="124"/>
    </row>
    <row r="3408" spans="1:3" ht="18.75" customHeight="1" x14ac:dyDescent="0.35">
      <c r="A3408" s="127"/>
      <c r="C3408" s="124"/>
    </row>
    <row r="3409" spans="1:3" ht="18.75" customHeight="1" x14ac:dyDescent="0.35">
      <c r="A3409" s="127"/>
      <c r="C3409" s="124"/>
    </row>
    <row r="3410" spans="1:3" ht="18.75" customHeight="1" x14ac:dyDescent="0.35">
      <c r="A3410" s="127"/>
      <c r="C3410" s="124"/>
    </row>
    <row r="3411" spans="1:3" ht="18.75" customHeight="1" x14ac:dyDescent="0.35">
      <c r="A3411" s="127"/>
      <c r="C3411" s="124"/>
    </row>
    <row r="3412" spans="1:3" ht="18.75" customHeight="1" x14ac:dyDescent="0.35">
      <c r="A3412" s="127"/>
      <c r="C3412" s="124"/>
    </row>
    <row r="3413" spans="1:3" ht="18.75" customHeight="1" x14ac:dyDescent="0.35">
      <c r="A3413" s="127"/>
      <c r="C3413" s="124"/>
    </row>
    <row r="3414" spans="1:3" ht="18.75" customHeight="1" x14ac:dyDescent="0.35">
      <c r="A3414" s="127"/>
      <c r="C3414" s="124"/>
    </row>
    <row r="3415" spans="1:3" ht="18.75" customHeight="1" x14ac:dyDescent="0.35">
      <c r="A3415" s="127"/>
      <c r="C3415" s="124"/>
    </row>
    <row r="3416" spans="1:3" ht="18.75" customHeight="1" x14ac:dyDescent="0.35">
      <c r="A3416" s="127"/>
      <c r="C3416" s="124"/>
    </row>
    <row r="3417" spans="1:3" ht="18.75" customHeight="1" x14ac:dyDescent="0.35">
      <c r="A3417" s="127"/>
      <c r="C3417" s="124"/>
    </row>
    <row r="3418" spans="1:3" ht="18.75" customHeight="1" x14ac:dyDescent="0.35">
      <c r="A3418" s="127"/>
      <c r="C3418" s="124"/>
    </row>
    <row r="3419" spans="1:3" ht="18.75" customHeight="1" x14ac:dyDescent="0.35">
      <c r="A3419" s="127"/>
      <c r="C3419" s="124"/>
    </row>
    <row r="3420" spans="1:3" ht="18.75" customHeight="1" x14ac:dyDescent="0.35">
      <c r="A3420" s="127"/>
      <c r="C3420" s="124"/>
    </row>
    <row r="3421" spans="1:3" ht="18.75" customHeight="1" x14ac:dyDescent="0.35">
      <c r="A3421" s="127"/>
      <c r="C3421" s="124"/>
    </row>
    <row r="3422" spans="1:3" ht="18.75" customHeight="1" x14ac:dyDescent="0.35">
      <c r="A3422" s="127"/>
      <c r="C3422" s="124"/>
    </row>
    <row r="3423" spans="1:3" ht="18.75" customHeight="1" x14ac:dyDescent="0.35">
      <c r="A3423" s="127"/>
      <c r="C3423" s="124"/>
    </row>
    <row r="3424" spans="1:3" ht="18.75" customHeight="1" x14ac:dyDescent="0.35">
      <c r="A3424" s="127"/>
      <c r="C3424" s="124"/>
    </row>
    <row r="3425" spans="1:3" ht="18.75" customHeight="1" x14ac:dyDescent="0.35">
      <c r="A3425" s="127"/>
      <c r="C3425" s="124"/>
    </row>
    <row r="3426" spans="1:3" ht="18.75" customHeight="1" x14ac:dyDescent="0.35">
      <c r="A3426" s="127"/>
      <c r="C3426" s="124"/>
    </row>
    <row r="3427" spans="1:3" ht="18.75" customHeight="1" x14ac:dyDescent="0.35">
      <c r="A3427" s="127"/>
      <c r="C3427" s="124"/>
    </row>
    <row r="3428" spans="1:3" ht="18.75" customHeight="1" x14ac:dyDescent="0.35">
      <c r="A3428" s="127"/>
      <c r="C3428" s="124"/>
    </row>
    <row r="3429" spans="1:3" ht="18.75" customHeight="1" x14ac:dyDescent="0.35">
      <c r="A3429" s="127"/>
      <c r="C3429" s="124"/>
    </row>
    <row r="3430" spans="1:3" ht="18.75" customHeight="1" x14ac:dyDescent="0.35">
      <c r="A3430" s="127"/>
      <c r="C3430" s="124"/>
    </row>
    <row r="3431" spans="1:3" ht="18.75" customHeight="1" x14ac:dyDescent="0.35">
      <c r="A3431" s="127"/>
      <c r="C3431" s="124"/>
    </row>
    <row r="3432" spans="1:3" ht="18.75" customHeight="1" x14ac:dyDescent="0.35">
      <c r="A3432" s="127"/>
      <c r="C3432" s="124"/>
    </row>
    <row r="3433" spans="1:3" ht="18.75" customHeight="1" x14ac:dyDescent="0.35">
      <c r="A3433" s="127"/>
      <c r="C3433" s="124"/>
    </row>
    <row r="3434" spans="1:3" ht="18.75" customHeight="1" x14ac:dyDescent="0.35">
      <c r="A3434" s="127"/>
      <c r="C3434" s="124"/>
    </row>
    <row r="3435" spans="1:3" ht="18.75" customHeight="1" x14ac:dyDescent="0.35">
      <c r="A3435" s="127"/>
      <c r="C3435" s="124"/>
    </row>
    <row r="3436" spans="1:3" ht="18.75" customHeight="1" x14ac:dyDescent="0.35">
      <c r="A3436" s="127"/>
      <c r="C3436" s="124"/>
    </row>
    <row r="3437" spans="1:3" ht="18.75" customHeight="1" x14ac:dyDescent="0.35">
      <c r="A3437" s="127"/>
      <c r="C3437" s="124"/>
    </row>
    <row r="3438" spans="1:3" ht="18.75" customHeight="1" x14ac:dyDescent="0.35">
      <c r="A3438" s="127"/>
      <c r="C3438" s="124"/>
    </row>
    <row r="3439" spans="1:3" ht="18.75" customHeight="1" x14ac:dyDescent="0.35">
      <c r="A3439" s="127"/>
      <c r="C3439" s="124"/>
    </row>
    <row r="3440" spans="1:3" ht="18.75" customHeight="1" x14ac:dyDescent="0.35">
      <c r="A3440" s="127"/>
      <c r="C3440" s="124"/>
    </row>
    <row r="3441" spans="1:3" ht="18.75" customHeight="1" x14ac:dyDescent="0.35">
      <c r="A3441" s="127"/>
      <c r="C3441" s="124"/>
    </row>
    <row r="3442" spans="1:3" ht="18.75" customHeight="1" x14ac:dyDescent="0.35">
      <c r="A3442" s="127"/>
      <c r="C3442" s="124"/>
    </row>
    <row r="3443" spans="1:3" ht="18.75" customHeight="1" x14ac:dyDescent="0.35">
      <c r="A3443" s="127"/>
      <c r="C3443" s="124"/>
    </row>
    <row r="3444" spans="1:3" ht="18.75" customHeight="1" x14ac:dyDescent="0.35">
      <c r="A3444" s="127"/>
      <c r="C3444" s="124"/>
    </row>
    <row r="3445" spans="1:3" ht="18.75" customHeight="1" x14ac:dyDescent="0.35">
      <c r="A3445" s="127"/>
      <c r="C3445" s="124"/>
    </row>
    <row r="3446" spans="1:3" ht="18.75" customHeight="1" x14ac:dyDescent="0.35">
      <c r="A3446" s="127"/>
      <c r="C3446" s="124"/>
    </row>
    <row r="3447" spans="1:3" ht="18.75" customHeight="1" x14ac:dyDescent="0.35">
      <c r="A3447" s="127"/>
      <c r="C3447" s="124"/>
    </row>
    <row r="3448" spans="1:3" ht="18.75" customHeight="1" x14ac:dyDescent="0.35">
      <c r="A3448" s="127"/>
      <c r="C3448" s="124"/>
    </row>
    <row r="3449" spans="1:3" ht="18.75" customHeight="1" x14ac:dyDescent="0.35">
      <c r="A3449" s="127"/>
      <c r="C3449" s="124"/>
    </row>
    <row r="3450" spans="1:3" ht="18.75" customHeight="1" x14ac:dyDescent="0.35">
      <c r="A3450" s="127"/>
      <c r="C3450" s="124"/>
    </row>
    <row r="3451" spans="1:3" ht="18.75" customHeight="1" x14ac:dyDescent="0.35">
      <c r="A3451" s="127"/>
      <c r="C3451" s="124"/>
    </row>
    <row r="3452" spans="1:3" ht="18.75" customHeight="1" x14ac:dyDescent="0.35">
      <c r="A3452" s="127"/>
      <c r="C3452" s="124"/>
    </row>
    <row r="3453" spans="1:3" ht="18.75" customHeight="1" x14ac:dyDescent="0.35">
      <c r="A3453" s="127"/>
      <c r="C3453" s="124"/>
    </row>
    <row r="3454" spans="1:3" ht="18.75" customHeight="1" x14ac:dyDescent="0.35">
      <c r="A3454" s="127"/>
      <c r="C3454" s="124"/>
    </row>
    <row r="3455" spans="1:3" ht="18.75" customHeight="1" x14ac:dyDescent="0.35">
      <c r="A3455" s="127"/>
      <c r="C3455" s="124"/>
    </row>
    <row r="3456" spans="1:3" ht="18.75" customHeight="1" x14ac:dyDescent="0.35">
      <c r="A3456" s="127"/>
      <c r="C3456" s="124"/>
    </row>
    <row r="3457" spans="1:3" ht="18.75" customHeight="1" x14ac:dyDescent="0.35">
      <c r="A3457" s="127"/>
      <c r="C3457" s="124"/>
    </row>
    <row r="3458" spans="1:3" ht="18.75" customHeight="1" x14ac:dyDescent="0.35">
      <c r="A3458" s="127"/>
      <c r="C3458" s="124"/>
    </row>
    <row r="3459" spans="1:3" ht="18.75" customHeight="1" x14ac:dyDescent="0.35">
      <c r="A3459" s="127"/>
      <c r="C3459" s="124"/>
    </row>
    <row r="3460" spans="1:3" ht="18.75" customHeight="1" x14ac:dyDescent="0.35">
      <c r="A3460" s="127"/>
      <c r="C3460" s="124"/>
    </row>
    <row r="3461" spans="1:3" ht="18.75" customHeight="1" x14ac:dyDescent="0.35">
      <c r="A3461" s="127"/>
      <c r="C3461" s="124"/>
    </row>
    <row r="3462" spans="1:3" ht="18.75" customHeight="1" x14ac:dyDescent="0.35">
      <c r="A3462" s="127"/>
      <c r="C3462" s="124"/>
    </row>
    <row r="3463" spans="1:3" ht="18.75" customHeight="1" x14ac:dyDescent="0.35">
      <c r="A3463" s="127"/>
      <c r="C3463" s="124"/>
    </row>
    <row r="3464" spans="1:3" ht="18.75" customHeight="1" x14ac:dyDescent="0.35">
      <c r="A3464" s="127"/>
      <c r="C3464" s="124"/>
    </row>
    <row r="3465" spans="1:3" ht="18.75" customHeight="1" x14ac:dyDescent="0.35">
      <c r="A3465" s="127"/>
      <c r="C3465" s="124"/>
    </row>
    <row r="3466" spans="1:3" ht="18.75" customHeight="1" x14ac:dyDescent="0.35">
      <c r="A3466" s="127"/>
      <c r="C3466" s="124"/>
    </row>
    <row r="3467" spans="1:3" ht="18.75" customHeight="1" x14ac:dyDescent="0.35">
      <c r="A3467" s="127"/>
      <c r="C3467" s="124"/>
    </row>
    <row r="3468" spans="1:3" ht="18.75" customHeight="1" x14ac:dyDescent="0.35">
      <c r="A3468" s="127"/>
      <c r="C3468" s="124"/>
    </row>
    <row r="3469" spans="1:3" ht="18.75" customHeight="1" x14ac:dyDescent="0.35">
      <c r="A3469" s="127"/>
      <c r="C3469" s="124"/>
    </row>
    <row r="3470" spans="1:3" ht="18.75" customHeight="1" x14ac:dyDescent="0.35">
      <c r="A3470" s="127"/>
      <c r="C3470" s="124"/>
    </row>
    <row r="3471" spans="1:3" ht="18.75" customHeight="1" x14ac:dyDescent="0.35">
      <c r="A3471" s="127"/>
      <c r="C3471" s="124"/>
    </row>
    <row r="3472" spans="1:3" ht="18.75" customHeight="1" x14ac:dyDescent="0.35">
      <c r="A3472" s="127"/>
      <c r="C3472" s="124"/>
    </row>
    <row r="3473" spans="1:3" ht="18.75" customHeight="1" x14ac:dyDescent="0.35">
      <c r="A3473" s="127"/>
      <c r="C3473" s="124"/>
    </row>
    <row r="3474" spans="1:3" ht="18.75" customHeight="1" x14ac:dyDescent="0.35">
      <c r="A3474" s="127"/>
      <c r="C3474" s="124"/>
    </row>
    <row r="3475" spans="1:3" ht="18.75" customHeight="1" x14ac:dyDescent="0.35">
      <c r="A3475" s="127"/>
      <c r="C3475" s="124"/>
    </row>
    <row r="3476" spans="1:3" ht="18.75" customHeight="1" x14ac:dyDescent="0.35">
      <c r="A3476" s="127"/>
      <c r="C3476" s="124"/>
    </row>
    <row r="3477" spans="1:3" ht="18.75" customHeight="1" x14ac:dyDescent="0.35">
      <c r="A3477" s="127"/>
      <c r="C3477" s="124"/>
    </row>
    <row r="3478" spans="1:3" ht="18.75" customHeight="1" x14ac:dyDescent="0.35">
      <c r="A3478" s="127"/>
      <c r="C3478" s="124"/>
    </row>
    <row r="3479" spans="1:3" ht="18.75" customHeight="1" x14ac:dyDescent="0.35">
      <c r="A3479" s="127"/>
      <c r="C3479" s="124"/>
    </row>
    <row r="3480" spans="1:3" ht="18.75" customHeight="1" x14ac:dyDescent="0.35">
      <c r="A3480" s="127"/>
      <c r="C3480" s="124"/>
    </row>
    <row r="3481" spans="1:3" ht="18.75" customHeight="1" x14ac:dyDescent="0.35">
      <c r="A3481" s="127"/>
      <c r="C3481" s="124"/>
    </row>
    <row r="3482" spans="1:3" ht="18.75" customHeight="1" x14ac:dyDescent="0.35">
      <c r="A3482" s="127"/>
      <c r="C3482" s="124"/>
    </row>
    <row r="3483" spans="1:3" ht="18.75" customHeight="1" x14ac:dyDescent="0.35">
      <c r="A3483" s="127"/>
      <c r="C3483" s="124"/>
    </row>
    <row r="3484" spans="1:3" ht="18.75" customHeight="1" x14ac:dyDescent="0.35">
      <c r="A3484" s="127"/>
      <c r="C3484" s="124"/>
    </row>
    <row r="3485" spans="1:3" ht="18.75" customHeight="1" x14ac:dyDescent="0.35">
      <c r="A3485" s="127"/>
      <c r="C3485" s="124"/>
    </row>
    <row r="3486" spans="1:3" ht="18.75" customHeight="1" x14ac:dyDescent="0.35">
      <c r="A3486" s="127"/>
      <c r="C3486" s="124"/>
    </row>
    <row r="3487" spans="1:3" ht="18.75" customHeight="1" x14ac:dyDescent="0.35">
      <c r="A3487" s="127"/>
      <c r="C3487" s="124"/>
    </row>
    <row r="3488" spans="1:3" ht="18.75" customHeight="1" x14ac:dyDescent="0.35">
      <c r="A3488" s="127"/>
      <c r="C3488" s="124"/>
    </row>
    <row r="3489" spans="1:3" ht="18.75" customHeight="1" x14ac:dyDescent="0.35">
      <c r="A3489" s="127"/>
      <c r="C3489" s="124"/>
    </row>
    <row r="3490" spans="1:3" ht="18.75" customHeight="1" x14ac:dyDescent="0.35">
      <c r="A3490" s="127"/>
      <c r="C3490" s="124"/>
    </row>
    <row r="3491" spans="1:3" ht="18.75" customHeight="1" x14ac:dyDescent="0.35">
      <c r="A3491" s="127"/>
      <c r="C3491" s="124"/>
    </row>
    <row r="3492" spans="1:3" ht="18.75" customHeight="1" x14ac:dyDescent="0.35">
      <c r="A3492" s="127"/>
      <c r="C3492" s="124"/>
    </row>
    <row r="3493" spans="1:3" ht="18.75" customHeight="1" x14ac:dyDescent="0.35">
      <c r="A3493" s="127"/>
      <c r="C3493" s="124"/>
    </row>
    <row r="3494" spans="1:3" ht="18.75" customHeight="1" x14ac:dyDescent="0.35">
      <c r="A3494" s="127"/>
      <c r="C3494" s="124"/>
    </row>
    <row r="3495" spans="1:3" ht="18.75" customHeight="1" x14ac:dyDescent="0.35">
      <c r="A3495" s="127"/>
      <c r="C3495" s="124"/>
    </row>
    <row r="3496" spans="1:3" ht="18.75" customHeight="1" x14ac:dyDescent="0.35">
      <c r="A3496" s="127"/>
      <c r="C3496" s="124"/>
    </row>
    <row r="3497" spans="1:3" ht="18.75" customHeight="1" x14ac:dyDescent="0.35">
      <c r="A3497" s="127"/>
      <c r="C3497" s="124"/>
    </row>
    <row r="3498" spans="1:3" ht="18.75" customHeight="1" x14ac:dyDescent="0.35">
      <c r="A3498" s="127"/>
      <c r="C3498" s="124"/>
    </row>
    <row r="3499" spans="1:3" ht="18.75" customHeight="1" x14ac:dyDescent="0.35">
      <c r="A3499" s="127"/>
      <c r="C3499" s="124"/>
    </row>
    <row r="3500" spans="1:3" ht="18.75" customHeight="1" x14ac:dyDescent="0.35">
      <c r="A3500" s="127"/>
      <c r="C3500" s="124"/>
    </row>
    <row r="3501" spans="1:3" ht="18.75" customHeight="1" x14ac:dyDescent="0.35">
      <c r="A3501" s="127"/>
      <c r="C3501" s="124"/>
    </row>
    <row r="3502" spans="1:3" ht="18.75" customHeight="1" x14ac:dyDescent="0.35">
      <c r="A3502" s="127"/>
      <c r="C3502" s="124"/>
    </row>
    <row r="3503" spans="1:3" ht="18.75" customHeight="1" x14ac:dyDescent="0.35">
      <c r="A3503" s="127"/>
      <c r="C3503" s="124"/>
    </row>
    <row r="3504" spans="1:3" ht="18.75" customHeight="1" x14ac:dyDescent="0.35">
      <c r="A3504" s="127"/>
      <c r="C3504" s="124"/>
    </row>
    <row r="3505" spans="1:3" ht="18.75" customHeight="1" x14ac:dyDescent="0.35">
      <c r="A3505" s="127"/>
      <c r="C3505" s="124"/>
    </row>
    <row r="3506" spans="1:3" ht="18.75" customHeight="1" x14ac:dyDescent="0.35">
      <c r="A3506" s="127"/>
      <c r="C3506" s="124"/>
    </row>
    <row r="3507" spans="1:3" ht="18.75" customHeight="1" x14ac:dyDescent="0.35">
      <c r="A3507" s="127"/>
      <c r="C3507" s="124"/>
    </row>
    <row r="3508" spans="1:3" ht="18.75" customHeight="1" x14ac:dyDescent="0.35">
      <c r="A3508" s="127"/>
      <c r="C3508" s="124"/>
    </row>
    <row r="3509" spans="1:3" ht="18.75" customHeight="1" x14ac:dyDescent="0.35">
      <c r="A3509" s="127"/>
      <c r="C3509" s="124"/>
    </row>
    <row r="3510" spans="1:3" ht="18.75" customHeight="1" x14ac:dyDescent="0.35">
      <c r="A3510" s="127"/>
      <c r="C3510" s="124"/>
    </row>
    <row r="3511" spans="1:3" ht="18.75" customHeight="1" x14ac:dyDescent="0.35">
      <c r="A3511" s="127"/>
      <c r="C3511" s="124"/>
    </row>
    <row r="3512" spans="1:3" ht="18.75" customHeight="1" x14ac:dyDescent="0.35">
      <c r="A3512" s="127"/>
      <c r="C3512" s="124"/>
    </row>
    <row r="3513" spans="1:3" ht="18.75" customHeight="1" x14ac:dyDescent="0.35">
      <c r="A3513" s="127"/>
      <c r="C3513" s="124"/>
    </row>
    <row r="3514" spans="1:3" ht="18.75" customHeight="1" x14ac:dyDescent="0.35">
      <c r="A3514" s="127"/>
      <c r="C3514" s="124"/>
    </row>
    <row r="3515" spans="1:3" ht="18.75" customHeight="1" x14ac:dyDescent="0.35">
      <c r="A3515" s="127"/>
      <c r="C3515" s="124"/>
    </row>
    <row r="3516" spans="1:3" ht="18.75" customHeight="1" x14ac:dyDescent="0.35">
      <c r="A3516" s="127"/>
      <c r="C3516" s="124"/>
    </row>
    <row r="3517" spans="1:3" ht="18.75" customHeight="1" x14ac:dyDescent="0.35">
      <c r="A3517" s="127"/>
      <c r="C3517" s="124"/>
    </row>
    <row r="3518" spans="1:3" ht="18.75" customHeight="1" x14ac:dyDescent="0.35">
      <c r="A3518" s="127"/>
      <c r="C3518" s="124"/>
    </row>
    <row r="3519" spans="1:3" ht="18.75" customHeight="1" x14ac:dyDescent="0.35">
      <c r="A3519" s="127"/>
      <c r="C3519" s="124"/>
    </row>
    <row r="3520" spans="1:3" ht="18.75" customHeight="1" x14ac:dyDescent="0.35">
      <c r="A3520" s="127"/>
      <c r="C3520" s="124"/>
    </row>
    <row r="3521" spans="1:3" ht="18.75" customHeight="1" x14ac:dyDescent="0.35">
      <c r="A3521" s="127"/>
      <c r="C3521" s="124"/>
    </row>
    <row r="3522" spans="1:3" ht="18.75" customHeight="1" x14ac:dyDescent="0.35">
      <c r="A3522" s="127"/>
      <c r="C3522" s="124"/>
    </row>
    <row r="3523" spans="1:3" ht="18.75" customHeight="1" x14ac:dyDescent="0.35">
      <c r="A3523" s="127"/>
      <c r="C3523" s="124"/>
    </row>
    <row r="3524" spans="1:3" ht="18.75" customHeight="1" x14ac:dyDescent="0.35">
      <c r="A3524" s="127"/>
      <c r="C3524" s="124"/>
    </row>
    <row r="3525" spans="1:3" ht="18.75" customHeight="1" x14ac:dyDescent="0.35">
      <c r="A3525" s="127"/>
      <c r="C3525" s="124"/>
    </row>
    <row r="3526" spans="1:3" ht="18.75" customHeight="1" x14ac:dyDescent="0.35">
      <c r="A3526" s="127"/>
      <c r="C3526" s="124"/>
    </row>
    <row r="3527" spans="1:3" ht="18.75" customHeight="1" x14ac:dyDescent="0.35">
      <c r="A3527" s="127"/>
      <c r="C3527" s="124"/>
    </row>
    <row r="3528" spans="1:3" ht="18.75" customHeight="1" x14ac:dyDescent="0.35">
      <c r="A3528" s="127"/>
      <c r="C3528" s="124"/>
    </row>
    <row r="3529" spans="1:3" ht="18.75" customHeight="1" x14ac:dyDescent="0.35">
      <c r="A3529" s="127"/>
      <c r="C3529" s="124"/>
    </row>
    <row r="3530" spans="1:3" ht="18.75" customHeight="1" x14ac:dyDescent="0.35">
      <c r="A3530" s="127"/>
      <c r="C3530" s="124"/>
    </row>
    <row r="3531" spans="1:3" ht="18.75" customHeight="1" x14ac:dyDescent="0.35">
      <c r="A3531" s="127"/>
      <c r="C3531" s="124"/>
    </row>
    <row r="3532" spans="1:3" ht="18.75" customHeight="1" x14ac:dyDescent="0.35">
      <c r="A3532" s="127"/>
      <c r="C3532" s="124"/>
    </row>
    <row r="3533" spans="1:3" ht="18.75" customHeight="1" x14ac:dyDescent="0.35">
      <c r="A3533" s="127"/>
      <c r="C3533" s="124"/>
    </row>
    <row r="3534" spans="1:3" ht="18.75" customHeight="1" x14ac:dyDescent="0.35">
      <c r="A3534" s="127"/>
      <c r="C3534" s="124"/>
    </row>
    <row r="3535" spans="1:3" ht="18.75" customHeight="1" x14ac:dyDescent="0.35">
      <c r="A3535" s="127"/>
      <c r="C3535" s="124"/>
    </row>
    <row r="3536" spans="1:3" ht="18.75" customHeight="1" x14ac:dyDescent="0.35">
      <c r="A3536" s="127"/>
      <c r="C3536" s="124"/>
    </row>
    <row r="3537" spans="1:3" ht="18.75" customHeight="1" x14ac:dyDescent="0.35">
      <c r="A3537" s="127"/>
      <c r="C3537" s="124"/>
    </row>
    <row r="3538" spans="1:3" ht="18.75" customHeight="1" x14ac:dyDescent="0.35">
      <c r="A3538" s="127"/>
      <c r="C3538" s="124"/>
    </row>
    <row r="3539" spans="1:3" ht="18.75" customHeight="1" x14ac:dyDescent="0.35">
      <c r="A3539" s="127"/>
      <c r="C3539" s="124"/>
    </row>
    <row r="3540" spans="1:3" ht="18.75" customHeight="1" x14ac:dyDescent="0.35">
      <c r="A3540" s="127"/>
      <c r="C3540" s="124"/>
    </row>
    <row r="3541" spans="1:3" ht="18.75" customHeight="1" x14ac:dyDescent="0.35">
      <c r="A3541" s="127"/>
      <c r="C3541" s="124"/>
    </row>
    <row r="3542" spans="1:3" ht="18.75" customHeight="1" x14ac:dyDescent="0.35">
      <c r="A3542" s="127"/>
      <c r="C3542" s="124"/>
    </row>
    <row r="3543" spans="1:3" ht="18.75" customHeight="1" x14ac:dyDescent="0.35">
      <c r="A3543" s="127"/>
      <c r="C3543" s="124"/>
    </row>
    <row r="3544" spans="1:3" ht="18.75" customHeight="1" x14ac:dyDescent="0.35">
      <c r="A3544" s="127"/>
      <c r="C3544" s="124"/>
    </row>
    <row r="3545" spans="1:3" ht="18.75" customHeight="1" x14ac:dyDescent="0.35">
      <c r="A3545" s="127"/>
      <c r="C3545" s="124"/>
    </row>
    <row r="3546" spans="1:3" ht="18.75" customHeight="1" x14ac:dyDescent="0.35">
      <c r="A3546" s="127"/>
      <c r="C3546" s="124"/>
    </row>
    <row r="3547" spans="1:3" ht="18.75" customHeight="1" x14ac:dyDescent="0.35">
      <c r="A3547" s="127"/>
      <c r="C3547" s="124"/>
    </row>
    <row r="3548" spans="1:3" ht="18.75" customHeight="1" x14ac:dyDescent="0.35">
      <c r="A3548" s="127"/>
      <c r="C3548" s="124"/>
    </row>
    <row r="3549" spans="1:3" ht="18.75" customHeight="1" x14ac:dyDescent="0.35">
      <c r="A3549" s="127"/>
      <c r="C3549" s="124"/>
    </row>
    <row r="3550" spans="1:3" ht="18.75" customHeight="1" x14ac:dyDescent="0.35">
      <c r="A3550" s="127"/>
      <c r="C3550" s="124"/>
    </row>
    <row r="3551" spans="1:3" ht="18.75" customHeight="1" x14ac:dyDescent="0.35">
      <c r="A3551" s="127"/>
      <c r="C3551" s="124"/>
    </row>
    <row r="3552" spans="1:3" ht="18.75" customHeight="1" x14ac:dyDescent="0.35">
      <c r="A3552" s="127"/>
      <c r="C3552" s="124"/>
    </row>
    <row r="3553" spans="1:3" ht="18.75" customHeight="1" x14ac:dyDescent="0.35">
      <c r="A3553" s="127"/>
      <c r="C3553" s="124"/>
    </row>
    <row r="3554" spans="1:3" ht="18.75" customHeight="1" x14ac:dyDescent="0.35">
      <c r="A3554" s="127"/>
      <c r="C3554" s="124"/>
    </row>
    <row r="3555" spans="1:3" ht="18.75" customHeight="1" x14ac:dyDescent="0.35">
      <c r="A3555" s="127"/>
      <c r="C3555" s="124"/>
    </row>
    <row r="3556" spans="1:3" ht="18.75" customHeight="1" x14ac:dyDescent="0.35">
      <c r="A3556" s="127"/>
      <c r="C3556" s="124"/>
    </row>
    <row r="3557" spans="1:3" ht="18.75" customHeight="1" x14ac:dyDescent="0.35">
      <c r="A3557" s="127"/>
      <c r="C3557" s="124"/>
    </row>
    <row r="3558" spans="1:3" ht="18.75" customHeight="1" x14ac:dyDescent="0.35">
      <c r="A3558" s="127"/>
      <c r="C3558" s="124"/>
    </row>
    <row r="3559" spans="1:3" ht="18.75" customHeight="1" x14ac:dyDescent="0.35">
      <c r="A3559" s="127"/>
      <c r="C3559" s="124"/>
    </row>
    <row r="3560" spans="1:3" ht="18.75" customHeight="1" x14ac:dyDescent="0.35">
      <c r="A3560" s="127"/>
      <c r="C3560" s="124"/>
    </row>
    <row r="3561" spans="1:3" ht="18.75" customHeight="1" x14ac:dyDescent="0.35">
      <c r="A3561" s="127"/>
      <c r="C3561" s="124"/>
    </row>
    <row r="3562" spans="1:3" ht="18.75" customHeight="1" x14ac:dyDescent="0.35">
      <c r="A3562" s="127"/>
      <c r="C3562" s="124"/>
    </row>
    <row r="3563" spans="1:3" ht="18.75" customHeight="1" x14ac:dyDescent="0.35">
      <c r="A3563" s="127"/>
      <c r="C3563" s="124"/>
    </row>
    <row r="3564" spans="1:3" ht="18.75" customHeight="1" x14ac:dyDescent="0.35">
      <c r="A3564" s="127"/>
      <c r="C3564" s="124"/>
    </row>
    <row r="3565" spans="1:3" ht="18.75" customHeight="1" x14ac:dyDescent="0.35">
      <c r="A3565" s="127"/>
      <c r="C3565" s="124"/>
    </row>
    <row r="3566" spans="1:3" ht="18.75" customHeight="1" x14ac:dyDescent="0.35">
      <c r="A3566" s="127"/>
      <c r="C3566" s="124"/>
    </row>
    <row r="3567" spans="1:3" ht="18.75" customHeight="1" x14ac:dyDescent="0.35">
      <c r="A3567" s="127"/>
      <c r="C3567" s="124"/>
    </row>
    <row r="3568" spans="1:3" ht="18.75" customHeight="1" x14ac:dyDescent="0.35">
      <c r="A3568" s="127"/>
      <c r="C3568" s="124"/>
    </row>
    <row r="3569" spans="1:3" ht="18.75" customHeight="1" x14ac:dyDescent="0.35">
      <c r="A3569" s="127"/>
      <c r="C3569" s="124"/>
    </row>
    <row r="3570" spans="1:3" ht="18.75" customHeight="1" x14ac:dyDescent="0.35">
      <c r="A3570" s="127"/>
      <c r="C3570" s="124"/>
    </row>
    <row r="3571" spans="1:3" ht="18.75" customHeight="1" x14ac:dyDescent="0.35">
      <c r="A3571" s="127"/>
      <c r="C3571" s="124"/>
    </row>
    <row r="3572" spans="1:3" ht="18.75" customHeight="1" x14ac:dyDescent="0.35">
      <c r="A3572" s="127"/>
      <c r="C3572" s="124"/>
    </row>
    <row r="3573" spans="1:3" ht="18.75" customHeight="1" x14ac:dyDescent="0.35">
      <c r="A3573" s="127"/>
      <c r="C3573" s="124"/>
    </row>
    <row r="3574" spans="1:3" ht="18.75" customHeight="1" x14ac:dyDescent="0.35">
      <c r="A3574" s="127"/>
      <c r="C3574" s="124"/>
    </row>
    <row r="3575" spans="1:3" ht="18.75" customHeight="1" x14ac:dyDescent="0.35">
      <c r="A3575" s="127"/>
      <c r="C3575" s="124"/>
    </row>
    <row r="3576" spans="1:3" ht="18.75" customHeight="1" x14ac:dyDescent="0.35">
      <c r="A3576" s="127"/>
      <c r="C3576" s="124"/>
    </row>
    <row r="3577" spans="1:3" ht="18.75" customHeight="1" x14ac:dyDescent="0.35">
      <c r="A3577" s="127"/>
      <c r="C3577" s="124"/>
    </row>
    <row r="3578" spans="1:3" ht="18.75" customHeight="1" x14ac:dyDescent="0.35">
      <c r="A3578" s="127"/>
      <c r="C3578" s="124"/>
    </row>
    <row r="3579" spans="1:3" ht="18.75" customHeight="1" x14ac:dyDescent="0.35">
      <c r="A3579" s="127"/>
      <c r="C3579" s="124"/>
    </row>
    <row r="3580" spans="1:3" ht="18.75" customHeight="1" x14ac:dyDescent="0.35">
      <c r="A3580" s="127"/>
      <c r="C3580" s="124"/>
    </row>
    <row r="3581" spans="1:3" ht="18.75" customHeight="1" x14ac:dyDescent="0.35">
      <c r="A3581" s="127"/>
      <c r="C3581" s="124"/>
    </row>
    <row r="3582" spans="1:3" ht="18.75" customHeight="1" x14ac:dyDescent="0.35">
      <c r="A3582" s="127"/>
      <c r="C3582" s="124"/>
    </row>
    <row r="3583" spans="1:3" ht="18.75" customHeight="1" x14ac:dyDescent="0.35">
      <c r="A3583" s="127"/>
      <c r="C3583" s="124"/>
    </row>
    <row r="3584" spans="1:3" ht="18.75" customHeight="1" x14ac:dyDescent="0.35">
      <c r="A3584" s="127"/>
      <c r="C3584" s="124"/>
    </row>
    <row r="3585" spans="1:3" ht="18.75" customHeight="1" x14ac:dyDescent="0.35">
      <c r="A3585" s="127"/>
      <c r="C3585" s="124"/>
    </row>
    <row r="3586" spans="1:3" ht="18.75" customHeight="1" x14ac:dyDescent="0.35">
      <c r="A3586" s="127"/>
      <c r="C3586" s="124"/>
    </row>
    <row r="3587" spans="1:3" ht="18.75" customHeight="1" x14ac:dyDescent="0.35">
      <c r="A3587" s="127"/>
      <c r="C3587" s="124"/>
    </row>
    <row r="3588" spans="1:3" ht="18.75" customHeight="1" x14ac:dyDescent="0.35">
      <c r="A3588" s="127"/>
      <c r="C3588" s="124"/>
    </row>
    <row r="3589" spans="1:3" ht="18.75" customHeight="1" x14ac:dyDescent="0.35">
      <c r="A3589" s="127"/>
      <c r="C3589" s="124"/>
    </row>
    <row r="3590" spans="1:3" ht="18.75" customHeight="1" x14ac:dyDescent="0.35">
      <c r="A3590" s="127"/>
      <c r="C3590" s="124"/>
    </row>
    <row r="3591" spans="1:3" ht="18.75" customHeight="1" x14ac:dyDescent="0.35">
      <c r="A3591" s="127"/>
      <c r="C3591" s="124"/>
    </row>
    <row r="3592" spans="1:3" ht="18.75" customHeight="1" x14ac:dyDescent="0.35">
      <c r="A3592" s="127"/>
      <c r="C3592" s="124"/>
    </row>
    <row r="3593" spans="1:3" ht="18.75" customHeight="1" x14ac:dyDescent="0.35">
      <c r="A3593" s="127"/>
      <c r="C3593" s="124"/>
    </row>
    <row r="3594" spans="1:3" ht="18.75" customHeight="1" x14ac:dyDescent="0.35">
      <c r="A3594" s="127"/>
      <c r="C3594" s="124"/>
    </row>
    <row r="3595" spans="1:3" ht="18.75" customHeight="1" x14ac:dyDescent="0.35">
      <c r="A3595" s="127"/>
      <c r="C3595" s="124"/>
    </row>
    <row r="3596" spans="1:3" ht="18.75" customHeight="1" x14ac:dyDescent="0.35">
      <c r="A3596" s="127"/>
      <c r="C3596" s="124"/>
    </row>
    <row r="3597" spans="1:3" ht="18.75" customHeight="1" x14ac:dyDescent="0.35">
      <c r="A3597" s="127"/>
      <c r="C3597" s="124"/>
    </row>
    <row r="3598" spans="1:3" ht="18.75" customHeight="1" x14ac:dyDescent="0.35">
      <c r="A3598" s="127"/>
      <c r="C3598" s="124"/>
    </row>
    <row r="3599" spans="1:3" ht="18.75" customHeight="1" x14ac:dyDescent="0.35">
      <c r="A3599" s="127"/>
      <c r="C3599" s="124"/>
    </row>
    <row r="3600" spans="1:3" ht="18.75" customHeight="1" x14ac:dyDescent="0.35">
      <c r="A3600" s="127"/>
      <c r="C3600" s="124"/>
    </row>
    <row r="3601" spans="1:3" ht="18.75" customHeight="1" x14ac:dyDescent="0.35">
      <c r="A3601" s="127"/>
      <c r="C3601" s="124"/>
    </row>
    <row r="3602" spans="1:3" ht="18.75" customHeight="1" x14ac:dyDescent="0.35">
      <c r="A3602" s="127"/>
      <c r="C3602" s="124"/>
    </row>
    <row r="3603" spans="1:3" ht="18.75" customHeight="1" x14ac:dyDescent="0.35">
      <c r="A3603" s="127"/>
      <c r="C3603" s="124"/>
    </row>
    <row r="3604" spans="1:3" ht="18.75" customHeight="1" x14ac:dyDescent="0.35">
      <c r="A3604" s="127"/>
      <c r="C3604" s="124"/>
    </row>
    <row r="3605" spans="1:3" ht="18.75" customHeight="1" x14ac:dyDescent="0.35">
      <c r="A3605" s="127"/>
      <c r="C3605" s="124"/>
    </row>
    <row r="3606" spans="1:3" ht="18.75" customHeight="1" x14ac:dyDescent="0.35">
      <c r="A3606" s="127"/>
      <c r="C3606" s="124"/>
    </row>
    <row r="3607" spans="1:3" ht="18.75" customHeight="1" x14ac:dyDescent="0.35">
      <c r="A3607" s="127"/>
      <c r="C3607" s="124"/>
    </row>
    <row r="3608" spans="1:3" ht="18.75" customHeight="1" x14ac:dyDescent="0.35">
      <c r="A3608" s="127"/>
      <c r="C3608" s="124"/>
    </row>
    <row r="3609" spans="1:3" ht="18.75" customHeight="1" x14ac:dyDescent="0.35">
      <c r="A3609" s="127"/>
      <c r="C3609" s="124"/>
    </row>
    <row r="3610" spans="1:3" ht="18.75" customHeight="1" x14ac:dyDescent="0.35">
      <c r="A3610" s="127"/>
      <c r="C3610" s="124"/>
    </row>
    <row r="3611" spans="1:3" ht="18.75" customHeight="1" x14ac:dyDescent="0.35">
      <c r="A3611" s="127"/>
      <c r="C3611" s="124"/>
    </row>
    <row r="3612" spans="1:3" ht="18.75" customHeight="1" x14ac:dyDescent="0.35">
      <c r="A3612" s="127"/>
      <c r="C3612" s="124"/>
    </row>
    <row r="3613" spans="1:3" ht="18.75" customHeight="1" x14ac:dyDescent="0.35">
      <c r="A3613" s="127"/>
      <c r="C3613" s="124"/>
    </row>
    <row r="3614" spans="1:3" ht="18.75" customHeight="1" x14ac:dyDescent="0.35">
      <c r="A3614" s="127"/>
      <c r="C3614" s="124"/>
    </row>
    <row r="3615" spans="1:3" ht="18.75" customHeight="1" x14ac:dyDescent="0.35">
      <c r="A3615" s="127"/>
      <c r="C3615" s="124"/>
    </row>
    <row r="3616" spans="1:3" ht="18.75" customHeight="1" x14ac:dyDescent="0.35">
      <c r="A3616" s="127"/>
      <c r="C3616" s="124"/>
    </row>
    <row r="3617" spans="1:3" ht="18.75" customHeight="1" x14ac:dyDescent="0.35">
      <c r="A3617" s="127"/>
      <c r="C3617" s="124"/>
    </row>
    <row r="3618" spans="1:3" ht="18.75" customHeight="1" x14ac:dyDescent="0.35">
      <c r="A3618" s="127"/>
      <c r="C3618" s="124"/>
    </row>
    <row r="3619" spans="1:3" ht="18.75" customHeight="1" x14ac:dyDescent="0.35">
      <c r="A3619" s="127"/>
      <c r="C3619" s="124"/>
    </row>
    <row r="3620" spans="1:3" ht="18.75" customHeight="1" x14ac:dyDescent="0.35">
      <c r="A3620" s="127"/>
      <c r="C3620" s="124"/>
    </row>
    <row r="3621" spans="1:3" ht="18.75" customHeight="1" x14ac:dyDescent="0.35">
      <c r="A3621" s="127"/>
      <c r="C3621" s="124"/>
    </row>
    <row r="3622" spans="1:3" ht="18.75" customHeight="1" x14ac:dyDescent="0.35">
      <c r="A3622" s="127"/>
      <c r="C3622" s="124"/>
    </row>
    <row r="3623" spans="1:3" ht="18.75" customHeight="1" x14ac:dyDescent="0.35">
      <c r="A3623" s="127"/>
      <c r="C3623" s="124"/>
    </row>
    <row r="3624" spans="1:3" ht="18.75" customHeight="1" x14ac:dyDescent="0.35">
      <c r="A3624" s="127"/>
      <c r="C3624" s="124"/>
    </row>
    <row r="3625" spans="1:3" ht="18.75" customHeight="1" x14ac:dyDescent="0.35">
      <c r="A3625" s="127"/>
      <c r="C3625" s="124"/>
    </row>
    <row r="3626" spans="1:3" ht="18.75" customHeight="1" x14ac:dyDescent="0.35">
      <c r="A3626" s="127"/>
      <c r="C3626" s="124"/>
    </row>
    <row r="3627" spans="1:3" ht="18.75" customHeight="1" x14ac:dyDescent="0.35">
      <c r="A3627" s="127"/>
      <c r="C3627" s="124"/>
    </row>
    <row r="3628" spans="1:3" ht="18.75" customHeight="1" x14ac:dyDescent="0.35">
      <c r="A3628" s="127"/>
      <c r="C3628" s="124"/>
    </row>
    <row r="3629" spans="1:3" ht="18.75" customHeight="1" x14ac:dyDescent="0.35">
      <c r="A3629" s="127"/>
      <c r="C3629" s="124"/>
    </row>
    <row r="3630" spans="1:3" ht="18.75" customHeight="1" x14ac:dyDescent="0.35">
      <c r="A3630" s="127"/>
      <c r="C3630" s="124"/>
    </row>
    <row r="3631" spans="1:3" ht="18.75" customHeight="1" x14ac:dyDescent="0.35">
      <c r="A3631" s="127"/>
      <c r="C3631" s="124"/>
    </row>
    <row r="3632" spans="1:3" ht="18.75" customHeight="1" x14ac:dyDescent="0.35">
      <c r="A3632" s="127"/>
      <c r="C3632" s="124"/>
    </row>
    <row r="3633" spans="1:3" ht="18.75" customHeight="1" x14ac:dyDescent="0.35">
      <c r="A3633" s="127"/>
      <c r="C3633" s="124"/>
    </row>
    <row r="3634" spans="1:3" ht="18.75" customHeight="1" x14ac:dyDescent="0.35">
      <c r="A3634" s="127"/>
      <c r="C3634" s="124"/>
    </row>
    <row r="3635" spans="1:3" ht="18.75" customHeight="1" x14ac:dyDescent="0.35">
      <c r="A3635" s="127"/>
      <c r="C3635" s="124"/>
    </row>
    <row r="3636" spans="1:3" ht="18.75" customHeight="1" x14ac:dyDescent="0.35">
      <c r="A3636" s="127"/>
      <c r="C3636" s="124"/>
    </row>
    <row r="3637" spans="1:3" ht="18.75" customHeight="1" x14ac:dyDescent="0.35">
      <c r="A3637" s="127"/>
      <c r="C3637" s="124"/>
    </row>
    <row r="3638" spans="1:3" ht="18.75" customHeight="1" x14ac:dyDescent="0.35">
      <c r="A3638" s="127"/>
      <c r="C3638" s="124"/>
    </row>
    <row r="3639" spans="1:3" ht="18.75" customHeight="1" x14ac:dyDescent="0.35">
      <c r="A3639" s="127"/>
      <c r="C3639" s="124"/>
    </row>
    <row r="3640" spans="1:3" ht="18.75" customHeight="1" x14ac:dyDescent="0.35">
      <c r="A3640" s="127"/>
      <c r="C3640" s="124"/>
    </row>
    <row r="3641" spans="1:3" ht="18.75" customHeight="1" x14ac:dyDescent="0.35">
      <c r="A3641" s="127"/>
      <c r="C3641" s="124"/>
    </row>
    <row r="3642" spans="1:3" ht="18.75" customHeight="1" x14ac:dyDescent="0.35">
      <c r="A3642" s="127"/>
      <c r="C3642" s="124"/>
    </row>
    <row r="3643" spans="1:3" ht="18.75" customHeight="1" x14ac:dyDescent="0.35">
      <c r="A3643" s="127"/>
      <c r="C3643" s="124"/>
    </row>
    <row r="3644" spans="1:3" ht="18.75" customHeight="1" x14ac:dyDescent="0.35">
      <c r="A3644" s="127"/>
      <c r="C3644" s="124"/>
    </row>
    <row r="3645" spans="1:3" ht="18.75" customHeight="1" x14ac:dyDescent="0.35">
      <c r="A3645" s="127"/>
      <c r="C3645" s="124"/>
    </row>
    <row r="3646" spans="1:3" ht="18.75" customHeight="1" x14ac:dyDescent="0.35">
      <c r="A3646" s="127"/>
      <c r="C3646" s="124"/>
    </row>
    <row r="3647" spans="1:3" ht="18.75" customHeight="1" x14ac:dyDescent="0.35">
      <c r="A3647" s="127"/>
      <c r="C3647" s="124"/>
    </row>
    <row r="3648" spans="1:3" ht="18.75" customHeight="1" x14ac:dyDescent="0.35">
      <c r="A3648" s="127"/>
      <c r="C3648" s="124"/>
    </row>
    <row r="3649" spans="1:3" ht="18.75" customHeight="1" x14ac:dyDescent="0.35">
      <c r="A3649" s="127"/>
      <c r="C3649" s="124"/>
    </row>
    <row r="3650" spans="1:3" ht="18.75" customHeight="1" x14ac:dyDescent="0.35">
      <c r="A3650" s="127"/>
      <c r="C3650" s="124"/>
    </row>
    <row r="3651" spans="1:3" ht="18.75" customHeight="1" x14ac:dyDescent="0.35">
      <c r="A3651" s="127"/>
      <c r="C3651" s="124"/>
    </row>
    <row r="3652" spans="1:3" ht="18.75" customHeight="1" x14ac:dyDescent="0.35">
      <c r="A3652" s="127"/>
      <c r="C3652" s="124"/>
    </row>
    <row r="3653" spans="1:3" ht="18.75" customHeight="1" x14ac:dyDescent="0.35">
      <c r="A3653" s="127"/>
      <c r="C3653" s="124"/>
    </row>
    <row r="3654" spans="1:3" ht="18.75" customHeight="1" x14ac:dyDescent="0.35">
      <c r="A3654" s="127"/>
      <c r="C3654" s="124"/>
    </row>
    <row r="3655" spans="1:3" ht="18.75" customHeight="1" x14ac:dyDescent="0.35">
      <c r="A3655" s="127"/>
      <c r="C3655" s="124"/>
    </row>
    <row r="3656" spans="1:3" ht="18.75" customHeight="1" x14ac:dyDescent="0.35">
      <c r="A3656" s="127"/>
      <c r="C3656" s="124"/>
    </row>
    <row r="3657" spans="1:3" ht="18.75" customHeight="1" x14ac:dyDescent="0.35">
      <c r="A3657" s="127"/>
      <c r="C3657" s="124"/>
    </row>
    <row r="3658" spans="1:3" ht="18.75" customHeight="1" x14ac:dyDescent="0.35">
      <c r="A3658" s="127"/>
      <c r="C3658" s="124"/>
    </row>
    <row r="3659" spans="1:3" ht="18.75" customHeight="1" x14ac:dyDescent="0.35">
      <c r="A3659" s="127"/>
      <c r="C3659" s="124"/>
    </row>
    <row r="3660" spans="1:3" ht="18.75" customHeight="1" x14ac:dyDescent="0.35">
      <c r="A3660" s="127"/>
      <c r="C3660" s="124"/>
    </row>
    <row r="3661" spans="1:3" ht="18.75" customHeight="1" x14ac:dyDescent="0.35">
      <c r="A3661" s="127"/>
      <c r="C3661" s="124"/>
    </row>
    <row r="3662" spans="1:3" ht="18.75" customHeight="1" x14ac:dyDescent="0.35">
      <c r="A3662" s="127"/>
      <c r="C3662" s="124"/>
    </row>
    <row r="3663" spans="1:3" ht="18.75" customHeight="1" x14ac:dyDescent="0.35">
      <c r="A3663" s="127"/>
      <c r="C3663" s="124"/>
    </row>
    <row r="3664" spans="1:3" ht="18.75" customHeight="1" x14ac:dyDescent="0.35">
      <c r="A3664" s="127"/>
      <c r="C3664" s="124"/>
    </row>
    <row r="3665" spans="1:3" ht="18.75" customHeight="1" x14ac:dyDescent="0.35">
      <c r="A3665" s="127"/>
      <c r="C3665" s="124"/>
    </row>
    <row r="3666" spans="1:3" ht="18.75" customHeight="1" x14ac:dyDescent="0.35">
      <c r="A3666" s="127"/>
      <c r="C3666" s="124"/>
    </row>
    <row r="3667" spans="1:3" ht="18.75" customHeight="1" x14ac:dyDescent="0.35">
      <c r="A3667" s="127"/>
      <c r="C3667" s="124"/>
    </row>
    <row r="3668" spans="1:3" ht="18.75" customHeight="1" x14ac:dyDescent="0.35">
      <c r="A3668" s="127"/>
      <c r="C3668" s="124"/>
    </row>
    <row r="3669" spans="1:3" ht="18.75" customHeight="1" x14ac:dyDescent="0.35">
      <c r="A3669" s="127"/>
      <c r="C3669" s="124"/>
    </row>
    <row r="3670" spans="1:3" ht="18.75" customHeight="1" x14ac:dyDescent="0.35">
      <c r="A3670" s="127"/>
      <c r="C3670" s="124"/>
    </row>
    <row r="3671" spans="1:3" ht="18.75" customHeight="1" x14ac:dyDescent="0.35">
      <c r="A3671" s="127"/>
      <c r="C3671" s="124"/>
    </row>
    <row r="3672" spans="1:3" ht="18.75" customHeight="1" x14ac:dyDescent="0.35">
      <c r="A3672" s="127"/>
      <c r="C3672" s="124"/>
    </row>
    <row r="3673" spans="1:3" ht="18.75" customHeight="1" x14ac:dyDescent="0.35">
      <c r="A3673" s="127"/>
      <c r="C3673" s="124"/>
    </row>
    <row r="3674" spans="1:3" ht="18.75" customHeight="1" x14ac:dyDescent="0.35">
      <c r="A3674" s="127"/>
      <c r="C3674" s="124"/>
    </row>
    <row r="3675" spans="1:3" ht="18.75" customHeight="1" x14ac:dyDescent="0.35">
      <c r="A3675" s="127"/>
      <c r="C3675" s="124"/>
    </row>
    <row r="3676" spans="1:3" ht="18.75" customHeight="1" x14ac:dyDescent="0.35">
      <c r="A3676" s="127"/>
      <c r="C3676" s="124"/>
    </row>
    <row r="3677" spans="1:3" ht="18.75" customHeight="1" x14ac:dyDescent="0.35">
      <c r="A3677" s="127"/>
      <c r="C3677" s="124"/>
    </row>
    <row r="3678" spans="1:3" ht="18.75" customHeight="1" x14ac:dyDescent="0.35">
      <c r="A3678" s="127"/>
      <c r="C3678" s="124"/>
    </row>
    <row r="3679" spans="1:3" ht="18.75" customHeight="1" x14ac:dyDescent="0.35">
      <c r="A3679" s="127"/>
      <c r="C3679" s="124"/>
    </row>
    <row r="3680" spans="1:3" ht="18.75" customHeight="1" x14ac:dyDescent="0.35">
      <c r="A3680" s="127"/>
      <c r="C3680" s="124"/>
    </row>
    <row r="3681" spans="1:3" ht="18.75" customHeight="1" x14ac:dyDescent="0.35">
      <c r="A3681" s="127"/>
      <c r="C3681" s="124"/>
    </row>
    <row r="3682" spans="1:3" ht="18.75" customHeight="1" x14ac:dyDescent="0.35">
      <c r="A3682" s="127"/>
      <c r="C3682" s="124"/>
    </row>
    <row r="3683" spans="1:3" ht="18.75" customHeight="1" x14ac:dyDescent="0.35">
      <c r="A3683" s="127"/>
      <c r="C3683" s="124"/>
    </row>
    <row r="3684" spans="1:3" ht="18.75" customHeight="1" x14ac:dyDescent="0.35">
      <c r="A3684" s="127"/>
      <c r="C3684" s="124"/>
    </row>
    <row r="3685" spans="1:3" ht="18.75" customHeight="1" x14ac:dyDescent="0.35">
      <c r="A3685" s="127"/>
      <c r="C3685" s="124"/>
    </row>
    <row r="3686" spans="1:3" ht="18.75" customHeight="1" x14ac:dyDescent="0.35">
      <c r="A3686" s="127"/>
      <c r="C3686" s="124"/>
    </row>
    <row r="3687" spans="1:3" ht="18.75" customHeight="1" x14ac:dyDescent="0.35">
      <c r="A3687" s="127"/>
      <c r="C3687" s="124"/>
    </row>
    <row r="3688" spans="1:3" ht="18.75" customHeight="1" x14ac:dyDescent="0.35">
      <c r="A3688" s="127"/>
      <c r="C3688" s="124"/>
    </row>
    <row r="3689" spans="1:3" ht="18.75" customHeight="1" x14ac:dyDescent="0.35">
      <c r="A3689" s="127"/>
      <c r="C3689" s="124"/>
    </row>
    <row r="3690" spans="1:3" ht="18.75" customHeight="1" x14ac:dyDescent="0.35">
      <c r="A3690" s="127"/>
      <c r="C3690" s="124"/>
    </row>
    <row r="3691" spans="1:3" ht="18.75" customHeight="1" x14ac:dyDescent="0.35">
      <c r="A3691" s="127"/>
      <c r="C3691" s="124"/>
    </row>
    <row r="3692" spans="1:3" ht="18.75" customHeight="1" x14ac:dyDescent="0.35">
      <c r="A3692" s="127"/>
      <c r="C3692" s="124"/>
    </row>
    <row r="3693" spans="1:3" ht="18.75" customHeight="1" x14ac:dyDescent="0.35">
      <c r="A3693" s="127"/>
      <c r="C3693" s="124"/>
    </row>
    <row r="3694" spans="1:3" ht="18.75" customHeight="1" x14ac:dyDescent="0.35">
      <c r="A3694" s="127"/>
      <c r="C3694" s="124"/>
    </row>
    <row r="3695" spans="1:3" ht="18.75" customHeight="1" x14ac:dyDescent="0.35">
      <c r="A3695" s="127"/>
      <c r="C3695" s="124"/>
    </row>
    <row r="3696" spans="1:3" ht="18.75" customHeight="1" x14ac:dyDescent="0.35">
      <c r="A3696" s="127"/>
      <c r="C3696" s="124"/>
    </row>
    <row r="3697" spans="1:3" ht="18.75" customHeight="1" x14ac:dyDescent="0.35">
      <c r="A3697" s="127"/>
      <c r="C3697" s="124"/>
    </row>
    <row r="3698" spans="1:3" ht="18.75" customHeight="1" x14ac:dyDescent="0.35">
      <c r="A3698" s="127"/>
      <c r="C3698" s="124"/>
    </row>
    <row r="3699" spans="1:3" ht="18.75" customHeight="1" x14ac:dyDescent="0.35">
      <c r="A3699" s="127"/>
      <c r="C3699" s="124"/>
    </row>
    <row r="3700" spans="1:3" ht="18.75" customHeight="1" x14ac:dyDescent="0.35">
      <c r="A3700" s="127"/>
      <c r="C3700" s="124"/>
    </row>
    <row r="3701" spans="1:3" ht="18.75" customHeight="1" x14ac:dyDescent="0.35">
      <c r="A3701" s="127"/>
      <c r="C3701" s="124"/>
    </row>
    <row r="3702" spans="1:3" ht="18.75" customHeight="1" x14ac:dyDescent="0.35">
      <c r="A3702" s="127"/>
      <c r="C3702" s="124"/>
    </row>
    <row r="3703" spans="1:3" ht="18.75" customHeight="1" x14ac:dyDescent="0.35">
      <c r="A3703" s="127"/>
      <c r="C3703" s="124"/>
    </row>
    <row r="3704" spans="1:3" ht="18.75" customHeight="1" x14ac:dyDescent="0.35">
      <c r="A3704" s="127"/>
      <c r="C3704" s="124"/>
    </row>
    <row r="3705" spans="1:3" ht="18.75" customHeight="1" x14ac:dyDescent="0.35">
      <c r="A3705" s="127"/>
      <c r="C3705" s="124"/>
    </row>
    <row r="3706" spans="1:3" ht="18.75" customHeight="1" x14ac:dyDescent="0.35">
      <c r="A3706" s="127"/>
      <c r="C3706" s="124"/>
    </row>
    <row r="3707" spans="1:3" ht="18.75" customHeight="1" x14ac:dyDescent="0.35">
      <c r="A3707" s="127"/>
      <c r="C3707" s="124"/>
    </row>
    <row r="3708" spans="1:3" ht="18.75" customHeight="1" x14ac:dyDescent="0.35">
      <c r="A3708" s="127"/>
      <c r="C3708" s="124"/>
    </row>
    <row r="3709" spans="1:3" ht="18.75" customHeight="1" x14ac:dyDescent="0.35">
      <c r="A3709" s="127"/>
      <c r="C3709" s="124"/>
    </row>
    <row r="3710" spans="1:3" ht="18.75" customHeight="1" x14ac:dyDescent="0.35">
      <c r="A3710" s="127"/>
      <c r="C3710" s="124"/>
    </row>
    <row r="3711" spans="1:3" ht="18.75" customHeight="1" x14ac:dyDescent="0.35">
      <c r="A3711" s="127"/>
      <c r="C3711" s="124"/>
    </row>
    <row r="3712" spans="1:3" ht="18.75" customHeight="1" x14ac:dyDescent="0.35">
      <c r="A3712" s="127"/>
      <c r="C3712" s="124"/>
    </row>
    <row r="3713" spans="1:3" ht="18.75" customHeight="1" x14ac:dyDescent="0.35">
      <c r="A3713" s="127"/>
      <c r="C3713" s="124"/>
    </row>
    <row r="3714" spans="1:3" ht="18.75" customHeight="1" x14ac:dyDescent="0.35">
      <c r="A3714" s="127"/>
      <c r="C3714" s="124"/>
    </row>
    <row r="3715" spans="1:3" ht="18.75" customHeight="1" x14ac:dyDescent="0.35">
      <c r="A3715" s="127"/>
      <c r="C3715" s="124"/>
    </row>
    <row r="3716" spans="1:3" ht="18.75" customHeight="1" x14ac:dyDescent="0.35">
      <c r="A3716" s="127"/>
      <c r="C3716" s="124"/>
    </row>
    <row r="3717" spans="1:3" ht="18.75" customHeight="1" x14ac:dyDescent="0.35">
      <c r="A3717" s="127"/>
      <c r="C3717" s="124"/>
    </row>
    <row r="3718" spans="1:3" ht="18.75" customHeight="1" x14ac:dyDescent="0.35">
      <c r="A3718" s="127"/>
      <c r="C3718" s="124"/>
    </row>
    <row r="3719" spans="1:3" ht="18.75" customHeight="1" x14ac:dyDescent="0.35">
      <c r="A3719" s="127"/>
      <c r="C3719" s="124"/>
    </row>
    <row r="3720" spans="1:3" ht="18.75" customHeight="1" x14ac:dyDescent="0.35">
      <c r="A3720" s="127"/>
      <c r="C3720" s="124"/>
    </row>
    <row r="3721" spans="1:3" ht="18.75" customHeight="1" x14ac:dyDescent="0.35">
      <c r="A3721" s="127"/>
      <c r="C3721" s="124"/>
    </row>
    <row r="3722" spans="1:3" ht="18.75" customHeight="1" x14ac:dyDescent="0.35">
      <c r="A3722" s="127"/>
      <c r="C3722" s="124"/>
    </row>
    <row r="3723" spans="1:3" ht="18.75" customHeight="1" x14ac:dyDescent="0.35">
      <c r="A3723" s="127"/>
      <c r="C3723" s="124"/>
    </row>
    <row r="3724" spans="1:3" ht="18.75" customHeight="1" x14ac:dyDescent="0.35">
      <c r="A3724" s="127"/>
      <c r="C3724" s="124"/>
    </row>
    <row r="3725" spans="1:3" ht="18.75" customHeight="1" x14ac:dyDescent="0.35">
      <c r="A3725" s="127"/>
      <c r="C3725" s="124"/>
    </row>
    <row r="3726" spans="1:3" ht="18.75" customHeight="1" x14ac:dyDescent="0.35">
      <c r="A3726" s="127"/>
      <c r="C3726" s="124"/>
    </row>
    <row r="3727" spans="1:3" ht="18.75" customHeight="1" x14ac:dyDescent="0.35">
      <c r="A3727" s="127"/>
      <c r="C3727" s="124"/>
    </row>
    <row r="3728" spans="1:3" ht="18.75" customHeight="1" x14ac:dyDescent="0.35">
      <c r="A3728" s="127"/>
      <c r="C3728" s="124"/>
    </row>
    <row r="3729" spans="1:3" ht="18.75" customHeight="1" x14ac:dyDescent="0.35">
      <c r="A3729" s="127"/>
      <c r="C3729" s="124"/>
    </row>
    <row r="3730" spans="1:3" ht="18.75" customHeight="1" x14ac:dyDescent="0.35">
      <c r="A3730" s="127"/>
      <c r="C3730" s="124"/>
    </row>
    <row r="3731" spans="1:3" ht="18.75" customHeight="1" x14ac:dyDescent="0.35">
      <c r="A3731" s="127"/>
      <c r="C3731" s="124"/>
    </row>
    <row r="3732" spans="1:3" ht="18.75" customHeight="1" x14ac:dyDescent="0.35">
      <c r="A3732" s="127"/>
      <c r="C3732" s="124"/>
    </row>
    <row r="3733" spans="1:3" ht="18.75" customHeight="1" x14ac:dyDescent="0.35">
      <c r="A3733" s="127"/>
      <c r="C3733" s="124"/>
    </row>
    <row r="3734" spans="1:3" ht="18.75" customHeight="1" x14ac:dyDescent="0.35">
      <c r="A3734" s="127"/>
      <c r="C3734" s="124"/>
    </row>
    <row r="3735" spans="1:3" ht="18.75" customHeight="1" x14ac:dyDescent="0.35">
      <c r="A3735" s="127"/>
      <c r="C3735" s="124"/>
    </row>
    <row r="3736" spans="1:3" ht="18.75" customHeight="1" x14ac:dyDescent="0.35">
      <c r="A3736" s="127"/>
      <c r="C3736" s="124"/>
    </row>
    <row r="3737" spans="1:3" ht="18.75" customHeight="1" x14ac:dyDescent="0.35">
      <c r="A3737" s="127"/>
      <c r="C3737" s="124"/>
    </row>
    <row r="3738" spans="1:3" ht="18.75" customHeight="1" x14ac:dyDescent="0.35">
      <c r="A3738" s="127"/>
      <c r="C3738" s="124"/>
    </row>
    <row r="3739" spans="1:3" ht="18.75" customHeight="1" x14ac:dyDescent="0.35">
      <c r="A3739" s="127"/>
      <c r="C3739" s="124"/>
    </row>
    <row r="3740" spans="1:3" ht="18.75" customHeight="1" x14ac:dyDescent="0.35">
      <c r="A3740" s="127"/>
      <c r="C3740" s="124"/>
    </row>
    <row r="3741" spans="1:3" ht="18.75" customHeight="1" x14ac:dyDescent="0.35">
      <c r="A3741" s="127"/>
      <c r="C3741" s="124"/>
    </row>
    <row r="3742" spans="1:3" ht="18.75" customHeight="1" x14ac:dyDescent="0.35">
      <c r="A3742" s="127"/>
      <c r="C3742" s="124"/>
    </row>
    <row r="3743" spans="1:3" ht="18.75" customHeight="1" x14ac:dyDescent="0.35">
      <c r="A3743" s="127"/>
      <c r="C3743" s="124"/>
    </row>
    <row r="3744" spans="1:3" ht="18.75" customHeight="1" x14ac:dyDescent="0.35">
      <c r="A3744" s="127"/>
      <c r="C3744" s="124"/>
    </row>
    <row r="3745" spans="1:3" ht="18.75" customHeight="1" x14ac:dyDescent="0.35">
      <c r="A3745" s="127"/>
      <c r="C3745" s="124"/>
    </row>
    <row r="3746" spans="1:3" ht="18.75" customHeight="1" x14ac:dyDescent="0.35">
      <c r="A3746" s="127"/>
      <c r="C3746" s="124"/>
    </row>
    <row r="3747" spans="1:3" ht="18.75" customHeight="1" x14ac:dyDescent="0.35">
      <c r="A3747" s="127"/>
      <c r="C3747" s="124"/>
    </row>
    <row r="3748" spans="1:3" ht="18.75" customHeight="1" x14ac:dyDescent="0.35">
      <c r="A3748" s="127"/>
      <c r="C3748" s="124"/>
    </row>
    <row r="3749" spans="1:3" ht="18.75" customHeight="1" x14ac:dyDescent="0.35">
      <c r="A3749" s="127"/>
      <c r="C3749" s="124"/>
    </row>
    <row r="3750" spans="1:3" ht="18.75" customHeight="1" x14ac:dyDescent="0.35">
      <c r="A3750" s="127"/>
      <c r="C3750" s="124"/>
    </row>
    <row r="3751" spans="1:3" ht="18.75" customHeight="1" x14ac:dyDescent="0.35">
      <c r="A3751" s="127"/>
      <c r="C3751" s="124"/>
    </row>
    <row r="3752" spans="1:3" ht="18.75" customHeight="1" x14ac:dyDescent="0.35">
      <c r="A3752" s="127"/>
      <c r="C3752" s="124"/>
    </row>
    <row r="3753" spans="1:3" ht="18.75" customHeight="1" x14ac:dyDescent="0.35">
      <c r="A3753" s="127"/>
      <c r="C3753" s="124"/>
    </row>
    <row r="3754" spans="1:3" ht="18.75" customHeight="1" x14ac:dyDescent="0.35">
      <c r="A3754" s="127"/>
      <c r="C3754" s="124"/>
    </row>
    <row r="3755" spans="1:3" ht="18.75" customHeight="1" x14ac:dyDescent="0.35">
      <c r="A3755" s="127"/>
      <c r="C3755" s="124"/>
    </row>
    <row r="3756" spans="1:3" ht="18.75" customHeight="1" x14ac:dyDescent="0.35">
      <c r="A3756" s="127"/>
      <c r="C3756" s="124"/>
    </row>
    <row r="3757" spans="1:3" ht="18.75" customHeight="1" x14ac:dyDescent="0.35">
      <c r="A3757" s="127"/>
      <c r="C3757" s="124"/>
    </row>
    <row r="3758" spans="1:3" ht="18.75" customHeight="1" x14ac:dyDescent="0.35">
      <c r="A3758" s="127"/>
      <c r="C3758" s="124"/>
    </row>
    <row r="3759" spans="1:3" ht="18.75" customHeight="1" x14ac:dyDescent="0.35">
      <c r="A3759" s="127"/>
      <c r="C3759" s="124"/>
    </row>
    <row r="3760" spans="1:3" ht="18.75" customHeight="1" x14ac:dyDescent="0.35">
      <c r="A3760" s="127"/>
      <c r="C3760" s="124"/>
    </row>
    <row r="3761" spans="1:3" ht="18.75" customHeight="1" x14ac:dyDescent="0.35">
      <c r="A3761" s="127"/>
      <c r="C3761" s="124"/>
    </row>
    <row r="3762" spans="1:3" ht="18.75" customHeight="1" x14ac:dyDescent="0.35">
      <c r="A3762" s="127"/>
      <c r="C3762" s="124"/>
    </row>
    <row r="3763" spans="1:3" ht="18.75" customHeight="1" x14ac:dyDescent="0.35">
      <c r="A3763" s="127"/>
      <c r="C3763" s="124"/>
    </row>
    <row r="3764" spans="1:3" ht="18.75" customHeight="1" x14ac:dyDescent="0.35">
      <c r="A3764" s="127"/>
      <c r="C3764" s="124"/>
    </row>
    <row r="3765" spans="1:3" ht="18.75" customHeight="1" x14ac:dyDescent="0.35">
      <c r="A3765" s="127"/>
      <c r="C3765" s="124"/>
    </row>
    <row r="3766" spans="1:3" ht="18.75" customHeight="1" x14ac:dyDescent="0.35">
      <c r="A3766" s="127"/>
      <c r="C3766" s="124"/>
    </row>
    <row r="3767" spans="1:3" ht="18.75" customHeight="1" x14ac:dyDescent="0.35">
      <c r="A3767" s="127"/>
      <c r="C3767" s="124"/>
    </row>
    <row r="3768" spans="1:3" ht="18.75" customHeight="1" x14ac:dyDescent="0.35">
      <c r="A3768" s="127"/>
      <c r="C3768" s="124"/>
    </row>
    <row r="3769" spans="1:3" ht="18.75" customHeight="1" x14ac:dyDescent="0.35">
      <c r="A3769" s="127"/>
      <c r="C3769" s="124"/>
    </row>
    <row r="3770" spans="1:3" ht="18.75" customHeight="1" x14ac:dyDescent="0.35">
      <c r="A3770" s="127"/>
      <c r="C3770" s="124"/>
    </row>
    <row r="3771" spans="1:3" ht="18.75" customHeight="1" x14ac:dyDescent="0.35">
      <c r="A3771" s="127"/>
      <c r="C3771" s="124"/>
    </row>
    <row r="3772" spans="1:3" ht="18.75" customHeight="1" x14ac:dyDescent="0.35">
      <c r="A3772" s="127"/>
      <c r="C3772" s="124"/>
    </row>
    <row r="3773" spans="1:3" ht="18.75" customHeight="1" x14ac:dyDescent="0.35">
      <c r="A3773" s="127"/>
      <c r="C3773" s="124"/>
    </row>
    <row r="3774" spans="1:3" ht="18.75" customHeight="1" x14ac:dyDescent="0.35">
      <c r="A3774" s="127"/>
      <c r="C3774" s="124"/>
    </row>
    <row r="3775" spans="1:3" ht="18.75" customHeight="1" x14ac:dyDescent="0.35">
      <c r="A3775" s="127"/>
      <c r="C3775" s="124"/>
    </row>
    <row r="3776" spans="1:3" ht="18.75" customHeight="1" x14ac:dyDescent="0.35">
      <c r="A3776" s="127"/>
      <c r="C3776" s="124"/>
    </row>
    <row r="3777" spans="1:3" ht="18.75" customHeight="1" x14ac:dyDescent="0.35">
      <c r="A3777" s="127"/>
      <c r="C3777" s="124"/>
    </row>
    <row r="3778" spans="1:3" ht="18.75" customHeight="1" x14ac:dyDescent="0.35">
      <c r="A3778" s="127"/>
      <c r="C3778" s="124"/>
    </row>
    <row r="3779" spans="1:3" ht="18.75" customHeight="1" x14ac:dyDescent="0.35">
      <c r="A3779" s="127"/>
      <c r="C3779" s="124"/>
    </row>
    <row r="3780" spans="1:3" ht="18.75" customHeight="1" x14ac:dyDescent="0.35">
      <c r="A3780" s="127"/>
      <c r="C3780" s="124"/>
    </row>
    <row r="3781" spans="1:3" ht="18.75" customHeight="1" x14ac:dyDescent="0.35">
      <c r="A3781" s="127"/>
      <c r="C3781" s="124"/>
    </row>
    <row r="3782" spans="1:3" ht="18.75" customHeight="1" x14ac:dyDescent="0.35">
      <c r="A3782" s="127"/>
      <c r="C3782" s="124"/>
    </row>
    <row r="3783" spans="1:3" ht="18.75" customHeight="1" x14ac:dyDescent="0.35">
      <c r="A3783" s="127"/>
      <c r="C3783" s="124"/>
    </row>
    <row r="3784" spans="1:3" ht="18.75" customHeight="1" x14ac:dyDescent="0.35">
      <c r="A3784" s="127"/>
      <c r="C3784" s="124"/>
    </row>
    <row r="3785" spans="1:3" ht="18.75" customHeight="1" x14ac:dyDescent="0.35">
      <c r="A3785" s="127"/>
      <c r="C3785" s="124"/>
    </row>
    <row r="3786" spans="1:3" ht="18.75" customHeight="1" x14ac:dyDescent="0.35">
      <c r="A3786" s="127"/>
      <c r="C3786" s="124"/>
    </row>
    <row r="3787" spans="1:3" ht="18.75" customHeight="1" x14ac:dyDescent="0.35">
      <c r="A3787" s="127"/>
      <c r="C3787" s="124"/>
    </row>
    <row r="3788" spans="1:3" ht="18.75" customHeight="1" x14ac:dyDescent="0.35">
      <c r="A3788" s="127"/>
      <c r="C3788" s="124"/>
    </row>
    <row r="3789" spans="1:3" ht="18.75" customHeight="1" x14ac:dyDescent="0.35">
      <c r="A3789" s="127"/>
      <c r="C3789" s="124"/>
    </row>
    <row r="3790" spans="1:3" ht="18.75" customHeight="1" x14ac:dyDescent="0.35">
      <c r="A3790" s="127"/>
      <c r="C3790" s="124"/>
    </row>
    <row r="3791" spans="1:3" ht="18.75" customHeight="1" x14ac:dyDescent="0.35">
      <c r="A3791" s="127"/>
      <c r="C3791" s="124"/>
    </row>
    <row r="3792" spans="1:3" ht="18.75" customHeight="1" x14ac:dyDescent="0.35">
      <c r="A3792" s="127"/>
      <c r="C3792" s="124"/>
    </row>
    <row r="3793" spans="1:3" ht="18.75" customHeight="1" x14ac:dyDescent="0.35">
      <c r="A3793" s="127"/>
      <c r="C3793" s="124"/>
    </row>
    <row r="3794" spans="1:3" ht="18.75" customHeight="1" x14ac:dyDescent="0.35">
      <c r="A3794" s="127"/>
      <c r="C3794" s="124"/>
    </row>
    <row r="3795" spans="1:3" ht="18.75" customHeight="1" x14ac:dyDescent="0.35">
      <c r="A3795" s="127"/>
      <c r="C3795" s="124"/>
    </row>
    <row r="3796" spans="1:3" ht="18.75" customHeight="1" x14ac:dyDescent="0.35">
      <c r="A3796" s="127"/>
      <c r="C3796" s="124"/>
    </row>
    <row r="3797" spans="1:3" ht="18.75" customHeight="1" x14ac:dyDescent="0.35">
      <c r="A3797" s="127"/>
      <c r="C3797" s="124"/>
    </row>
    <row r="3798" spans="1:3" ht="18.75" customHeight="1" x14ac:dyDescent="0.35">
      <c r="A3798" s="127"/>
      <c r="C3798" s="124"/>
    </row>
    <row r="3799" spans="1:3" ht="18.75" customHeight="1" x14ac:dyDescent="0.35">
      <c r="A3799" s="127"/>
      <c r="C3799" s="124"/>
    </row>
    <row r="3800" spans="1:3" ht="18.75" customHeight="1" x14ac:dyDescent="0.35">
      <c r="A3800" s="127"/>
      <c r="C3800" s="124"/>
    </row>
    <row r="3801" spans="1:3" ht="18.75" customHeight="1" x14ac:dyDescent="0.35">
      <c r="A3801" s="127"/>
      <c r="C3801" s="124"/>
    </row>
    <row r="3802" spans="1:3" ht="18.75" customHeight="1" x14ac:dyDescent="0.35">
      <c r="A3802" s="127"/>
      <c r="C3802" s="124"/>
    </row>
    <row r="3803" spans="1:3" ht="18.75" customHeight="1" x14ac:dyDescent="0.35">
      <c r="A3803" s="127"/>
      <c r="C3803" s="124"/>
    </row>
    <row r="3804" spans="1:3" ht="18.75" customHeight="1" x14ac:dyDescent="0.35">
      <c r="A3804" s="127"/>
      <c r="C3804" s="124"/>
    </row>
    <row r="3805" spans="1:3" ht="18.75" customHeight="1" x14ac:dyDescent="0.35">
      <c r="A3805" s="127"/>
      <c r="C3805" s="124"/>
    </row>
    <row r="3806" spans="1:3" ht="18.75" customHeight="1" x14ac:dyDescent="0.35">
      <c r="A3806" s="127"/>
      <c r="C3806" s="124"/>
    </row>
    <row r="3807" spans="1:3" ht="18.75" customHeight="1" x14ac:dyDescent="0.35">
      <c r="A3807" s="127"/>
      <c r="C3807" s="124"/>
    </row>
    <row r="3808" spans="1:3" ht="18.75" customHeight="1" x14ac:dyDescent="0.35">
      <c r="A3808" s="127"/>
      <c r="C3808" s="124"/>
    </row>
    <row r="3809" spans="1:3" ht="18.75" customHeight="1" x14ac:dyDescent="0.35">
      <c r="A3809" s="127"/>
      <c r="C3809" s="124"/>
    </row>
    <row r="3810" spans="1:3" ht="18.75" customHeight="1" x14ac:dyDescent="0.35">
      <c r="A3810" s="127"/>
      <c r="C3810" s="124"/>
    </row>
    <row r="3811" spans="1:3" ht="18.75" customHeight="1" x14ac:dyDescent="0.35">
      <c r="A3811" s="127"/>
      <c r="C3811" s="124"/>
    </row>
    <row r="3812" spans="1:3" ht="18.75" customHeight="1" x14ac:dyDescent="0.35">
      <c r="A3812" s="127"/>
      <c r="C3812" s="124"/>
    </row>
    <row r="3813" spans="1:3" ht="18.75" customHeight="1" x14ac:dyDescent="0.35">
      <c r="A3813" s="127"/>
      <c r="C3813" s="124"/>
    </row>
    <row r="3814" spans="1:3" ht="18.75" customHeight="1" x14ac:dyDescent="0.35">
      <c r="A3814" s="127"/>
      <c r="C3814" s="124"/>
    </row>
    <row r="3815" spans="1:3" ht="18.75" customHeight="1" x14ac:dyDescent="0.35">
      <c r="A3815" s="127"/>
      <c r="C3815" s="124"/>
    </row>
    <row r="3816" spans="1:3" ht="18.75" customHeight="1" x14ac:dyDescent="0.35">
      <c r="A3816" s="127"/>
      <c r="C3816" s="124"/>
    </row>
    <row r="3817" spans="1:3" ht="18.75" customHeight="1" x14ac:dyDescent="0.35">
      <c r="A3817" s="127"/>
      <c r="C3817" s="124"/>
    </row>
    <row r="3818" spans="1:3" ht="18.75" customHeight="1" x14ac:dyDescent="0.35">
      <c r="A3818" s="127"/>
      <c r="C3818" s="124"/>
    </row>
    <row r="3819" spans="1:3" ht="18.75" customHeight="1" x14ac:dyDescent="0.35">
      <c r="A3819" s="127"/>
      <c r="C3819" s="124"/>
    </row>
    <row r="3820" spans="1:3" ht="18.75" customHeight="1" x14ac:dyDescent="0.35">
      <c r="A3820" s="127"/>
      <c r="C3820" s="124"/>
    </row>
    <row r="3821" spans="1:3" ht="18.75" customHeight="1" x14ac:dyDescent="0.35">
      <c r="A3821" s="127"/>
      <c r="C3821" s="124"/>
    </row>
    <row r="3822" spans="1:3" ht="18.75" customHeight="1" x14ac:dyDescent="0.35">
      <c r="A3822" s="127"/>
      <c r="C3822" s="124"/>
    </row>
    <row r="3823" spans="1:3" ht="18.75" customHeight="1" x14ac:dyDescent="0.35">
      <c r="A3823" s="127"/>
      <c r="C3823" s="124"/>
    </row>
    <row r="3824" spans="1:3" ht="18.75" customHeight="1" x14ac:dyDescent="0.35">
      <c r="A3824" s="127"/>
      <c r="C3824" s="124"/>
    </row>
    <row r="3825" spans="1:3" ht="18.75" customHeight="1" x14ac:dyDescent="0.35">
      <c r="A3825" s="127"/>
      <c r="C3825" s="124"/>
    </row>
    <row r="3826" spans="1:3" ht="18.75" customHeight="1" x14ac:dyDescent="0.35">
      <c r="A3826" s="127"/>
      <c r="C3826" s="124"/>
    </row>
    <row r="3827" spans="1:3" ht="18.75" customHeight="1" x14ac:dyDescent="0.35">
      <c r="A3827" s="127"/>
      <c r="C3827" s="124"/>
    </row>
    <row r="3828" spans="1:3" ht="18.75" customHeight="1" x14ac:dyDescent="0.35">
      <c r="A3828" s="127"/>
      <c r="C3828" s="124"/>
    </row>
    <row r="3829" spans="1:3" ht="18.75" customHeight="1" x14ac:dyDescent="0.35">
      <c r="A3829" s="127"/>
      <c r="C3829" s="124"/>
    </row>
    <row r="3830" spans="1:3" ht="18.75" customHeight="1" x14ac:dyDescent="0.35">
      <c r="A3830" s="127"/>
      <c r="C3830" s="124"/>
    </row>
    <row r="3831" spans="1:3" ht="18.75" customHeight="1" x14ac:dyDescent="0.35">
      <c r="A3831" s="127"/>
      <c r="C3831" s="124"/>
    </row>
    <row r="3832" spans="1:3" ht="18.75" customHeight="1" x14ac:dyDescent="0.35">
      <c r="A3832" s="127"/>
      <c r="C3832" s="124"/>
    </row>
    <row r="3833" spans="1:3" ht="18.75" customHeight="1" x14ac:dyDescent="0.35">
      <c r="A3833" s="127"/>
      <c r="C3833" s="124"/>
    </row>
    <row r="3834" spans="1:3" ht="18.75" customHeight="1" x14ac:dyDescent="0.35">
      <c r="A3834" s="127"/>
      <c r="C3834" s="124"/>
    </row>
    <row r="3835" spans="1:3" ht="18.75" customHeight="1" x14ac:dyDescent="0.35">
      <c r="A3835" s="127"/>
      <c r="C3835" s="124"/>
    </row>
    <row r="3836" spans="1:3" ht="18.75" customHeight="1" x14ac:dyDescent="0.35">
      <c r="A3836" s="127"/>
      <c r="C3836" s="124"/>
    </row>
    <row r="3837" spans="1:3" ht="18.75" customHeight="1" x14ac:dyDescent="0.35">
      <c r="A3837" s="127"/>
      <c r="C3837" s="124"/>
    </row>
    <row r="3838" spans="1:3" ht="18.75" customHeight="1" x14ac:dyDescent="0.35">
      <c r="A3838" s="127"/>
      <c r="C3838" s="124"/>
    </row>
    <row r="3839" spans="1:3" ht="18.75" customHeight="1" x14ac:dyDescent="0.35">
      <c r="A3839" s="127"/>
      <c r="C3839" s="124"/>
    </row>
    <row r="3840" spans="1:3" ht="18.75" customHeight="1" x14ac:dyDescent="0.35">
      <c r="A3840" s="127"/>
      <c r="C3840" s="124"/>
    </row>
    <row r="3841" spans="1:3" ht="18.75" customHeight="1" x14ac:dyDescent="0.35">
      <c r="A3841" s="127"/>
      <c r="C3841" s="124"/>
    </row>
    <row r="3842" spans="1:3" ht="18.75" customHeight="1" x14ac:dyDescent="0.35">
      <c r="A3842" s="127"/>
      <c r="C3842" s="124"/>
    </row>
    <row r="3843" spans="1:3" ht="18.75" customHeight="1" x14ac:dyDescent="0.35">
      <c r="A3843" s="127"/>
      <c r="C3843" s="124"/>
    </row>
    <row r="3844" spans="1:3" ht="18.75" customHeight="1" x14ac:dyDescent="0.35">
      <c r="A3844" s="127"/>
      <c r="C3844" s="124"/>
    </row>
    <row r="3845" spans="1:3" ht="18.75" customHeight="1" x14ac:dyDescent="0.35">
      <c r="A3845" s="127"/>
      <c r="C3845" s="124"/>
    </row>
    <row r="3846" spans="1:3" ht="18.75" customHeight="1" x14ac:dyDescent="0.35">
      <c r="A3846" s="127"/>
      <c r="C3846" s="124"/>
    </row>
    <row r="3847" spans="1:3" ht="18.75" customHeight="1" x14ac:dyDescent="0.35">
      <c r="A3847" s="127"/>
      <c r="C3847" s="124"/>
    </row>
    <row r="3848" spans="1:3" ht="18.75" customHeight="1" x14ac:dyDescent="0.35">
      <c r="A3848" s="127"/>
      <c r="C3848" s="124"/>
    </row>
    <row r="3849" spans="1:3" ht="18.75" customHeight="1" x14ac:dyDescent="0.35">
      <c r="A3849" s="127"/>
      <c r="C3849" s="124"/>
    </row>
    <row r="3850" spans="1:3" ht="18.75" customHeight="1" x14ac:dyDescent="0.35">
      <c r="A3850" s="127"/>
      <c r="C3850" s="124"/>
    </row>
    <row r="3851" spans="1:3" ht="18.75" customHeight="1" x14ac:dyDescent="0.35">
      <c r="A3851" s="127"/>
      <c r="C3851" s="124"/>
    </row>
    <row r="3852" spans="1:3" ht="18.75" customHeight="1" x14ac:dyDescent="0.35">
      <c r="A3852" s="127"/>
      <c r="C3852" s="124"/>
    </row>
    <row r="3853" spans="1:3" ht="18.75" customHeight="1" x14ac:dyDescent="0.35">
      <c r="A3853" s="127"/>
      <c r="C3853" s="124"/>
    </row>
    <row r="3854" spans="1:3" ht="18.75" customHeight="1" x14ac:dyDescent="0.35">
      <c r="A3854" s="127"/>
      <c r="C3854" s="124"/>
    </row>
    <row r="3855" spans="1:3" ht="18.75" customHeight="1" x14ac:dyDescent="0.35">
      <c r="A3855" s="127"/>
      <c r="C3855" s="124"/>
    </row>
    <row r="3856" spans="1:3" ht="18.75" customHeight="1" x14ac:dyDescent="0.35">
      <c r="A3856" s="127"/>
      <c r="C3856" s="124"/>
    </row>
    <row r="3857" spans="1:3" ht="18.75" customHeight="1" x14ac:dyDescent="0.35">
      <c r="A3857" s="127"/>
      <c r="C3857" s="124"/>
    </row>
    <row r="3858" spans="1:3" ht="18.75" customHeight="1" x14ac:dyDescent="0.35">
      <c r="A3858" s="127"/>
      <c r="C3858" s="124"/>
    </row>
    <row r="3859" spans="1:3" ht="18.75" customHeight="1" x14ac:dyDescent="0.35">
      <c r="A3859" s="127"/>
      <c r="C3859" s="124"/>
    </row>
    <row r="3860" spans="1:3" ht="18.75" customHeight="1" x14ac:dyDescent="0.35">
      <c r="A3860" s="127"/>
      <c r="C3860" s="124"/>
    </row>
    <row r="3861" spans="1:3" ht="18.75" customHeight="1" x14ac:dyDescent="0.35">
      <c r="A3861" s="127"/>
      <c r="C3861" s="124"/>
    </row>
    <row r="3862" spans="1:3" ht="18.75" customHeight="1" x14ac:dyDescent="0.35">
      <c r="A3862" s="127"/>
      <c r="C3862" s="124"/>
    </row>
    <row r="3863" spans="1:3" ht="18.75" customHeight="1" x14ac:dyDescent="0.35">
      <c r="A3863" s="127"/>
      <c r="C3863" s="124"/>
    </row>
    <row r="3864" spans="1:3" ht="18.75" customHeight="1" x14ac:dyDescent="0.35">
      <c r="A3864" s="127"/>
      <c r="C3864" s="124"/>
    </row>
    <row r="3865" spans="1:3" ht="18.75" customHeight="1" x14ac:dyDescent="0.35">
      <c r="A3865" s="127"/>
      <c r="C3865" s="124"/>
    </row>
    <row r="3866" spans="1:3" ht="18.75" customHeight="1" x14ac:dyDescent="0.35">
      <c r="A3866" s="127"/>
      <c r="C3866" s="124"/>
    </row>
    <row r="3867" spans="1:3" ht="18.75" customHeight="1" x14ac:dyDescent="0.35">
      <c r="A3867" s="127"/>
      <c r="C3867" s="124"/>
    </row>
    <row r="3868" spans="1:3" ht="18.75" customHeight="1" x14ac:dyDescent="0.35">
      <c r="A3868" s="127"/>
      <c r="C3868" s="124"/>
    </row>
    <row r="3869" spans="1:3" ht="18.75" customHeight="1" x14ac:dyDescent="0.35">
      <c r="A3869" s="127"/>
      <c r="C3869" s="124"/>
    </row>
    <row r="3870" spans="1:3" ht="18.75" customHeight="1" x14ac:dyDescent="0.35">
      <c r="A3870" s="127"/>
      <c r="C3870" s="124"/>
    </row>
    <row r="3871" spans="1:3" ht="18.75" customHeight="1" x14ac:dyDescent="0.35">
      <c r="A3871" s="127"/>
      <c r="C3871" s="124"/>
    </row>
    <row r="3872" spans="1:3" ht="18.75" customHeight="1" x14ac:dyDescent="0.35">
      <c r="A3872" s="127"/>
      <c r="C3872" s="124"/>
    </row>
    <row r="3873" spans="1:3" ht="18.75" customHeight="1" x14ac:dyDescent="0.35">
      <c r="A3873" s="127"/>
      <c r="C3873" s="124"/>
    </row>
    <row r="3874" spans="1:3" ht="18.75" customHeight="1" x14ac:dyDescent="0.35">
      <c r="A3874" s="127"/>
      <c r="C3874" s="124"/>
    </row>
    <row r="3875" spans="1:3" ht="18.75" customHeight="1" x14ac:dyDescent="0.35">
      <c r="A3875" s="127"/>
      <c r="C3875" s="124"/>
    </row>
    <row r="3876" spans="1:3" ht="18.75" customHeight="1" x14ac:dyDescent="0.35">
      <c r="A3876" s="127"/>
      <c r="C3876" s="124"/>
    </row>
    <row r="3877" spans="1:3" ht="18.75" customHeight="1" x14ac:dyDescent="0.35">
      <c r="A3877" s="127"/>
      <c r="C3877" s="124"/>
    </row>
    <row r="3878" spans="1:3" ht="18.75" customHeight="1" x14ac:dyDescent="0.35">
      <c r="A3878" s="127"/>
      <c r="C3878" s="124"/>
    </row>
    <row r="3879" spans="1:3" ht="18.75" customHeight="1" x14ac:dyDescent="0.35">
      <c r="A3879" s="127"/>
      <c r="C3879" s="124"/>
    </row>
    <row r="3880" spans="1:3" ht="18.75" customHeight="1" x14ac:dyDescent="0.35">
      <c r="A3880" s="127"/>
      <c r="C3880" s="124"/>
    </row>
    <row r="3881" spans="1:3" ht="18.75" customHeight="1" x14ac:dyDescent="0.35">
      <c r="A3881" s="127"/>
      <c r="C3881" s="124"/>
    </row>
    <row r="3882" spans="1:3" ht="18.75" customHeight="1" x14ac:dyDescent="0.35">
      <c r="A3882" s="127"/>
      <c r="C3882" s="124"/>
    </row>
    <row r="3883" spans="1:3" ht="18.75" customHeight="1" x14ac:dyDescent="0.35">
      <c r="A3883" s="127"/>
      <c r="C3883" s="124"/>
    </row>
    <row r="3884" spans="1:3" ht="18.75" customHeight="1" x14ac:dyDescent="0.35">
      <c r="A3884" s="127"/>
      <c r="C3884" s="124"/>
    </row>
    <row r="3885" spans="1:3" ht="18.75" customHeight="1" x14ac:dyDescent="0.35">
      <c r="A3885" s="127"/>
      <c r="C3885" s="124"/>
    </row>
    <row r="3886" spans="1:3" ht="18.75" customHeight="1" x14ac:dyDescent="0.35">
      <c r="A3886" s="127"/>
      <c r="C3886" s="124"/>
    </row>
    <row r="3887" spans="1:3" ht="18.75" customHeight="1" x14ac:dyDescent="0.35">
      <c r="A3887" s="127"/>
      <c r="C3887" s="124"/>
    </row>
    <row r="3888" spans="1:3" ht="18.75" customHeight="1" x14ac:dyDescent="0.35">
      <c r="A3888" s="127"/>
      <c r="C3888" s="124"/>
    </row>
    <row r="3889" spans="1:3" ht="18.75" customHeight="1" x14ac:dyDescent="0.35">
      <c r="A3889" s="127"/>
      <c r="C3889" s="124"/>
    </row>
    <row r="3890" spans="1:3" ht="18.75" customHeight="1" x14ac:dyDescent="0.35">
      <c r="A3890" s="127"/>
      <c r="C3890" s="124"/>
    </row>
    <row r="3891" spans="1:3" ht="18.75" customHeight="1" x14ac:dyDescent="0.35">
      <c r="A3891" s="127"/>
      <c r="C3891" s="124"/>
    </row>
    <row r="3892" spans="1:3" ht="18.75" customHeight="1" x14ac:dyDescent="0.35">
      <c r="A3892" s="127"/>
      <c r="C3892" s="124"/>
    </row>
    <row r="3893" spans="1:3" ht="18.75" customHeight="1" x14ac:dyDescent="0.35">
      <c r="A3893" s="127"/>
      <c r="C3893" s="124"/>
    </row>
    <row r="3894" spans="1:3" ht="18.75" customHeight="1" x14ac:dyDescent="0.35">
      <c r="A3894" s="127"/>
      <c r="C3894" s="124"/>
    </row>
    <row r="3895" spans="1:3" ht="18.75" customHeight="1" x14ac:dyDescent="0.35">
      <c r="A3895" s="127"/>
      <c r="C3895" s="124"/>
    </row>
    <row r="3896" spans="1:3" ht="18.75" customHeight="1" x14ac:dyDescent="0.35">
      <c r="A3896" s="127"/>
      <c r="C3896" s="124"/>
    </row>
    <row r="3897" spans="1:3" ht="18.75" customHeight="1" x14ac:dyDescent="0.35">
      <c r="A3897" s="127"/>
      <c r="C3897" s="124"/>
    </row>
    <row r="3898" spans="1:3" ht="18.75" customHeight="1" x14ac:dyDescent="0.35">
      <c r="A3898" s="127"/>
      <c r="C3898" s="124"/>
    </row>
    <row r="3899" spans="1:3" ht="18.75" customHeight="1" x14ac:dyDescent="0.35">
      <c r="A3899" s="127"/>
      <c r="C3899" s="124"/>
    </row>
    <row r="3900" spans="1:3" ht="18.75" customHeight="1" x14ac:dyDescent="0.35">
      <c r="A3900" s="127"/>
      <c r="C3900" s="124"/>
    </row>
    <row r="3901" spans="1:3" ht="18.75" customHeight="1" x14ac:dyDescent="0.35">
      <c r="A3901" s="127"/>
      <c r="C3901" s="124"/>
    </row>
    <row r="3902" spans="1:3" ht="18.75" customHeight="1" x14ac:dyDescent="0.35">
      <c r="A3902" s="127"/>
      <c r="C3902" s="124"/>
    </row>
    <row r="3903" spans="1:3" ht="18.75" customHeight="1" x14ac:dyDescent="0.35">
      <c r="A3903" s="127"/>
      <c r="C3903" s="124"/>
    </row>
    <row r="3904" spans="1:3" ht="18.75" customHeight="1" x14ac:dyDescent="0.35">
      <c r="A3904" s="127"/>
      <c r="C3904" s="124"/>
    </row>
    <row r="3905" spans="1:3" ht="18.75" customHeight="1" x14ac:dyDescent="0.35">
      <c r="A3905" s="127"/>
      <c r="C3905" s="124"/>
    </row>
    <row r="3906" spans="1:3" ht="18.75" customHeight="1" x14ac:dyDescent="0.35">
      <c r="A3906" s="127"/>
      <c r="C3906" s="124"/>
    </row>
    <row r="3907" spans="1:3" ht="18.75" customHeight="1" x14ac:dyDescent="0.35">
      <c r="A3907" s="127"/>
      <c r="C3907" s="124"/>
    </row>
    <row r="3908" spans="1:3" ht="18.75" customHeight="1" x14ac:dyDescent="0.35">
      <c r="A3908" s="127"/>
      <c r="C3908" s="124"/>
    </row>
    <row r="3909" spans="1:3" ht="18.75" customHeight="1" x14ac:dyDescent="0.35">
      <c r="A3909" s="127"/>
      <c r="C3909" s="124"/>
    </row>
    <row r="3910" spans="1:3" ht="18.75" customHeight="1" x14ac:dyDescent="0.35">
      <c r="A3910" s="127"/>
      <c r="C3910" s="124"/>
    </row>
    <row r="3911" spans="1:3" ht="18.75" customHeight="1" x14ac:dyDescent="0.35">
      <c r="A3911" s="127"/>
      <c r="C3911" s="124"/>
    </row>
    <row r="3912" spans="1:3" ht="18.75" customHeight="1" x14ac:dyDescent="0.35">
      <c r="A3912" s="127"/>
      <c r="C3912" s="124"/>
    </row>
    <row r="3913" spans="1:3" ht="18.75" customHeight="1" x14ac:dyDescent="0.35">
      <c r="A3913" s="127"/>
      <c r="C3913" s="124"/>
    </row>
    <row r="3914" spans="1:3" ht="18.75" customHeight="1" x14ac:dyDescent="0.35">
      <c r="A3914" s="127"/>
      <c r="C3914" s="124"/>
    </row>
    <row r="3915" spans="1:3" ht="18.75" customHeight="1" x14ac:dyDescent="0.35">
      <c r="A3915" s="127"/>
      <c r="C3915" s="124"/>
    </row>
    <row r="3916" spans="1:3" ht="18.75" customHeight="1" x14ac:dyDescent="0.35">
      <c r="A3916" s="127"/>
      <c r="C3916" s="124"/>
    </row>
    <row r="3917" spans="1:3" ht="18.75" customHeight="1" x14ac:dyDescent="0.35">
      <c r="A3917" s="127"/>
      <c r="C3917" s="124"/>
    </row>
    <row r="3918" spans="1:3" ht="18.75" customHeight="1" x14ac:dyDescent="0.35">
      <c r="A3918" s="127"/>
      <c r="C3918" s="124"/>
    </row>
    <row r="3919" spans="1:3" ht="18.75" customHeight="1" x14ac:dyDescent="0.35">
      <c r="A3919" s="127"/>
      <c r="C3919" s="124"/>
    </row>
    <row r="3920" spans="1:3" ht="18.75" customHeight="1" x14ac:dyDescent="0.35">
      <c r="A3920" s="127"/>
      <c r="C3920" s="124"/>
    </row>
    <row r="3921" spans="1:3" ht="18.75" customHeight="1" x14ac:dyDescent="0.35">
      <c r="A3921" s="127"/>
      <c r="C3921" s="124"/>
    </row>
    <row r="3922" spans="1:3" ht="18.75" customHeight="1" x14ac:dyDescent="0.35">
      <c r="A3922" s="127"/>
      <c r="C3922" s="124"/>
    </row>
    <row r="3923" spans="1:3" ht="18.75" customHeight="1" x14ac:dyDescent="0.35">
      <c r="A3923" s="127"/>
      <c r="C3923" s="124"/>
    </row>
    <row r="3924" spans="1:3" ht="18.75" customHeight="1" x14ac:dyDescent="0.35">
      <c r="A3924" s="127"/>
      <c r="C3924" s="124"/>
    </row>
    <row r="3925" spans="1:3" ht="18.75" customHeight="1" x14ac:dyDescent="0.35">
      <c r="A3925" s="127"/>
      <c r="C3925" s="124"/>
    </row>
    <row r="3926" spans="1:3" ht="18.75" customHeight="1" x14ac:dyDescent="0.35">
      <c r="A3926" s="127"/>
      <c r="C3926" s="124"/>
    </row>
    <row r="3927" spans="1:3" ht="18.75" customHeight="1" x14ac:dyDescent="0.35">
      <c r="A3927" s="127"/>
      <c r="C3927" s="124"/>
    </row>
    <row r="3928" spans="1:3" ht="18.75" customHeight="1" x14ac:dyDescent="0.35">
      <c r="A3928" s="127"/>
      <c r="C3928" s="124"/>
    </row>
    <row r="3929" spans="1:3" ht="18.75" customHeight="1" x14ac:dyDescent="0.35">
      <c r="A3929" s="127"/>
      <c r="C3929" s="124"/>
    </row>
    <row r="3930" spans="1:3" ht="18.75" customHeight="1" x14ac:dyDescent="0.35">
      <c r="A3930" s="127"/>
      <c r="C3930" s="124"/>
    </row>
    <row r="3931" spans="1:3" ht="18.75" customHeight="1" x14ac:dyDescent="0.35">
      <c r="A3931" s="127"/>
      <c r="C3931" s="124"/>
    </row>
    <row r="3932" spans="1:3" ht="18.75" customHeight="1" x14ac:dyDescent="0.35">
      <c r="A3932" s="127"/>
      <c r="C3932" s="124"/>
    </row>
    <row r="3933" spans="1:3" ht="18.75" customHeight="1" x14ac:dyDescent="0.35">
      <c r="A3933" s="127"/>
      <c r="C3933" s="124"/>
    </row>
    <row r="3934" spans="1:3" ht="18.75" customHeight="1" x14ac:dyDescent="0.35">
      <c r="A3934" s="127"/>
      <c r="C3934" s="124"/>
    </row>
    <row r="3935" spans="1:3" ht="18.75" customHeight="1" x14ac:dyDescent="0.35">
      <c r="A3935" s="127"/>
      <c r="C3935" s="124"/>
    </row>
    <row r="3936" spans="1:3" ht="18.75" customHeight="1" x14ac:dyDescent="0.35">
      <c r="A3936" s="127"/>
      <c r="C3936" s="124"/>
    </row>
    <row r="3937" spans="1:3" ht="18.75" customHeight="1" x14ac:dyDescent="0.35">
      <c r="A3937" s="127"/>
      <c r="C3937" s="124"/>
    </row>
    <row r="3938" spans="1:3" ht="18.75" customHeight="1" x14ac:dyDescent="0.35">
      <c r="A3938" s="127"/>
      <c r="C3938" s="124"/>
    </row>
    <row r="3939" spans="1:3" ht="18.75" customHeight="1" x14ac:dyDescent="0.35">
      <c r="A3939" s="127"/>
      <c r="C3939" s="124"/>
    </row>
    <row r="3940" spans="1:3" ht="18.75" customHeight="1" x14ac:dyDescent="0.35">
      <c r="A3940" s="127"/>
      <c r="C3940" s="124"/>
    </row>
    <row r="3941" spans="1:3" ht="18.75" customHeight="1" x14ac:dyDescent="0.35">
      <c r="A3941" s="127"/>
      <c r="C3941" s="124"/>
    </row>
    <row r="3942" spans="1:3" ht="18.75" customHeight="1" x14ac:dyDescent="0.35">
      <c r="A3942" s="127"/>
      <c r="C3942" s="124"/>
    </row>
    <row r="3943" spans="1:3" ht="18.75" customHeight="1" x14ac:dyDescent="0.35">
      <c r="A3943" s="127"/>
      <c r="C3943" s="124"/>
    </row>
    <row r="3944" spans="1:3" ht="18.75" customHeight="1" x14ac:dyDescent="0.35">
      <c r="A3944" s="127"/>
      <c r="C3944" s="124"/>
    </row>
    <row r="3945" spans="1:3" ht="18.75" customHeight="1" x14ac:dyDescent="0.35">
      <c r="A3945" s="127"/>
      <c r="C3945" s="124"/>
    </row>
    <row r="3946" spans="1:3" ht="18.75" customHeight="1" x14ac:dyDescent="0.35">
      <c r="A3946" s="127"/>
      <c r="C3946" s="124"/>
    </row>
    <row r="3947" spans="1:3" ht="18.75" customHeight="1" x14ac:dyDescent="0.35">
      <c r="A3947" s="127"/>
      <c r="C3947" s="124"/>
    </row>
    <row r="3948" spans="1:3" ht="18.75" customHeight="1" x14ac:dyDescent="0.35">
      <c r="A3948" s="127"/>
      <c r="C3948" s="124"/>
    </row>
    <row r="3949" spans="1:3" ht="18.75" customHeight="1" x14ac:dyDescent="0.35">
      <c r="A3949" s="127"/>
      <c r="C3949" s="124"/>
    </row>
    <row r="3950" spans="1:3" ht="18.75" customHeight="1" x14ac:dyDescent="0.35">
      <c r="A3950" s="127"/>
      <c r="C3950" s="124"/>
    </row>
    <row r="3951" spans="1:3" ht="18.75" customHeight="1" x14ac:dyDescent="0.35">
      <c r="A3951" s="127"/>
      <c r="C3951" s="124"/>
    </row>
    <row r="3952" spans="1:3" ht="18.75" customHeight="1" x14ac:dyDescent="0.35">
      <c r="A3952" s="127"/>
      <c r="C3952" s="124"/>
    </row>
    <row r="3953" spans="1:3" ht="18.75" customHeight="1" x14ac:dyDescent="0.35">
      <c r="A3953" s="127"/>
      <c r="C3953" s="124"/>
    </row>
    <row r="3954" spans="1:3" ht="18.75" customHeight="1" x14ac:dyDescent="0.35">
      <c r="A3954" s="127"/>
      <c r="C3954" s="124"/>
    </row>
    <row r="3955" spans="1:3" ht="18.75" customHeight="1" x14ac:dyDescent="0.35">
      <c r="A3955" s="127"/>
      <c r="C3955" s="124"/>
    </row>
    <row r="3956" spans="1:3" ht="18.75" customHeight="1" x14ac:dyDescent="0.35">
      <c r="A3956" s="127"/>
      <c r="C3956" s="124"/>
    </row>
    <row r="3957" spans="1:3" ht="18.75" customHeight="1" x14ac:dyDescent="0.35">
      <c r="A3957" s="127"/>
      <c r="C3957" s="124"/>
    </row>
    <row r="3958" spans="1:3" ht="18.75" customHeight="1" x14ac:dyDescent="0.35">
      <c r="A3958" s="127"/>
      <c r="C3958" s="124"/>
    </row>
    <row r="3959" spans="1:3" ht="18.75" customHeight="1" x14ac:dyDescent="0.35">
      <c r="A3959" s="127"/>
      <c r="C3959" s="124"/>
    </row>
    <row r="3960" spans="1:3" ht="18.75" customHeight="1" x14ac:dyDescent="0.35">
      <c r="A3960" s="127"/>
      <c r="C3960" s="124"/>
    </row>
    <row r="3961" spans="1:3" ht="18.75" customHeight="1" x14ac:dyDescent="0.35">
      <c r="A3961" s="127"/>
      <c r="C3961" s="124"/>
    </row>
    <row r="3962" spans="1:3" ht="18.75" customHeight="1" x14ac:dyDescent="0.35">
      <c r="A3962" s="127"/>
      <c r="C3962" s="124"/>
    </row>
    <row r="3963" spans="1:3" ht="18.75" customHeight="1" x14ac:dyDescent="0.35">
      <c r="A3963" s="127"/>
      <c r="C3963" s="124"/>
    </row>
    <row r="3964" spans="1:3" ht="18.75" customHeight="1" x14ac:dyDescent="0.35">
      <c r="A3964" s="127"/>
      <c r="C3964" s="124"/>
    </row>
    <row r="3965" spans="1:3" ht="18.75" customHeight="1" x14ac:dyDescent="0.35">
      <c r="A3965" s="127"/>
      <c r="C3965" s="124"/>
    </row>
    <row r="3966" spans="1:3" ht="18.75" customHeight="1" x14ac:dyDescent="0.35">
      <c r="A3966" s="127"/>
      <c r="C3966" s="124"/>
    </row>
    <row r="3967" spans="1:3" ht="18.75" customHeight="1" x14ac:dyDescent="0.35">
      <c r="A3967" s="127"/>
      <c r="C3967" s="124"/>
    </row>
    <row r="3968" spans="1:3" ht="18.75" customHeight="1" x14ac:dyDescent="0.35">
      <c r="A3968" s="127"/>
      <c r="C3968" s="124"/>
    </row>
    <row r="3969" spans="1:3" ht="18.75" customHeight="1" x14ac:dyDescent="0.35">
      <c r="A3969" s="127"/>
      <c r="C3969" s="124"/>
    </row>
    <row r="3970" spans="1:3" ht="18.75" customHeight="1" x14ac:dyDescent="0.35">
      <c r="A3970" s="127"/>
      <c r="C3970" s="124"/>
    </row>
    <row r="3971" spans="1:3" ht="18.75" customHeight="1" x14ac:dyDescent="0.35">
      <c r="A3971" s="127"/>
      <c r="C3971" s="124"/>
    </row>
    <row r="3972" spans="1:3" ht="18.75" customHeight="1" x14ac:dyDescent="0.35">
      <c r="A3972" s="127"/>
      <c r="C3972" s="124"/>
    </row>
    <row r="3973" spans="1:3" ht="18.75" customHeight="1" x14ac:dyDescent="0.35">
      <c r="A3973" s="127"/>
      <c r="C3973" s="124"/>
    </row>
    <row r="3974" spans="1:3" ht="18.75" customHeight="1" x14ac:dyDescent="0.35">
      <c r="A3974" s="127"/>
      <c r="C3974" s="124"/>
    </row>
    <row r="3975" spans="1:3" ht="18.75" customHeight="1" x14ac:dyDescent="0.35">
      <c r="A3975" s="127"/>
      <c r="C3975" s="124"/>
    </row>
    <row r="3976" spans="1:3" ht="18.75" customHeight="1" x14ac:dyDescent="0.35">
      <c r="A3976" s="127"/>
      <c r="C3976" s="124"/>
    </row>
    <row r="3977" spans="1:3" ht="18.75" customHeight="1" x14ac:dyDescent="0.35">
      <c r="A3977" s="127"/>
      <c r="C3977" s="124"/>
    </row>
    <row r="3978" spans="1:3" ht="18.75" customHeight="1" x14ac:dyDescent="0.35">
      <c r="A3978" s="127"/>
      <c r="C3978" s="124"/>
    </row>
    <row r="3979" spans="1:3" ht="18.75" customHeight="1" x14ac:dyDescent="0.35">
      <c r="A3979" s="127"/>
      <c r="C3979" s="124"/>
    </row>
    <row r="3980" spans="1:3" ht="18.75" customHeight="1" x14ac:dyDescent="0.35">
      <c r="A3980" s="127"/>
      <c r="C3980" s="124"/>
    </row>
    <row r="3981" spans="1:3" ht="18.75" customHeight="1" x14ac:dyDescent="0.35">
      <c r="A3981" s="127"/>
      <c r="C3981" s="124"/>
    </row>
    <row r="3982" spans="1:3" ht="18.75" customHeight="1" x14ac:dyDescent="0.35">
      <c r="A3982" s="127"/>
      <c r="C3982" s="124"/>
    </row>
    <row r="3983" spans="1:3" ht="18.75" customHeight="1" x14ac:dyDescent="0.35">
      <c r="A3983" s="127"/>
      <c r="C3983" s="124"/>
    </row>
    <row r="3984" spans="1:3" ht="18.75" customHeight="1" x14ac:dyDescent="0.35">
      <c r="A3984" s="127"/>
      <c r="C3984" s="124"/>
    </row>
    <row r="3985" spans="1:3" ht="18.75" customHeight="1" x14ac:dyDescent="0.35">
      <c r="A3985" s="127"/>
      <c r="C3985" s="124"/>
    </row>
    <row r="3986" spans="1:3" ht="18.75" customHeight="1" x14ac:dyDescent="0.35">
      <c r="A3986" s="127"/>
      <c r="C3986" s="124"/>
    </row>
    <row r="3987" spans="1:3" ht="18.75" customHeight="1" x14ac:dyDescent="0.35">
      <c r="A3987" s="127"/>
      <c r="C3987" s="124"/>
    </row>
    <row r="3988" spans="1:3" ht="18.75" customHeight="1" x14ac:dyDescent="0.35">
      <c r="A3988" s="127"/>
      <c r="C3988" s="124"/>
    </row>
    <row r="3989" spans="1:3" ht="18.75" customHeight="1" x14ac:dyDescent="0.35">
      <c r="A3989" s="127"/>
      <c r="C3989" s="124"/>
    </row>
    <row r="3990" spans="1:3" ht="18.75" customHeight="1" x14ac:dyDescent="0.35">
      <c r="A3990" s="127"/>
      <c r="C3990" s="124"/>
    </row>
    <row r="3991" spans="1:3" ht="18.75" customHeight="1" x14ac:dyDescent="0.35">
      <c r="A3991" s="127"/>
      <c r="C3991" s="124"/>
    </row>
    <row r="3992" spans="1:3" ht="18.75" customHeight="1" x14ac:dyDescent="0.35">
      <c r="A3992" s="127"/>
      <c r="C3992" s="124"/>
    </row>
    <row r="3993" spans="1:3" ht="18.75" customHeight="1" x14ac:dyDescent="0.35">
      <c r="A3993" s="127"/>
      <c r="C3993" s="124"/>
    </row>
    <row r="3994" spans="1:3" ht="18.75" customHeight="1" x14ac:dyDescent="0.35">
      <c r="A3994" s="127"/>
      <c r="C3994" s="124"/>
    </row>
    <row r="3995" spans="1:3" ht="18.75" customHeight="1" x14ac:dyDescent="0.35">
      <c r="A3995" s="127"/>
      <c r="C3995" s="124"/>
    </row>
    <row r="3996" spans="1:3" ht="18.75" customHeight="1" x14ac:dyDescent="0.35">
      <c r="A3996" s="127"/>
      <c r="C3996" s="124"/>
    </row>
    <row r="3997" spans="1:3" ht="18.75" customHeight="1" x14ac:dyDescent="0.35">
      <c r="A3997" s="127"/>
      <c r="C3997" s="124"/>
    </row>
    <row r="3998" spans="1:3" ht="18.75" customHeight="1" x14ac:dyDescent="0.35">
      <c r="A3998" s="127"/>
      <c r="C3998" s="124"/>
    </row>
    <row r="3999" spans="1:3" ht="18.75" customHeight="1" x14ac:dyDescent="0.35">
      <c r="A3999" s="127"/>
      <c r="C3999" s="124"/>
    </row>
    <row r="4000" spans="1:3" ht="18.75" customHeight="1" x14ac:dyDescent="0.35">
      <c r="A4000" s="127"/>
      <c r="C4000" s="124"/>
    </row>
    <row r="4001" spans="1:3" ht="18.75" customHeight="1" x14ac:dyDescent="0.35">
      <c r="A4001" s="127"/>
      <c r="C4001" s="124"/>
    </row>
    <row r="4002" spans="1:3" ht="18.75" customHeight="1" x14ac:dyDescent="0.35">
      <c r="A4002" s="127"/>
      <c r="C4002" s="124"/>
    </row>
    <row r="4003" spans="1:3" ht="18.75" customHeight="1" x14ac:dyDescent="0.35">
      <c r="A4003" s="127"/>
      <c r="C4003" s="124"/>
    </row>
    <row r="4004" spans="1:3" ht="18.75" customHeight="1" x14ac:dyDescent="0.35">
      <c r="A4004" s="127"/>
      <c r="C4004" s="124"/>
    </row>
    <row r="4005" spans="1:3" ht="18.75" customHeight="1" x14ac:dyDescent="0.35">
      <c r="A4005" s="127"/>
      <c r="C4005" s="124"/>
    </row>
    <row r="4006" spans="1:3" ht="18.75" customHeight="1" x14ac:dyDescent="0.35">
      <c r="A4006" s="127"/>
      <c r="C4006" s="124"/>
    </row>
    <row r="4007" spans="1:3" ht="18.75" customHeight="1" x14ac:dyDescent="0.35">
      <c r="A4007" s="127"/>
      <c r="C4007" s="124"/>
    </row>
    <row r="4008" spans="1:3" ht="18.75" customHeight="1" x14ac:dyDescent="0.35">
      <c r="A4008" s="127"/>
      <c r="C4008" s="124"/>
    </row>
    <row r="4009" spans="1:3" ht="18.75" customHeight="1" x14ac:dyDescent="0.35">
      <c r="A4009" s="127"/>
      <c r="C4009" s="124"/>
    </row>
    <row r="4010" spans="1:3" ht="18.75" customHeight="1" x14ac:dyDescent="0.35">
      <c r="A4010" s="127"/>
      <c r="C4010" s="124"/>
    </row>
    <row r="4011" spans="1:3" ht="18.75" customHeight="1" x14ac:dyDescent="0.35">
      <c r="A4011" s="127"/>
      <c r="C4011" s="124"/>
    </row>
    <row r="4012" spans="1:3" ht="18.75" customHeight="1" x14ac:dyDescent="0.35">
      <c r="A4012" s="127"/>
      <c r="C4012" s="124"/>
    </row>
    <row r="4013" spans="1:3" ht="18.75" customHeight="1" x14ac:dyDescent="0.35">
      <c r="A4013" s="127"/>
      <c r="C4013" s="124"/>
    </row>
    <row r="4014" spans="1:3" ht="18.75" customHeight="1" x14ac:dyDescent="0.35">
      <c r="A4014" s="127"/>
      <c r="C4014" s="124"/>
    </row>
    <row r="4015" spans="1:3" ht="18.75" customHeight="1" x14ac:dyDescent="0.35">
      <c r="A4015" s="127"/>
      <c r="C4015" s="124"/>
    </row>
    <row r="4016" spans="1:3" ht="18.75" customHeight="1" x14ac:dyDescent="0.35">
      <c r="A4016" s="127"/>
      <c r="C4016" s="124"/>
    </row>
    <row r="4017" spans="1:3" ht="18.75" customHeight="1" x14ac:dyDescent="0.35">
      <c r="A4017" s="127"/>
      <c r="C4017" s="124"/>
    </row>
    <row r="4018" spans="1:3" ht="18.75" customHeight="1" x14ac:dyDescent="0.35">
      <c r="A4018" s="127"/>
      <c r="C4018" s="124"/>
    </row>
    <row r="4019" spans="1:3" ht="18.75" customHeight="1" x14ac:dyDescent="0.35">
      <c r="A4019" s="127"/>
      <c r="C4019" s="124"/>
    </row>
    <row r="4020" spans="1:3" ht="18.75" customHeight="1" x14ac:dyDescent="0.35">
      <c r="A4020" s="127"/>
      <c r="C4020" s="124"/>
    </row>
    <row r="4021" spans="1:3" ht="18.75" customHeight="1" x14ac:dyDescent="0.35">
      <c r="A4021" s="127"/>
      <c r="C4021" s="124"/>
    </row>
    <row r="4022" spans="1:3" ht="18.75" customHeight="1" x14ac:dyDescent="0.35">
      <c r="A4022" s="127"/>
      <c r="C4022" s="124"/>
    </row>
    <row r="4023" spans="1:3" ht="18.75" customHeight="1" x14ac:dyDescent="0.35">
      <c r="A4023" s="127"/>
      <c r="C4023" s="124"/>
    </row>
    <row r="4024" spans="1:3" ht="18.75" customHeight="1" x14ac:dyDescent="0.35">
      <c r="A4024" s="127"/>
      <c r="C4024" s="124"/>
    </row>
    <row r="4025" spans="1:3" ht="18.75" customHeight="1" x14ac:dyDescent="0.35">
      <c r="A4025" s="127"/>
      <c r="C4025" s="124"/>
    </row>
    <row r="4026" spans="1:3" ht="18.75" customHeight="1" x14ac:dyDescent="0.35">
      <c r="A4026" s="127"/>
      <c r="C4026" s="124"/>
    </row>
    <row r="4027" spans="1:3" ht="18.75" customHeight="1" x14ac:dyDescent="0.35">
      <c r="A4027" s="127"/>
      <c r="C4027" s="124"/>
    </row>
    <row r="4028" spans="1:3" ht="18.75" customHeight="1" x14ac:dyDescent="0.35">
      <c r="A4028" s="127"/>
      <c r="C4028" s="124"/>
    </row>
    <row r="4029" spans="1:3" ht="18.75" customHeight="1" x14ac:dyDescent="0.35">
      <c r="A4029" s="127"/>
      <c r="C4029" s="124"/>
    </row>
    <row r="4030" spans="1:3" ht="18.75" customHeight="1" x14ac:dyDescent="0.35">
      <c r="A4030" s="127"/>
      <c r="C4030" s="124"/>
    </row>
    <row r="4031" spans="1:3" ht="18.75" customHeight="1" x14ac:dyDescent="0.35">
      <c r="A4031" s="127"/>
      <c r="C4031" s="124"/>
    </row>
    <row r="4032" spans="1:3" ht="18.75" customHeight="1" x14ac:dyDescent="0.35">
      <c r="A4032" s="127"/>
      <c r="C4032" s="124"/>
    </row>
    <row r="4033" spans="1:3" ht="18.75" customHeight="1" x14ac:dyDescent="0.35">
      <c r="A4033" s="127"/>
      <c r="C4033" s="124"/>
    </row>
    <row r="4034" spans="1:3" ht="18.75" customHeight="1" x14ac:dyDescent="0.35">
      <c r="A4034" s="127"/>
      <c r="C4034" s="124"/>
    </row>
    <row r="4035" spans="1:3" ht="18.75" customHeight="1" x14ac:dyDescent="0.35">
      <c r="A4035" s="127"/>
      <c r="C4035" s="124"/>
    </row>
    <row r="4036" spans="1:3" ht="18.75" customHeight="1" x14ac:dyDescent="0.35">
      <c r="A4036" s="127"/>
      <c r="C4036" s="124"/>
    </row>
    <row r="4037" spans="1:3" ht="18.75" customHeight="1" x14ac:dyDescent="0.35">
      <c r="A4037" s="127"/>
      <c r="C4037" s="124"/>
    </row>
    <row r="4038" spans="1:3" ht="18.75" customHeight="1" x14ac:dyDescent="0.35">
      <c r="A4038" s="127"/>
      <c r="C4038" s="124"/>
    </row>
    <row r="4039" spans="1:3" ht="18.75" customHeight="1" x14ac:dyDescent="0.35">
      <c r="A4039" s="127"/>
      <c r="C4039" s="124"/>
    </row>
    <row r="4040" spans="1:3" ht="18.75" customHeight="1" x14ac:dyDescent="0.35">
      <c r="A4040" s="127"/>
      <c r="C4040" s="124"/>
    </row>
    <row r="4041" spans="1:3" ht="18.75" customHeight="1" x14ac:dyDescent="0.35">
      <c r="A4041" s="127"/>
      <c r="C4041" s="124"/>
    </row>
    <row r="4042" spans="1:3" ht="18.75" customHeight="1" x14ac:dyDescent="0.35">
      <c r="A4042" s="127"/>
      <c r="C4042" s="124"/>
    </row>
    <row r="4043" spans="1:3" ht="18.75" customHeight="1" x14ac:dyDescent="0.35">
      <c r="A4043" s="127"/>
      <c r="C4043" s="124"/>
    </row>
    <row r="4044" spans="1:3" ht="18.75" customHeight="1" x14ac:dyDescent="0.35">
      <c r="A4044" s="127"/>
      <c r="C4044" s="124"/>
    </row>
    <row r="4045" spans="1:3" ht="18.75" customHeight="1" x14ac:dyDescent="0.35">
      <c r="A4045" s="127"/>
      <c r="C4045" s="124"/>
    </row>
    <row r="4046" spans="1:3" ht="18.75" customHeight="1" x14ac:dyDescent="0.35">
      <c r="A4046" s="127"/>
      <c r="C4046" s="124"/>
    </row>
    <row r="4047" spans="1:3" ht="18.75" customHeight="1" x14ac:dyDescent="0.35">
      <c r="A4047" s="127"/>
      <c r="C4047" s="124"/>
    </row>
    <row r="4048" spans="1:3" ht="18.75" customHeight="1" x14ac:dyDescent="0.35">
      <c r="A4048" s="127"/>
      <c r="C4048" s="124"/>
    </row>
    <row r="4049" spans="1:3" ht="18.75" customHeight="1" x14ac:dyDescent="0.35">
      <c r="A4049" s="127"/>
      <c r="C4049" s="124"/>
    </row>
    <row r="4050" spans="1:3" ht="18.75" customHeight="1" x14ac:dyDescent="0.35">
      <c r="A4050" s="127"/>
      <c r="C4050" s="124"/>
    </row>
    <row r="4051" spans="1:3" ht="18.75" customHeight="1" x14ac:dyDescent="0.35">
      <c r="A4051" s="127"/>
      <c r="C4051" s="124"/>
    </row>
    <row r="4052" spans="1:3" ht="18.75" customHeight="1" x14ac:dyDescent="0.35">
      <c r="A4052" s="127"/>
      <c r="C4052" s="124"/>
    </row>
    <row r="4053" spans="1:3" ht="18.75" customHeight="1" x14ac:dyDescent="0.35">
      <c r="A4053" s="127"/>
      <c r="C4053" s="124"/>
    </row>
    <row r="4054" spans="1:3" ht="18.75" customHeight="1" x14ac:dyDescent="0.35">
      <c r="A4054" s="127"/>
      <c r="C4054" s="124"/>
    </row>
    <row r="4055" spans="1:3" ht="18.75" customHeight="1" x14ac:dyDescent="0.35">
      <c r="A4055" s="127"/>
      <c r="C4055" s="124"/>
    </row>
    <row r="4056" spans="1:3" ht="18.75" customHeight="1" x14ac:dyDescent="0.35">
      <c r="A4056" s="127"/>
      <c r="C4056" s="124"/>
    </row>
    <row r="4057" spans="1:3" ht="18.75" customHeight="1" x14ac:dyDescent="0.35">
      <c r="A4057" s="127"/>
      <c r="C4057" s="124"/>
    </row>
    <row r="4058" spans="1:3" ht="18.75" customHeight="1" x14ac:dyDescent="0.35">
      <c r="A4058" s="127"/>
      <c r="C4058" s="124"/>
    </row>
    <row r="4059" spans="1:3" ht="18.75" customHeight="1" x14ac:dyDescent="0.35">
      <c r="A4059" s="127"/>
      <c r="C4059" s="124"/>
    </row>
    <row r="4060" spans="1:3" ht="18.75" customHeight="1" x14ac:dyDescent="0.35">
      <c r="A4060" s="127"/>
      <c r="C4060" s="124"/>
    </row>
    <row r="4061" spans="1:3" ht="18.75" customHeight="1" x14ac:dyDescent="0.35">
      <c r="A4061" s="127"/>
      <c r="C4061" s="124"/>
    </row>
    <row r="4062" spans="1:3" ht="18.75" customHeight="1" x14ac:dyDescent="0.35">
      <c r="A4062" s="127"/>
      <c r="C4062" s="124"/>
    </row>
    <row r="4063" spans="1:3" ht="18.75" customHeight="1" x14ac:dyDescent="0.35">
      <c r="A4063" s="127"/>
      <c r="C4063" s="124"/>
    </row>
    <row r="4064" spans="1:3" ht="18.75" customHeight="1" x14ac:dyDescent="0.35">
      <c r="A4064" s="127"/>
      <c r="C4064" s="124"/>
    </row>
    <row r="4065" spans="1:3" ht="18.75" customHeight="1" x14ac:dyDescent="0.35">
      <c r="A4065" s="127"/>
      <c r="C4065" s="124"/>
    </row>
    <row r="4066" spans="1:3" ht="18.75" customHeight="1" x14ac:dyDescent="0.35">
      <c r="A4066" s="127"/>
      <c r="C4066" s="124"/>
    </row>
    <row r="4067" spans="1:3" ht="18.75" customHeight="1" x14ac:dyDescent="0.35">
      <c r="A4067" s="127"/>
      <c r="C4067" s="124"/>
    </row>
    <row r="4068" spans="1:3" ht="18.75" customHeight="1" x14ac:dyDescent="0.35">
      <c r="A4068" s="127"/>
      <c r="C4068" s="124"/>
    </row>
    <row r="4069" spans="1:3" ht="18.75" customHeight="1" x14ac:dyDescent="0.35">
      <c r="A4069" s="127"/>
      <c r="C4069" s="124"/>
    </row>
    <row r="4070" spans="1:3" ht="18.75" customHeight="1" x14ac:dyDescent="0.35">
      <c r="A4070" s="127"/>
      <c r="C4070" s="124"/>
    </row>
    <row r="4071" spans="1:3" ht="18.75" customHeight="1" x14ac:dyDescent="0.35">
      <c r="A4071" s="127"/>
      <c r="C4071" s="124"/>
    </row>
    <row r="4072" spans="1:3" ht="18.75" customHeight="1" x14ac:dyDescent="0.35">
      <c r="A4072" s="127"/>
      <c r="C4072" s="124"/>
    </row>
    <row r="4073" spans="1:3" ht="18.75" customHeight="1" x14ac:dyDescent="0.35">
      <c r="A4073" s="127"/>
      <c r="C4073" s="124"/>
    </row>
    <row r="4074" spans="1:3" ht="18.75" customHeight="1" x14ac:dyDescent="0.35">
      <c r="A4074" s="127"/>
      <c r="C4074" s="124"/>
    </row>
    <row r="4075" spans="1:3" ht="18.75" customHeight="1" x14ac:dyDescent="0.35">
      <c r="A4075" s="127"/>
      <c r="C4075" s="124"/>
    </row>
    <row r="4076" spans="1:3" ht="18.75" customHeight="1" x14ac:dyDescent="0.35">
      <c r="A4076" s="127"/>
      <c r="C4076" s="124"/>
    </row>
    <row r="4077" spans="1:3" ht="18.75" customHeight="1" x14ac:dyDescent="0.35">
      <c r="A4077" s="127"/>
      <c r="C4077" s="124"/>
    </row>
    <row r="4078" spans="1:3" ht="18.75" customHeight="1" x14ac:dyDescent="0.35">
      <c r="A4078" s="127"/>
      <c r="C4078" s="124"/>
    </row>
    <row r="4079" spans="1:3" ht="18.75" customHeight="1" x14ac:dyDescent="0.35">
      <c r="A4079" s="127"/>
      <c r="C4079" s="124"/>
    </row>
    <row r="4080" spans="1:3" ht="18.75" customHeight="1" x14ac:dyDescent="0.35">
      <c r="A4080" s="127"/>
      <c r="C4080" s="124"/>
    </row>
    <row r="4081" spans="1:3" ht="18.75" customHeight="1" x14ac:dyDescent="0.35">
      <c r="A4081" s="127"/>
      <c r="C4081" s="124"/>
    </row>
    <row r="4082" spans="1:3" ht="18.75" customHeight="1" x14ac:dyDescent="0.35">
      <c r="A4082" s="127"/>
      <c r="C4082" s="124"/>
    </row>
    <row r="4083" spans="1:3" ht="18.75" customHeight="1" x14ac:dyDescent="0.35">
      <c r="A4083" s="127"/>
      <c r="C4083" s="124"/>
    </row>
    <row r="4084" spans="1:3" ht="18.75" customHeight="1" x14ac:dyDescent="0.35">
      <c r="A4084" s="127"/>
      <c r="C4084" s="124"/>
    </row>
    <row r="4085" spans="1:3" ht="18.75" customHeight="1" x14ac:dyDescent="0.35">
      <c r="A4085" s="127"/>
      <c r="C4085" s="124"/>
    </row>
    <row r="4086" spans="1:3" ht="18.75" customHeight="1" x14ac:dyDescent="0.35">
      <c r="A4086" s="127"/>
      <c r="C4086" s="124"/>
    </row>
    <row r="4087" spans="1:3" ht="18.75" customHeight="1" x14ac:dyDescent="0.35">
      <c r="A4087" s="127"/>
      <c r="C4087" s="124"/>
    </row>
    <row r="4088" spans="1:3" ht="18.75" customHeight="1" x14ac:dyDescent="0.35">
      <c r="A4088" s="127"/>
      <c r="C4088" s="124"/>
    </row>
    <row r="4089" spans="1:3" ht="18.75" customHeight="1" x14ac:dyDescent="0.35">
      <c r="A4089" s="127"/>
      <c r="C4089" s="124"/>
    </row>
    <row r="4090" spans="1:3" ht="18.75" customHeight="1" x14ac:dyDescent="0.35">
      <c r="A4090" s="127"/>
      <c r="C4090" s="124"/>
    </row>
    <row r="4091" spans="1:3" ht="18.75" customHeight="1" x14ac:dyDescent="0.35">
      <c r="A4091" s="127"/>
      <c r="C4091" s="124"/>
    </row>
    <row r="4092" spans="1:3" ht="18.75" customHeight="1" x14ac:dyDescent="0.35">
      <c r="A4092" s="127"/>
      <c r="C4092" s="124"/>
    </row>
    <row r="4093" spans="1:3" ht="18.75" customHeight="1" x14ac:dyDescent="0.35">
      <c r="A4093" s="127"/>
      <c r="C4093" s="124"/>
    </row>
    <row r="4094" spans="1:3" ht="18.75" customHeight="1" x14ac:dyDescent="0.35">
      <c r="A4094" s="127"/>
      <c r="C4094" s="124"/>
    </row>
    <row r="4095" spans="1:3" ht="18.75" customHeight="1" x14ac:dyDescent="0.35">
      <c r="A4095" s="127"/>
      <c r="C4095" s="124"/>
    </row>
    <row r="4096" spans="1:3" ht="18.75" customHeight="1" x14ac:dyDescent="0.35">
      <c r="A4096" s="127"/>
      <c r="C4096" s="124"/>
    </row>
    <row r="4097" spans="1:3" ht="18.75" customHeight="1" x14ac:dyDescent="0.35">
      <c r="A4097" s="127"/>
      <c r="C4097" s="124"/>
    </row>
    <row r="4098" spans="1:3" ht="18.75" customHeight="1" x14ac:dyDescent="0.35">
      <c r="A4098" s="127"/>
      <c r="C4098" s="124"/>
    </row>
    <row r="4099" spans="1:3" ht="18.75" customHeight="1" x14ac:dyDescent="0.35">
      <c r="A4099" s="127"/>
      <c r="C4099" s="124"/>
    </row>
    <row r="4100" spans="1:3" ht="18.75" customHeight="1" x14ac:dyDescent="0.35">
      <c r="A4100" s="127"/>
      <c r="C4100" s="124"/>
    </row>
    <row r="4101" spans="1:3" ht="18.75" customHeight="1" x14ac:dyDescent="0.35">
      <c r="A4101" s="127"/>
      <c r="C4101" s="124"/>
    </row>
    <row r="4102" spans="1:3" ht="18.75" customHeight="1" x14ac:dyDescent="0.35">
      <c r="A4102" s="127"/>
      <c r="C4102" s="124"/>
    </row>
    <row r="4103" spans="1:3" ht="18.75" customHeight="1" x14ac:dyDescent="0.35">
      <c r="A4103" s="127"/>
      <c r="C4103" s="124"/>
    </row>
    <row r="4104" spans="1:3" ht="18.75" customHeight="1" x14ac:dyDescent="0.35">
      <c r="A4104" s="127"/>
      <c r="C4104" s="124"/>
    </row>
    <row r="4105" spans="1:3" ht="18.75" customHeight="1" x14ac:dyDescent="0.35">
      <c r="A4105" s="127"/>
      <c r="C4105" s="124"/>
    </row>
    <row r="4106" spans="1:3" ht="18.75" customHeight="1" x14ac:dyDescent="0.35">
      <c r="A4106" s="127"/>
      <c r="C4106" s="124"/>
    </row>
    <row r="4107" spans="1:3" ht="18.75" customHeight="1" x14ac:dyDescent="0.35">
      <c r="A4107" s="127"/>
      <c r="C4107" s="124"/>
    </row>
    <row r="4108" spans="1:3" ht="18.75" customHeight="1" x14ac:dyDescent="0.35">
      <c r="A4108" s="127"/>
      <c r="C4108" s="124"/>
    </row>
    <row r="4109" spans="1:3" ht="18.75" customHeight="1" x14ac:dyDescent="0.35">
      <c r="A4109" s="127"/>
      <c r="C4109" s="124"/>
    </row>
    <row r="4110" spans="1:3" ht="18.75" customHeight="1" x14ac:dyDescent="0.35">
      <c r="A4110" s="127"/>
      <c r="C4110" s="124"/>
    </row>
    <row r="4111" spans="1:3" ht="18.75" customHeight="1" x14ac:dyDescent="0.35">
      <c r="A4111" s="127"/>
      <c r="C4111" s="124"/>
    </row>
    <row r="4112" spans="1:3" ht="18.75" customHeight="1" x14ac:dyDescent="0.35">
      <c r="A4112" s="127"/>
      <c r="C4112" s="124"/>
    </row>
    <row r="4113" spans="1:3" ht="18.75" customHeight="1" x14ac:dyDescent="0.35">
      <c r="A4113" s="127"/>
      <c r="C4113" s="124"/>
    </row>
    <row r="4114" spans="1:3" ht="18.75" customHeight="1" x14ac:dyDescent="0.35">
      <c r="A4114" s="127"/>
      <c r="C4114" s="124"/>
    </row>
    <row r="4115" spans="1:3" ht="18.75" customHeight="1" x14ac:dyDescent="0.35">
      <c r="A4115" s="127"/>
      <c r="C4115" s="124"/>
    </row>
    <row r="4116" spans="1:3" ht="18.75" customHeight="1" x14ac:dyDescent="0.35">
      <c r="A4116" s="127"/>
      <c r="C4116" s="124"/>
    </row>
    <row r="4117" spans="1:3" ht="18.75" customHeight="1" x14ac:dyDescent="0.35">
      <c r="A4117" s="127"/>
      <c r="C4117" s="124"/>
    </row>
    <row r="4118" spans="1:3" ht="18.75" customHeight="1" x14ac:dyDescent="0.35">
      <c r="A4118" s="127"/>
      <c r="C4118" s="124"/>
    </row>
    <row r="4119" spans="1:3" ht="18.75" customHeight="1" x14ac:dyDescent="0.35">
      <c r="A4119" s="127"/>
      <c r="C4119" s="124"/>
    </row>
    <row r="4120" spans="1:3" ht="18.75" customHeight="1" x14ac:dyDescent="0.35">
      <c r="A4120" s="127"/>
      <c r="C4120" s="124"/>
    </row>
    <row r="4121" spans="1:3" ht="18.75" customHeight="1" x14ac:dyDescent="0.35">
      <c r="A4121" s="127"/>
      <c r="C4121" s="124"/>
    </row>
    <row r="4122" spans="1:3" ht="18.75" customHeight="1" x14ac:dyDescent="0.35">
      <c r="A4122" s="127"/>
      <c r="C4122" s="124"/>
    </row>
    <row r="4123" spans="1:3" ht="18.75" customHeight="1" x14ac:dyDescent="0.35">
      <c r="A4123" s="127"/>
      <c r="C4123" s="124"/>
    </row>
    <row r="4124" spans="1:3" ht="18.75" customHeight="1" x14ac:dyDescent="0.35">
      <c r="A4124" s="127"/>
      <c r="C4124" s="124"/>
    </row>
    <row r="4125" spans="1:3" ht="18.75" customHeight="1" x14ac:dyDescent="0.35">
      <c r="A4125" s="127"/>
      <c r="C4125" s="124"/>
    </row>
    <row r="4126" spans="1:3" ht="18.75" customHeight="1" x14ac:dyDescent="0.35">
      <c r="A4126" s="127"/>
      <c r="C4126" s="124"/>
    </row>
    <row r="4127" spans="1:3" ht="18.75" customHeight="1" x14ac:dyDescent="0.35">
      <c r="A4127" s="127"/>
      <c r="C4127" s="124"/>
    </row>
    <row r="4128" spans="1:3" ht="18.75" customHeight="1" x14ac:dyDescent="0.35">
      <c r="A4128" s="127"/>
      <c r="C4128" s="124"/>
    </row>
    <row r="4129" spans="1:3" ht="18.75" customHeight="1" x14ac:dyDescent="0.35">
      <c r="A4129" s="127"/>
      <c r="C4129" s="124"/>
    </row>
    <row r="4130" spans="1:3" ht="18.75" customHeight="1" x14ac:dyDescent="0.35">
      <c r="A4130" s="127"/>
      <c r="C4130" s="124"/>
    </row>
    <row r="4131" spans="1:3" ht="18.75" customHeight="1" x14ac:dyDescent="0.35">
      <c r="A4131" s="127"/>
      <c r="C4131" s="124"/>
    </row>
    <row r="4132" spans="1:3" ht="18.75" customHeight="1" x14ac:dyDescent="0.35">
      <c r="A4132" s="127"/>
      <c r="C4132" s="124"/>
    </row>
    <row r="4133" spans="1:3" ht="18.75" customHeight="1" x14ac:dyDescent="0.35">
      <c r="A4133" s="127"/>
      <c r="C4133" s="124"/>
    </row>
    <row r="4134" spans="1:3" ht="18.75" customHeight="1" x14ac:dyDescent="0.35">
      <c r="A4134" s="127"/>
      <c r="C4134" s="124"/>
    </row>
    <row r="4135" spans="1:3" ht="18.75" customHeight="1" x14ac:dyDescent="0.35">
      <c r="A4135" s="127"/>
      <c r="C4135" s="124"/>
    </row>
    <row r="4136" spans="1:3" ht="18.75" customHeight="1" x14ac:dyDescent="0.35">
      <c r="A4136" s="127"/>
      <c r="C4136" s="124"/>
    </row>
    <row r="4137" spans="1:3" ht="18.75" customHeight="1" x14ac:dyDescent="0.35">
      <c r="A4137" s="127"/>
      <c r="C4137" s="124"/>
    </row>
    <row r="4138" spans="1:3" ht="18.75" customHeight="1" x14ac:dyDescent="0.35">
      <c r="A4138" s="127"/>
      <c r="C4138" s="124"/>
    </row>
    <row r="4139" spans="1:3" ht="18.75" customHeight="1" x14ac:dyDescent="0.35">
      <c r="A4139" s="127"/>
      <c r="C4139" s="124"/>
    </row>
    <row r="4140" spans="1:3" ht="18.75" customHeight="1" x14ac:dyDescent="0.35">
      <c r="A4140" s="127"/>
      <c r="C4140" s="124"/>
    </row>
    <row r="4141" spans="1:3" ht="18.75" customHeight="1" x14ac:dyDescent="0.35">
      <c r="A4141" s="127"/>
      <c r="C4141" s="124"/>
    </row>
    <row r="4142" spans="1:3" ht="18.75" customHeight="1" x14ac:dyDescent="0.35">
      <c r="A4142" s="127"/>
      <c r="C4142" s="124"/>
    </row>
    <row r="4143" spans="1:3" ht="18.75" customHeight="1" x14ac:dyDescent="0.35">
      <c r="A4143" s="127"/>
      <c r="C4143" s="124"/>
    </row>
    <row r="4144" spans="1:3" ht="18.75" customHeight="1" x14ac:dyDescent="0.35">
      <c r="A4144" s="127"/>
      <c r="C4144" s="124"/>
    </row>
    <row r="4145" spans="1:3" ht="18.75" customHeight="1" x14ac:dyDescent="0.35">
      <c r="A4145" s="127"/>
      <c r="C4145" s="124"/>
    </row>
    <row r="4146" spans="1:3" ht="18.75" customHeight="1" x14ac:dyDescent="0.35">
      <c r="A4146" s="127"/>
      <c r="C4146" s="124"/>
    </row>
    <row r="4147" spans="1:3" ht="18.75" customHeight="1" x14ac:dyDescent="0.35">
      <c r="A4147" s="127"/>
      <c r="C4147" s="124"/>
    </row>
    <row r="4148" spans="1:3" ht="18.75" customHeight="1" x14ac:dyDescent="0.35">
      <c r="A4148" s="127"/>
      <c r="C4148" s="124"/>
    </row>
    <row r="4149" spans="1:3" ht="18.75" customHeight="1" x14ac:dyDescent="0.35">
      <c r="A4149" s="127"/>
      <c r="C4149" s="124"/>
    </row>
    <row r="4150" spans="1:3" ht="18.75" customHeight="1" x14ac:dyDescent="0.35">
      <c r="A4150" s="127"/>
      <c r="C4150" s="124"/>
    </row>
    <row r="4151" spans="1:3" ht="18.75" customHeight="1" x14ac:dyDescent="0.35">
      <c r="A4151" s="127"/>
      <c r="C4151" s="124"/>
    </row>
    <row r="4152" spans="1:3" ht="18.75" customHeight="1" x14ac:dyDescent="0.35">
      <c r="A4152" s="127"/>
      <c r="C4152" s="124"/>
    </row>
    <row r="4153" spans="1:3" ht="18.75" customHeight="1" x14ac:dyDescent="0.35">
      <c r="A4153" s="127"/>
      <c r="C4153" s="124"/>
    </row>
    <row r="4154" spans="1:3" ht="18.75" customHeight="1" x14ac:dyDescent="0.35">
      <c r="A4154" s="127"/>
      <c r="C4154" s="124"/>
    </row>
    <row r="4155" spans="1:3" ht="18.75" customHeight="1" x14ac:dyDescent="0.35">
      <c r="A4155" s="127"/>
      <c r="C4155" s="124"/>
    </row>
    <row r="4156" spans="1:3" ht="18.75" customHeight="1" x14ac:dyDescent="0.35">
      <c r="A4156" s="127"/>
      <c r="C4156" s="124"/>
    </row>
    <row r="4157" spans="1:3" ht="18.75" customHeight="1" x14ac:dyDescent="0.35">
      <c r="A4157" s="127"/>
      <c r="C4157" s="124"/>
    </row>
    <row r="4158" spans="1:3" ht="18.75" customHeight="1" x14ac:dyDescent="0.35">
      <c r="A4158" s="127"/>
      <c r="C4158" s="124"/>
    </row>
    <row r="4159" spans="1:3" ht="18.75" customHeight="1" x14ac:dyDescent="0.35">
      <c r="A4159" s="127"/>
      <c r="C4159" s="124"/>
    </row>
    <row r="4160" spans="1:3" ht="18.75" customHeight="1" x14ac:dyDescent="0.35">
      <c r="A4160" s="127"/>
      <c r="C4160" s="124"/>
    </row>
    <row r="4161" spans="1:3" ht="18.75" customHeight="1" x14ac:dyDescent="0.35">
      <c r="A4161" s="127"/>
      <c r="C4161" s="124"/>
    </row>
    <row r="4162" spans="1:3" ht="18.75" customHeight="1" x14ac:dyDescent="0.35">
      <c r="A4162" s="127"/>
      <c r="C4162" s="124"/>
    </row>
    <row r="4163" spans="1:3" ht="18.75" customHeight="1" x14ac:dyDescent="0.35">
      <c r="A4163" s="127"/>
      <c r="C4163" s="124"/>
    </row>
    <row r="4164" spans="1:3" ht="18.75" customHeight="1" x14ac:dyDescent="0.35">
      <c r="A4164" s="127"/>
      <c r="C4164" s="124"/>
    </row>
    <row r="4165" spans="1:3" ht="18.75" customHeight="1" x14ac:dyDescent="0.35">
      <c r="A4165" s="127"/>
      <c r="C4165" s="124"/>
    </row>
    <row r="4166" spans="1:3" ht="18.75" customHeight="1" x14ac:dyDescent="0.35">
      <c r="A4166" s="127"/>
      <c r="C4166" s="124"/>
    </row>
    <row r="4167" spans="1:3" ht="18.75" customHeight="1" x14ac:dyDescent="0.35">
      <c r="A4167" s="127"/>
      <c r="C4167" s="124"/>
    </row>
    <row r="4168" spans="1:3" ht="18.75" customHeight="1" x14ac:dyDescent="0.35">
      <c r="A4168" s="127"/>
      <c r="C4168" s="124"/>
    </row>
    <row r="4169" spans="1:3" ht="18.75" customHeight="1" x14ac:dyDescent="0.35">
      <c r="A4169" s="127"/>
      <c r="C4169" s="124"/>
    </row>
    <row r="4170" spans="1:3" ht="18.75" customHeight="1" x14ac:dyDescent="0.35">
      <c r="A4170" s="127"/>
      <c r="C4170" s="124"/>
    </row>
    <row r="4171" spans="1:3" ht="18.75" customHeight="1" x14ac:dyDescent="0.35">
      <c r="A4171" s="127"/>
      <c r="C4171" s="124"/>
    </row>
    <row r="4172" spans="1:3" ht="18.75" customHeight="1" x14ac:dyDescent="0.35">
      <c r="A4172" s="127"/>
      <c r="C4172" s="124"/>
    </row>
    <row r="4173" spans="1:3" ht="18.75" customHeight="1" x14ac:dyDescent="0.35">
      <c r="A4173" s="127"/>
      <c r="C4173" s="124"/>
    </row>
    <row r="4174" spans="1:3" ht="18.75" customHeight="1" x14ac:dyDescent="0.35">
      <c r="A4174" s="127"/>
      <c r="C4174" s="124"/>
    </row>
    <row r="4175" spans="1:3" ht="18.75" customHeight="1" x14ac:dyDescent="0.35">
      <c r="A4175" s="127"/>
      <c r="C4175" s="124"/>
    </row>
    <row r="4176" spans="1:3" ht="18.75" customHeight="1" x14ac:dyDescent="0.35">
      <c r="A4176" s="127"/>
      <c r="C4176" s="124"/>
    </row>
    <row r="4177" spans="1:3" ht="18.75" customHeight="1" x14ac:dyDescent="0.35">
      <c r="A4177" s="127"/>
      <c r="C4177" s="124"/>
    </row>
    <row r="4178" spans="1:3" ht="18.75" customHeight="1" x14ac:dyDescent="0.35">
      <c r="A4178" s="127"/>
      <c r="C4178" s="124"/>
    </row>
    <row r="4179" spans="1:3" ht="18.75" customHeight="1" x14ac:dyDescent="0.35">
      <c r="A4179" s="127"/>
      <c r="C4179" s="124"/>
    </row>
    <row r="4180" spans="1:3" ht="18.75" customHeight="1" x14ac:dyDescent="0.35">
      <c r="A4180" s="127"/>
      <c r="C4180" s="124"/>
    </row>
    <row r="4181" spans="1:3" ht="18.75" customHeight="1" x14ac:dyDescent="0.35">
      <c r="A4181" s="127"/>
      <c r="C4181" s="124"/>
    </row>
    <row r="4182" spans="1:3" ht="18.75" customHeight="1" x14ac:dyDescent="0.35">
      <c r="A4182" s="127"/>
      <c r="C4182" s="124"/>
    </row>
    <row r="4183" spans="1:3" ht="18.75" customHeight="1" x14ac:dyDescent="0.35">
      <c r="A4183" s="127"/>
      <c r="C4183" s="124"/>
    </row>
    <row r="4184" spans="1:3" ht="18.75" customHeight="1" x14ac:dyDescent="0.35">
      <c r="A4184" s="127"/>
      <c r="C4184" s="124"/>
    </row>
    <row r="4185" spans="1:3" ht="18.75" customHeight="1" x14ac:dyDescent="0.35">
      <c r="A4185" s="127"/>
      <c r="C4185" s="124"/>
    </row>
    <row r="4186" spans="1:3" ht="18.75" customHeight="1" x14ac:dyDescent="0.35">
      <c r="A4186" s="127"/>
      <c r="C4186" s="124"/>
    </row>
    <row r="4187" spans="1:3" ht="18.75" customHeight="1" x14ac:dyDescent="0.35">
      <c r="A4187" s="127"/>
      <c r="C4187" s="124"/>
    </row>
    <row r="4188" spans="1:3" ht="18.75" customHeight="1" x14ac:dyDescent="0.35">
      <c r="A4188" s="127"/>
      <c r="C4188" s="124"/>
    </row>
    <row r="4189" spans="1:3" ht="18.75" customHeight="1" x14ac:dyDescent="0.35">
      <c r="A4189" s="127"/>
      <c r="C4189" s="124"/>
    </row>
    <row r="4190" spans="1:3" ht="18.75" customHeight="1" x14ac:dyDescent="0.35">
      <c r="A4190" s="127"/>
      <c r="C4190" s="124"/>
    </row>
    <row r="4191" spans="1:3" ht="18.75" customHeight="1" x14ac:dyDescent="0.35">
      <c r="A4191" s="127"/>
      <c r="C4191" s="124"/>
    </row>
    <row r="4192" spans="1:3" ht="18.75" customHeight="1" x14ac:dyDescent="0.35">
      <c r="A4192" s="127"/>
      <c r="C4192" s="124"/>
    </row>
    <row r="4193" spans="1:3" ht="18.75" customHeight="1" x14ac:dyDescent="0.35">
      <c r="A4193" s="127"/>
      <c r="C4193" s="124"/>
    </row>
    <row r="4194" spans="1:3" ht="18.75" customHeight="1" x14ac:dyDescent="0.35">
      <c r="A4194" s="127"/>
      <c r="C4194" s="124"/>
    </row>
    <row r="4195" spans="1:3" ht="18.75" customHeight="1" x14ac:dyDescent="0.35">
      <c r="A4195" s="127"/>
      <c r="C4195" s="124"/>
    </row>
    <row r="4196" spans="1:3" ht="18.75" customHeight="1" x14ac:dyDescent="0.35">
      <c r="A4196" s="127"/>
      <c r="C4196" s="124"/>
    </row>
    <row r="4197" spans="1:3" ht="18.75" customHeight="1" x14ac:dyDescent="0.35">
      <c r="A4197" s="127"/>
      <c r="C4197" s="124"/>
    </row>
    <row r="4198" spans="1:3" ht="18.75" customHeight="1" x14ac:dyDescent="0.35">
      <c r="A4198" s="127"/>
      <c r="C4198" s="124"/>
    </row>
    <row r="4199" spans="1:3" ht="18.75" customHeight="1" x14ac:dyDescent="0.35">
      <c r="A4199" s="127"/>
      <c r="C4199" s="124"/>
    </row>
    <row r="4200" spans="1:3" ht="18.75" customHeight="1" x14ac:dyDescent="0.35">
      <c r="A4200" s="127"/>
      <c r="C4200" s="124"/>
    </row>
    <row r="4201" spans="1:3" ht="18.75" customHeight="1" x14ac:dyDescent="0.35">
      <c r="A4201" s="127"/>
      <c r="C4201" s="124"/>
    </row>
    <row r="4202" spans="1:3" ht="18.75" customHeight="1" x14ac:dyDescent="0.35">
      <c r="A4202" s="127"/>
      <c r="C4202" s="124"/>
    </row>
    <row r="4203" spans="1:3" ht="18.75" customHeight="1" x14ac:dyDescent="0.35">
      <c r="A4203" s="127"/>
      <c r="C4203" s="124"/>
    </row>
    <row r="4204" spans="1:3" ht="18.75" customHeight="1" x14ac:dyDescent="0.35">
      <c r="A4204" s="127"/>
      <c r="C4204" s="124"/>
    </row>
    <row r="4205" spans="1:3" ht="18.75" customHeight="1" x14ac:dyDescent="0.35">
      <c r="A4205" s="127"/>
      <c r="C4205" s="124"/>
    </row>
    <row r="4206" spans="1:3" ht="18.75" customHeight="1" x14ac:dyDescent="0.35">
      <c r="A4206" s="127"/>
      <c r="C4206" s="124"/>
    </row>
    <row r="4207" spans="1:3" ht="18.75" customHeight="1" x14ac:dyDescent="0.35">
      <c r="A4207" s="127"/>
      <c r="C4207" s="124"/>
    </row>
    <row r="4208" spans="1:3" ht="18.75" customHeight="1" x14ac:dyDescent="0.35">
      <c r="A4208" s="127"/>
      <c r="C4208" s="124"/>
    </row>
    <row r="4209" spans="1:3" ht="18.75" customHeight="1" x14ac:dyDescent="0.35">
      <c r="A4209" s="127"/>
      <c r="C4209" s="124"/>
    </row>
    <row r="4210" spans="1:3" ht="18.75" customHeight="1" x14ac:dyDescent="0.35">
      <c r="A4210" s="127"/>
      <c r="C4210" s="124"/>
    </row>
    <row r="4211" spans="1:3" ht="18.75" customHeight="1" x14ac:dyDescent="0.35">
      <c r="A4211" s="127"/>
      <c r="C4211" s="124"/>
    </row>
    <row r="4212" spans="1:3" ht="18.75" customHeight="1" x14ac:dyDescent="0.35">
      <c r="A4212" s="127"/>
      <c r="C4212" s="124"/>
    </row>
    <row r="4213" spans="1:3" ht="18.75" customHeight="1" x14ac:dyDescent="0.35">
      <c r="A4213" s="127"/>
      <c r="C4213" s="124"/>
    </row>
    <row r="4214" spans="1:3" ht="18.75" customHeight="1" x14ac:dyDescent="0.35">
      <c r="A4214" s="127"/>
      <c r="C4214" s="124"/>
    </row>
    <row r="4215" spans="1:3" ht="18.75" customHeight="1" x14ac:dyDescent="0.35">
      <c r="A4215" s="127"/>
      <c r="C4215" s="124"/>
    </row>
    <row r="4216" spans="1:3" ht="18.75" customHeight="1" x14ac:dyDescent="0.35">
      <c r="A4216" s="127"/>
      <c r="C4216" s="124"/>
    </row>
    <row r="4217" spans="1:3" ht="18.75" customHeight="1" x14ac:dyDescent="0.35">
      <c r="A4217" s="127"/>
      <c r="C4217" s="124"/>
    </row>
    <row r="4218" spans="1:3" ht="18.75" customHeight="1" x14ac:dyDescent="0.35">
      <c r="A4218" s="127"/>
      <c r="C4218" s="124"/>
    </row>
    <row r="4219" spans="1:3" ht="18.75" customHeight="1" x14ac:dyDescent="0.35">
      <c r="A4219" s="127"/>
      <c r="C4219" s="124"/>
    </row>
    <row r="4220" spans="1:3" ht="18.75" customHeight="1" x14ac:dyDescent="0.35">
      <c r="A4220" s="127"/>
      <c r="C4220" s="124"/>
    </row>
    <row r="4221" spans="1:3" ht="18.75" customHeight="1" x14ac:dyDescent="0.35">
      <c r="A4221" s="127"/>
      <c r="C4221" s="124"/>
    </row>
    <row r="4222" spans="1:3" ht="18.75" customHeight="1" x14ac:dyDescent="0.35">
      <c r="A4222" s="127"/>
      <c r="C4222" s="124"/>
    </row>
    <row r="4223" spans="1:3" ht="18.75" customHeight="1" x14ac:dyDescent="0.35">
      <c r="A4223" s="127"/>
      <c r="C4223" s="124"/>
    </row>
    <row r="4224" spans="1:3" ht="18.75" customHeight="1" x14ac:dyDescent="0.35">
      <c r="A4224" s="127"/>
      <c r="C4224" s="124"/>
    </row>
    <row r="4225" spans="1:3" ht="18.75" customHeight="1" x14ac:dyDescent="0.35">
      <c r="A4225" s="127"/>
      <c r="C4225" s="124"/>
    </row>
    <row r="4226" spans="1:3" ht="18.75" customHeight="1" x14ac:dyDescent="0.35">
      <c r="A4226" s="127"/>
      <c r="C4226" s="124"/>
    </row>
    <row r="4227" spans="1:3" ht="18.75" customHeight="1" x14ac:dyDescent="0.35">
      <c r="A4227" s="127"/>
      <c r="C4227" s="124"/>
    </row>
    <row r="4228" spans="1:3" ht="18.75" customHeight="1" x14ac:dyDescent="0.35">
      <c r="A4228" s="127"/>
      <c r="C4228" s="124"/>
    </row>
    <row r="4229" spans="1:3" ht="18.75" customHeight="1" x14ac:dyDescent="0.35">
      <c r="A4229" s="127"/>
      <c r="C4229" s="124"/>
    </row>
    <row r="4230" spans="1:3" ht="18.75" customHeight="1" x14ac:dyDescent="0.35">
      <c r="A4230" s="127"/>
      <c r="C4230" s="124"/>
    </row>
    <row r="4231" spans="1:3" ht="18.75" customHeight="1" x14ac:dyDescent="0.35">
      <c r="A4231" s="127"/>
      <c r="C4231" s="124"/>
    </row>
    <row r="4232" spans="1:3" ht="18.75" customHeight="1" x14ac:dyDescent="0.35">
      <c r="A4232" s="127"/>
      <c r="C4232" s="124"/>
    </row>
    <row r="4233" spans="1:3" ht="18.75" customHeight="1" x14ac:dyDescent="0.35">
      <c r="A4233" s="127"/>
      <c r="C4233" s="124"/>
    </row>
    <row r="4234" spans="1:3" ht="18.75" customHeight="1" x14ac:dyDescent="0.35">
      <c r="A4234" s="127"/>
      <c r="C4234" s="124"/>
    </row>
    <row r="4235" spans="1:3" ht="18.75" customHeight="1" x14ac:dyDescent="0.35">
      <c r="A4235" s="127"/>
      <c r="C4235" s="124"/>
    </row>
    <row r="4236" spans="1:3" ht="18.75" customHeight="1" x14ac:dyDescent="0.35">
      <c r="A4236" s="127"/>
      <c r="C4236" s="124"/>
    </row>
    <row r="4237" spans="1:3" ht="18.75" customHeight="1" x14ac:dyDescent="0.35">
      <c r="A4237" s="127"/>
      <c r="C4237" s="124"/>
    </row>
    <row r="4238" spans="1:3" ht="18.75" customHeight="1" x14ac:dyDescent="0.35">
      <c r="A4238" s="127"/>
      <c r="C4238" s="124"/>
    </row>
    <row r="4239" spans="1:3" ht="18.75" customHeight="1" x14ac:dyDescent="0.35">
      <c r="A4239" s="127"/>
      <c r="C4239" s="124"/>
    </row>
    <row r="4240" spans="1:3" ht="18.75" customHeight="1" x14ac:dyDescent="0.35">
      <c r="A4240" s="127"/>
      <c r="C4240" s="124"/>
    </row>
    <row r="4241" spans="1:3" ht="18.75" customHeight="1" x14ac:dyDescent="0.35">
      <c r="A4241" s="127"/>
      <c r="C4241" s="124"/>
    </row>
    <row r="4242" spans="1:3" ht="18.75" customHeight="1" x14ac:dyDescent="0.35">
      <c r="A4242" s="127"/>
      <c r="C4242" s="124"/>
    </row>
    <row r="4243" spans="1:3" ht="18.75" customHeight="1" x14ac:dyDescent="0.35">
      <c r="A4243" s="127"/>
      <c r="C4243" s="124"/>
    </row>
    <row r="4244" spans="1:3" ht="18.75" customHeight="1" x14ac:dyDescent="0.35">
      <c r="A4244" s="127"/>
      <c r="C4244" s="124"/>
    </row>
    <row r="4245" spans="1:3" ht="18.75" customHeight="1" x14ac:dyDescent="0.35">
      <c r="A4245" s="127"/>
      <c r="C4245" s="124"/>
    </row>
    <row r="4246" spans="1:3" ht="18.75" customHeight="1" x14ac:dyDescent="0.35">
      <c r="A4246" s="127"/>
      <c r="C4246" s="124"/>
    </row>
    <row r="4247" spans="1:3" ht="18.75" customHeight="1" x14ac:dyDescent="0.35">
      <c r="A4247" s="127"/>
      <c r="C4247" s="124"/>
    </row>
    <row r="4248" spans="1:3" ht="18.75" customHeight="1" x14ac:dyDescent="0.35">
      <c r="A4248" s="127"/>
      <c r="C4248" s="124"/>
    </row>
    <row r="4249" spans="1:3" ht="18.75" customHeight="1" x14ac:dyDescent="0.35">
      <c r="A4249" s="127"/>
      <c r="C4249" s="124"/>
    </row>
    <row r="4250" spans="1:3" ht="18.75" customHeight="1" x14ac:dyDescent="0.35">
      <c r="A4250" s="127"/>
      <c r="C4250" s="124"/>
    </row>
    <row r="4251" spans="1:3" ht="18.75" customHeight="1" x14ac:dyDescent="0.35">
      <c r="A4251" s="127"/>
      <c r="C4251" s="124"/>
    </row>
    <row r="4252" spans="1:3" ht="18.75" customHeight="1" x14ac:dyDescent="0.35">
      <c r="A4252" s="127"/>
      <c r="C4252" s="124"/>
    </row>
    <row r="4253" spans="1:3" ht="18.75" customHeight="1" x14ac:dyDescent="0.35">
      <c r="A4253" s="127"/>
      <c r="C4253" s="124"/>
    </row>
    <row r="4254" spans="1:3" ht="18.75" customHeight="1" x14ac:dyDescent="0.35">
      <c r="A4254" s="127"/>
      <c r="C4254" s="124"/>
    </row>
    <row r="4255" spans="1:3" ht="18.75" customHeight="1" x14ac:dyDescent="0.35">
      <c r="A4255" s="127"/>
      <c r="C4255" s="124"/>
    </row>
    <row r="4256" spans="1:3" ht="18.75" customHeight="1" x14ac:dyDescent="0.35">
      <c r="A4256" s="127"/>
      <c r="C4256" s="124"/>
    </row>
    <row r="4257" spans="1:3" ht="18.75" customHeight="1" x14ac:dyDescent="0.35">
      <c r="A4257" s="127"/>
      <c r="C4257" s="124"/>
    </row>
    <row r="4258" spans="1:3" ht="18.75" customHeight="1" x14ac:dyDescent="0.35">
      <c r="A4258" s="127"/>
      <c r="C4258" s="124"/>
    </row>
    <row r="4259" spans="1:3" ht="18.75" customHeight="1" x14ac:dyDescent="0.35">
      <c r="A4259" s="127"/>
      <c r="C4259" s="124"/>
    </row>
    <row r="4260" spans="1:3" ht="18.75" customHeight="1" x14ac:dyDescent="0.35">
      <c r="A4260" s="127"/>
      <c r="C4260" s="124"/>
    </row>
    <row r="4261" spans="1:3" ht="18.75" customHeight="1" x14ac:dyDescent="0.35">
      <c r="A4261" s="127"/>
      <c r="C4261" s="124"/>
    </row>
    <row r="4262" spans="1:3" ht="18.75" customHeight="1" x14ac:dyDescent="0.35">
      <c r="A4262" s="127"/>
      <c r="C4262" s="124"/>
    </row>
    <row r="4263" spans="1:3" ht="18.75" customHeight="1" x14ac:dyDescent="0.35">
      <c r="A4263" s="127"/>
      <c r="C4263" s="124"/>
    </row>
    <row r="4264" spans="1:3" ht="18.75" customHeight="1" x14ac:dyDescent="0.35">
      <c r="A4264" s="127"/>
      <c r="C4264" s="124"/>
    </row>
    <row r="4265" spans="1:3" ht="18.75" customHeight="1" x14ac:dyDescent="0.35">
      <c r="A4265" s="127"/>
      <c r="C4265" s="124"/>
    </row>
    <row r="4266" spans="1:3" ht="18.75" customHeight="1" x14ac:dyDescent="0.35">
      <c r="A4266" s="127"/>
      <c r="C4266" s="124"/>
    </row>
    <row r="4267" spans="1:3" ht="18.75" customHeight="1" x14ac:dyDescent="0.35">
      <c r="A4267" s="127"/>
      <c r="C4267" s="124"/>
    </row>
    <row r="4268" spans="1:3" ht="18.75" customHeight="1" x14ac:dyDescent="0.35">
      <c r="A4268" s="127"/>
      <c r="C4268" s="124"/>
    </row>
    <row r="4269" spans="1:3" ht="18.75" customHeight="1" x14ac:dyDescent="0.35">
      <c r="A4269" s="127"/>
      <c r="C4269" s="124"/>
    </row>
    <row r="4270" spans="1:3" ht="18.75" customHeight="1" x14ac:dyDescent="0.35">
      <c r="A4270" s="127"/>
      <c r="C4270" s="124"/>
    </row>
    <row r="4271" spans="1:3" ht="18.75" customHeight="1" x14ac:dyDescent="0.35">
      <c r="A4271" s="127"/>
      <c r="C4271" s="124"/>
    </row>
    <row r="4272" spans="1:3" ht="18.75" customHeight="1" x14ac:dyDescent="0.35">
      <c r="A4272" s="127"/>
      <c r="C4272" s="124"/>
    </row>
    <row r="4273" spans="1:3" ht="18.75" customHeight="1" x14ac:dyDescent="0.35">
      <c r="A4273" s="127"/>
      <c r="C4273" s="124"/>
    </row>
    <row r="4274" spans="1:3" ht="18.75" customHeight="1" x14ac:dyDescent="0.35">
      <c r="A4274" s="127"/>
      <c r="C4274" s="124"/>
    </row>
    <row r="4275" spans="1:3" ht="18.75" customHeight="1" x14ac:dyDescent="0.35">
      <c r="A4275" s="127"/>
      <c r="C4275" s="124"/>
    </row>
    <row r="4276" spans="1:3" ht="18.75" customHeight="1" x14ac:dyDescent="0.35">
      <c r="A4276" s="127"/>
      <c r="C4276" s="124"/>
    </row>
    <row r="4277" spans="1:3" ht="18.75" customHeight="1" x14ac:dyDescent="0.35">
      <c r="A4277" s="127"/>
      <c r="C4277" s="124"/>
    </row>
    <row r="4278" spans="1:3" ht="18.75" customHeight="1" x14ac:dyDescent="0.35">
      <c r="A4278" s="127"/>
      <c r="C4278" s="124"/>
    </row>
    <row r="4279" spans="1:3" ht="18.75" customHeight="1" x14ac:dyDescent="0.35">
      <c r="A4279" s="127"/>
      <c r="C4279" s="124"/>
    </row>
    <row r="4280" spans="1:3" ht="18.75" customHeight="1" x14ac:dyDescent="0.35">
      <c r="A4280" s="127"/>
      <c r="C4280" s="124"/>
    </row>
    <row r="4281" spans="1:3" ht="18.75" customHeight="1" x14ac:dyDescent="0.35">
      <c r="A4281" s="127"/>
      <c r="C4281" s="124"/>
    </row>
    <row r="4282" spans="1:3" ht="18.75" customHeight="1" x14ac:dyDescent="0.35">
      <c r="A4282" s="127"/>
      <c r="C4282" s="124"/>
    </row>
    <row r="4283" spans="1:3" ht="18.75" customHeight="1" x14ac:dyDescent="0.35">
      <c r="A4283" s="127"/>
      <c r="C4283" s="124"/>
    </row>
    <row r="4284" spans="1:3" ht="18.75" customHeight="1" x14ac:dyDescent="0.35">
      <c r="A4284" s="127"/>
      <c r="C4284" s="124"/>
    </row>
    <row r="4285" spans="1:3" ht="18.75" customHeight="1" x14ac:dyDescent="0.35">
      <c r="A4285" s="127"/>
      <c r="C4285" s="124"/>
    </row>
    <row r="4286" spans="1:3" ht="18.75" customHeight="1" x14ac:dyDescent="0.35">
      <c r="A4286" s="127"/>
      <c r="C4286" s="124"/>
    </row>
    <row r="4287" spans="1:3" ht="18.75" customHeight="1" x14ac:dyDescent="0.35">
      <c r="A4287" s="127"/>
      <c r="C4287" s="124"/>
    </row>
    <row r="4288" spans="1:3" ht="18.75" customHeight="1" x14ac:dyDescent="0.35">
      <c r="A4288" s="127"/>
      <c r="C4288" s="124"/>
    </row>
    <row r="4289" spans="1:3" ht="18.75" customHeight="1" x14ac:dyDescent="0.35">
      <c r="A4289" s="127"/>
      <c r="C4289" s="124"/>
    </row>
    <row r="4290" spans="1:3" ht="18.75" customHeight="1" x14ac:dyDescent="0.35">
      <c r="A4290" s="127"/>
      <c r="C4290" s="124"/>
    </row>
    <row r="4291" spans="1:3" ht="18.75" customHeight="1" x14ac:dyDescent="0.35">
      <c r="A4291" s="127"/>
      <c r="C4291" s="124"/>
    </row>
    <row r="4292" spans="1:3" ht="18.75" customHeight="1" x14ac:dyDescent="0.35">
      <c r="A4292" s="127"/>
      <c r="C4292" s="124"/>
    </row>
    <row r="4293" spans="1:3" ht="18.75" customHeight="1" x14ac:dyDescent="0.35">
      <c r="A4293" s="127"/>
      <c r="C4293" s="124"/>
    </row>
    <row r="4294" spans="1:3" ht="18.75" customHeight="1" x14ac:dyDescent="0.35">
      <c r="A4294" s="127"/>
      <c r="C4294" s="124"/>
    </row>
    <row r="4295" spans="1:3" ht="18.75" customHeight="1" x14ac:dyDescent="0.35">
      <c r="A4295" s="127"/>
      <c r="C4295" s="124"/>
    </row>
    <row r="4296" spans="1:3" ht="18.75" customHeight="1" x14ac:dyDescent="0.35">
      <c r="A4296" s="127"/>
      <c r="C4296" s="124"/>
    </row>
    <row r="4297" spans="1:3" ht="18.75" customHeight="1" x14ac:dyDescent="0.35">
      <c r="A4297" s="127"/>
      <c r="C4297" s="124"/>
    </row>
    <row r="4298" spans="1:3" ht="18.75" customHeight="1" x14ac:dyDescent="0.35">
      <c r="A4298" s="127"/>
      <c r="C4298" s="124"/>
    </row>
    <row r="4299" spans="1:3" ht="18.75" customHeight="1" x14ac:dyDescent="0.35">
      <c r="A4299" s="127"/>
      <c r="C4299" s="124"/>
    </row>
    <row r="4300" spans="1:3" ht="18.75" customHeight="1" x14ac:dyDescent="0.35">
      <c r="A4300" s="127"/>
      <c r="C4300" s="124"/>
    </row>
    <row r="4301" spans="1:3" ht="18.75" customHeight="1" x14ac:dyDescent="0.35">
      <c r="A4301" s="127"/>
      <c r="C4301" s="124"/>
    </row>
    <row r="4302" spans="1:3" ht="18.75" customHeight="1" x14ac:dyDescent="0.35">
      <c r="A4302" s="127"/>
      <c r="C4302" s="124"/>
    </row>
    <row r="4303" spans="1:3" ht="18.75" customHeight="1" x14ac:dyDescent="0.35">
      <c r="A4303" s="127"/>
      <c r="C4303" s="124"/>
    </row>
    <row r="4304" spans="1:3" ht="18.75" customHeight="1" x14ac:dyDescent="0.35">
      <c r="A4304" s="127"/>
      <c r="C4304" s="124"/>
    </row>
    <row r="4305" spans="1:3" ht="18.75" customHeight="1" x14ac:dyDescent="0.35">
      <c r="A4305" s="127"/>
      <c r="C4305" s="124"/>
    </row>
    <row r="4306" spans="1:3" ht="18.75" customHeight="1" x14ac:dyDescent="0.35">
      <c r="A4306" s="127"/>
      <c r="C4306" s="124"/>
    </row>
    <row r="4307" spans="1:3" ht="18.75" customHeight="1" x14ac:dyDescent="0.35">
      <c r="A4307" s="127"/>
      <c r="C4307" s="124"/>
    </row>
    <row r="4308" spans="1:3" ht="18.75" customHeight="1" x14ac:dyDescent="0.35">
      <c r="A4308" s="127"/>
      <c r="C4308" s="124"/>
    </row>
    <row r="4309" spans="1:3" ht="18.75" customHeight="1" x14ac:dyDescent="0.35">
      <c r="A4309" s="127"/>
      <c r="C4309" s="124"/>
    </row>
    <row r="4310" spans="1:3" ht="18.75" customHeight="1" x14ac:dyDescent="0.35">
      <c r="A4310" s="127"/>
      <c r="C4310" s="124"/>
    </row>
    <row r="4311" spans="1:3" ht="18.75" customHeight="1" x14ac:dyDescent="0.35">
      <c r="A4311" s="127"/>
      <c r="C4311" s="124"/>
    </row>
    <row r="4312" spans="1:3" ht="18.75" customHeight="1" x14ac:dyDescent="0.35">
      <c r="A4312" s="127"/>
      <c r="C4312" s="124"/>
    </row>
    <row r="4313" spans="1:3" ht="18.75" customHeight="1" x14ac:dyDescent="0.35">
      <c r="A4313" s="127"/>
      <c r="C4313" s="124"/>
    </row>
    <row r="4314" spans="1:3" ht="18.75" customHeight="1" x14ac:dyDescent="0.35">
      <c r="A4314" s="127"/>
      <c r="C4314" s="124"/>
    </row>
    <row r="4315" spans="1:3" ht="18.75" customHeight="1" x14ac:dyDescent="0.35">
      <c r="A4315" s="127"/>
      <c r="C4315" s="124"/>
    </row>
    <row r="4316" spans="1:3" ht="18.75" customHeight="1" x14ac:dyDescent="0.35">
      <c r="A4316" s="127"/>
      <c r="C4316" s="124"/>
    </row>
    <row r="4317" spans="1:3" ht="18.75" customHeight="1" x14ac:dyDescent="0.35">
      <c r="A4317" s="127"/>
      <c r="C4317" s="124"/>
    </row>
    <row r="4318" spans="1:3" ht="18.75" customHeight="1" x14ac:dyDescent="0.35">
      <c r="A4318" s="127"/>
      <c r="C4318" s="124"/>
    </row>
    <row r="4319" spans="1:3" ht="18.75" customHeight="1" x14ac:dyDescent="0.35">
      <c r="A4319" s="127"/>
      <c r="C4319" s="124"/>
    </row>
    <row r="4320" spans="1:3" ht="18.75" customHeight="1" x14ac:dyDescent="0.35">
      <c r="A4320" s="127"/>
      <c r="C4320" s="124"/>
    </row>
    <row r="4321" spans="1:3" ht="18.75" customHeight="1" x14ac:dyDescent="0.35">
      <c r="A4321" s="127"/>
      <c r="C4321" s="124"/>
    </row>
    <row r="4322" spans="1:3" ht="18.75" customHeight="1" x14ac:dyDescent="0.35">
      <c r="A4322" s="127"/>
      <c r="C4322" s="124"/>
    </row>
    <row r="4323" spans="1:3" ht="18.75" customHeight="1" x14ac:dyDescent="0.35">
      <c r="A4323" s="127"/>
      <c r="C4323" s="124"/>
    </row>
    <row r="4324" spans="1:3" ht="18.75" customHeight="1" x14ac:dyDescent="0.35">
      <c r="A4324" s="127"/>
      <c r="C4324" s="124"/>
    </row>
    <row r="4325" spans="1:3" ht="18.75" customHeight="1" x14ac:dyDescent="0.35">
      <c r="A4325" s="127"/>
      <c r="C4325" s="124"/>
    </row>
    <row r="4326" spans="1:3" ht="18.75" customHeight="1" x14ac:dyDescent="0.35">
      <c r="A4326" s="127"/>
      <c r="C4326" s="124"/>
    </row>
    <row r="4327" spans="1:3" ht="18.75" customHeight="1" x14ac:dyDescent="0.35">
      <c r="A4327" s="127"/>
      <c r="C4327" s="124"/>
    </row>
    <row r="4328" spans="1:3" ht="18.75" customHeight="1" x14ac:dyDescent="0.35">
      <c r="A4328" s="127"/>
      <c r="C4328" s="124"/>
    </row>
    <row r="4329" spans="1:3" ht="18.75" customHeight="1" x14ac:dyDescent="0.35">
      <c r="A4329" s="127"/>
      <c r="C4329" s="124"/>
    </row>
    <row r="4330" spans="1:3" ht="18.75" customHeight="1" x14ac:dyDescent="0.35">
      <c r="A4330" s="127"/>
      <c r="C4330" s="124"/>
    </row>
    <row r="4331" spans="1:3" ht="18.75" customHeight="1" x14ac:dyDescent="0.35">
      <c r="A4331" s="127"/>
      <c r="C4331" s="124"/>
    </row>
    <row r="4332" spans="1:3" ht="18.75" customHeight="1" x14ac:dyDescent="0.35">
      <c r="A4332" s="127"/>
      <c r="C4332" s="124"/>
    </row>
    <row r="4333" spans="1:3" ht="18.75" customHeight="1" x14ac:dyDescent="0.35">
      <c r="A4333" s="127"/>
      <c r="C4333" s="124"/>
    </row>
    <row r="4334" spans="1:3" ht="18.75" customHeight="1" x14ac:dyDescent="0.35">
      <c r="A4334" s="127"/>
      <c r="C4334" s="124"/>
    </row>
    <row r="4335" spans="1:3" ht="18.75" customHeight="1" x14ac:dyDescent="0.35">
      <c r="A4335" s="127"/>
      <c r="C4335" s="124"/>
    </row>
    <row r="4336" spans="1:3" ht="18.75" customHeight="1" x14ac:dyDescent="0.35">
      <c r="A4336" s="127"/>
      <c r="C4336" s="124"/>
    </row>
    <row r="4337" spans="1:3" ht="18.75" customHeight="1" x14ac:dyDescent="0.35">
      <c r="A4337" s="127"/>
      <c r="C4337" s="124"/>
    </row>
    <row r="4338" spans="1:3" ht="18.75" customHeight="1" x14ac:dyDescent="0.35">
      <c r="A4338" s="127"/>
      <c r="C4338" s="124"/>
    </row>
    <row r="4339" spans="1:3" ht="18.75" customHeight="1" x14ac:dyDescent="0.35">
      <c r="A4339" s="127"/>
      <c r="C4339" s="124"/>
    </row>
    <row r="4340" spans="1:3" ht="18.75" customHeight="1" x14ac:dyDescent="0.35">
      <c r="A4340" s="127"/>
      <c r="C4340" s="124"/>
    </row>
    <row r="4341" spans="1:3" ht="18.75" customHeight="1" x14ac:dyDescent="0.35">
      <c r="A4341" s="127"/>
      <c r="C4341" s="124"/>
    </row>
    <row r="4342" spans="1:3" ht="18.75" customHeight="1" x14ac:dyDescent="0.35">
      <c r="A4342" s="127"/>
      <c r="C4342" s="124"/>
    </row>
    <row r="4343" spans="1:3" ht="18.75" customHeight="1" x14ac:dyDescent="0.35">
      <c r="A4343" s="127"/>
      <c r="C4343" s="124"/>
    </row>
    <row r="4344" spans="1:3" ht="18.75" customHeight="1" x14ac:dyDescent="0.35">
      <c r="A4344" s="127"/>
      <c r="C4344" s="124"/>
    </row>
    <row r="4345" spans="1:3" ht="18.75" customHeight="1" x14ac:dyDescent="0.35">
      <c r="A4345" s="127"/>
      <c r="C4345" s="124"/>
    </row>
    <row r="4346" spans="1:3" ht="18.75" customHeight="1" x14ac:dyDescent="0.35">
      <c r="A4346" s="127"/>
      <c r="C4346" s="124"/>
    </row>
    <row r="4347" spans="1:3" ht="18.75" customHeight="1" x14ac:dyDescent="0.35">
      <c r="A4347" s="127"/>
      <c r="C4347" s="124"/>
    </row>
    <row r="4348" spans="1:3" ht="18.75" customHeight="1" x14ac:dyDescent="0.35">
      <c r="A4348" s="127"/>
      <c r="C4348" s="124"/>
    </row>
    <row r="4349" spans="1:3" ht="18.75" customHeight="1" x14ac:dyDescent="0.35">
      <c r="A4349" s="127"/>
      <c r="C4349" s="124"/>
    </row>
    <row r="4350" spans="1:3" ht="18.75" customHeight="1" x14ac:dyDescent="0.35">
      <c r="A4350" s="127"/>
      <c r="C4350" s="124"/>
    </row>
    <row r="4351" spans="1:3" ht="18.75" customHeight="1" x14ac:dyDescent="0.35">
      <c r="A4351" s="127"/>
      <c r="C4351" s="124"/>
    </row>
    <row r="4352" spans="1:3" ht="18.75" customHeight="1" x14ac:dyDescent="0.35">
      <c r="A4352" s="127"/>
      <c r="C4352" s="124"/>
    </row>
    <row r="4353" spans="1:3" ht="18.75" customHeight="1" x14ac:dyDescent="0.35">
      <c r="A4353" s="127"/>
      <c r="C4353" s="124"/>
    </row>
    <row r="4354" spans="1:3" ht="18.75" customHeight="1" x14ac:dyDescent="0.35">
      <c r="A4354" s="127"/>
      <c r="C4354" s="124"/>
    </row>
    <row r="4355" spans="1:3" ht="18.75" customHeight="1" x14ac:dyDescent="0.35">
      <c r="A4355" s="127"/>
      <c r="C4355" s="124"/>
    </row>
    <row r="4356" spans="1:3" ht="18.75" customHeight="1" x14ac:dyDescent="0.35">
      <c r="A4356" s="127"/>
      <c r="C4356" s="124"/>
    </row>
    <row r="4357" spans="1:3" ht="18.75" customHeight="1" x14ac:dyDescent="0.35">
      <c r="A4357" s="127"/>
      <c r="C4357" s="124"/>
    </row>
    <row r="4358" spans="1:3" ht="18.75" customHeight="1" x14ac:dyDescent="0.35">
      <c r="A4358" s="127"/>
      <c r="C4358" s="124"/>
    </row>
    <row r="4359" spans="1:3" ht="18.75" customHeight="1" x14ac:dyDescent="0.35">
      <c r="A4359" s="127"/>
      <c r="C4359" s="124"/>
    </row>
    <row r="4360" spans="1:3" ht="18.75" customHeight="1" x14ac:dyDescent="0.35">
      <c r="A4360" s="127"/>
      <c r="C4360" s="124"/>
    </row>
    <row r="4361" spans="1:3" ht="18.75" customHeight="1" x14ac:dyDescent="0.35">
      <c r="A4361" s="127"/>
      <c r="C4361" s="124"/>
    </row>
    <row r="4362" spans="1:3" ht="18.75" customHeight="1" x14ac:dyDescent="0.35">
      <c r="A4362" s="127"/>
      <c r="C4362" s="124"/>
    </row>
    <row r="4363" spans="1:3" ht="18.75" customHeight="1" x14ac:dyDescent="0.35">
      <c r="A4363" s="127"/>
      <c r="C4363" s="124"/>
    </row>
    <row r="4364" spans="1:3" ht="18.75" customHeight="1" x14ac:dyDescent="0.35">
      <c r="A4364" s="127"/>
      <c r="C4364" s="124"/>
    </row>
    <row r="4365" spans="1:3" ht="18.75" customHeight="1" x14ac:dyDescent="0.35">
      <c r="A4365" s="127"/>
      <c r="C4365" s="124"/>
    </row>
    <row r="4366" spans="1:3" ht="18.75" customHeight="1" x14ac:dyDescent="0.35">
      <c r="A4366" s="127"/>
      <c r="C4366" s="124"/>
    </row>
    <row r="4367" spans="1:3" ht="18.75" customHeight="1" x14ac:dyDescent="0.35">
      <c r="A4367" s="127"/>
      <c r="C4367" s="124"/>
    </row>
    <row r="4368" spans="1:3" ht="18.75" customHeight="1" x14ac:dyDescent="0.35">
      <c r="A4368" s="127"/>
      <c r="C4368" s="124"/>
    </row>
    <row r="4369" spans="1:3" ht="18.75" customHeight="1" x14ac:dyDescent="0.35">
      <c r="A4369" s="127"/>
      <c r="C4369" s="124"/>
    </row>
    <row r="4370" spans="1:3" ht="18.75" customHeight="1" x14ac:dyDescent="0.35">
      <c r="A4370" s="127"/>
      <c r="C4370" s="124"/>
    </row>
    <row r="4371" spans="1:3" ht="18.75" customHeight="1" x14ac:dyDescent="0.35">
      <c r="A4371" s="127"/>
      <c r="C4371" s="124"/>
    </row>
    <row r="4372" spans="1:3" ht="18.75" customHeight="1" x14ac:dyDescent="0.35">
      <c r="A4372" s="127"/>
      <c r="C4372" s="124"/>
    </row>
    <row r="4373" spans="1:3" ht="18.75" customHeight="1" x14ac:dyDescent="0.35">
      <c r="A4373" s="127"/>
      <c r="C4373" s="124"/>
    </row>
    <row r="4374" spans="1:3" ht="18.75" customHeight="1" x14ac:dyDescent="0.35">
      <c r="A4374" s="127"/>
      <c r="C4374" s="124"/>
    </row>
    <row r="4375" spans="1:3" ht="18.75" customHeight="1" x14ac:dyDescent="0.35">
      <c r="A4375" s="127"/>
      <c r="C4375" s="124"/>
    </row>
    <row r="4376" spans="1:3" ht="18.75" customHeight="1" x14ac:dyDescent="0.35">
      <c r="A4376" s="127"/>
      <c r="C4376" s="124"/>
    </row>
    <row r="4377" spans="1:3" ht="18.75" customHeight="1" x14ac:dyDescent="0.35">
      <c r="A4377" s="127"/>
      <c r="C4377" s="124"/>
    </row>
    <row r="4378" spans="1:3" ht="18.75" customHeight="1" x14ac:dyDescent="0.35">
      <c r="A4378" s="127"/>
      <c r="C4378" s="124"/>
    </row>
    <row r="4379" spans="1:3" ht="18.75" customHeight="1" x14ac:dyDescent="0.35">
      <c r="A4379" s="127"/>
      <c r="C4379" s="124"/>
    </row>
    <row r="4380" spans="1:3" ht="18.75" customHeight="1" x14ac:dyDescent="0.35">
      <c r="A4380" s="127"/>
      <c r="C4380" s="124"/>
    </row>
    <row r="4381" spans="1:3" ht="18.75" customHeight="1" x14ac:dyDescent="0.35">
      <c r="A4381" s="127"/>
      <c r="C4381" s="124"/>
    </row>
    <row r="4382" spans="1:3" ht="18.75" customHeight="1" x14ac:dyDescent="0.35">
      <c r="A4382" s="127"/>
      <c r="C4382" s="124"/>
    </row>
    <row r="4383" spans="1:3" ht="18.75" customHeight="1" x14ac:dyDescent="0.35">
      <c r="A4383" s="127"/>
      <c r="C4383" s="124"/>
    </row>
    <row r="4384" spans="1:3" ht="18.75" customHeight="1" x14ac:dyDescent="0.35">
      <c r="A4384" s="127"/>
      <c r="C4384" s="124"/>
    </row>
    <row r="4385" spans="1:3" ht="18.75" customHeight="1" x14ac:dyDescent="0.35">
      <c r="A4385" s="127"/>
      <c r="C4385" s="124"/>
    </row>
    <row r="4386" spans="1:3" ht="18.75" customHeight="1" x14ac:dyDescent="0.35">
      <c r="A4386" s="127"/>
      <c r="C4386" s="124"/>
    </row>
    <row r="4387" spans="1:3" ht="18.75" customHeight="1" x14ac:dyDescent="0.35">
      <c r="A4387" s="127"/>
      <c r="C4387" s="124"/>
    </row>
    <row r="4388" spans="1:3" ht="18.75" customHeight="1" x14ac:dyDescent="0.35">
      <c r="A4388" s="127"/>
      <c r="C4388" s="124"/>
    </row>
    <row r="4389" spans="1:3" ht="18.75" customHeight="1" x14ac:dyDescent="0.35">
      <c r="A4389" s="127"/>
      <c r="C4389" s="124"/>
    </row>
    <row r="4390" spans="1:3" ht="18.75" customHeight="1" x14ac:dyDescent="0.35">
      <c r="A4390" s="127"/>
      <c r="C4390" s="124"/>
    </row>
    <row r="4391" spans="1:3" ht="18.75" customHeight="1" x14ac:dyDescent="0.35">
      <c r="A4391" s="127"/>
      <c r="C4391" s="124"/>
    </row>
    <row r="4392" spans="1:3" ht="18.75" customHeight="1" x14ac:dyDescent="0.35">
      <c r="A4392" s="127"/>
      <c r="C4392" s="124"/>
    </row>
    <row r="4393" spans="1:3" ht="18.75" customHeight="1" x14ac:dyDescent="0.35">
      <c r="A4393" s="127"/>
      <c r="C4393" s="124"/>
    </row>
    <row r="4394" spans="1:3" ht="18.75" customHeight="1" x14ac:dyDescent="0.35">
      <c r="A4394" s="127"/>
      <c r="C4394" s="124"/>
    </row>
    <row r="4395" spans="1:3" ht="18.75" customHeight="1" x14ac:dyDescent="0.35">
      <c r="A4395" s="127"/>
      <c r="C4395" s="124"/>
    </row>
    <row r="4396" spans="1:3" ht="18.75" customHeight="1" x14ac:dyDescent="0.35">
      <c r="A4396" s="127"/>
      <c r="C4396" s="124"/>
    </row>
    <row r="4397" spans="1:3" ht="18.75" customHeight="1" x14ac:dyDescent="0.35">
      <c r="A4397" s="127"/>
      <c r="C4397" s="124"/>
    </row>
    <row r="4398" spans="1:3" ht="18.75" customHeight="1" x14ac:dyDescent="0.35">
      <c r="A4398" s="127"/>
      <c r="C4398" s="124"/>
    </row>
    <row r="4399" spans="1:3" ht="18.75" customHeight="1" x14ac:dyDescent="0.35">
      <c r="A4399" s="127"/>
      <c r="C4399" s="124"/>
    </row>
    <row r="4400" spans="1:3" ht="18.75" customHeight="1" x14ac:dyDescent="0.35">
      <c r="A4400" s="127"/>
      <c r="C4400" s="124"/>
    </row>
    <row r="4401" spans="1:3" ht="18.75" customHeight="1" x14ac:dyDescent="0.35">
      <c r="A4401" s="127"/>
      <c r="C4401" s="124"/>
    </row>
    <row r="4402" spans="1:3" ht="18.75" customHeight="1" x14ac:dyDescent="0.35">
      <c r="A4402" s="127"/>
      <c r="C4402" s="124"/>
    </row>
    <row r="4403" spans="1:3" ht="18.75" customHeight="1" x14ac:dyDescent="0.35">
      <c r="A4403" s="127"/>
      <c r="C4403" s="124"/>
    </row>
    <row r="4404" spans="1:3" ht="18.75" customHeight="1" x14ac:dyDescent="0.35">
      <c r="A4404" s="127"/>
      <c r="C4404" s="124"/>
    </row>
    <row r="4405" spans="1:3" ht="18.75" customHeight="1" x14ac:dyDescent="0.35">
      <c r="A4405" s="127"/>
      <c r="C4405" s="124"/>
    </row>
    <row r="4406" spans="1:3" ht="18.75" customHeight="1" x14ac:dyDescent="0.35">
      <c r="A4406" s="127"/>
      <c r="C4406" s="124"/>
    </row>
    <row r="4407" spans="1:3" ht="18.75" customHeight="1" x14ac:dyDescent="0.35">
      <c r="A4407" s="127"/>
      <c r="C4407" s="124"/>
    </row>
    <row r="4408" spans="1:3" ht="18.75" customHeight="1" x14ac:dyDescent="0.35">
      <c r="A4408" s="127"/>
      <c r="C4408" s="124"/>
    </row>
    <row r="4409" spans="1:3" ht="18.75" customHeight="1" x14ac:dyDescent="0.35">
      <c r="A4409" s="127"/>
      <c r="C4409" s="124"/>
    </row>
    <row r="4410" spans="1:3" ht="18.75" customHeight="1" x14ac:dyDescent="0.35">
      <c r="A4410" s="127"/>
      <c r="C4410" s="124"/>
    </row>
    <row r="4411" spans="1:3" ht="18.75" customHeight="1" x14ac:dyDescent="0.35">
      <c r="A4411" s="127"/>
      <c r="C4411" s="124"/>
    </row>
    <row r="4412" spans="1:3" ht="18.75" customHeight="1" x14ac:dyDescent="0.35">
      <c r="A4412" s="127"/>
      <c r="C4412" s="124"/>
    </row>
    <row r="4413" spans="1:3" ht="18.75" customHeight="1" x14ac:dyDescent="0.35">
      <c r="A4413" s="127"/>
      <c r="C4413" s="124"/>
    </row>
    <row r="4414" spans="1:3" ht="18.75" customHeight="1" x14ac:dyDescent="0.35">
      <c r="A4414" s="127"/>
      <c r="C4414" s="124"/>
    </row>
    <row r="4415" spans="1:3" ht="18.75" customHeight="1" x14ac:dyDescent="0.35">
      <c r="A4415" s="127"/>
      <c r="C4415" s="124"/>
    </row>
    <row r="4416" spans="1:3" ht="18.75" customHeight="1" x14ac:dyDescent="0.35">
      <c r="A4416" s="127"/>
      <c r="C4416" s="124"/>
    </row>
    <row r="4417" spans="1:3" ht="18.75" customHeight="1" x14ac:dyDescent="0.35">
      <c r="A4417" s="127"/>
      <c r="C4417" s="124"/>
    </row>
    <row r="4418" spans="1:3" ht="18.75" customHeight="1" x14ac:dyDescent="0.35">
      <c r="A4418" s="127"/>
      <c r="C4418" s="124"/>
    </row>
    <row r="4419" spans="1:3" ht="18.75" customHeight="1" x14ac:dyDescent="0.35">
      <c r="A4419" s="127"/>
      <c r="C4419" s="124"/>
    </row>
    <row r="4420" spans="1:3" ht="18.75" customHeight="1" x14ac:dyDescent="0.35">
      <c r="A4420" s="127"/>
      <c r="C4420" s="124"/>
    </row>
    <row r="4421" spans="1:3" ht="18.75" customHeight="1" x14ac:dyDescent="0.35">
      <c r="A4421" s="127"/>
      <c r="C4421" s="124"/>
    </row>
    <row r="4422" spans="1:3" ht="18.75" customHeight="1" x14ac:dyDescent="0.35">
      <c r="A4422" s="127"/>
      <c r="C4422" s="124"/>
    </row>
    <row r="4423" spans="1:3" ht="18.75" customHeight="1" x14ac:dyDescent="0.35">
      <c r="A4423" s="127"/>
      <c r="C4423" s="124"/>
    </row>
    <row r="4424" spans="1:3" ht="18.75" customHeight="1" x14ac:dyDescent="0.35">
      <c r="A4424" s="127"/>
      <c r="C4424" s="124"/>
    </row>
    <row r="4425" spans="1:3" ht="18.75" customHeight="1" x14ac:dyDescent="0.35">
      <c r="A4425" s="127"/>
      <c r="C4425" s="124"/>
    </row>
    <row r="4426" spans="1:3" ht="18.75" customHeight="1" x14ac:dyDescent="0.35">
      <c r="A4426" s="127"/>
      <c r="C4426" s="124"/>
    </row>
    <row r="4427" spans="1:3" ht="18.75" customHeight="1" x14ac:dyDescent="0.35">
      <c r="A4427" s="127"/>
      <c r="C4427" s="124"/>
    </row>
    <row r="4428" spans="1:3" ht="18.75" customHeight="1" x14ac:dyDescent="0.35">
      <c r="A4428" s="127"/>
      <c r="C4428" s="124"/>
    </row>
    <row r="4429" spans="1:3" ht="18.75" customHeight="1" x14ac:dyDescent="0.35">
      <c r="A4429" s="127"/>
      <c r="C4429" s="124"/>
    </row>
    <row r="4430" spans="1:3" ht="18.75" customHeight="1" x14ac:dyDescent="0.35">
      <c r="A4430" s="127"/>
      <c r="C4430" s="124"/>
    </row>
    <row r="4431" spans="1:3" ht="18.75" customHeight="1" x14ac:dyDescent="0.35">
      <c r="A4431" s="127"/>
      <c r="C4431" s="124"/>
    </row>
    <row r="4432" spans="1:3" ht="18.75" customHeight="1" x14ac:dyDescent="0.35">
      <c r="A4432" s="127"/>
      <c r="C4432" s="124"/>
    </row>
    <row r="4433" spans="1:3" ht="18.75" customHeight="1" x14ac:dyDescent="0.35">
      <c r="A4433" s="127"/>
      <c r="C4433" s="124"/>
    </row>
    <row r="4434" spans="1:3" ht="18.75" customHeight="1" x14ac:dyDescent="0.35">
      <c r="A4434" s="127"/>
      <c r="C4434" s="124"/>
    </row>
    <row r="4435" spans="1:3" ht="18.75" customHeight="1" x14ac:dyDescent="0.35">
      <c r="A4435" s="127"/>
      <c r="C4435" s="124"/>
    </row>
    <row r="4436" spans="1:3" ht="18.75" customHeight="1" x14ac:dyDescent="0.35">
      <c r="A4436" s="127"/>
      <c r="C4436" s="124"/>
    </row>
    <row r="4437" spans="1:3" ht="18.75" customHeight="1" x14ac:dyDescent="0.35">
      <c r="A4437" s="127"/>
      <c r="C4437" s="124"/>
    </row>
    <row r="4438" spans="1:3" ht="18.75" customHeight="1" x14ac:dyDescent="0.35">
      <c r="A4438" s="127"/>
      <c r="C4438" s="124"/>
    </row>
    <row r="4439" spans="1:3" ht="18.75" customHeight="1" x14ac:dyDescent="0.35">
      <c r="A4439" s="127"/>
      <c r="C4439" s="124"/>
    </row>
    <row r="4440" spans="1:3" ht="18.75" customHeight="1" x14ac:dyDescent="0.35">
      <c r="A4440" s="127"/>
      <c r="C4440" s="124"/>
    </row>
    <row r="4441" spans="1:3" ht="18.75" customHeight="1" x14ac:dyDescent="0.35">
      <c r="A4441" s="127"/>
      <c r="C4441" s="124"/>
    </row>
    <row r="4442" spans="1:3" ht="18.75" customHeight="1" x14ac:dyDescent="0.35">
      <c r="A4442" s="127"/>
      <c r="C4442" s="124"/>
    </row>
    <row r="4443" spans="1:3" ht="18.75" customHeight="1" x14ac:dyDescent="0.35">
      <c r="A4443" s="127"/>
      <c r="C4443" s="124"/>
    </row>
    <row r="4444" spans="1:3" ht="18.75" customHeight="1" x14ac:dyDescent="0.35">
      <c r="A4444" s="127"/>
      <c r="C4444" s="124"/>
    </row>
    <row r="4445" spans="1:3" ht="18.75" customHeight="1" x14ac:dyDescent="0.35">
      <c r="A4445" s="127"/>
      <c r="C4445" s="124"/>
    </row>
    <row r="4446" spans="1:3" ht="18.75" customHeight="1" x14ac:dyDescent="0.35">
      <c r="A4446" s="127"/>
      <c r="C4446" s="124"/>
    </row>
    <row r="4447" spans="1:3" ht="18.75" customHeight="1" x14ac:dyDescent="0.35">
      <c r="A4447" s="127"/>
      <c r="C4447" s="124"/>
    </row>
    <row r="4448" spans="1:3" ht="18.75" customHeight="1" x14ac:dyDescent="0.35">
      <c r="A4448" s="127"/>
      <c r="C4448" s="124"/>
    </row>
    <row r="4449" spans="1:3" ht="18.75" customHeight="1" x14ac:dyDescent="0.35">
      <c r="A4449" s="127"/>
      <c r="C4449" s="124"/>
    </row>
    <row r="4450" spans="1:3" ht="18.75" customHeight="1" x14ac:dyDescent="0.35">
      <c r="A4450" s="127"/>
      <c r="C4450" s="124"/>
    </row>
    <row r="4451" spans="1:3" ht="18.75" customHeight="1" x14ac:dyDescent="0.35">
      <c r="A4451" s="127"/>
      <c r="C4451" s="124"/>
    </row>
    <row r="4452" spans="1:3" ht="18.75" customHeight="1" x14ac:dyDescent="0.35">
      <c r="A4452" s="127"/>
      <c r="C4452" s="124"/>
    </row>
    <row r="4453" spans="1:3" ht="18.75" customHeight="1" x14ac:dyDescent="0.35">
      <c r="A4453" s="127"/>
      <c r="C4453" s="124"/>
    </row>
    <row r="4454" spans="1:3" ht="18.75" customHeight="1" x14ac:dyDescent="0.35">
      <c r="A4454" s="127"/>
      <c r="C4454" s="124"/>
    </row>
    <row r="4455" spans="1:3" ht="18.75" customHeight="1" x14ac:dyDescent="0.35">
      <c r="A4455" s="127"/>
      <c r="C4455" s="124"/>
    </row>
    <row r="4456" spans="1:3" ht="18.75" customHeight="1" x14ac:dyDescent="0.35">
      <c r="A4456" s="127"/>
      <c r="C4456" s="124"/>
    </row>
    <row r="4457" spans="1:3" ht="18.75" customHeight="1" x14ac:dyDescent="0.35">
      <c r="A4457" s="127"/>
      <c r="C4457" s="124"/>
    </row>
    <row r="4458" spans="1:3" ht="18.75" customHeight="1" x14ac:dyDescent="0.35">
      <c r="A4458" s="127"/>
      <c r="C4458" s="124"/>
    </row>
    <row r="4459" spans="1:3" ht="18.75" customHeight="1" x14ac:dyDescent="0.35">
      <c r="A4459" s="127"/>
      <c r="C4459" s="124"/>
    </row>
    <row r="4460" spans="1:3" ht="18.75" customHeight="1" x14ac:dyDescent="0.35">
      <c r="A4460" s="127"/>
      <c r="C4460" s="124"/>
    </row>
    <row r="4461" spans="1:3" ht="18.75" customHeight="1" x14ac:dyDescent="0.35">
      <c r="A4461" s="127"/>
      <c r="C4461" s="124"/>
    </row>
    <row r="4462" spans="1:3" ht="18.75" customHeight="1" x14ac:dyDescent="0.35">
      <c r="A4462" s="127"/>
      <c r="C4462" s="124"/>
    </row>
    <row r="4463" spans="1:3" ht="18.75" customHeight="1" x14ac:dyDescent="0.35">
      <c r="A4463" s="127"/>
      <c r="C4463" s="124"/>
    </row>
    <row r="4464" spans="1:3" ht="18.75" customHeight="1" x14ac:dyDescent="0.35">
      <c r="A4464" s="127"/>
      <c r="C4464" s="124"/>
    </row>
    <row r="4465" spans="1:3" ht="18.75" customHeight="1" x14ac:dyDescent="0.35">
      <c r="A4465" s="127"/>
      <c r="C4465" s="124"/>
    </row>
    <row r="4466" spans="1:3" ht="18.75" customHeight="1" x14ac:dyDescent="0.35">
      <c r="A4466" s="127"/>
      <c r="C4466" s="124"/>
    </row>
    <row r="4467" spans="1:3" ht="18.75" customHeight="1" x14ac:dyDescent="0.35">
      <c r="A4467" s="127"/>
      <c r="C4467" s="124"/>
    </row>
    <row r="4468" spans="1:3" ht="18.75" customHeight="1" x14ac:dyDescent="0.35">
      <c r="A4468" s="127"/>
      <c r="C4468" s="124"/>
    </row>
    <row r="4469" spans="1:3" ht="18.75" customHeight="1" x14ac:dyDescent="0.35">
      <c r="A4469" s="127"/>
      <c r="C4469" s="124"/>
    </row>
    <row r="4470" spans="1:3" ht="18.75" customHeight="1" x14ac:dyDescent="0.35">
      <c r="A4470" s="127"/>
      <c r="C4470" s="124"/>
    </row>
    <row r="4471" spans="1:3" ht="18.75" customHeight="1" x14ac:dyDescent="0.35">
      <c r="A4471" s="127"/>
      <c r="C4471" s="124"/>
    </row>
    <row r="4472" spans="1:3" ht="18.75" customHeight="1" x14ac:dyDescent="0.35">
      <c r="A4472" s="127"/>
      <c r="C4472" s="124"/>
    </row>
    <row r="4473" spans="1:3" ht="18.75" customHeight="1" x14ac:dyDescent="0.35">
      <c r="A4473" s="127"/>
      <c r="C4473" s="124"/>
    </row>
    <row r="4474" spans="1:3" ht="18.75" customHeight="1" x14ac:dyDescent="0.35">
      <c r="A4474" s="127"/>
      <c r="C4474" s="124"/>
    </row>
    <row r="4475" spans="1:3" ht="18.75" customHeight="1" x14ac:dyDescent="0.35">
      <c r="A4475" s="127"/>
      <c r="C4475" s="124"/>
    </row>
    <row r="4476" spans="1:3" ht="18.75" customHeight="1" x14ac:dyDescent="0.35">
      <c r="A4476" s="127"/>
      <c r="C4476" s="124"/>
    </row>
    <row r="4477" spans="1:3" ht="18.75" customHeight="1" x14ac:dyDescent="0.35">
      <c r="A4477" s="127"/>
      <c r="C4477" s="124"/>
    </row>
    <row r="4478" spans="1:3" ht="18.75" customHeight="1" x14ac:dyDescent="0.35">
      <c r="A4478" s="127"/>
      <c r="C4478" s="124"/>
    </row>
    <row r="4479" spans="1:3" ht="18.75" customHeight="1" x14ac:dyDescent="0.35">
      <c r="A4479" s="127"/>
      <c r="C4479" s="124"/>
    </row>
    <row r="4480" spans="1:3" ht="18.75" customHeight="1" x14ac:dyDescent="0.35">
      <c r="A4480" s="127"/>
      <c r="C4480" s="124"/>
    </row>
    <row r="4481" spans="1:3" ht="18.75" customHeight="1" x14ac:dyDescent="0.35">
      <c r="A4481" s="127"/>
      <c r="C4481" s="124"/>
    </row>
    <row r="4482" spans="1:3" ht="18.75" customHeight="1" x14ac:dyDescent="0.35">
      <c r="A4482" s="127"/>
      <c r="C4482" s="124"/>
    </row>
    <row r="4483" spans="1:3" ht="18.75" customHeight="1" x14ac:dyDescent="0.35">
      <c r="A4483" s="127"/>
      <c r="C4483" s="124"/>
    </row>
    <row r="4484" spans="1:3" ht="18.75" customHeight="1" x14ac:dyDescent="0.35">
      <c r="A4484" s="127"/>
      <c r="C4484" s="124"/>
    </row>
    <row r="4485" spans="1:3" ht="18.75" customHeight="1" x14ac:dyDescent="0.35">
      <c r="A4485" s="127"/>
      <c r="C4485" s="124"/>
    </row>
    <row r="4486" spans="1:3" ht="18.75" customHeight="1" x14ac:dyDescent="0.35">
      <c r="A4486" s="127"/>
      <c r="C4486" s="124"/>
    </row>
    <row r="4487" spans="1:3" ht="18.75" customHeight="1" x14ac:dyDescent="0.35">
      <c r="A4487" s="127"/>
      <c r="C4487" s="124"/>
    </row>
    <row r="4488" spans="1:3" ht="18.75" customHeight="1" x14ac:dyDescent="0.35">
      <c r="A4488" s="127"/>
      <c r="C4488" s="124"/>
    </row>
    <row r="4489" spans="1:3" ht="18.75" customHeight="1" x14ac:dyDescent="0.35">
      <c r="A4489" s="127"/>
      <c r="C4489" s="124"/>
    </row>
    <row r="4490" spans="1:3" ht="18.75" customHeight="1" x14ac:dyDescent="0.35">
      <c r="A4490" s="127"/>
      <c r="C4490" s="124"/>
    </row>
    <row r="4491" spans="1:3" ht="18.75" customHeight="1" x14ac:dyDescent="0.35">
      <c r="A4491" s="127"/>
      <c r="C4491" s="124"/>
    </row>
    <row r="4492" spans="1:3" ht="18.75" customHeight="1" x14ac:dyDescent="0.35">
      <c r="A4492" s="127"/>
      <c r="C4492" s="124"/>
    </row>
    <row r="4493" spans="1:3" ht="18.75" customHeight="1" x14ac:dyDescent="0.35">
      <c r="A4493" s="127"/>
      <c r="C4493" s="124"/>
    </row>
    <row r="4494" spans="1:3" ht="18.75" customHeight="1" x14ac:dyDescent="0.35">
      <c r="A4494" s="127"/>
      <c r="C4494" s="124"/>
    </row>
    <row r="4495" spans="1:3" ht="18.75" customHeight="1" x14ac:dyDescent="0.35">
      <c r="A4495" s="127"/>
      <c r="C4495" s="124"/>
    </row>
    <row r="4496" spans="1:3" ht="18.75" customHeight="1" x14ac:dyDescent="0.35">
      <c r="A4496" s="127"/>
      <c r="C4496" s="124"/>
    </row>
    <row r="4497" spans="1:3" ht="18.75" customHeight="1" x14ac:dyDescent="0.35">
      <c r="A4497" s="127"/>
      <c r="C4497" s="124"/>
    </row>
    <row r="4498" spans="1:3" ht="18.75" customHeight="1" x14ac:dyDescent="0.35">
      <c r="A4498" s="127"/>
      <c r="C4498" s="124"/>
    </row>
    <row r="4499" spans="1:3" ht="18.75" customHeight="1" x14ac:dyDescent="0.35">
      <c r="A4499" s="127"/>
      <c r="C4499" s="124"/>
    </row>
    <row r="4500" spans="1:3" ht="18.75" customHeight="1" x14ac:dyDescent="0.35">
      <c r="A4500" s="127"/>
      <c r="C4500" s="124"/>
    </row>
    <row r="4501" spans="1:3" ht="18.75" customHeight="1" x14ac:dyDescent="0.35">
      <c r="A4501" s="127"/>
      <c r="C4501" s="124"/>
    </row>
    <row r="4502" spans="1:3" ht="18.75" customHeight="1" x14ac:dyDescent="0.35">
      <c r="A4502" s="127"/>
      <c r="C4502" s="124"/>
    </row>
    <row r="4503" spans="1:3" ht="18.75" customHeight="1" x14ac:dyDescent="0.35">
      <c r="A4503" s="127"/>
      <c r="C4503" s="124"/>
    </row>
    <row r="4504" spans="1:3" ht="18.75" customHeight="1" x14ac:dyDescent="0.35">
      <c r="A4504" s="127"/>
      <c r="C4504" s="124"/>
    </row>
    <row r="4505" spans="1:3" ht="18.75" customHeight="1" x14ac:dyDescent="0.35">
      <c r="A4505" s="127"/>
      <c r="C4505" s="124"/>
    </row>
    <row r="4506" spans="1:3" ht="18.75" customHeight="1" x14ac:dyDescent="0.35">
      <c r="A4506" s="127"/>
      <c r="C4506" s="124"/>
    </row>
    <row r="4507" spans="1:3" ht="18.75" customHeight="1" x14ac:dyDescent="0.35">
      <c r="A4507" s="127"/>
      <c r="C4507" s="124"/>
    </row>
    <row r="4508" spans="1:3" ht="18.75" customHeight="1" x14ac:dyDescent="0.35">
      <c r="A4508" s="127"/>
      <c r="C4508" s="124"/>
    </row>
    <row r="4509" spans="1:3" ht="18.75" customHeight="1" x14ac:dyDescent="0.35">
      <c r="A4509" s="127"/>
      <c r="C4509" s="124"/>
    </row>
    <row r="4510" spans="1:3" ht="18.75" customHeight="1" x14ac:dyDescent="0.35">
      <c r="A4510" s="127"/>
      <c r="C4510" s="124"/>
    </row>
    <row r="4511" spans="1:3" ht="18.75" customHeight="1" x14ac:dyDescent="0.35">
      <c r="A4511" s="127"/>
      <c r="C4511" s="124"/>
    </row>
    <row r="4512" spans="1:3" ht="18.75" customHeight="1" x14ac:dyDescent="0.35">
      <c r="A4512" s="127"/>
      <c r="C4512" s="124"/>
    </row>
    <row r="4513" spans="1:3" ht="18.75" customHeight="1" x14ac:dyDescent="0.35">
      <c r="A4513" s="127"/>
      <c r="C4513" s="124"/>
    </row>
    <row r="4514" spans="1:3" ht="18.75" customHeight="1" x14ac:dyDescent="0.35">
      <c r="A4514" s="127"/>
      <c r="C4514" s="124"/>
    </row>
    <row r="4515" spans="1:3" ht="18.75" customHeight="1" x14ac:dyDescent="0.35">
      <c r="A4515" s="127"/>
      <c r="C4515" s="124"/>
    </row>
    <row r="4516" spans="1:3" ht="18.75" customHeight="1" x14ac:dyDescent="0.35">
      <c r="A4516" s="127"/>
      <c r="C4516" s="124"/>
    </row>
    <row r="4517" spans="1:3" ht="18.75" customHeight="1" x14ac:dyDescent="0.35">
      <c r="A4517" s="127"/>
      <c r="C4517" s="124"/>
    </row>
    <row r="4518" spans="1:3" ht="18.75" customHeight="1" x14ac:dyDescent="0.35">
      <c r="A4518" s="127"/>
      <c r="C4518" s="124"/>
    </row>
    <row r="4519" spans="1:3" ht="18.75" customHeight="1" x14ac:dyDescent="0.35">
      <c r="A4519" s="127"/>
      <c r="C4519" s="124"/>
    </row>
    <row r="4520" spans="1:3" ht="18.75" customHeight="1" x14ac:dyDescent="0.35">
      <c r="A4520" s="127"/>
      <c r="C4520" s="124"/>
    </row>
    <row r="4521" spans="1:3" ht="18.75" customHeight="1" x14ac:dyDescent="0.35">
      <c r="A4521" s="127"/>
      <c r="C4521" s="124"/>
    </row>
    <row r="4522" spans="1:3" ht="18.75" customHeight="1" x14ac:dyDescent="0.35">
      <c r="A4522" s="127"/>
      <c r="C4522" s="124"/>
    </row>
    <row r="4523" spans="1:3" ht="18.75" customHeight="1" x14ac:dyDescent="0.35">
      <c r="A4523" s="127"/>
      <c r="C4523" s="124"/>
    </row>
    <row r="4524" spans="1:3" ht="18.75" customHeight="1" x14ac:dyDescent="0.35">
      <c r="A4524" s="127"/>
      <c r="C4524" s="124"/>
    </row>
    <row r="4525" spans="1:3" ht="18.75" customHeight="1" x14ac:dyDescent="0.35">
      <c r="A4525" s="127"/>
      <c r="C4525" s="124"/>
    </row>
    <row r="4526" spans="1:3" ht="18.75" customHeight="1" x14ac:dyDescent="0.35">
      <c r="A4526" s="127"/>
      <c r="C4526" s="124"/>
    </row>
    <row r="4527" spans="1:3" ht="18.75" customHeight="1" x14ac:dyDescent="0.35">
      <c r="A4527" s="127"/>
      <c r="C4527" s="124"/>
    </row>
    <row r="4528" spans="1:3" ht="18.75" customHeight="1" x14ac:dyDescent="0.35">
      <c r="A4528" s="127"/>
      <c r="C4528" s="124"/>
    </row>
    <row r="4529" spans="1:3" ht="18.75" customHeight="1" x14ac:dyDescent="0.35">
      <c r="A4529" s="127"/>
      <c r="C4529" s="124"/>
    </row>
    <row r="4530" spans="1:3" ht="18.75" customHeight="1" x14ac:dyDescent="0.35">
      <c r="A4530" s="127"/>
      <c r="C4530" s="124"/>
    </row>
    <row r="4531" spans="1:3" ht="18.75" customHeight="1" x14ac:dyDescent="0.35">
      <c r="A4531" s="127"/>
      <c r="C4531" s="124"/>
    </row>
    <row r="4532" spans="1:3" ht="18.75" customHeight="1" x14ac:dyDescent="0.35">
      <c r="A4532" s="127"/>
      <c r="C4532" s="124"/>
    </row>
    <row r="4533" spans="1:3" ht="18.75" customHeight="1" x14ac:dyDescent="0.35">
      <c r="A4533" s="127"/>
      <c r="C4533" s="124"/>
    </row>
    <row r="4534" spans="1:3" ht="18.75" customHeight="1" x14ac:dyDescent="0.35">
      <c r="A4534" s="127"/>
      <c r="C4534" s="124"/>
    </row>
    <row r="4535" spans="1:3" ht="18.75" customHeight="1" x14ac:dyDescent="0.35">
      <c r="A4535" s="127"/>
      <c r="C4535" s="124"/>
    </row>
    <row r="4536" spans="1:3" ht="18.75" customHeight="1" x14ac:dyDescent="0.35">
      <c r="A4536" s="127"/>
      <c r="C4536" s="124"/>
    </row>
    <row r="4537" spans="1:3" ht="18.75" customHeight="1" x14ac:dyDescent="0.35">
      <c r="A4537" s="127"/>
      <c r="C4537" s="124"/>
    </row>
    <row r="4538" spans="1:3" ht="18.75" customHeight="1" x14ac:dyDescent="0.35">
      <c r="A4538" s="127"/>
      <c r="C4538" s="124"/>
    </row>
    <row r="4539" spans="1:3" ht="18.75" customHeight="1" x14ac:dyDescent="0.35">
      <c r="A4539" s="127"/>
      <c r="C4539" s="124"/>
    </row>
    <row r="4540" spans="1:3" ht="18.75" customHeight="1" x14ac:dyDescent="0.35">
      <c r="A4540" s="127"/>
      <c r="C4540" s="124"/>
    </row>
    <row r="4541" spans="1:3" ht="18.75" customHeight="1" x14ac:dyDescent="0.35">
      <c r="A4541" s="127"/>
      <c r="C4541" s="124"/>
    </row>
    <row r="4542" spans="1:3" ht="18.75" customHeight="1" x14ac:dyDescent="0.35">
      <c r="A4542" s="127"/>
      <c r="C4542" s="124"/>
    </row>
    <row r="4543" spans="1:3" ht="18.75" customHeight="1" x14ac:dyDescent="0.35">
      <c r="A4543" s="127"/>
      <c r="C4543" s="124"/>
    </row>
    <row r="4544" spans="1:3" ht="18.75" customHeight="1" x14ac:dyDescent="0.35">
      <c r="A4544" s="127"/>
      <c r="C4544" s="124"/>
    </row>
    <row r="4545" spans="1:3" ht="18.75" customHeight="1" x14ac:dyDescent="0.35">
      <c r="A4545" s="127"/>
      <c r="C4545" s="124"/>
    </row>
    <row r="4546" spans="1:3" ht="18.75" customHeight="1" x14ac:dyDescent="0.35">
      <c r="A4546" s="127"/>
      <c r="C4546" s="124"/>
    </row>
    <row r="4547" spans="1:3" ht="18.75" customHeight="1" x14ac:dyDescent="0.35">
      <c r="A4547" s="127"/>
      <c r="C4547" s="124"/>
    </row>
    <row r="4548" spans="1:3" ht="18.75" customHeight="1" x14ac:dyDescent="0.35">
      <c r="A4548" s="127"/>
      <c r="C4548" s="124"/>
    </row>
    <row r="4549" spans="1:3" ht="18.75" customHeight="1" x14ac:dyDescent="0.35">
      <c r="A4549" s="127"/>
      <c r="C4549" s="124"/>
    </row>
    <row r="4550" spans="1:3" ht="18.75" customHeight="1" x14ac:dyDescent="0.35">
      <c r="A4550" s="127"/>
      <c r="C4550" s="124"/>
    </row>
    <row r="4551" spans="1:3" ht="18.75" customHeight="1" x14ac:dyDescent="0.35">
      <c r="A4551" s="127"/>
      <c r="C4551" s="124"/>
    </row>
    <row r="4552" spans="1:3" ht="18.75" customHeight="1" x14ac:dyDescent="0.35">
      <c r="A4552" s="127"/>
      <c r="C4552" s="124"/>
    </row>
    <row r="4553" spans="1:3" ht="18.75" customHeight="1" x14ac:dyDescent="0.35">
      <c r="A4553" s="127"/>
      <c r="C4553" s="124"/>
    </row>
    <row r="4554" spans="1:3" ht="18.75" customHeight="1" x14ac:dyDescent="0.35">
      <c r="A4554" s="127"/>
      <c r="C4554" s="124"/>
    </row>
    <row r="4555" spans="1:3" ht="18.75" customHeight="1" x14ac:dyDescent="0.35">
      <c r="A4555" s="127"/>
      <c r="C4555" s="124"/>
    </row>
    <row r="4556" spans="1:3" ht="18.75" customHeight="1" x14ac:dyDescent="0.35">
      <c r="A4556" s="127"/>
      <c r="C4556" s="124"/>
    </row>
    <row r="4557" spans="1:3" ht="18.75" customHeight="1" x14ac:dyDescent="0.35">
      <c r="A4557" s="127"/>
      <c r="C4557" s="124"/>
    </row>
    <row r="4558" spans="1:3" ht="18.75" customHeight="1" x14ac:dyDescent="0.35">
      <c r="A4558" s="127"/>
      <c r="C4558" s="124"/>
    </row>
    <row r="4559" spans="1:3" ht="18.75" customHeight="1" x14ac:dyDescent="0.35">
      <c r="A4559" s="127"/>
      <c r="C4559" s="124"/>
    </row>
    <row r="4560" spans="1:3" ht="18.75" customHeight="1" x14ac:dyDescent="0.35">
      <c r="A4560" s="127"/>
      <c r="C4560" s="124"/>
    </row>
    <row r="4561" spans="1:3" ht="18.75" customHeight="1" x14ac:dyDescent="0.35">
      <c r="A4561" s="127"/>
      <c r="C4561" s="124"/>
    </row>
    <row r="4562" spans="1:3" ht="18.75" customHeight="1" x14ac:dyDescent="0.35">
      <c r="A4562" s="127"/>
      <c r="C4562" s="124"/>
    </row>
    <row r="4563" spans="1:3" ht="18.75" customHeight="1" x14ac:dyDescent="0.35">
      <c r="A4563" s="127"/>
      <c r="C4563" s="124"/>
    </row>
    <row r="4564" spans="1:3" ht="18.75" customHeight="1" x14ac:dyDescent="0.35">
      <c r="A4564" s="127"/>
      <c r="C4564" s="124"/>
    </row>
    <row r="4565" spans="1:3" ht="18.75" customHeight="1" x14ac:dyDescent="0.35">
      <c r="A4565" s="127"/>
      <c r="C4565" s="124"/>
    </row>
    <row r="4566" spans="1:3" ht="18.75" customHeight="1" x14ac:dyDescent="0.35">
      <c r="A4566" s="127"/>
      <c r="C4566" s="124"/>
    </row>
    <row r="4567" spans="1:3" ht="18.75" customHeight="1" x14ac:dyDescent="0.35">
      <c r="A4567" s="127"/>
      <c r="C4567" s="124"/>
    </row>
    <row r="4568" spans="1:3" ht="18.75" customHeight="1" x14ac:dyDescent="0.35">
      <c r="A4568" s="127"/>
      <c r="C4568" s="124"/>
    </row>
    <row r="4569" spans="1:3" ht="18.75" customHeight="1" x14ac:dyDescent="0.35">
      <c r="A4569" s="127"/>
      <c r="C4569" s="124"/>
    </row>
    <row r="4570" spans="1:3" ht="18.75" customHeight="1" x14ac:dyDescent="0.35">
      <c r="A4570" s="127"/>
      <c r="C4570" s="124"/>
    </row>
    <row r="4571" spans="1:3" ht="18.75" customHeight="1" x14ac:dyDescent="0.35">
      <c r="A4571" s="127"/>
      <c r="C4571" s="124"/>
    </row>
    <row r="4572" spans="1:3" ht="18.75" customHeight="1" x14ac:dyDescent="0.35">
      <c r="A4572" s="127"/>
      <c r="C4572" s="124"/>
    </row>
    <row r="4573" spans="1:3" ht="18.75" customHeight="1" x14ac:dyDescent="0.35">
      <c r="A4573" s="127"/>
      <c r="C4573" s="124"/>
    </row>
    <row r="4574" spans="1:3" ht="18.75" customHeight="1" x14ac:dyDescent="0.35">
      <c r="A4574" s="127"/>
      <c r="C4574" s="124"/>
    </row>
    <row r="4575" spans="1:3" ht="18.75" customHeight="1" x14ac:dyDescent="0.35">
      <c r="A4575" s="127"/>
      <c r="C4575" s="124"/>
    </row>
    <row r="4576" spans="1:3" ht="18.75" customHeight="1" x14ac:dyDescent="0.35">
      <c r="A4576" s="127"/>
      <c r="C4576" s="124"/>
    </row>
    <row r="4577" spans="1:3" ht="18.75" customHeight="1" x14ac:dyDescent="0.35">
      <c r="A4577" s="127"/>
      <c r="C4577" s="124"/>
    </row>
    <row r="4578" spans="1:3" ht="18.75" customHeight="1" x14ac:dyDescent="0.35">
      <c r="A4578" s="127"/>
      <c r="C4578" s="124"/>
    </row>
    <row r="4579" spans="1:3" ht="18.75" customHeight="1" x14ac:dyDescent="0.35">
      <c r="A4579" s="127"/>
      <c r="C4579" s="124"/>
    </row>
    <row r="4580" spans="1:3" ht="18.75" customHeight="1" x14ac:dyDescent="0.35">
      <c r="A4580" s="127"/>
      <c r="C4580" s="124"/>
    </row>
    <row r="4581" spans="1:3" ht="18.75" customHeight="1" x14ac:dyDescent="0.35">
      <c r="A4581" s="127"/>
      <c r="C4581" s="124"/>
    </row>
    <row r="4582" spans="1:3" ht="18.75" customHeight="1" x14ac:dyDescent="0.35">
      <c r="A4582" s="127"/>
      <c r="C4582" s="124"/>
    </row>
    <row r="4583" spans="1:3" ht="18.75" customHeight="1" x14ac:dyDescent="0.35">
      <c r="A4583" s="127"/>
      <c r="C4583" s="124"/>
    </row>
    <row r="4584" spans="1:3" ht="18.75" customHeight="1" x14ac:dyDescent="0.35">
      <c r="A4584" s="127"/>
      <c r="C4584" s="124"/>
    </row>
    <row r="4585" spans="1:3" ht="18.75" customHeight="1" x14ac:dyDescent="0.35">
      <c r="A4585" s="127"/>
      <c r="C4585" s="124"/>
    </row>
    <row r="4586" spans="1:3" ht="18.75" customHeight="1" x14ac:dyDescent="0.35">
      <c r="A4586" s="127"/>
      <c r="C4586" s="124"/>
    </row>
    <row r="4587" spans="1:3" ht="18.75" customHeight="1" x14ac:dyDescent="0.35">
      <c r="A4587" s="127"/>
      <c r="C4587" s="124"/>
    </row>
    <row r="4588" spans="1:3" ht="18.75" customHeight="1" x14ac:dyDescent="0.35">
      <c r="A4588" s="127"/>
      <c r="C4588" s="124"/>
    </row>
    <row r="4589" spans="1:3" ht="18.75" customHeight="1" x14ac:dyDescent="0.35">
      <c r="A4589" s="127"/>
      <c r="C4589" s="124"/>
    </row>
    <row r="4590" spans="1:3" ht="18.75" customHeight="1" x14ac:dyDescent="0.35">
      <c r="A4590" s="127"/>
      <c r="C4590" s="124"/>
    </row>
    <row r="4591" spans="1:3" ht="18.75" customHeight="1" x14ac:dyDescent="0.35">
      <c r="A4591" s="127"/>
      <c r="C4591" s="124"/>
    </row>
    <row r="4592" spans="1:3" ht="18.75" customHeight="1" x14ac:dyDescent="0.35">
      <c r="A4592" s="127"/>
      <c r="C4592" s="124"/>
    </row>
    <row r="4593" spans="1:3" ht="18.75" customHeight="1" x14ac:dyDescent="0.35">
      <c r="A4593" s="127"/>
      <c r="C4593" s="124"/>
    </row>
    <row r="4594" spans="1:3" ht="18.75" customHeight="1" x14ac:dyDescent="0.35">
      <c r="A4594" s="127"/>
      <c r="C4594" s="124"/>
    </row>
    <row r="4595" spans="1:3" ht="18.75" customHeight="1" x14ac:dyDescent="0.35">
      <c r="A4595" s="127"/>
      <c r="C4595" s="124"/>
    </row>
    <row r="4596" spans="1:3" ht="18.75" customHeight="1" x14ac:dyDescent="0.35">
      <c r="A4596" s="127"/>
      <c r="C4596" s="124"/>
    </row>
    <row r="4597" spans="1:3" ht="18.75" customHeight="1" x14ac:dyDescent="0.35">
      <c r="A4597" s="127"/>
      <c r="C4597" s="124"/>
    </row>
    <row r="4598" spans="1:3" ht="18.75" customHeight="1" x14ac:dyDescent="0.35">
      <c r="A4598" s="127"/>
      <c r="C4598" s="124"/>
    </row>
    <row r="4599" spans="1:3" ht="18.75" customHeight="1" x14ac:dyDescent="0.35">
      <c r="A4599" s="127"/>
      <c r="C4599" s="124"/>
    </row>
    <row r="4600" spans="1:3" ht="18.75" customHeight="1" x14ac:dyDescent="0.35">
      <c r="A4600" s="127"/>
      <c r="C4600" s="124"/>
    </row>
    <row r="4601" spans="1:3" ht="18.75" customHeight="1" x14ac:dyDescent="0.35">
      <c r="A4601" s="127"/>
      <c r="C4601" s="124"/>
    </row>
    <row r="4602" spans="1:3" ht="18.75" customHeight="1" x14ac:dyDescent="0.35">
      <c r="A4602" s="127"/>
      <c r="C4602" s="124"/>
    </row>
    <row r="4603" spans="1:3" ht="18.75" customHeight="1" x14ac:dyDescent="0.35">
      <c r="A4603" s="127"/>
      <c r="C4603" s="124"/>
    </row>
    <row r="4604" spans="1:3" ht="18.75" customHeight="1" x14ac:dyDescent="0.35">
      <c r="A4604" s="127"/>
      <c r="C4604" s="124"/>
    </row>
    <row r="4605" spans="1:3" ht="18.75" customHeight="1" x14ac:dyDescent="0.35">
      <c r="A4605" s="127"/>
      <c r="C4605" s="124"/>
    </row>
    <row r="4606" spans="1:3" ht="18.75" customHeight="1" x14ac:dyDescent="0.35">
      <c r="A4606" s="127"/>
      <c r="C4606" s="124"/>
    </row>
    <row r="4607" spans="1:3" ht="18.75" customHeight="1" x14ac:dyDescent="0.35">
      <c r="A4607" s="127"/>
      <c r="C4607" s="124"/>
    </row>
    <row r="4608" spans="1:3" ht="18.75" customHeight="1" x14ac:dyDescent="0.35">
      <c r="A4608" s="127"/>
      <c r="C4608" s="124"/>
    </row>
    <row r="4609" spans="1:3" ht="18.75" customHeight="1" x14ac:dyDescent="0.35">
      <c r="A4609" s="127"/>
      <c r="C4609" s="124"/>
    </row>
    <row r="4610" spans="1:3" ht="18.75" customHeight="1" x14ac:dyDescent="0.35">
      <c r="A4610" s="127"/>
      <c r="C4610" s="124"/>
    </row>
    <row r="4611" spans="1:3" ht="18.75" customHeight="1" x14ac:dyDescent="0.35">
      <c r="A4611" s="127"/>
      <c r="C4611" s="124"/>
    </row>
    <row r="4612" spans="1:3" ht="18.75" customHeight="1" x14ac:dyDescent="0.35">
      <c r="A4612" s="127"/>
      <c r="C4612" s="124"/>
    </row>
    <row r="4613" spans="1:3" ht="18.75" customHeight="1" x14ac:dyDescent="0.35">
      <c r="A4613" s="127"/>
      <c r="C4613" s="124"/>
    </row>
    <row r="4614" spans="1:3" ht="18.75" customHeight="1" x14ac:dyDescent="0.35">
      <c r="A4614" s="127"/>
      <c r="C4614" s="124"/>
    </row>
    <row r="4615" spans="1:3" ht="18.75" customHeight="1" x14ac:dyDescent="0.35">
      <c r="A4615" s="127"/>
      <c r="C4615" s="124"/>
    </row>
    <row r="4616" spans="1:3" ht="18.75" customHeight="1" x14ac:dyDescent="0.35">
      <c r="A4616" s="127"/>
      <c r="C4616" s="124"/>
    </row>
    <row r="4617" spans="1:3" ht="18.75" customHeight="1" x14ac:dyDescent="0.35">
      <c r="A4617" s="127"/>
      <c r="C4617" s="124"/>
    </row>
    <row r="4618" spans="1:3" ht="18.75" customHeight="1" x14ac:dyDescent="0.35">
      <c r="A4618" s="127"/>
      <c r="C4618" s="124"/>
    </row>
    <row r="4619" spans="1:3" ht="18.75" customHeight="1" x14ac:dyDescent="0.35">
      <c r="A4619" s="127"/>
      <c r="C4619" s="124"/>
    </row>
    <row r="4620" spans="1:3" ht="18.75" customHeight="1" x14ac:dyDescent="0.35">
      <c r="A4620" s="127"/>
      <c r="C4620" s="124"/>
    </row>
    <row r="4621" spans="1:3" ht="18.75" customHeight="1" x14ac:dyDescent="0.35">
      <c r="A4621" s="127"/>
      <c r="C4621" s="124"/>
    </row>
    <row r="4622" spans="1:3" ht="18.75" customHeight="1" x14ac:dyDescent="0.35">
      <c r="A4622" s="127"/>
      <c r="C4622" s="124"/>
    </row>
    <row r="4623" spans="1:3" ht="18.75" customHeight="1" x14ac:dyDescent="0.35">
      <c r="A4623" s="127"/>
      <c r="C4623" s="124"/>
    </row>
    <row r="4624" spans="1:3" ht="18.75" customHeight="1" x14ac:dyDescent="0.35">
      <c r="A4624" s="127"/>
      <c r="C4624" s="124"/>
    </row>
    <row r="4625" spans="1:3" ht="18.75" customHeight="1" x14ac:dyDescent="0.35">
      <c r="A4625" s="127"/>
      <c r="C4625" s="124"/>
    </row>
    <row r="4626" spans="1:3" ht="18.75" customHeight="1" x14ac:dyDescent="0.35">
      <c r="A4626" s="127"/>
      <c r="C4626" s="124"/>
    </row>
    <row r="4627" spans="1:3" ht="18.75" customHeight="1" x14ac:dyDescent="0.35">
      <c r="A4627" s="127"/>
      <c r="C4627" s="124"/>
    </row>
    <row r="4628" spans="1:3" ht="18.75" customHeight="1" x14ac:dyDescent="0.35">
      <c r="A4628" s="127"/>
      <c r="C4628" s="124"/>
    </row>
    <row r="4629" spans="1:3" ht="18.75" customHeight="1" x14ac:dyDescent="0.35">
      <c r="A4629" s="127"/>
      <c r="C4629" s="124"/>
    </row>
    <row r="4630" spans="1:3" ht="18.75" customHeight="1" x14ac:dyDescent="0.35">
      <c r="A4630" s="127"/>
      <c r="C4630" s="124"/>
    </row>
    <row r="4631" spans="1:3" ht="18.75" customHeight="1" x14ac:dyDescent="0.35">
      <c r="A4631" s="127"/>
      <c r="C4631" s="124"/>
    </row>
    <row r="4632" spans="1:3" ht="18.75" customHeight="1" x14ac:dyDescent="0.35">
      <c r="A4632" s="127"/>
      <c r="C4632" s="124"/>
    </row>
    <row r="4633" spans="1:3" ht="18.75" customHeight="1" x14ac:dyDescent="0.35">
      <c r="A4633" s="127"/>
      <c r="C4633" s="124"/>
    </row>
    <row r="4634" spans="1:3" ht="18.75" customHeight="1" x14ac:dyDescent="0.35">
      <c r="A4634" s="127"/>
      <c r="C4634" s="124"/>
    </row>
    <row r="4635" spans="1:3" ht="18.75" customHeight="1" x14ac:dyDescent="0.35">
      <c r="A4635" s="127"/>
      <c r="C4635" s="124"/>
    </row>
    <row r="4636" spans="1:3" ht="18.75" customHeight="1" x14ac:dyDescent="0.35">
      <c r="A4636" s="127"/>
      <c r="C4636" s="124"/>
    </row>
    <row r="4637" spans="1:3" ht="18.75" customHeight="1" x14ac:dyDescent="0.35">
      <c r="A4637" s="127"/>
      <c r="C4637" s="124"/>
    </row>
    <row r="4638" spans="1:3" ht="18.75" customHeight="1" x14ac:dyDescent="0.35">
      <c r="A4638" s="127"/>
      <c r="C4638" s="124"/>
    </row>
    <row r="4639" spans="1:3" ht="18.75" customHeight="1" x14ac:dyDescent="0.35">
      <c r="A4639" s="127"/>
      <c r="C4639" s="124"/>
    </row>
    <row r="4640" spans="1:3" ht="18.75" customHeight="1" x14ac:dyDescent="0.35">
      <c r="A4640" s="127"/>
      <c r="C4640" s="124"/>
    </row>
    <row r="4641" spans="1:3" ht="18.75" customHeight="1" x14ac:dyDescent="0.35">
      <c r="A4641" s="127"/>
      <c r="C4641" s="124"/>
    </row>
    <row r="4642" spans="1:3" ht="18.75" customHeight="1" x14ac:dyDescent="0.35">
      <c r="A4642" s="127"/>
      <c r="C4642" s="124"/>
    </row>
    <row r="4643" spans="1:3" ht="18.75" customHeight="1" x14ac:dyDescent="0.35">
      <c r="A4643" s="127"/>
      <c r="C4643" s="124"/>
    </row>
    <row r="4644" spans="1:3" ht="18.75" customHeight="1" x14ac:dyDescent="0.35">
      <c r="A4644" s="127"/>
      <c r="C4644" s="124"/>
    </row>
    <row r="4645" spans="1:3" ht="18.75" customHeight="1" x14ac:dyDescent="0.35">
      <c r="A4645" s="127"/>
      <c r="C4645" s="124"/>
    </row>
    <row r="4646" spans="1:3" ht="18.75" customHeight="1" x14ac:dyDescent="0.35">
      <c r="A4646" s="127"/>
      <c r="C4646" s="124"/>
    </row>
    <row r="4647" spans="1:3" ht="18.75" customHeight="1" x14ac:dyDescent="0.35">
      <c r="A4647" s="127"/>
      <c r="C4647" s="124"/>
    </row>
    <row r="4648" spans="1:3" ht="18.75" customHeight="1" x14ac:dyDescent="0.35">
      <c r="A4648" s="127"/>
      <c r="C4648" s="124"/>
    </row>
    <row r="4649" spans="1:3" ht="18.75" customHeight="1" x14ac:dyDescent="0.35">
      <c r="A4649" s="127"/>
      <c r="C4649" s="124"/>
    </row>
    <row r="4650" spans="1:3" ht="18.75" customHeight="1" x14ac:dyDescent="0.35">
      <c r="A4650" s="127"/>
      <c r="C4650" s="124"/>
    </row>
    <row r="4651" spans="1:3" ht="18.75" customHeight="1" x14ac:dyDescent="0.35">
      <c r="A4651" s="127"/>
      <c r="C4651" s="124"/>
    </row>
    <row r="4652" spans="1:3" ht="18.75" customHeight="1" x14ac:dyDescent="0.35">
      <c r="A4652" s="127"/>
      <c r="C4652" s="124"/>
    </row>
    <row r="4653" spans="1:3" ht="18.75" customHeight="1" x14ac:dyDescent="0.35">
      <c r="A4653" s="127"/>
      <c r="C4653" s="124"/>
    </row>
    <row r="4654" spans="1:3" ht="18.75" customHeight="1" x14ac:dyDescent="0.35">
      <c r="A4654" s="127"/>
      <c r="C4654" s="124"/>
    </row>
    <row r="4655" spans="1:3" ht="18.75" customHeight="1" x14ac:dyDescent="0.35">
      <c r="A4655" s="127"/>
      <c r="C4655" s="124"/>
    </row>
    <row r="4656" spans="1:3" ht="18.75" customHeight="1" x14ac:dyDescent="0.35">
      <c r="A4656" s="127"/>
      <c r="C4656" s="124"/>
    </row>
    <row r="4657" spans="1:3" ht="18.75" customHeight="1" x14ac:dyDescent="0.35">
      <c r="A4657" s="127"/>
      <c r="C4657" s="124"/>
    </row>
    <row r="4658" spans="1:3" ht="18.75" customHeight="1" x14ac:dyDescent="0.35">
      <c r="A4658" s="127"/>
      <c r="C4658" s="124"/>
    </row>
    <row r="4659" spans="1:3" ht="18.75" customHeight="1" x14ac:dyDescent="0.35">
      <c r="A4659" s="127"/>
      <c r="C4659" s="124"/>
    </row>
    <row r="4660" spans="1:3" ht="18.75" customHeight="1" x14ac:dyDescent="0.35">
      <c r="A4660" s="127"/>
      <c r="C4660" s="124"/>
    </row>
    <row r="4661" spans="1:3" ht="18.75" customHeight="1" x14ac:dyDescent="0.35">
      <c r="A4661" s="127"/>
      <c r="C4661" s="124"/>
    </row>
    <row r="4662" spans="1:3" ht="18.75" customHeight="1" x14ac:dyDescent="0.35">
      <c r="A4662" s="127"/>
      <c r="C4662" s="124"/>
    </row>
    <row r="4663" spans="1:3" ht="18.75" customHeight="1" x14ac:dyDescent="0.35">
      <c r="A4663" s="127"/>
      <c r="C4663" s="124"/>
    </row>
    <row r="4664" spans="1:3" ht="18.75" customHeight="1" x14ac:dyDescent="0.35">
      <c r="A4664" s="127"/>
      <c r="C4664" s="124"/>
    </row>
    <row r="4665" spans="1:3" ht="18.75" customHeight="1" x14ac:dyDescent="0.35">
      <c r="A4665" s="127"/>
      <c r="C4665" s="124"/>
    </row>
    <row r="4666" spans="1:3" ht="18.75" customHeight="1" x14ac:dyDescent="0.35">
      <c r="A4666" s="127"/>
      <c r="C4666" s="124"/>
    </row>
    <row r="4667" spans="1:3" ht="18.75" customHeight="1" x14ac:dyDescent="0.35">
      <c r="A4667" s="127"/>
      <c r="C4667" s="124"/>
    </row>
    <row r="4668" spans="1:3" ht="18.75" customHeight="1" x14ac:dyDescent="0.35">
      <c r="A4668" s="127"/>
      <c r="C4668" s="124"/>
    </row>
    <row r="4669" spans="1:3" ht="18.75" customHeight="1" x14ac:dyDescent="0.35">
      <c r="A4669" s="127"/>
      <c r="C4669" s="124"/>
    </row>
    <row r="4670" spans="1:3" ht="18.75" customHeight="1" x14ac:dyDescent="0.35">
      <c r="A4670" s="127"/>
      <c r="C4670" s="124"/>
    </row>
    <row r="4671" spans="1:3" ht="18.75" customHeight="1" x14ac:dyDescent="0.35">
      <c r="A4671" s="127"/>
      <c r="C4671" s="124"/>
    </row>
    <row r="4672" spans="1:3" ht="18.75" customHeight="1" x14ac:dyDescent="0.35">
      <c r="A4672" s="127"/>
      <c r="C4672" s="124"/>
    </row>
    <row r="4673" spans="1:3" ht="18.75" customHeight="1" x14ac:dyDescent="0.35">
      <c r="A4673" s="127"/>
      <c r="C4673" s="124"/>
    </row>
    <row r="4674" spans="1:3" ht="18.75" customHeight="1" x14ac:dyDescent="0.35">
      <c r="A4674" s="127"/>
      <c r="C4674" s="124"/>
    </row>
    <row r="4675" spans="1:3" ht="18.75" customHeight="1" x14ac:dyDescent="0.35">
      <c r="A4675" s="127"/>
      <c r="C4675" s="124"/>
    </row>
    <row r="4676" spans="1:3" ht="18.75" customHeight="1" x14ac:dyDescent="0.35">
      <c r="A4676" s="127"/>
      <c r="C4676" s="124"/>
    </row>
    <row r="4677" spans="1:3" ht="18.75" customHeight="1" x14ac:dyDescent="0.35">
      <c r="A4677" s="127"/>
      <c r="C4677" s="124"/>
    </row>
    <row r="4678" spans="1:3" ht="18.75" customHeight="1" x14ac:dyDescent="0.35">
      <c r="A4678" s="127"/>
      <c r="C4678" s="124"/>
    </row>
    <row r="4679" spans="1:3" ht="18.75" customHeight="1" x14ac:dyDescent="0.35">
      <c r="A4679" s="127"/>
      <c r="C4679" s="124"/>
    </row>
    <row r="4680" spans="1:3" ht="18.75" customHeight="1" x14ac:dyDescent="0.35">
      <c r="A4680" s="127"/>
      <c r="C4680" s="124"/>
    </row>
    <row r="4681" spans="1:3" ht="18.75" customHeight="1" x14ac:dyDescent="0.35">
      <c r="A4681" s="127"/>
      <c r="C4681" s="124"/>
    </row>
    <row r="4682" spans="1:3" ht="18.75" customHeight="1" x14ac:dyDescent="0.35">
      <c r="A4682" s="127"/>
      <c r="C4682" s="124"/>
    </row>
    <row r="4683" spans="1:3" ht="18.75" customHeight="1" x14ac:dyDescent="0.35">
      <c r="A4683" s="127"/>
      <c r="C4683" s="124"/>
    </row>
    <row r="4684" spans="1:3" ht="18.75" customHeight="1" x14ac:dyDescent="0.35">
      <c r="A4684" s="127"/>
      <c r="C4684" s="124"/>
    </row>
    <row r="4685" spans="1:3" ht="18.75" customHeight="1" x14ac:dyDescent="0.35">
      <c r="A4685" s="127"/>
      <c r="C4685" s="124"/>
    </row>
    <row r="4686" spans="1:3" ht="18.75" customHeight="1" x14ac:dyDescent="0.35">
      <c r="A4686" s="127"/>
      <c r="C4686" s="124"/>
    </row>
    <row r="4687" spans="1:3" ht="18.75" customHeight="1" x14ac:dyDescent="0.35">
      <c r="A4687" s="127"/>
      <c r="C4687" s="124"/>
    </row>
    <row r="4688" spans="1:3" ht="18.75" customHeight="1" x14ac:dyDescent="0.35">
      <c r="A4688" s="127"/>
      <c r="C4688" s="124"/>
    </row>
    <row r="4689" spans="1:3" ht="18.75" customHeight="1" x14ac:dyDescent="0.35">
      <c r="A4689" s="127"/>
      <c r="C4689" s="124"/>
    </row>
    <row r="4690" spans="1:3" ht="18.75" customHeight="1" x14ac:dyDescent="0.35">
      <c r="A4690" s="127"/>
      <c r="C4690" s="124"/>
    </row>
    <row r="4691" spans="1:3" ht="18.75" customHeight="1" x14ac:dyDescent="0.35">
      <c r="A4691" s="127"/>
      <c r="C4691" s="124"/>
    </row>
    <row r="4692" spans="1:3" ht="18.75" customHeight="1" x14ac:dyDescent="0.35">
      <c r="A4692" s="127"/>
      <c r="C4692" s="124"/>
    </row>
    <row r="4693" spans="1:3" ht="18.75" customHeight="1" x14ac:dyDescent="0.35">
      <c r="A4693" s="127"/>
      <c r="C4693" s="124"/>
    </row>
    <row r="4694" spans="1:3" ht="18.75" customHeight="1" x14ac:dyDescent="0.35">
      <c r="A4694" s="127"/>
      <c r="C4694" s="124"/>
    </row>
    <row r="4695" spans="1:3" ht="18.75" customHeight="1" x14ac:dyDescent="0.35">
      <c r="A4695" s="127"/>
      <c r="C4695" s="124"/>
    </row>
    <row r="4696" spans="1:3" ht="18.75" customHeight="1" x14ac:dyDescent="0.35">
      <c r="A4696" s="127"/>
      <c r="C4696" s="124"/>
    </row>
    <row r="4697" spans="1:3" ht="18.75" customHeight="1" x14ac:dyDescent="0.35">
      <c r="A4697" s="127"/>
      <c r="C4697" s="124"/>
    </row>
    <row r="4698" spans="1:3" ht="18.75" customHeight="1" x14ac:dyDescent="0.35">
      <c r="A4698" s="127"/>
      <c r="C4698" s="124"/>
    </row>
    <row r="4699" spans="1:3" ht="18.75" customHeight="1" x14ac:dyDescent="0.35">
      <c r="A4699" s="127"/>
      <c r="C4699" s="124"/>
    </row>
    <row r="4700" spans="1:3" ht="18.75" customHeight="1" x14ac:dyDescent="0.35">
      <c r="A4700" s="127"/>
      <c r="C4700" s="124"/>
    </row>
    <row r="4701" spans="1:3" ht="18.75" customHeight="1" x14ac:dyDescent="0.35">
      <c r="A4701" s="127"/>
      <c r="C4701" s="124"/>
    </row>
    <row r="4702" spans="1:3" ht="18.75" customHeight="1" x14ac:dyDescent="0.35">
      <c r="A4702" s="127"/>
      <c r="C4702" s="124"/>
    </row>
    <row r="4703" spans="1:3" ht="18.75" customHeight="1" x14ac:dyDescent="0.35">
      <c r="A4703" s="127"/>
      <c r="C4703" s="124"/>
    </row>
    <row r="4704" spans="1:3" ht="18.75" customHeight="1" x14ac:dyDescent="0.35">
      <c r="A4704" s="127"/>
      <c r="C4704" s="124"/>
    </row>
    <row r="4705" spans="1:3" ht="18.75" customHeight="1" x14ac:dyDescent="0.35">
      <c r="A4705" s="127"/>
      <c r="C4705" s="124"/>
    </row>
    <row r="4706" spans="1:3" ht="18.75" customHeight="1" x14ac:dyDescent="0.35">
      <c r="A4706" s="127"/>
      <c r="C4706" s="124"/>
    </row>
    <row r="4707" spans="1:3" ht="18.75" customHeight="1" x14ac:dyDescent="0.35">
      <c r="A4707" s="127"/>
      <c r="C4707" s="124"/>
    </row>
    <row r="4708" spans="1:3" ht="18.75" customHeight="1" x14ac:dyDescent="0.35">
      <c r="A4708" s="127"/>
      <c r="C4708" s="124"/>
    </row>
    <row r="4709" spans="1:3" ht="18.75" customHeight="1" x14ac:dyDescent="0.35">
      <c r="A4709" s="127"/>
      <c r="C4709" s="124"/>
    </row>
    <row r="4710" spans="1:3" ht="18.75" customHeight="1" x14ac:dyDescent="0.35">
      <c r="A4710" s="127"/>
      <c r="C4710" s="124"/>
    </row>
    <row r="4711" spans="1:3" ht="18.75" customHeight="1" x14ac:dyDescent="0.35">
      <c r="A4711" s="127"/>
      <c r="C4711" s="124"/>
    </row>
    <row r="4712" spans="1:3" ht="18.75" customHeight="1" x14ac:dyDescent="0.35">
      <c r="A4712" s="127"/>
      <c r="C4712" s="124"/>
    </row>
    <row r="4713" spans="1:3" ht="18.75" customHeight="1" x14ac:dyDescent="0.35">
      <c r="A4713" s="127"/>
      <c r="C4713" s="124"/>
    </row>
    <row r="4714" spans="1:3" ht="18.75" customHeight="1" x14ac:dyDescent="0.35">
      <c r="A4714" s="127"/>
      <c r="C4714" s="124"/>
    </row>
    <row r="4715" spans="1:3" ht="18.75" customHeight="1" x14ac:dyDescent="0.35">
      <c r="A4715" s="127"/>
      <c r="C4715" s="124"/>
    </row>
    <row r="4716" spans="1:3" ht="18.75" customHeight="1" x14ac:dyDescent="0.35">
      <c r="A4716" s="127"/>
      <c r="C4716" s="124"/>
    </row>
    <row r="4717" spans="1:3" ht="18.75" customHeight="1" x14ac:dyDescent="0.35">
      <c r="A4717" s="127"/>
      <c r="C4717" s="124"/>
    </row>
    <row r="4718" spans="1:3" ht="18.75" customHeight="1" x14ac:dyDescent="0.35">
      <c r="A4718" s="127"/>
      <c r="C4718" s="124"/>
    </row>
    <row r="4719" spans="1:3" ht="18.75" customHeight="1" x14ac:dyDescent="0.35">
      <c r="A4719" s="127"/>
      <c r="C4719" s="124"/>
    </row>
    <row r="4720" spans="1:3" ht="18.75" customHeight="1" x14ac:dyDescent="0.35">
      <c r="A4720" s="127"/>
      <c r="C4720" s="124"/>
    </row>
    <row r="4721" spans="1:3" ht="18.75" customHeight="1" x14ac:dyDescent="0.35">
      <c r="A4721" s="127"/>
      <c r="C4721" s="124"/>
    </row>
    <row r="4722" spans="1:3" ht="18.75" customHeight="1" x14ac:dyDescent="0.35">
      <c r="A4722" s="127"/>
      <c r="C4722" s="124"/>
    </row>
    <row r="4723" spans="1:3" ht="18.75" customHeight="1" x14ac:dyDescent="0.35">
      <c r="A4723" s="127"/>
      <c r="C4723" s="124"/>
    </row>
    <row r="4724" spans="1:3" ht="18.75" customHeight="1" x14ac:dyDescent="0.35">
      <c r="A4724" s="127"/>
      <c r="C4724" s="124"/>
    </row>
    <row r="4725" spans="1:3" ht="18.75" customHeight="1" x14ac:dyDescent="0.35">
      <c r="A4725" s="127"/>
      <c r="C4725" s="124"/>
    </row>
    <row r="4726" spans="1:3" ht="18.75" customHeight="1" x14ac:dyDescent="0.35">
      <c r="A4726" s="127"/>
      <c r="C4726" s="124"/>
    </row>
    <row r="4727" spans="1:3" ht="18.75" customHeight="1" x14ac:dyDescent="0.35">
      <c r="A4727" s="127"/>
      <c r="C4727" s="124"/>
    </row>
    <row r="4728" spans="1:3" ht="18.75" customHeight="1" x14ac:dyDescent="0.35">
      <c r="A4728" s="127"/>
      <c r="C4728" s="124"/>
    </row>
    <row r="4729" spans="1:3" ht="18.75" customHeight="1" x14ac:dyDescent="0.35">
      <c r="A4729" s="127"/>
      <c r="C4729" s="124"/>
    </row>
    <row r="4730" spans="1:3" ht="18.75" customHeight="1" x14ac:dyDescent="0.35">
      <c r="A4730" s="127"/>
      <c r="C4730" s="124"/>
    </row>
    <row r="4731" spans="1:3" ht="18.75" customHeight="1" x14ac:dyDescent="0.35">
      <c r="A4731" s="127"/>
      <c r="C4731" s="124"/>
    </row>
    <row r="4732" spans="1:3" ht="18.75" customHeight="1" x14ac:dyDescent="0.35">
      <c r="A4732" s="127"/>
      <c r="C4732" s="124"/>
    </row>
    <row r="4733" spans="1:3" ht="18.75" customHeight="1" x14ac:dyDescent="0.35">
      <c r="A4733" s="127"/>
      <c r="C4733" s="124"/>
    </row>
    <row r="4734" spans="1:3" ht="18.75" customHeight="1" x14ac:dyDescent="0.35">
      <c r="A4734" s="127"/>
      <c r="C4734" s="124"/>
    </row>
    <row r="4735" spans="1:3" ht="18.75" customHeight="1" x14ac:dyDescent="0.35">
      <c r="A4735" s="127"/>
      <c r="C4735" s="124"/>
    </row>
    <row r="4736" spans="1:3" ht="18.75" customHeight="1" x14ac:dyDescent="0.35">
      <c r="A4736" s="127"/>
      <c r="C4736" s="124"/>
    </row>
    <row r="4737" spans="1:3" ht="18.75" customHeight="1" x14ac:dyDescent="0.35">
      <c r="A4737" s="127"/>
      <c r="C4737" s="124"/>
    </row>
    <row r="4738" spans="1:3" ht="18.75" customHeight="1" x14ac:dyDescent="0.35">
      <c r="A4738" s="127"/>
      <c r="C4738" s="124"/>
    </row>
    <row r="4739" spans="1:3" ht="18.75" customHeight="1" x14ac:dyDescent="0.35">
      <c r="A4739" s="127"/>
      <c r="C4739" s="124"/>
    </row>
    <row r="4740" spans="1:3" ht="18.75" customHeight="1" x14ac:dyDescent="0.35">
      <c r="A4740" s="127"/>
      <c r="C4740" s="124"/>
    </row>
    <row r="4741" spans="1:3" ht="18.75" customHeight="1" x14ac:dyDescent="0.35">
      <c r="A4741" s="127"/>
      <c r="C4741" s="124"/>
    </row>
    <row r="4742" spans="1:3" ht="18.75" customHeight="1" x14ac:dyDescent="0.35">
      <c r="A4742" s="127"/>
      <c r="C4742" s="124"/>
    </row>
    <row r="4743" spans="1:3" ht="18.75" customHeight="1" x14ac:dyDescent="0.35">
      <c r="A4743" s="127"/>
      <c r="C4743" s="124"/>
    </row>
    <row r="4744" spans="1:3" ht="18.75" customHeight="1" x14ac:dyDescent="0.35">
      <c r="A4744" s="127"/>
      <c r="C4744" s="124"/>
    </row>
    <row r="4745" spans="1:3" ht="18.75" customHeight="1" x14ac:dyDescent="0.35">
      <c r="A4745" s="127"/>
      <c r="C4745" s="124"/>
    </row>
    <row r="4746" spans="1:3" ht="18.75" customHeight="1" x14ac:dyDescent="0.35">
      <c r="A4746" s="127"/>
      <c r="C4746" s="124"/>
    </row>
    <row r="4747" spans="1:3" ht="18.75" customHeight="1" x14ac:dyDescent="0.35">
      <c r="A4747" s="127"/>
      <c r="C4747" s="124"/>
    </row>
    <row r="4748" spans="1:3" ht="18.75" customHeight="1" x14ac:dyDescent="0.35">
      <c r="A4748" s="127"/>
      <c r="C4748" s="124"/>
    </row>
    <row r="4749" spans="1:3" ht="18.75" customHeight="1" x14ac:dyDescent="0.35">
      <c r="A4749" s="127"/>
      <c r="C4749" s="124"/>
    </row>
    <row r="4750" spans="1:3" ht="18.75" customHeight="1" x14ac:dyDescent="0.35">
      <c r="A4750" s="127"/>
      <c r="C4750" s="124"/>
    </row>
    <row r="4751" spans="1:3" ht="18.75" customHeight="1" x14ac:dyDescent="0.35">
      <c r="A4751" s="127"/>
      <c r="C4751" s="124"/>
    </row>
    <row r="4752" spans="1:3" ht="18.75" customHeight="1" x14ac:dyDescent="0.35">
      <c r="A4752" s="127"/>
      <c r="C4752" s="124"/>
    </row>
    <row r="4753" spans="1:3" ht="18.75" customHeight="1" x14ac:dyDescent="0.35">
      <c r="A4753" s="127"/>
      <c r="C4753" s="124"/>
    </row>
    <row r="4754" spans="1:3" ht="18.75" customHeight="1" x14ac:dyDescent="0.35">
      <c r="A4754" s="127"/>
      <c r="C4754" s="124"/>
    </row>
    <row r="4755" spans="1:3" ht="18.75" customHeight="1" x14ac:dyDescent="0.35">
      <c r="A4755" s="127"/>
      <c r="C4755" s="124"/>
    </row>
    <row r="4756" spans="1:3" ht="18.75" customHeight="1" x14ac:dyDescent="0.35">
      <c r="A4756" s="127"/>
      <c r="C4756" s="124"/>
    </row>
    <row r="4757" spans="1:3" ht="18.75" customHeight="1" x14ac:dyDescent="0.35">
      <c r="A4757" s="127"/>
      <c r="C4757" s="124"/>
    </row>
    <row r="4758" spans="1:3" ht="18.75" customHeight="1" x14ac:dyDescent="0.35">
      <c r="A4758" s="127"/>
      <c r="C4758" s="124"/>
    </row>
    <row r="4759" spans="1:3" ht="18.75" customHeight="1" x14ac:dyDescent="0.35">
      <c r="A4759" s="127"/>
      <c r="C4759" s="124"/>
    </row>
    <row r="4760" spans="1:3" ht="18.75" customHeight="1" x14ac:dyDescent="0.35">
      <c r="A4760" s="127"/>
      <c r="C4760" s="124"/>
    </row>
    <row r="4761" spans="1:3" ht="18.75" customHeight="1" x14ac:dyDescent="0.35">
      <c r="A4761" s="127"/>
      <c r="C4761" s="124"/>
    </row>
    <row r="4762" spans="1:3" ht="18.75" customHeight="1" x14ac:dyDescent="0.35">
      <c r="A4762" s="127"/>
      <c r="C4762" s="124"/>
    </row>
    <row r="4763" spans="1:3" ht="18.75" customHeight="1" x14ac:dyDescent="0.35">
      <c r="A4763" s="127"/>
      <c r="C4763" s="124"/>
    </row>
    <row r="4764" spans="1:3" ht="18.75" customHeight="1" x14ac:dyDescent="0.35">
      <c r="A4764" s="127"/>
      <c r="C4764" s="124"/>
    </row>
    <row r="4765" spans="1:3" ht="18.75" customHeight="1" x14ac:dyDescent="0.35">
      <c r="A4765" s="127"/>
      <c r="C4765" s="124"/>
    </row>
    <row r="4766" spans="1:3" ht="18.75" customHeight="1" x14ac:dyDescent="0.35">
      <c r="A4766" s="127"/>
      <c r="C4766" s="124"/>
    </row>
    <row r="4767" spans="1:3" ht="18.75" customHeight="1" x14ac:dyDescent="0.35">
      <c r="A4767" s="127"/>
      <c r="C4767" s="124"/>
    </row>
    <row r="4768" spans="1:3" ht="18.75" customHeight="1" x14ac:dyDescent="0.35">
      <c r="A4768" s="127"/>
      <c r="C4768" s="124"/>
    </row>
    <row r="4769" spans="1:3" ht="18.75" customHeight="1" x14ac:dyDescent="0.35">
      <c r="A4769" s="127"/>
      <c r="C4769" s="124"/>
    </row>
    <row r="4770" spans="1:3" ht="18.75" customHeight="1" x14ac:dyDescent="0.35">
      <c r="A4770" s="127"/>
      <c r="C4770" s="124"/>
    </row>
    <row r="4771" spans="1:3" ht="18.75" customHeight="1" x14ac:dyDescent="0.35">
      <c r="A4771" s="127"/>
      <c r="C4771" s="124"/>
    </row>
    <row r="4772" spans="1:3" ht="18.75" customHeight="1" x14ac:dyDescent="0.35">
      <c r="A4772" s="127"/>
      <c r="C4772" s="124"/>
    </row>
    <row r="4773" spans="1:3" ht="18.75" customHeight="1" x14ac:dyDescent="0.35">
      <c r="A4773" s="127"/>
      <c r="C4773" s="124"/>
    </row>
    <row r="4774" spans="1:3" ht="18.75" customHeight="1" x14ac:dyDescent="0.35">
      <c r="A4774" s="127"/>
      <c r="C4774" s="124"/>
    </row>
    <row r="4775" spans="1:3" ht="18.75" customHeight="1" x14ac:dyDescent="0.35">
      <c r="A4775" s="127"/>
      <c r="C4775" s="124"/>
    </row>
    <row r="4776" spans="1:3" ht="18.75" customHeight="1" x14ac:dyDescent="0.35">
      <c r="A4776" s="127"/>
      <c r="C4776" s="124"/>
    </row>
    <row r="4777" spans="1:3" ht="18.75" customHeight="1" x14ac:dyDescent="0.35">
      <c r="A4777" s="127"/>
      <c r="C4777" s="124"/>
    </row>
    <row r="4778" spans="1:3" ht="18.75" customHeight="1" x14ac:dyDescent="0.35">
      <c r="A4778" s="127"/>
      <c r="C4778" s="124"/>
    </row>
    <row r="4779" spans="1:3" ht="18.75" customHeight="1" x14ac:dyDescent="0.35">
      <c r="A4779" s="127"/>
      <c r="C4779" s="124"/>
    </row>
    <row r="4780" spans="1:3" ht="18.75" customHeight="1" x14ac:dyDescent="0.35">
      <c r="A4780" s="127"/>
      <c r="C4780" s="124"/>
    </row>
    <row r="4781" spans="1:3" ht="18.75" customHeight="1" x14ac:dyDescent="0.35">
      <c r="A4781" s="127"/>
      <c r="C4781" s="124"/>
    </row>
    <row r="4782" spans="1:3" ht="18.75" customHeight="1" x14ac:dyDescent="0.35">
      <c r="A4782" s="127"/>
      <c r="C4782" s="124"/>
    </row>
    <row r="4783" spans="1:3" ht="18.75" customHeight="1" x14ac:dyDescent="0.35">
      <c r="A4783" s="127"/>
      <c r="C4783" s="124"/>
    </row>
    <row r="4784" spans="1:3" ht="18.75" customHeight="1" x14ac:dyDescent="0.35">
      <c r="A4784" s="127"/>
      <c r="C4784" s="124"/>
    </row>
    <row r="4785" spans="1:3" ht="18.75" customHeight="1" x14ac:dyDescent="0.35">
      <c r="A4785" s="127"/>
      <c r="C4785" s="124"/>
    </row>
    <row r="4786" spans="1:3" ht="18.75" customHeight="1" x14ac:dyDescent="0.35">
      <c r="A4786" s="127"/>
      <c r="C4786" s="124"/>
    </row>
    <row r="4787" spans="1:3" ht="18.75" customHeight="1" x14ac:dyDescent="0.35">
      <c r="A4787" s="127"/>
      <c r="C4787" s="124"/>
    </row>
    <row r="4788" spans="1:3" ht="18.75" customHeight="1" x14ac:dyDescent="0.35">
      <c r="A4788" s="127"/>
      <c r="C4788" s="124"/>
    </row>
    <row r="4789" spans="1:3" ht="18.75" customHeight="1" x14ac:dyDescent="0.35">
      <c r="A4789" s="127"/>
      <c r="C4789" s="124"/>
    </row>
    <row r="4790" spans="1:3" ht="18.75" customHeight="1" x14ac:dyDescent="0.35">
      <c r="A4790" s="127"/>
      <c r="C4790" s="124"/>
    </row>
    <row r="4791" spans="1:3" ht="18.75" customHeight="1" x14ac:dyDescent="0.35">
      <c r="A4791" s="127"/>
      <c r="C4791" s="124"/>
    </row>
    <row r="4792" spans="1:3" ht="18.75" customHeight="1" x14ac:dyDescent="0.35">
      <c r="A4792" s="127"/>
      <c r="C4792" s="124"/>
    </row>
    <row r="4793" spans="1:3" ht="18.75" customHeight="1" x14ac:dyDescent="0.35">
      <c r="A4793" s="127"/>
      <c r="C4793" s="124"/>
    </row>
    <row r="4794" spans="1:3" ht="18.75" customHeight="1" x14ac:dyDescent="0.35">
      <c r="A4794" s="127"/>
      <c r="C4794" s="124"/>
    </row>
    <row r="4795" spans="1:3" ht="18.75" customHeight="1" x14ac:dyDescent="0.35">
      <c r="A4795" s="127"/>
      <c r="C4795" s="124"/>
    </row>
    <row r="4796" spans="1:3" ht="18.75" customHeight="1" x14ac:dyDescent="0.35">
      <c r="A4796" s="127"/>
      <c r="C4796" s="124"/>
    </row>
    <row r="4797" spans="1:3" ht="18.75" customHeight="1" x14ac:dyDescent="0.35">
      <c r="A4797" s="127"/>
      <c r="C4797" s="124"/>
    </row>
    <row r="4798" spans="1:3" ht="18.75" customHeight="1" x14ac:dyDescent="0.35">
      <c r="A4798" s="127"/>
      <c r="C4798" s="124"/>
    </row>
    <row r="4799" spans="1:3" ht="18.75" customHeight="1" x14ac:dyDescent="0.35">
      <c r="A4799" s="127"/>
      <c r="C4799" s="124"/>
    </row>
    <row r="4800" spans="1:3" ht="18.75" customHeight="1" x14ac:dyDescent="0.35">
      <c r="A4800" s="127"/>
      <c r="C4800" s="124"/>
    </row>
    <row r="4801" spans="1:3" ht="18.75" customHeight="1" x14ac:dyDescent="0.35">
      <c r="A4801" s="127"/>
      <c r="C4801" s="124"/>
    </row>
    <row r="4802" spans="1:3" ht="18.75" customHeight="1" x14ac:dyDescent="0.35">
      <c r="A4802" s="127"/>
      <c r="C4802" s="124"/>
    </row>
    <row r="4803" spans="1:3" ht="18.75" customHeight="1" x14ac:dyDescent="0.35">
      <c r="A4803" s="127"/>
      <c r="C4803" s="124"/>
    </row>
    <row r="4804" spans="1:3" ht="18.75" customHeight="1" x14ac:dyDescent="0.35">
      <c r="A4804" s="127"/>
      <c r="C4804" s="124"/>
    </row>
    <row r="4805" spans="1:3" ht="18.75" customHeight="1" x14ac:dyDescent="0.35">
      <c r="A4805" s="127"/>
      <c r="C4805" s="124"/>
    </row>
    <row r="4806" spans="1:3" ht="18.75" customHeight="1" x14ac:dyDescent="0.35">
      <c r="A4806" s="127"/>
      <c r="C4806" s="124"/>
    </row>
    <row r="4807" spans="1:3" ht="18.75" customHeight="1" x14ac:dyDescent="0.35">
      <c r="A4807" s="127"/>
      <c r="C4807" s="124"/>
    </row>
    <row r="4808" spans="1:3" ht="18.75" customHeight="1" x14ac:dyDescent="0.35">
      <c r="A4808" s="127"/>
      <c r="C4808" s="124"/>
    </row>
    <row r="4809" spans="1:3" ht="18.75" customHeight="1" x14ac:dyDescent="0.35">
      <c r="A4809" s="127"/>
      <c r="C4809" s="124"/>
    </row>
    <row r="4810" spans="1:3" ht="18.75" customHeight="1" x14ac:dyDescent="0.35">
      <c r="A4810" s="127"/>
      <c r="C4810" s="124"/>
    </row>
    <row r="4811" spans="1:3" ht="18.75" customHeight="1" x14ac:dyDescent="0.35">
      <c r="A4811" s="127"/>
      <c r="C4811" s="124"/>
    </row>
    <row r="4812" spans="1:3" ht="18.75" customHeight="1" x14ac:dyDescent="0.35">
      <c r="A4812" s="127"/>
      <c r="C4812" s="124"/>
    </row>
    <row r="4813" spans="1:3" ht="18.75" customHeight="1" x14ac:dyDescent="0.35">
      <c r="A4813" s="127"/>
      <c r="C4813" s="124"/>
    </row>
    <row r="4814" spans="1:3" ht="18.75" customHeight="1" x14ac:dyDescent="0.35">
      <c r="A4814" s="127"/>
      <c r="C4814" s="124"/>
    </row>
    <row r="4815" spans="1:3" ht="18.75" customHeight="1" x14ac:dyDescent="0.35">
      <c r="A4815" s="127"/>
      <c r="C4815" s="124"/>
    </row>
    <row r="4816" spans="1:3" ht="18.75" customHeight="1" x14ac:dyDescent="0.35">
      <c r="A4816" s="127"/>
      <c r="C4816" s="124"/>
    </row>
    <row r="4817" spans="1:3" ht="18.75" customHeight="1" x14ac:dyDescent="0.35">
      <c r="A4817" s="127"/>
      <c r="C4817" s="124"/>
    </row>
    <row r="4818" spans="1:3" ht="18.75" customHeight="1" x14ac:dyDescent="0.35">
      <c r="A4818" s="127"/>
      <c r="C4818" s="124"/>
    </row>
    <row r="4819" spans="1:3" ht="18.75" customHeight="1" x14ac:dyDescent="0.35">
      <c r="A4819" s="127"/>
      <c r="C4819" s="124"/>
    </row>
    <row r="4820" spans="1:3" ht="18.75" customHeight="1" x14ac:dyDescent="0.35">
      <c r="A4820" s="127"/>
      <c r="C4820" s="124"/>
    </row>
    <row r="4821" spans="1:3" ht="18.75" customHeight="1" x14ac:dyDescent="0.35">
      <c r="A4821" s="127"/>
      <c r="C4821" s="124"/>
    </row>
    <row r="4822" spans="1:3" ht="18.75" customHeight="1" x14ac:dyDescent="0.35">
      <c r="A4822" s="127"/>
      <c r="C4822" s="124"/>
    </row>
    <row r="4823" spans="1:3" ht="18.75" customHeight="1" x14ac:dyDescent="0.35">
      <c r="A4823" s="127"/>
      <c r="C4823" s="124"/>
    </row>
    <row r="4824" spans="1:3" ht="18.75" customHeight="1" x14ac:dyDescent="0.35">
      <c r="A4824" s="127"/>
      <c r="C4824" s="124"/>
    </row>
    <row r="4825" spans="1:3" ht="18.75" customHeight="1" x14ac:dyDescent="0.35">
      <c r="A4825" s="127"/>
      <c r="C4825" s="124"/>
    </row>
    <row r="4826" spans="1:3" ht="18.75" customHeight="1" x14ac:dyDescent="0.35">
      <c r="A4826" s="127"/>
      <c r="C4826" s="124"/>
    </row>
    <row r="4827" spans="1:3" ht="18.75" customHeight="1" x14ac:dyDescent="0.35">
      <c r="A4827" s="127"/>
      <c r="C4827" s="124"/>
    </row>
    <row r="4828" spans="1:3" ht="18.75" customHeight="1" x14ac:dyDescent="0.35">
      <c r="A4828" s="127"/>
      <c r="C4828" s="124"/>
    </row>
    <row r="4829" spans="1:3" ht="18.75" customHeight="1" x14ac:dyDescent="0.35">
      <c r="A4829" s="127"/>
      <c r="C4829" s="124"/>
    </row>
    <row r="4830" spans="1:3" ht="18.75" customHeight="1" x14ac:dyDescent="0.35">
      <c r="A4830" s="127"/>
      <c r="C4830" s="124"/>
    </row>
    <row r="4831" spans="1:3" ht="18.75" customHeight="1" x14ac:dyDescent="0.35">
      <c r="A4831" s="127"/>
      <c r="C4831" s="124"/>
    </row>
    <row r="4832" spans="1:3" ht="18.75" customHeight="1" x14ac:dyDescent="0.35">
      <c r="A4832" s="127"/>
      <c r="C4832" s="124"/>
    </row>
    <row r="4833" spans="1:3" ht="18.75" customHeight="1" x14ac:dyDescent="0.35">
      <c r="A4833" s="127"/>
      <c r="C4833" s="124"/>
    </row>
    <row r="4834" spans="1:3" ht="18.75" customHeight="1" x14ac:dyDescent="0.35">
      <c r="A4834" s="127"/>
      <c r="C4834" s="124"/>
    </row>
    <row r="4835" spans="1:3" ht="18.75" customHeight="1" x14ac:dyDescent="0.35">
      <c r="A4835" s="127"/>
      <c r="C4835" s="124"/>
    </row>
    <row r="4836" spans="1:3" ht="18.75" customHeight="1" x14ac:dyDescent="0.35">
      <c r="A4836" s="127"/>
      <c r="C4836" s="124"/>
    </row>
    <row r="4837" spans="1:3" ht="18.75" customHeight="1" x14ac:dyDescent="0.35">
      <c r="A4837" s="127"/>
      <c r="C4837" s="124"/>
    </row>
    <row r="4838" spans="1:3" ht="18.75" customHeight="1" x14ac:dyDescent="0.35">
      <c r="A4838" s="127"/>
      <c r="C4838" s="124"/>
    </row>
    <row r="4839" spans="1:3" ht="18.75" customHeight="1" x14ac:dyDescent="0.35">
      <c r="A4839" s="127"/>
      <c r="C4839" s="124"/>
    </row>
    <row r="4840" spans="1:3" ht="18.75" customHeight="1" x14ac:dyDescent="0.35">
      <c r="A4840" s="127"/>
      <c r="C4840" s="124"/>
    </row>
    <row r="4841" spans="1:3" ht="18.75" customHeight="1" x14ac:dyDescent="0.35">
      <c r="A4841" s="127"/>
      <c r="C4841" s="124"/>
    </row>
    <row r="4842" spans="1:3" ht="18.75" customHeight="1" x14ac:dyDescent="0.35">
      <c r="A4842" s="127"/>
      <c r="C4842" s="124"/>
    </row>
    <row r="4843" spans="1:3" ht="18.75" customHeight="1" x14ac:dyDescent="0.35">
      <c r="A4843" s="127"/>
      <c r="C4843" s="124"/>
    </row>
    <row r="4844" spans="1:3" ht="18.75" customHeight="1" x14ac:dyDescent="0.35">
      <c r="A4844" s="127"/>
      <c r="C4844" s="124"/>
    </row>
    <row r="4845" spans="1:3" ht="18.75" customHeight="1" x14ac:dyDescent="0.35">
      <c r="A4845" s="127"/>
      <c r="C4845" s="124"/>
    </row>
    <row r="4846" spans="1:3" ht="18.75" customHeight="1" x14ac:dyDescent="0.35">
      <c r="A4846" s="127"/>
      <c r="C4846" s="124"/>
    </row>
    <row r="4847" spans="1:3" ht="18.75" customHeight="1" x14ac:dyDescent="0.35">
      <c r="A4847" s="127"/>
      <c r="C4847" s="124"/>
    </row>
    <row r="4848" spans="1:3" ht="18.75" customHeight="1" x14ac:dyDescent="0.35">
      <c r="A4848" s="127"/>
      <c r="C4848" s="124"/>
    </row>
    <row r="4849" spans="1:3" ht="18.75" customHeight="1" x14ac:dyDescent="0.35">
      <c r="A4849" s="127"/>
      <c r="C4849" s="124"/>
    </row>
    <row r="4850" spans="1:3" ht="18.75" customHeight="1" x14ac:dyDescent="0.35">
      <c r="A4850" s="127"/>
      <c r="C4850" s="124"/>
    </row>
    <row r="4851" spans="1:3" ht="18.75" customHeight="1" x14ac:dyDescent="0.35">
      <c r="A4851" s="127"/>
      <c r="C4851" s="124"/>
    </row>
    <row r="4852" spans="1:3" ht="18.75" customHeight="1" x14ac:dyDescent="0.35">
      <c r="A4852" s="127"/>
      <c r="C4852" s="124"/>
    </row>
    <row r="4853" spans="1:3" ht="18.75" customHeight="1" x14ac:dyDescent="0.35">
      <c r="A4853" s="127"/>
      <c r="C4853" s="124"/>
    </row>
    <row r="4854" spans="1:3" ht="18.75" customHeight="1" x14ac:dyDescent="0.35">
      <c r="A4854" s="127"/>
      <c r="C4854" s="124"/>
    </row>
    <row r="4855" spans="1:3" ht="18.75" customHeight="1" x14ac:dyDescent="0.35">
      <c r="A4855" s="127"/>
      <c r="C4855" s="124"/>
    </row>
    <row r="4856" spans="1:3" ht="18.75" customHeight="1" x14ac:dyDescent="0.35">
      <c r="A4856" s="127"/>
      <c r="C4856" s="124"/>
    </row>
    <row r="4857" spans="1:3" ht="18.75" customHeight="1" x14ac:dyDescent="0.35">
      <c r="A4857" s="127"/>
      <c r="C4857" s="124"/>
    </row>
    <row r="4858" spans="1:3" ht="18.75" customHeight="1" x14ac:dyDescent="0.35">
      <c r="A4858" s="127"/>
      <c r="C4858" s="124"/>
    </row>
    <row r="4859" spans="1:3" ht="18.75" customHeight="1" x14ac:dyDescent="0.35">
      <c r="A4859" s="127"/>
      <c r="C4859" s="124"/>
    </row>
    <row r="4860" spans="1:3" ht="18.75" customHeight="1" x14ac:dyDescent="0.35">
      <c r="A4860" s="127"/>
      <c r="C4860" s="124"/>
    </row>
    <row r="4861" spans="1:3" ht="18.75" customHeight="1" x14ac:dyDescent="0.35">
      <c r="A4861" s="127"/>
      <c r="C4861" s="124"/>
    </row>
    <row r="4862" spans="1:3" ht="18.75" customHeight="1" x14ac:dyDescent="0.35">
      <c r="A4862" s="127"/>
      <c r="C4862" s="124"/>
    </row>
    <row r="4863" spans="1:3" ht="18.75" customHeight="1" x14ac:dyDescent="0.35">
      <c r="A4863" s="127"/>
      <c r="C4863" s="124"/>
    </row>
    <row r="4864" spans="1:3" ht="18.75" customHeight="1" x14ac:dyDescent="0.35">
      <c r="A4864" s="127"/>
      <c r="C4864" s="124"/>
    </row>
    <row r="4865" spans="1:3" ht="18.75" customHeight="1" x14ac:dyDescent="0.35">
      <c r="A4865" s="127"/>
      <c r="C4865" s="124"/>
    </row>
    <row r="4866" spans="1:3" ht="18.75" customHeight="1" x14ac:dyDescent="0.35">
      <c r="A4866" s="127"/>
      <c r="C4866" s="124"/>
    </row>
    <row r="4867" spans="1:3" ht="18.75" customHeight="1" x14ac:dyDescent="0.35">
      <c r="A4867" s="127"/>
      <c r="C4867" s="124"/>
    </row>
    <row r="4868" spans="1:3" ht="18.75" customHeight="1" x14ac:dyDescent="0.35">
      <c r="A4868" s="127"/>
      <c r="C4868" s="124"/>
    </row>
    <row r="4869" spans="1:3" ht="18.75" customHeight="1" x14ac:dyDescent="0.35">
      <c r="A4869" s="127"/>
      <c r="C4869" s="124"/>
    </row>
    <row r="4870" spans="1:3" ht="18.75" customHeight="1" x14ac:dyDescent="0.35">
      <c r="A4870" s="127"/>
      <c r="C4870" s="124"/>
    </row>
    <row r="4871" spans="1:3" ht="18.75" customHeight="1" x14ac:dyDescent="0.35">
      <c r="A4871" s="127"/>
      <c r="C4871" s="124"/>
    </row>
    <row r="4872" spans="1:3" ht="18.75" customHeight="1" x14ac:dyDescent="0.35">
      <c r="A4872" s="127"/>
      <c r="C4872" s="124"/>
    </row>
    <row r="4873" spans="1:3" ht="18.75" customHeight="1" x14ac:dyDescent="0.35">
      <c r="A4873" s="127"/>
      <c r="C4873" s="124"/>
    </row>
    <row r="4874" spans="1:3" ht="18.75" customHeight="1" x14ac:dyDescent="0.35">
      <c r="A4874" s="127"/>
      <c r="C4874" s="124"/>
    </row>
    <row r="4875" spans="1:3" ht="18.75" customHeight="1" x14ac:dyDescent="0.35">
      <c r="A4875" s="127"/>
      <c r="C4875" s="124"/>
    </row>
    <row r="4876" spans="1:3" ht="18.75" customHeight="1" x14ac:dyDescent="0.35">
      <c r="A4876" s="127"/>
      <c r="C4876" s="124"/>
    </row>
    <row r="4877" spans="1:3" ht="18.75" customHeight="1" x14ac:dyDescent="0.35">
      <c r="A4877" s="127"/>
      <c r="C4877" s="124"/>
    </row>
    <row r="4878" spans="1:3" ht="18.75" customHeight="1" x14ac:dyDescent="0.35">
      <c r="A4878" s="127"/>
      <c r="C4878" s="124"/>
    </row>
    <row r="4879" spans="1:3" ht="18.75" customHeight="1" x14ac:dyDescent="0.35">
      <c r="A4879" s="127"/>
      <c r="C4879" s="124"/>
    </row>
    <row r="4880" spans="1:3" ht="18.75" customHeight="1" x14ac:dyDescent="0.35">
      <c r="A4880" s="127"/>
      <c r="C4880" s="124"/>
    </row>
    <row r="4881" spans="1:3" ht="18.75" customHeight="1" x14ac:dyDescent="0.35">
      <c r="A4881" s="127"/>
      <c r="C4881" s="124"/>
    </row>
    <row r="4882" spans="1:3" ht="18.75" customHeight="1" x14ac:dyDescent="0.35">
      <c r="A4882" s="127"/>
      <c r="C4882" s="124"/>
    </row>
    <row r="4883" spans="1:3" ht="18.75" customHeight="1" x14ac:dyDescent="0.35">
      <c r="A4883" s="127"/>
      <c r="C4883" s="124"/>
    </row>
    <row r="4884" spans="1:3" ht="18.75" customHeight="1" x14ac:dyDescent="0.35">
      <c r="A4884" s="127"/>
      <c r="C4884" s="124"/>
    </row>
    <row r="4885" spans="1:3" ht="18.75" customHeight="1" x14ac:dyDescent="0.35">
      <c r="A4885" s="127"/>
      <c r="C4885" s="124"/>
    </row>
    <row r="4886" spans="1:3" ht="18.75" customHeight="1" x14ac:dyDescent="0.35">
      <c r="A4886" s="127"/>
      <c r="C4886" s="124"/>
    </row>
    <row r="4887" spans="1:3" ht="18.75" customHeight="1" x14ac:dyDescent="0.35">
      <c r="A4887" s="127"/>
      <c r="C4887" s="124"/>
    </row>
    <row r="4888" spans="1:3" ht="18.75" customHeight="1" x14ac:dyDescent="0.35">
      <c r="A4888" s="127"/>
      <c r="C4888" s="124"/>
    </row>
    <row r="4889" spans="1:3" ht="18.75" customHeight="1" x14ac:dyDescent="0.35">
      <c r="A4889" s="127"/>
      <c r="C4889" s="124"/>
    </row>
    <row r="4890" spans="1:3" ht="18.75" customHeight="1" x14ac:dyDescent="0.35">
      <c r="A4890" s="127"/>
      <c r="C4890" s="124"/>
    </row>
    <row r="4891" spans="1:3" ht="18.75" customHeight="1" x14ac:dyDescent="0.35">
      <c r="A4891" s="127"/>
      <c r="C4891" s="124"/>
    </row>
    <row r="4892" spans="1:3" ht="18.75" customHeight="1" x14ac:dyDescent="0.35">
      <c r="A4892" s="127"/>
      <c r="C4892" s="124"/>
    </row>
    <row r="4893" spans="1:3" ht="18.75" customHeight="1" x14ac:dyDescent="0.35">
      <c r="A4893" s="127"/>
      <c r="C4893" s="124"/>
    </row>
    <row r="4894" spans="1:3" ht="18.75" customHeight="1" x14ac:dyDescent="0.35">
      <c r="A4894" s="127"/>
      <c r="C4894" s="124"/>
    </row>
    <row r="4895" spans="1:3" ht="18.75" customHeight="1" x14ac:dyDescent="0.35">
      <c r="A4895" s="127"/>
      <c r="C4895" s="124"/>
    </row>
    <row r="4896" spans="1:3" ht="18.75" customHeight="1" x14ac:dyDescent="0.35">
      <c r="A4896" s="127"/>
      <c r="C4896" s="124"/>
    </row>
    <row r="4897" spans="1:3" ht="18.75" customHeight="1" x14ac:dyDescent="0.35">
      <c r="A4897" s="127"/>
      <c r="C4897" s="124"/>
    </row>
    <row r="4898" spans="1:3" ht="18.75" customHeight="1" x14ac:dyDescent="0.35">
      <c r="A4898" s="127"/>
      <c r="C4898" s="124"/>
    </row>
    <row r="4899" spans="1:3" ht="18.75" customHeight="1" x14ac:dyDescent="0.35">
      <c r="A4899" s="127"/>
      <c r="C4899" s="124"/>
    </row>
    <row r="4900" spans="1:3" ht="18.75" customHeight="1" x14ac:dyDescent="0.35">
      <c r="A4900" s="127"/>
      <c r="C4900" s="124"/>
    </row>
    <row r="4901" spans="1:3" ht="18.75" customHeight="1" x14ac:dyDescent="0.35">
      <c r="A4901" s="127"/>
      <c r="C4901" s="124"/>
    </row>
    <row r="4902" spans="1:3" ht="18.75" customHeight="1" x14ac:dyDescent="0.35">
      <c r="A4902" s="127"/>
      <c r="C4902" s="124"/>
    </row>
    <row r="4903" spans="1:3" ht="18.75" customHeight="1" x14ac:dyDescent="0.35">
      <c r="A4903" s="127"/>
      <c r="C4903" s="124"/>
    </row>
    <row r="4904" spans="1:3" ht="18.75" customHeight="1" x14ac:dyDescent="0.35">
      <c r="A4904" s="127"/>
      <c r="C4904" s="124"/>
    </row>
    <row r="4905" spans="1:3" ht="18.75" customHeight="1" x14ac:dyDescent="0.35">
      <c r="A4905" s="127"/>
      <c r="C4905" s="124"/>
    </row>
    <row r="4906" spans="1:3" ht="18.75" customHeight="1" x14ac:dyDescent="0.35">
      <c r="A4906" s="127"/>
      <c r="C4906" s="124"/>
    </row>
    <row r="4907" spans="1:3" ht="18.75" customHeight="1" x14ac:dyDescent="0.35">
      <c r="A4907" s="127"/>
      <c r="C4907" s="124"/>
    </row>
    <row r="4908" spans="1:3" ht="18.75" customHeight="1" x14ac:dyDescent="0.35">
      <c r="A4908" s="127"/>
      <c r="C4908" s="124"/>
    </row>
    <row r="4909" spans="1:3" ht="18.75" customHeight="1" x14ac:dyDescent="0.35">
      <c r="A4909" s="127"/>
      <c r="C4909" s="124"/>
    </row>
    <row r="4910" spans="1:3" ht="18.75" customHeight="1" x14ac:dyDescent="0.35">
      <c r="A4910" s="127"/>
      <c r="C4910" s="124"/>
    </row>
    <row r="4911" spans="1:3" ht="18.75" customHeight="1" x14ac:dyDescent="0.35">
      <c r="A4911" s="127"/>
      <c r="C4911" s="124"/>
    </row>
    <row r="4912" spans="1:3" ht="18.75" customHeight="1" x14ac:dyDescent="0.35">
      <c r="A4912" s="127"/>
      <c r="C4912" s="124"/>
    </row>
    <row r="4913" spans="1:3" ht="18.75" customHeight="1" x14ac:dyDescent="0.35">
      <c r="A4913" s="127"/>
      <c r="C4913" s="124"/>
    </row>
    <row r="4914" spans="1:3" ht="18.75" customHeight="1" x14ac:dyDescent="0.35">
      <c r="A4914" s="127"/>
      <c r="C4914" s="124"/>
    </row>
    <row r="4915" spans="1:3" ht="18.75" customHeight="1" x14ac:dyDescent="0.35">
      <c r="A4915" s="127"/>
      <c r="C4915" s="124"/>
    </row>
    <row r="4916" spans="1:3" ht="18.75" customHeight="1" x14ac:dyDescent="0.35">
      <c r="A4916" s="127"/>
      <c r="C4916" s="124"/>
    </row>
    <row r="4917" spans="1:3" ht="18.75" customHeight="1" x14ac:dyDescent="0.35">
      <c r="A4917" s="127"/>
      <c r="C4917" s="124"/>
    </row>
    <row r="4918" spans="1:3" ht="18.75" customHeight="1" x14ac:dyDescent="0.35">
      <c r="A4918" s="127"/>
      <c r="C4918" s="124"/>
    </row>
    <row r="4919" spans="1:3" ht="18.75" customHeight="1" x14ac:dyDescent="0.35">
      <c r="A4919" s="127"/>
      <c r="C4919" s="124"/>
    </row>
    <row r="4920" spans="1:3" ht="18.75" customHeight="1" x14ac:dyDescent="0.35">
      <c r="A4920" s="127"/>
      <c r="C4920" s="124"/>
    </row>
    <row r="4921" spans="1:3" ht="18.75" customHeight="1" x14ac:dyDescent="0.35">
      <c r="A4921" s="127"/>
      <c r="C4921" s="124"/>
    </row>
    <row r="4922" spans="1:3" ht="18.75" customHeight="1" x14ac:dyDescent="0.35">
      <c r="A4922" s="127"/>
      <c r="C4922" s="124"/>
    </row>
    <row r="4923" spans="1:3" ht="18.75" customHeight="1" x14ac:dyDescent="0.35">
      <c r="A4923" s="127"/>
      <c r="C4923" s="124"/>
    </row>
    <row r="4924" spans="1:3" ht="18.75" customHeight="1" x14ac:dyDescent="0.35">
      <c r="A4924" s="127"/>
      <c r="C4924" s="124"/>
    </row>
    <row r="4925" spans="1:3" ht="18.75" customHeight="1" x14ac:dyDescent="0.35">
      <c r="A4925" s="127"/>
      <c r="C4925" s="124"/>
    </row>
    <row r="4926" spans="1:3" ht="18.75" customHeight="1" x14ac:dyDescent="0.35">
      <c r="A4926" s="127"/>
      <c r="C4926" s="124"/>
    </row>
    <row r="4927" spans="1:3" ht="18.75" customHeight="1" x14ac:dyDescent="0.35">
      <c r="A4927" s="127"/>
      <c r="C4927" s="124"/>
    </row>
    <row r="4928" spans="1:3" ht="18.75" customHeight="1" x14ac:dyDescent="0.35">
      <c r="A4928" s="127"/>
      <c r="C4928" s="124"/>
    </row>
    <row r="4929" spans="1:3" ht="18.75" customHeight="1" x14ac:dyDescent="0.35">
      <c r="A4929" s="127"/>
      <c r="C4929" s="124"/>
    </row>
    <row r="4930" spans="1:3" ht="18.75" customHeight="1" x14ac:dyDescent="0.35">
      <c r="A4930" s="127"/>
      <c r="C4930" s="124"/>
    </row>
    <row r="4931" spans="1:3" ht="18.75" customHeight="1" x14ac:dyDescent="0.35">
      <c r="A4931" s="127"/>
      <c r="C4931" s="124"/>
    </row>
    <row r="4932" spans="1:3" ht="18.75" customHeight="1" x14ac:dyDescent="0.35">
      <c r="A4932" s="127"/>
      <c r="C4932" s="124"/>
    </row>
    <row r="4933" spans="1:3" ht="18.75" customHeight="1" x14ac:dyDescent="0.35">
      <c r="A4933" s="127"/>
      <c r="C4933" s="124"/>
    </row>
    <row r="4934" spans="1:3" ht="18.75" customHeight="1" x14ac:dyDescent="0.35">
      <c r="A4934" s="127"/>
      <c r="C4934" s="124"/>
    </row>
    <row r="4935" spans="1:3" ht="18.75" customHeight="1" x14ac:dyDescent="0.35">
      <c r="A4935" s="127"/>
      <c r="C4935" s="124"/>
    </row>
    <row r="4936" spans="1:3" ht="18.75" customHeight="1" x14ac:dyDescent="0.35">
      <c r="A4936" s="127"/>
      <c r="C4936" s="124"/>
    </row>
    <row r="4937" spans="1:3" ht="18.75" customHeight="1" x14ac:dyDescent="0.35">
      <c r="A4937" s="127"/>
      <c r="C4937" s="124"/>
    </row>
    <row r="4938" spans="1:3" ht="18.75" customHeight="1" x14ac:dyDescent="0.35">
      <c r="A4938" s="127"/>
      <c r="C4938" s="124"/>
    </row>
    <row r="4939" spans="1:3" ht="18.75" customHeight="1" x14ac:dyDescent="0.35">
      <c r="A4939" s="127"/>
      <c r="C4939" s="124"/>
    </row>
    <row r="4940" spans="1:3" ht="18.75" customHeight="1" x14ac:dyDescent="0.35">
      <c r="A4940" s="127"/>
      <c r="C4940" s="124"/>
    </row>
    <row r="4941" spans="1:3" ht="18.75" customHeight="1" x14ac:dyDescent="0.35">
      <c r="A4941" s="127"/>
      <c r="C4941" s="124"/>
    </row>
    <row r="4942" spans="1:3" ht="18.75" customHeight="1" x14ac:dyDescent="0.35">
      <c r="A4942" s="127"/>
      <c r="C4942" s="124"/>
    </row>
    <row r="4943" spans="1:3" ht="18.75" customHeight="1" x14ac:dyDescent="0.35">
      <c r="A4943" s="127"/>
      <c r="C4943" s="124"/>
    </row>
    <row r="4944" spans="1:3" ht="18.75" customHeight="1" x14ac:dyDescent="0.35">
      <c r="A4944" s="127"/>
      <c r="C4944" s="124"/>
    </row>
    <row r="4945" spans="1:3" ht="18.75" customHeight="1" x14ac:dyDescent="0.35">
      <c r="A4945" s="127"/>
      <c r="C4945" s="124"/>
    </row>
    <row r="4946" spans="1:3" ht="18.75" customHeight="1" x14ac:dyDescent="0.35">
      <c r="A4946" s="127"/>
      <c r="C4946" s="124"/>
    </row>
    <row r="4947" spans="1:3" ht="18.75" customHeight="1" x14ac:dyDescent="0.35">
      <c r="A4947" s="127"/>
      <c r="C4947" s="124"/>
    </row>
    <row r="4948" spans="1:3" ht="18.75" customHeight="1" x14ac:dyDescent="0.35">
      <c r="A4948" s="127"/>
      <c r="C4948" s="124"/>
    </row>
    <row r="4949" spans="1:3" ht="18.75" customHeight="1" x14ac:dyDescent="0.35">
      <c r="A4949" s="127"/>
      <c r="C4949" s="124"/>
    </row>
    <row r="4950" spans="1:3" ht="18.75" customHeight="1" x14ac:dyDescent="0.35">
      <c r="A4950" s="127"/>
      <c r="C4950" s="124"/>
    </row>
    <row r="4951" spans="1:3" ht="18.75" customHeight="1" x14ac:dyDescent="0.35">
      <c r="A4951" s="127"/>
      <c r="C4951" s="124"/>
    </row>
    <row r="4952" spans="1:3" ht="18.75" customHeight="1" x14ac:dyDescent="0.35">
      <c r="A4952" s="127"/>
      <c r="C4952" s="124"/>
    </row>
    <row r="4953" spans="1:3" ht="18.75" customHeight="1" x14ac:dyDescent="0.35">
      <c r="A4953" s="127"/>
      <c r="C4953" s="124"/>
    </row>
    <row r="4954" spans="1:3" ht="18.75" customHeight="1" x14ac:dyDescent="0.35">
      <c r="A4954" s="127"/>
      <c r="C4954" s="124"/>
    </row>
    <row r="4955" spans="1:3" ht="18.75" customHeight="1" x14ac:dyDescent="0.35">
      <c r="A4955" s="127"/>
      <c r="C4955" s="124"/>
    </row>
    <row r="4956" spans="1:3" ht="18.75" customHeight="1" x14ac:dyDescent="0.35">
      <c r="A4956" s="127"/>
      <c r="C4956" s="124"/>
    </row>
    <row r="4957" spans="1:3" ht="18.75" customHeight="1" x14ac:dyDescent="0.35">
      <c r="A4957" s="127"/>
      <c r="C4957" s="124"/>
    </row>
    <row r="4958" spans="1:3" ht="18.75" customHeight="1" x14ac:dyDescent="0.35">
      <c r="A4958" s="127"/>
      <c r="C4958" s="124"/>
    </row>
    <row r="4959" spans="1:3" ht="18.75" customHeight="1" x14ac:dyDescent="0.35">
      <c r="A4959" s="127"/>
      <c r="C4959" s="124"/>
    </row>
    <row r="4960" spans="1:3" ht="18.75" customHeight="1" x14ac:dyDescent="0.35">
      <c r="A4960" s="127"/>
      <c r="C4960" s="124"/>
    </row>
    <row r="4961" spans="1:3" ht="18.75" customHeight="1" x14ac:dyDescent="0.35">
      <c r="A4961" s="127"/>
      <c r="C4961" s="124"/>
    </row>
    <row r="4962" spans="1:3" ht="18.75" customHeight="1" x14ac:dyDescent="0.35">
      <c r="A4962" s="127"/>
      <c r="C4962" s="124"/>
    </row>
    <row r="4963" spans="1:3" ht="18.75" customHeight="1" x14ac:dyDescent="0.35">
      <c r="A4963" s="127"/>
      <c r="C4963" s="124"/>
    </row>
    <row r="4964" spans="1:3" ht="18.75" customHeight="1" x14ac:dyDescent="0.35">
      <c r="A4964" s="127"/>
      <c r="C4964" s="124"/>
    </row>
    <row r="4965" spans="1:3" ht="18.75" customHeight="1" x14ac:dyDescent="0.35">
      <c r="A4965" s="127"/>
      <c r="C4965" s="124"/>
    </row>
    <row r="4966" spans="1:3" ht="18.75" customHeight="1" x14ac:dyDescent="0.35">
      <c r="A4966" s="127"/>
      <c r="C4966" s="124"/>
    </row>
    <row r="4967" spans="1:3" ht="18.75" customHeight="1" x14ac:dyDescent="0.35">
      <c r="A4967" s="127"/>
      <c r="C4967" s="124"/>
    </row>
    <row r="4968" spans="1:3" ht="18.75" customHeight="1" x14ac:dyDescent="0.35">
      <c r="A4968" s="127"/>
      <c r="C4968" s="124"/>
    </row>
    <row r="4969" spans="1:3" ht="18.75" customHeight="1" x14ac:dyDescent="0.35">
      <c r="A4969" s="127"/>
      <c r="C4969" s="124"/>
    </row>
    <row r="4970" spans="1:3" ht="18.75" customHeight="1" x14ac:dyDescent="0.35">
      <c r="A4970" s="127"/>
      <c r="C4970" s="124"/>
    </row>
    <row r="4971" spans="1:3" ht="18.75" customHeight="1" x14ac:dyDescent="0.35">
      <c r="A4971" s="127"/>
      <c r="C4971" s="124"/>
    </row>
    <row r="4972" spans="1:3" ht="18.75" customHeight="1" x14ac:dyDescent="0.35">
      <c r="A4972" s="127"/>
      <c r="C4972" s="124"/>
    </row>
    <row r="4973" spans="1:3" ht="18.75" customHeight="1" x14ac:dyDescent="0.35">
      <c r="A4973" s="127"/>
      <c r="C4973" s="124"/>
    </row>
    <row r="4974" spans="1:3" ht="18.75" customHeight="1" x14ac:dyDescent="0.35">
      <c r="A4974" s="127"/>
      <c r="C4974" s="124"/>
    </row>
    <row r="4975" spans="1:3" ht="18.75" customHeight="1" x14ac:dyDescent="0.35">
      <c r="A4975" s="127"/>
      <c r="C4975" s="124"/>
    </row>
    <row r="4976" spans="1:3" ht="18.75" customHeight="1" x14ac:dyDescent="0.35">
      <c r="A4976" s="127"/>
      <c r="C4976" s="124"/>
    </row>
    <row r="4977" spans="1:3" ht="18.75" customHeight="1" x14ac:dyDescent="0.35">
      <c r="A4977" s="127"/>
      <c r="C4977" s="124"/>
    </row>
    <row r="4978" spans="1:3" ht="18.75" customHeight="1" x14ac:dyDescent="0.35">
      <c r="A4978" s="127"/>
      <c r="C4978" s="124"/>
    </row>
    <row r="4979" spans="1:3" ht="18.75" customHeight="1" x14ac:dyDescent="0.35">
      <c r="A4979" s="127"/>
      <c r="C4979" s="124"/>
    </row>
    <row r="4980" spans="1:3" ht="18.75" customHeight="1" x14ac:dyDescent="0.35">
      <c r="A4980" s="127"/>
      <c r="C4980" s="124"/>
    </row>
    <row r="4981" spans="1:3" ht="18.75" customHeight="1" x14ac:dyDescent="0.35">
      <c r="A4981" s="127"/>
      <c r="C4981" s="124"/>
    </row>
    <row r="4982" spans="1:3" ht="18.75" customHeight="1" x14ac:dyDescent="0.35">
      <c r="A4982" s="127"/>
      <c r="C4982" s="124"/>
    </row>
    <row r="4983" spans="1:3" ht="18.75" customHeight="1" x14ac:dyDescent="0.35">
      <c r="A4983" s="127"/>
      <c r="C4983" s="124"/>
    </row>
    <row r="4984" spans="1:3" ht="18.75" customHeight="1" x14ac:dyDescent="0.35">
      <c r="A4984" s="127"/>
      <c r="C4984" s="124"/>
    </row>
    <row r="4985" spans="1:3" ht="18.75" customHeight="1" x14ac:dyDescent="0.35">
      <c r="A4985" s="127"/>
      <c r="C4985" s="124"/>
    </row>
    <row r="4986" spans="1:3" ht="18.75" customHeight="1" x14ac:dyDescent="0.35">
      <c r="A4986" s="127"/>
      <c r="C4986" s="124"/>
    </row>
    <row r="4987" spans="1:3" ht="18.75" customHeight="1" x14ac:dyDescent="0.35">
      <c r="A4987" s="127"/>
      <c r="C4987" s="124"/>
    </row>
    <row r="4988" spans="1:3" ht="18.75" customHeight="1" x14ac:dyDescent="0.35">
      <c r="A4988" s="127"/>
      <c r="C4988" s="124"/>
    </row>
    <row r="4989" spans="1:3" ht="18.75" customHeight="1" x14ac:dyDescent="0.35">
      <c r="A4989" s="127"/>
      <c r="C4989" s="124"/>
    </row>
    <row r="4990" spans="1:3" ht="18.75" customHeight="1" x14ac:dyDescent="0.35">
      <c r="A4990" s="127"/>
      <c r="C4990" s="124"/>
    </row>
    <row r="4991" spans="1:3" ht="18.75" customHeight="1" x14ac:dyDescent="0.35">
      <c r="A4991" s="127"/>
      <c r="C4991" s="124"/>
    </row>
    <row r="4992" spans="1:3" ht="18.75" customHeight="1" x14ac:dyDescent="0.35">
      <c r="A4992" s="127"/>
      <c r="C4992" s="124"/>
    </row>
    <row r="4993" spans="1:3" ht="18.75" customHeight="1" x14ac:dyDescent="0.35">
      <c r="A4993" s="127"/>
      <c r="C4993" s="124"/>
    </row>
    <row r="4994" spans="1:3" ht="18.75" customHeight="1" x14ac:dyDescent="0.35">
      <c r="A4994" s="127"/>
      <c r="C4994" s="124"/>
    </row>
    <row r="4995" spans="1:3" ht="18.75" customHeight="1" x14ac:dyDescent="0.35">
      <c r="A4995" s="127"/>
      <c r="C4995" s="124"/>
    </row>
    <row r="4996" spans="1:3" ht="18.75" customHeight="1" x14ac:dyDescent="0.35">
      <c r="A4996" s="127"/>
      <c r="C4996" s="124"/>
    </row>
    <row r="4997" spans="1:3" ht="18.75" customHeight="1" x14ac:dyDescent="0.35">
      <c r="A4997" s="127"/>
      <c r="C4997" s="124"/>
    </row>
    <row r="4998" spans="1:3" ht="18.75" customHeight="1" x14ac:dyDescent="0.35">
      <c r="A4998" s="127"/>
      <c r="C4998" s="124"/>
    </row>
    <row r="4999" spans="1:3" ht="18.75" customHeight="1" x14ac:dyDescent="0.35">
      <c r="A4999" s="127"/>
      <c r="C4999" s="124"/>
    </row>
    <row r="5000" spans="1:3" ht="18.75" customHeight="1" x14ac:dyDescent="0.35">
      <c r="A5000" s="127"/>
      <c r="C5000" s="124"/>
    </row>
    <row r="5001" spans="1:3" ht="18.75" customHeight="1" x14ac:dyDescent="0.35">
      <c r="A5001" s="127"/>
      <c r="C5001" s="124"/>
    </row>
    <row r="5002" spans="1:3" ht="18.75" customHeight="1" x14ac:dyDescent="0.35">
      <c r="A5002" s="127"/>
      <c r="C5002" s="124"/>
    </row>
    <row r="5003" spans="1:3" ht="18.75" customHeight="1" x14ac:dyDescent="0.35">
      <c r="A5003" s="127"/>
      <c r="C5003" s="124"/>
    </row>
    <row r="5004" spans="1:3" ht="18.75" customHeight="1" x14ac:dyDescent="0.35">
      <c r="A5004" s="127"/>
      <c r="C5004" s="124"/>
    </row>
    <row r="5005" spans="1:3" ht="18.75" customHeight="1" x14ac:dyDescent="0.35">
      <c r="A5005" s="127"/>
      <c r="C5005" s="124"/>
    </row>
    <row r="5006" spans="1:3" ht="18.75" customHeight="1" x14ac:dyDescent="0.35">
      <c r="A5006" s="127"/>
      <c r="C5006" s="124"/>
    </row>
    <row r="5007" spans="1:3" ht="18.75" customHeight="1" x14ac:dyDescent="0.35">
      <c r="A5007" s="127"/>
      <c r="C5007" s="124"/>
    </row>
    <row r="5008" spans="1:3" ht="18.75" customHeight="1" x14ac:dyDescent="0.35">
      <c r="A5008" s="127"/>
      <c r="C5008" s="124"/>
    </row>
    <row r="5009" spans="1:3" ht="18.75" customHeight="1" x14ac:dyDescent="0.35">
      <c r="A5009" s="127"/>
      <c r="C5009" s="124"/>
    </row>
    <row r="5010" spans="1:3" ht="18.75" customHeight="1" x14ac:dyDescent="0.35">
      <c r="A5010" s="127"/>
      <c r="C5010" s="124"/>
    </row>
    <row r="5011" spans="1:3" ht="18.75" customHeight="1" x14ac:dyDescent="0.35">
      <c r="A5011" s="127"/>
      <c r="C5011" s="124"/>
    </row>
    <row r="5012" spans="1:3" ht="18.75" customHeight="1" x14ac:dyDescent="0.35">
      <c r="A5012" s="127"/>
      <c r="C5012" s="124"/>
    </row>
    <row r="5013" spans="1:3" ht="18.75" customHeight="1" x14ac:dyDescent="0.35">
      <c r="A5013" s="127"/>
      <c r="C5013" s="124"/>
    </row>
    <row r="5014" spans="1:3" ht="18.75" customHeight="1" x14ac:dyDescent="0.35">
      <c r="A5014" s="127"/>
      <c r="C5014" s="124"/>
    </row>
    <row r="5015" spans="1:3" ht="18.75" customHeight="1" x14ac:dyDescent="0.35">
      <c r="A5015" s="127"/>
      <c r="C5015" s="124"/>
    </row>
    <row r="5016" spans="1:3" ht="18.75" customHeight="1" x14ac:dyDescent="0.35">
      <c r="A5016" s="127"/>
      <c r="C5016" s="124"/>
    </row>
    <row r="5017" spans="1:3" ht="18.75" customHeight="1" x14ac:dyDescent="0.35">
      <c r="A5017" s="127"/>
      <c r="C5017" s="124"/>
    </row>
    <row r="5018" spans="1:3" ht="18.75" customHeight="1" x14ac:dyDescent="0.35">
      <c r="A5018" s="127"/>
      <c r="C5018" s="124"/>
    </row>
    <row r="5019" spans="1:3" ht="18.75" customHeight="1" x14ac:dyDescent="0.35">
      <c r="A5019" s="127"/>
      <c r="C5019" s="124"/>
    </row>
    <row r="5020" spans="1:3" ht="18.75" customHeight="1" x14ac:dyDescent="0.35">
      <c r="A5020" s="127"/>
      <c r="C5020" s="124"/>
    </row>
    <row r="5021" spans="1:3" ht="18.75" customHeight="1" x14ac:dyDescent="0.35">
      <c r="A5021" s="127"/>
      <c r="C5021" s="124"/>
    </row>
    <row r="5022" spans="1:3" ht="18.75" customHeight="1" x14ac:dyDescent="0.35">
      <c r="A5022" s="127"/>
      <c r="C5022" s="124"/>
    </row>
    <row r="5023" spans="1:3" ht="18.75" customHeight="1" x14ac:dyDescent="0.35">
      <c r="A5023" s="127"/>
      <c r="C5023" s="124"/>
    </row>
    <row r="5024" spans="1:3" ht="18.75" customHeight="1" x14ac:dyDescent="0.35">
      <c r="A5024" s="127"/>
      <c r="C5024" s="124"/>
    </row>
    <row r="5025" spans="1:3" ht="18.75" customHeight="1" x14ac:dyDescent="0.35">
      <c r="A5025" s="127"/>
      <c r="C5025" s="124"/>
    </row>
    <row r="5026" spans="1:3" ht="18.75" customHeight="1" x14ac:dyDescent="0.35">
      <c r="A5026" s="127"/>
      <c r="C5026" s="124"/>
    </row>
    <row r="5027" spans="1:3" ht="18.75" customHeight="1" x14ac:dyDescent="0.35">
      <c r="A5027" s="127"/>
      <c r="C5027" s="124"/>
    </row>
    <row r="5028" spans="1:3" ht="18.75" customHeight="1" x14ac:dyDescent="0.35">
      <c r="A5028" s="127"/>
      <c r="C5028" s="124"/>
    </row>
    <row r="5029" spans="1:3" ht="18.75" customHeight="1" x14ac:dyDescent="0.35">
      <c r="A5029" s="127"/>
      <c r="C5029" s="124"/>
    </row>
    <row r="5030" spans="1:3" ht="18.75" customHeight="1" x14ac:dyDescent="0.35">
      <c r="A5030" s="127"/>
      <c r="C5030" s="124"/>
    </row>
    <row r="5031" spans="1:3" ht="18.75" customHeight="1" x14ac:dyDescent="0.35">
      <c r="A5031" s="127"/>
      <c r="C5031" s="124"/>
    </row>
    <row r="5032" spans="1:3" ht="18.75" customHeight="1" x14ac:dyDescent="0.35">
      <c r="A5032" s="127"/>
      <c r="C5032" s="124"/>
    </row>
    <row r="5033" spans="1:3" ht="18.75" customHeight="1" x14ac:dyDescent="0.35">
      <c r="A5033" s="127"/>
      <c r="C5033" s="124"/>
    </row>
    <row r="5034" spans="1:3" ht="18.75" customHeight="1" x14ac:dyDescent="0.35">
      <c r="A5034" s="127"/>
      <c r="C5034" s="124"/>
    </row>
    <row r="5035" spans="1:3" ht="18.75" customHeight="1" x14ac:dyDescent="0.35">
      <c r="A5035" s="127"/>
      <c r="C5035" s="124"/>
    </row>
    <row r="5036" spans="1:3" ht="18.75" customHeight="1" x14ac:dyDescent="0.35">
      <c r="A5036" s="127"/>
      <c r="C5036" s="124"/>
    </row>
    <row r="5037" spans="1:3" ht="18.75" customHeight="1" x14ac:dyDescent="0.35">
      <c r="A5037" s="127"/>
      <c r="C5037" s="124"/>
    </row>
    <row r="5038" spans="1:3" ht="18.75" customHeight="1" x14ac:dyDescent="0.35">
      <c r="A5038" s="127"/>
      <c r="C5038" s="124"/>
    </row>
    <row r="5039" spans="1:3" ht="18.75" customHeight="1" x14ac:dyDescent="0.35">
      <c r="A5039" s="127"/>
      <c r="C5039" s="124"/>
    </row>
    <row r="5040" spans="1:3" ht="18.75" customHeight="1" x14ac:dyDescent="0.35">
      <c r="A5040" s="127"/>
      <c r="C5040" s="124"/>
    </row>
    <row r="5041" spans="1:3" ht="18.75" customHeight="1" x14ac:dyDescent="0.35">
      <c r="A5041" s="127"/>
      <c r="C5041" s="124"/>
    </row>
    <row r="5042" spans="1:3" ht="18.75" customHeight="1" x14ac:dyDescent="0.35">
      <c r="A5042" s="127"/>
      <c r="C5042" s="124"/>
    </row>
    <row r="5043" spans="1:3" ht="18.75" customHeight="1" x14ac:dyDescent="0.35">
      <c r="A5043" s="127"/>
      <c r="C5043" s="124"/>
    </row>
    <row r="5044" spans="1:3" ht="18.75" customHeight="1" x14ac:dyDescent="0.35">
      <c r="A5044" s="127"/>
      <c r="C5044" s="124"/>
    </row>
    <row r="5045" spans="1:3" ht="18.75" customHeight="1" x14ac:dyDescent="0.35">
      <c r="A5045" s="127"/>
      <c r="C5045" s="124"/>
    </row>
    <row r="5046" spans="1:3" ht="18.75" customHeight="1" x14ac:dyDescent="0.35">
      <c r="A5046" s="127"/>
      <c r="C5046" s="124"/>
    </row>
    <row r="5047" spans="1:3" ht="18.75" customHeight="1" x14ac:dyDescent="0.35">
      <c r="A5047" s="127"/>
      <c r="C5047" s="124"/>
    </row>
    <row r="5048" spans="1:3" ht="18.75" customHeight="1" x14ac:dyDescent="0.35">
      <c r="A5048" s="127"/>
      <c r="C5048" s="124"/>
    </row>
    <row r="5049" spans="1:3" ht="18.75" customHeight="1" x14ac:dyDescent="0.35">
      <c r="A5049" s="127"/>
      <c r="C5049" s="124"/>
    </row>
    <row r="5050" spans="1:3" ht="18.75" customHeight="1" x14ac:dyDescent="0.35">
      <c r="A5050" s="127"/>
      <c r="C5050" s="124"/>
    </row>
    <row r="5051" spans="1:3" ht="18.75" customHeight="1" x14ac:dyDescent="0.35">
      <c r="A5051" s="127"/>
      <c r="C5051" s="124"/>
    </row>
    <row r="5052" spans="1:3" ht="18.75" customHeight="1" x14ac:dyDescent="0.35">
      <c r="A5052" s="127"/>
      <c r="C5052" s="124"/>
    </row>
    <row r="5053" spans="1:3" ht="18.75" customHeight="1" x14ac:dyDescent="0.35">
      <c r="A5053" s="127"/>
      <c r="C5053" s="124"/>
    </row>
    <row r="5054" spans="1:3" ht="18.75" customHeight="1" x14ac:dyDescent="0.35">
      <c r="A5054" s="127"/>
      <c r="C5054" s="124"/>
    </row>
    <row r="5055" spans="1:3" ht="18.75" customHeight="1" x14ac:dyDescent="0.35">
      <c r="A5055" s="127"/>
      <c r="C5055" s="124"/>
    </row>
    <row r="5056" spans="1:3" ht="18.75" customHeight="1" x14ac:dyDescent="0.35">
      <c r="A5056" s="127"/>
      <c r="C5056" s="124"/>
    </row>
    <row r="5057" spans="1:3" ht="18.75" customHeight="1" x14ac:dyDescent="0.35">
      <c r="A5057" s="127"/>
      <c r="C5057" s="124"/>
    </row>
    <row r="5058" spans="1:3" ht="18.75" customHeight="1" x14ac:dyDescent="0.35">
      <c r="A5058" s="127"/>
      <c r="C5058" s="124"/>
    </row>
    <row r="5059" spans="1:3" ht="18.75" customHeight="1" x14ac:dyDescent="0.35">
      <c r="A5059" s="127"/>
      <c r="C5059" s="124"/>
    </row>
    <row r="5060" spans="1:3" ht="18.75" customHeight="1" x14ac:dyDescent="0.35">
      <c r="A5060" s="127"/>
      <c r="C5060" s="124"/>
    </row>
    <row r="5061" spans="1:3" ht="18.75" customHeight="1" x14ac:dyDescent="0.35">
      <c r="A5061" s="127"/>
      <c r="C5061" s="124"/>
    </row>
    <row r="5062" spans="1:3" ht="18.75" customHeight="1" x14ac:dyDescent="0.35">
      <c r="A5062" s="127"/>
      <c r="C5062" s="124"/>
    </row>
    <row r="5063" spans="1:3" ht="18.75" customHeight="1" x14ac:dyDescent="0.35">
      <c r="A5063" s="127"/>
      <c r="C5063" s="124"/>
    </row>
    <row r="5064" spans="1:3" ht="18.75" customHeight="1" x14ac:dyDescent="0.35">
      <c r="A5064" s="127"/>
      <c r="C5064" s="124"/>
    </row>
    <row r="5065" spans="1:3" ht="18.75" customHeight="1" x14ac:dyDescent="0.35">
      <c r="A5065" s="127"/>
      <c r="C5065" s="124"/>
    </row>
    <row r="5066" spans="1:3" ht="18.75" customHeight="1" x14ac:dyDescent="0.35">
      <c r="A5066" s="127"/>
      <c r="C5066" s="124"/>
    </row>
    <row r="5067" spans="1:3" ht="18.75" customHeight="1" x14ac:dyDescent="0.35">
      <c r="A5067" s="127"/>
      <c r="C5067" s="124"/>
    </row>
    <row r="5068" spans="1:3" ht="18.75" customHeight="1" x14ac:dyDescent="0.35">
      <c r="A5068" s="127"/>
      <c r="C5068" s="124"/>
    </row>
    <row r="5069" spans="1:3" ht="18.75" customHeight="1" x14ac:dyDescent="0.35">
      <c r="A5069" s="127"/>
      <c r="C5069" s="124"/>
    </row>
    <row r="5070" spans="1:3" ht="18.75" customHeight="1" x14ac:dyDescent="0.35">
      <c r="A5070" s="127"/>
      <c r="C5070" s="124"/>
    </row>
    <row r="5071" spans="1:3" ht="18.75" customHeight="1" x14ac:dyDescent="0.35">
      <c r="A5071" s="127"/>
      <c r="C5071" s="124"/>
    </row>
    <row r="5072" spans="1:3" ht="18.75" customHeight="1" x14ac:dyDescent="0.35">
      <c r="A5072" s="127"/>
      <c r="C5072" s="124"/>
    </row>
    <row r="5073" spans="1:3" ht="18.75" customHeight="1" x14ac:dyDescent="0.35">
      <c r="A5073" s="127"/>
      <c r="C5073" s="124"/>
    </row>
    <row r="5074" spans="1:3" ht="18.75" customHeight="1" x14ac:dyDescent="0.35">
      <c r="A5074" s="127"/>
      <c r="C5074" s="124"/>
    </row>
    <row r="5075" spans="1:3" ht="18.75" customHeight="1" x14ac:dyDescent="0.35">
      <c r="A5075" s="127"/>
      <c r="C5075" s="124"/>
    </row>
    <row r="5076" spans="1:3" ht="18.75" customHeight="1" x14ac:dyDescent="0.35">
      <c r="A5076" s="127"/>
      <c r="C5076" s="124"/>
    </row>
    <row r="5077" spans="1:3" ht="18.75" customHeight="1" x14ac:dyDescent="0.35">
      <c r="A5077" s="127"/>
      <c r="C5077" s="124"/>
    </row>
    <row r="5078" spans="1:3" ht="18.75" customHeight="1" x14ac:dyDescent="0.35">
      <c r="A5078" s="127"/>
      <c r="C5078" s="124"/>
    </row>
    <row r="5079" spans="1:3" ht="18.75" customHeight="1" x14ac:dyDescent="0.35">
      <c r="A5079" s="127"/>
      <c r="C5079" s="124"/>
    </row>
    <row r="5080" spans="1:3" ht="18.75" customHeight="1" x14ac:dyDescent="0.35">
      <c r="A5080" s="127"/>
      <c r="C5080" s="124"/>
    </row>
    <row r="5081" spans="1:3" ht="18.75" customHeight="1" x14ac:dyDescent="0.35">
      <c r="A5081" s="127"/>
      <c r="C5081" s="124"/>
    </row>
    <row r="5082" spans="1:3" ht="18.75" customHeight="1" x14ac:dyDescent="0.35">
      <c r="A5082" s="127"/>
      <c r="C5082" s="124"/>
    </row>
    <row r="5083" spans="1:3" ht="18.75" customHeight="1" x14ac:dyDescent="0.35">
      <c r="A5083" s="127"/>
      <c r="C5083" s="124"/>
    </row>
    <row r="5084" spans="1:3" ht="18.75" customHeight="1" x14ac:dyDescent="0.35">
      <c r="A5084" s="127"/>
      <c r="C5084" s="124"/>
    </row>
    <row r="5085" spans="1:3" ht="18.75" customHeight="1" x14ac:dyDescent="0.35">
      <c r="A5085" s="127"/>
      <c r="C5085" s="124"/>
    </row>
    <row r="5086" spans="1:3" ht="18.75" customHeight="1" x14ac:dyDescent="0.35">
      <c r="A5086" s="127"/>
      <c r="C5086" s="124"/>
    </row>
    <row r="5087" spans="1:3" ht="18.75" customHeight="1" x14ac:dyDescent="0.35">
      <c r="A5087" s="127"/>
      <c r="C5087" s="124"/>
    </row>
    <row r="5088" spans="1:3" ht="18.75" customHeight="1" x14ac:dyDescent="0.35">
      <c r="A5088" s="127"/>
      <c r="C5088" s="124"/>
    </row>
    <row r="5089" spans="1:3" ht="18.75" customHeight="1" x14ac:dyDescent="0.35">
      <c r="A5089" s="127"/>
      <c r="C5089" s="124"/>
    </row>
    <row r="5090" spans="1:3" ht="18.75" customHeight="1" x14ac:dyDescent="0.35">
      <c r="A5090" s="127"/>
      <c r="C5090" s="124"/>
    </row>
    <row r="5091" spans="1:3" ht="18.75" customHeight="1" x14ac:dyDescent="0.35">
      <c r="A5091" s="127"/>
      <c r="C5091" s="124"/>
    </row>
    <row r="5092" spans="1:3" ht="18.75" customHeight="1" x14ac:dyDescent="0.35">
      <c r="A5092" s="127"/>
      <c r="C5092" s="124"/>
    </row>
    <row r="5093" spans="1:3" ht="18.75" customHeight="1" x14ac:dyDescent="0.35">
      <c r="A5093" s="127"/>
      <c r="C5093" s="124"/>
    </row>
    <row r="5094" spans="1:3" ht="18.75" customHeight="1" x14ac:dyDescent="0.35">
      <c r="A5094" s="127"/>
      <c r="C5094" s="124"/>
    </row>
    <row r="5095" spans="1:3" ht="18.75" customHeight="1" x14ac:dyDescent="0.35">
      <c r="A5095" s="127"/>
      <c r="C5095" s="124"/>
    </row>
    <row r="5096" spans="1:3" ht="18.75" customHeight="1" x14ac:dyDescent="0.35">
      <c r="A5096" s="127"/>
      <c r="C5096" s="124"/>
    </row>
    <row r="5097" spans="1:3" ht="18.75" customHeight="1" x14ac:dyDescent="0.35">
      <c r="A5097" s="127"/>
      <c r="C5097" s="124"/>
    </row>
    <row r="5098" spans="1:3" ht="18.75" customHeight="1" x14ac:dyDescent="0.35">
      <c r="A5098" s="127"/>
      <c r="C5098" s="124"/>
    </row>
    <row r="5099" spans="1:3" ht="18.75" customHeight="1" x14ac:dyDescent="0.35">
      <c r="A5099" s="127"/>
      <c r="C5099" s="124"/>
    </row>
    <row r="5100" spans="1:3" ht="18.75" customHeight="1" x14ac:dyDescent="0.35">
      <c r="A5100" s="127"/>
      <c r="C5100" s="124"/>
    </row>
    <row r="5101" spans="1:3" ht="18.75" customHeight="1" x14ac:dyDescent="0.35">
      <c r="A5101" s="127"/>
      <c r="C5101" s="124"/>
    </row>
    <row r="5102" spans="1:3" ht="18.75" customHeight="1" x14ac:dyDescent="0.35">
      <c r="A5102" s="127"/>
      <c r="C5102" s="124"/>
    </row>
    <row r="5103" spans="1:3" ht="18.75" customHeight="1" x14ac:dyDescent="0.35">
      <c r="A5103" s="127"/>
      <c r="C5103" s="124"/>
    </row>
    <row r="5104" spans="1:3" ht="18.75" customHeight="1" x14ac:dyDescent="0.35">
      <c r="A5104" s="127"/>
      <c r="C5104" s="124"/>
    </row>
    <row r="5105" spans="1:3" ht="18.75" customHeight="1" x14ac:dyDescent="0.35">
      <c r="A5105" s="127"/>
      <c r="C5105" s="124"/>
    </row>
    <row r="5106" spans="1:3" ht="18.75" customHeight="1" x14ac:dyDescent="0.35">
      <c r="A5106" s="127"/>
      <c r="C5106" s="124"/>
    </row>
    <row r="5107" spans="1:3" ht="18.75" customHeight="1" x14ac:dyDescent="0.35">
      <c r="A5107" s="127"/>
      <c r="C5107" s="124"/>
    </row>
    <row r="5108" spans="1:3" ht="18.75" customHeight="1" x14ac:dyDescent="0.35">
      <c r="A5108" s="127"/>
      <c r="C5108" s="124"/>
    </row>
    <row r="5109" spans="1:3" ht="18.75" customHeight="1" x14ac:dyDescent="0.35">
      <c r="A5109" s="127"/>
      <c r="C5109" s="124"/>
    </row>
    <row r="5110" spans="1:3" ht="18.75" customHeight="1" x14ac:dyDescent="0.35">
      <c r="A5110" s="127"/>
      <c r="C5110" s="124"/>
    </row>
    <row r="5111" spans="1:3" ht="18.75" customHeight="1" x14ac:dyDescent="0.35">
      <c r="A5111" s="127"/>
      <c r="C5111" s="124"/>
    </row>
    <row r="5112" spans="1:3" ht="18.75" customHeight="1" x14ac:dyDescent="0.35">
      <c r="A5112" s="127"/>
      <c r="C5112" s="124"/>
    </row>
    <row r="5113" spans="1:3" ht="18.75" customHeight="1" x14ac:dyDescent="0.35">
      <c r="A5113" s="127"/>
      <c r="C5113" s="124"/>
    </row>
    <row r="5114" spans="1:3" ht="18.75" customHeight="1" x14ac:dyDescent="0.35">
      <c r="A5114" s="127"/>
      <c r="C5114" s="124"/>
    </row>
    <row r="5115" spans="1:3" ht="18.75" customHeight="1" x14ac:dyDescent="0.35">
      <c r="A5115" s="127"/>
      <c r="C5115" s="124"/>
    </row>
    <row r="5116" spans="1:3" ht="18.75" customHeight="1" x14ac:dyDescent="0.35">
      <c r="A5116" s="127"/>
      <c r="C5116" s="124"/>
    </row>
    <row r="5117" spans="1:3" ht="18.75" customHeight="1" x14ac:dyDescent="0.35">
      <c r="A5117" s="127"/>
      <c r="C5117" s="124"/>
    </row>
    <row r="5118" spans="1:3" ht="18.75" customHeight="1" x14ac:dyDescent="0.35">
      <c r="A5118" s="127"/>
      <c r="C5118" s="124"/>
    </row>
    <row r="5119" spans="1:3" ht="18.75" customHeight="1" x14ac:dyDescent="0.35">
      <c r="A5119" s="127"/>
      <c r="C5119" s="124"/>
    </row>
    <row r="5120" spans="1:3" ht="18.75" customHeight="1" x14ac:dyDescent="0.35">
      <c r="A5120" s="127"/>
      <c r="C5120" s="124"/>
    </row>
    <row r="5121" spans="1:3" ht="18.75" customHeight="1" x14ac:dyDescent="0.35">
      <c r="A5121" s="127"/>
      <c r="C5121" s="124"/>
    </row>
    <row r="5122" spans="1:3" ht="18.75" customHeight="1" x14ac:dyDescent="0.35">
      <c r="A5122" s="127"/>
      <c r="C5122" s="124"/>
    </row>
    <row r="5123" spans="1:3" ht="18.75" customHeight="1" x14ac:dyDescent="0.35">
      <c r="A5123" s="127"/>
      <c r="C5123" s="124"/>
    </row>
    <row r="5124" spans="1:3" ht="18.75" customHeight="1" x14ac:dyDescent="0.35">
      <c r="A5124" s="127"/>
      <c r="C5124" s="124"/>
    </row>
    <row r="5125" spans="1:3" ht="18.75" customHeight="1" x14ac:dyDescent="0.35">
      <c r="A5125" s="127"/>
      <c r="C5125" s="124"/>
    </row>
    <row r="5126" spans="1:3" ht="18.75" customHeight="1" x14ac:dyDescent="0.35">
      <c r="A5126" s="127"/>
      <c r="C5126" s="124"/>
    </row>
    <row r="5127" spans="1:3" ht="18.75" customHeight="1" x14ac:dyDescent="0.35">
      <c r="A5127" s="127"/>
      <c r="C5127" s="124"/>
    </row>
    <row r="5128" spans="1:3" ht="18.75" customHeight="1" x14ac:dyDescent="0.35">
      <c r="A5128" s="127"/>
      <c r="C5128" s="124"/>
    </row>
    <row r="5129" spans="1:3" ht="18.75" customHeight="1" x14ac:dyDescent="0.35">
      <c r="A5129" s="127"/>
      <c r="C5129" s="124"/>
    </row>
    <row r="5130" spans="1:3" ht="18.75" customHeight="1" x14ac:dyDescent="0.35">
      <c r="A5130" s="127"/>
      <c r="C5130" s="124"/>
    </row>
    <row r="5131" spans="1:3" ht="18.75" customHeight="1" x14ac:dyDescent="0.35">
      <c r="A5131" s="127"/>
      <c r="C5131" s="124"/>
    </row>
    <row r="5132" spans="1:3" ht="18.75" customHeight="1" x14ac:dyDescent="0.35">
      <c r="A5132" s="127"/>
      <c r="C5132" s="124"/>
    </row>
    <row r="5133" spans="1:3" ht="18.75" customHeight="1" x14ac:dyDescent="0.35">
      <c r="A5133" s="127"/>
      <c r="C5133" s="124"/>
    </row>
    <row r="5134" spans="1:3" ht="18.75" customHeight="1" x14ac:dyDescent="0.35">
      <c r="A5134" s="127"/>
      <c r="C5134" s="124"/>
    </row>
    <row r="5135" spans="1:3" ht="18.75" customHeight="1" x14ac:dyDescent="0.35">
      <c r="A5135" s="127"/>
      <c r="C5135" s="124"/>
    </row>
    <row r="5136" spans="1:3" ht="18.75" customHeight="1" x14ac:dyDescent="0.35">
      <c r="A5136" s="127"/>
      <c r="C5136" s="124"/>
    </row>
    <row r="5137" spans="1:3" ht="18.75" customHeight="1" x14ac:dyDescent="0.35">
      <c r="A5137" s="127"/>
      <c r="C5137" s="124"/>
    </row>
    <row r="5138" spans="1:3" ht="18.75" customHeight="1" x14ac:dyDescent="0.35">
      <c r="A5138" s="127"/>
      <c r="C5138" s="124"/>
    </row>
    <row r="5139" spans="1:3" ht="18.75" customHeight="1" x14ac:dyDescent="0.35">
      <c r="A5139" s="127"/>
      <c r="C5139" s="124"/>
    </row>
    <row r="5140" spans="1:3" ht="18.75" customHeight="1" x14ac:dyDescent="0.35">
      <c r="A5140" s="127"/>
      <c r="C5140" s="124"/>
    </row>
    <row r="5141" spans="1:3" ht="18.75" customHeight="1" x14ac:dyDescent="0.35">
      <c r="A5141" s="127"/>
      <c r="C5141" s="124"/>
    </row>
    <row r="5142" spans="1:3" ht="18.75" customHeight="1" x14ac:dyDescent="0.35">
      <c r="A5142" s="127"/>
      <c r="C5142" s="124"/>
    </row>
    <row r="5143" spans="1:3" ht="18.75" customHeight="1" x14ac:dyDescent="0.35">
      <c r="A5143" s="127"/>
      <c r="C5143" s="124"/>
    </row>
    <row r="5144" spans="1:3" ht="18.75" customHeight="1" x14ac:dyDescent="0.35">
      <c r="A5144" s="127"/>
      <c r="C5144" s="124"/>
    </row>
    <row r="5145" spans="1:3" ht="18.75" customHeight="1" x14ac:dyDescent="0.35">
      <c r="A5145" s="127"/>
      <c r="C5145" s="124"/>
    </row>
    <row r="5146" spans="1:3" ht="18.75" customHeight="1" x14ac:dyDescent="0.35">
      <c r="A5146" s="127"/>
      <c r="C5146" s="124"/>
    </row>
    <row r="5147" spans="1:3" ht="18.75" customHeight="1" x14ac:dyDescent="0.35">
      <c r="A5147" s="127"/>
      <c r="C5147" s="124"/>
    </row>
    <row r="5148" spans="1:3" ht="18.75" customHeight="1" x14ac:dyDescent="0.35">
      <c r="A5148" s="127"/>
      <c r="C5148" s="124"/>
    </row>
    <row r="5149" spans="1:3" ht="18.75" customHeight="1" x14ac:dyDescent="0.35">
      <c r="A5149" s="127"/>
      <c r="C5149" s="124"/>
    </row>
    <row r="5150" spans="1:3" ht="18.75" customHeight="1" x14ac:dyDescent="0.35">
      <c r="A5150" s="127"/>
      <c r="C5150" s="124"/>
    </row>
    <row r="5151" spans="1:3" ht="18.75" customHeight="1" x14ac:dyDescent="0.35">
      <c r="A5151" s="127"/>
      <c r="C5151" s="124"/>
    </row>
    <row r="5152" spans="1:3" ht="18.75" customHeight="1" x14ac:dyDescent="0.35">
      <c r="A5152" s="127"/>
      <c r="C5152" s="124"/>
    </row>
    <row r="5153" spans="1:3" ht="18.75" customHeight="1" x14ac:dyDescent="0.35">
      <c r="A5153" s="127"/>
      <c r="C5153" s="124"/>
    </row>
    <row r="5154" spans="1:3" ht="18.75" customHeight="1" x14ac:dyDescent="0.35">
      <c r="A5154" s="127"/>
      <c r="C5154" s="124"/>
    </row>
    <row r="5155" spans="1:3" ht="18.75" customHeight="1" x14ac:dyDescent="0.35">
      <c r="A5155" s="127"/>
      <c r="C5155" s="124"/>
    </row>
    <row r="5156" spans="1:3" ht="18.75" customHeight="1" x14ac:dyDescent="0.35">
      <c r="A5156" s="127"/>
      <c r="C5156" s="124"/>
    </row>
    <row r="5157" spans="1:3" ht="18.75" customHeight="1" x14ac:dyDescent="0.35">
      <c r="A5157" s="127"/>
      <c r="C5157" s="124"/>
    </row>
    <row r="5158" spans="1:3" ht="18.75" customHeight="1" x14ac:dyDescent="0.35">
      <c r="A5158" s="127"/>
      <c r="C5158" s="124"/>
    </row>
    <row r="5159" spans="1:3" ht="18.75" customHeight="1" x14ac:dyDescent="0.35">
      <c r="A5159" s="127"/>
      <c r="C5159" s="124"/>
    </row>
    <row r="5160" spans="1:3" ht="18.75" customHeight="1" x14ac:dyDescent="0.35">
      <c r="A5160" s="127"/>
      <c r="C5160" s="124"/>
    </row>
    <row r="5161" spans="1:3" ht="18.75" customHeight="1" x14ac:dyDescent="0.35">
      <c r="A5161" s="127"/>
      <c r="C5161" s="124"/>
    </row>
    <row r="5162" spans="1:3" ht="18.75" customHeight="1" x14ac:dyDescent="0.35">
      <c r="A5162" s="127"/>
      <c r="C5162" s="124"/>
    </row>
    <row r="5163" spans="1:3" ht="18.75" customHeight="1" x14ac:dyDescent="0.35">
      <c r="A5163" s="127"/>
      <c r="C5163" s="124"/>
    </row>
    <row r="5164" spans="1:3" ht="18.75" customHeight="1" x14ac:dyDescent="0.35">
      <c r="A5164" s="127"/>
      <c r="C5164" s="124"/>
    </row>
    <row r="5165" spans="1:3" ht="18.75" customHeight="1" x14ac:dyDescent="0.35">
      <c r="A5165" s="127"/>
      <c r="C5165" s="124"/>
    </row>
    <row r="5166" spans="1:3" ht="18.75" customHeight="1" x14ac:dyDescent="0.35">
      <c r="A5166" s="127"/>
      <c r="C5166" s="124"/>
    </row>
    <row r="5167" spans="1:3" ht="18.75" customHeight="1" x14ac:dyDescent="0.35">
      <c r="A5167" s="127"/>
      <c r="C5167" s="124"/>
    </row>
    <row r="5168" spans="1:3" ht="18.75" customHeight="1" x14ac:dyDescent="0.35">
      <c r="A5168" s="127"/>
      <c r="C5168" s="124"/>
    </row>
    <row r="5169" spans="1:3" ht="18.75" customHeight="1" x14ac:dyDescent="0.35">
      <c r="A5169" s="127"/>
      <c r="C5169" s="124"/>
    </row>
    <row r="5170" spans="1:3" ht="18.75" customHeight="1" x14ac:dyDescent="0.35">
      <c r="A5170" s="127"/>
      <c r="C5170" s="124"/>
    </row>
    <row r="5171" spans="1:3" ht="18.75" customHeight="1" x14ac:dyDescent="0.35">
      <c r="A5171" s="127"/>
      <c r="C5171" s="124"/>
    </row>
    <row r="5172" spans="1:3" ht="18.75" customHeight="1" x14ac:dyDescent="0.35">
      <c r="A5172" s="127"/>
      <c r="C5172" s="124"/>
    </row>
    <row r="5173" spans="1:3" ht="18.75" customHeight="1" x14ac:dyDescent="0.35">
      <c r="A5173" s="127"/>
      <c r="C5173" s="124"/>
    </row>
    <row r="5174" spans="1:3" ht="18.75" customHeight="1" x14ac:dyDescent="0.35">
      <c r="A5174" s="127"/>
      <c r="C5174" s="124"/>
    </row>
    <row r="5175" spans="1:3" ht="18.75" customHeight="1" x14ac:dyDescent="0.35">
      <c r="A5175" s="127"/>
      <c r="C5175" s="124"/>
    </row>
    <row r="5176" spans="1:3" ht="18.75" customHeight="1" x14ac:dyDescent="0.35">
      <c r="A5176" s="127"/>
      <c r="C5176" s="124"/>
    </row>
    <row r="5177" spans="1:3" ht="18.75" customHeight="1" x14ac:dyDescent="0.35">
      <c r="A5177" s="127"/>
      <c r="C5177" s="124"/>
    </row>
    <row r="5178" spans="1:3" ht="18.75" customHeight="1" x14ac:dyDescent="0.35">
      <c r="A5178" s="127"/>
      <c r="C5178" s="124"/>
    </row>
    <row r="5179" spans="1:3" ht="18.75" customHeight="1" x14ac:dyDescent="0.35">
      <c r="A5179" s="127"/>
      <c r="C5179" s="124"/>
    </row>
    <row r="5180" spans="1:3" ht="18.75" customHeight="1" x14ac:dyDescent="0.35">
      <c r="A5180" s="127"/>
      <c r="C5180" s="124"/>
    </row>
    <row r="5181" spans="1:3" ht="18.75" customHeight="1" x14ac:dyDescent="0.35">
      <c r="A5181" s="127"/>
      <c r="C5181" s="124"/>
    </row>
    <row r="5182" spans="1:3" ht="18.75" customHeight="1" x14ac:dyDescent="0.35">
      <c r="A5182" s="127"/>
      <c r="C5182" s="124"/>
    </row>
    <row r="5183" spans="1:3" ht="18.75" customHeight="1" x14ac:dyDescent="0.35">
      <c r="A5183" s="127"/>
      <c r="C5183" s="124"/>
    </row>
    <row r="5184" spans="1:3" ht="18.75" customHeight="1" x14ac:dyDescent="0.35">
      <c r="A5184" s="127"/>
      <c r="C5184" s="124"/>
    </row>
    <row r="5185" spans="1:3" ht="18.75" customHeight="1" x14ac:dyDescent="0.35">
      <c r="A5185" s="127"/>
      <c r="C5185" s="124"/>
    </row>
    <row r="5186" spans="1:3" ht="18.75" customHeight="1" x14ac:dyDescent="0.35">
      <c r="A5186" s="127"/>
      <c r="C5186" s="124"/>
    </row>
    <row r="5187" spans="1:3" ht="18.75" customHeight="1" x14ac:dyDescent="0.35">
      <c r="A5187" s="127"/>
      <c r="C5187" s="124"/>
    </row>
    <row r="5188" spans="1:3" ht="18.75" customHeight="1" x14ac:dyDescent="0.35">
      <c r="A5188" s="127"/>
      <c r="C5188" s="124"/>
    </row>
    <row r="5189" spans="1:3" ht="18.75" customHeight="1" x14ac:dyDescent="0.35">
      <c r="A5189" s="127"/>
      <c r="C5189" s="124"/>
    </row>
    <row r="5190" spans="1:3" ht="18.75" customHeight="1" x14ac:dyDescent="0.35">
      <c r="A5190" s="127"/>
      <c r="C5190" s="124"/>
    </row>
    <row r="5191" spans="1:3" ht="18.75" customHeight="1" x14ac:dyDescent="0.35">
      <c r="A5191" s="127"/>
      <c r="C5191" s="124"/>
    </row>
    <row r="5192" spans="1:3" ht="18.75" customHeight="1" x14ac:dyDescent="0.35">
      <c r="A5192" s="127"/>
      <c r="C5192" s="124"/>
    </row>
    <row r="5193" spans="1:3" ht="18.75" customHeight="1" x14ac:dyDescent="0.35">
      <c r="A5193" s="127"/>
      <c r="C5193" s="124"/>
    </row>
    <row r="5194" spans="1:3" ht="18.75" customHeight="1" x14ac:dyDescent="0.35">
      <c r="A5194" s="127"/>
      <c r="C5194" s="124"/>
    </row>
    <row r="5195" spans="1:3" ht="18.75" customHeight="1" x14ac:dyDescent="0.35">
      <c r="A5195" s="127"/>
      <c r="C5195" s="124"/>
    </row>
    <row r="5196" spans="1:3" ht="18.75" customHeight="1" x14ac:dyDescent="0.35">
      <c r="A5196" s="127"/>
      <c r="C5196" s="124"/>
    </row>
    <row r="5197" spans="1:3" ht="18.75" customHeight="1" x14ac:dyDescent="0.35">
      <c r="A5197" s="127"/>
      <c r="C5197" s="124"/>
    </row>
    <row r="5198" spans="1:3" ht="18.75" customHeight="1" x14ac:dyDescent="0.35">
      <c r="A5198" s="127"/>
      <c r="C5198" s="124"/>
    </row>
    <row r="5199" spans="1:3" ht="18.75" customHeight="1" x14ac:dyDescent="0.35">
      <c r="A5199" s="127"/>
      <c r="C5199" s="124"/>
    </row>
    <row r="5200" spans="1:3" ht="18.75" customHeight="1" x14ac:dyDescent="0.35">
      <c r="A5200" s="127"/>
      <c r="C5200" s="124"/>
    </row>
    <row r="5201" spans="1:3" ht="18.75" customHeight="1" x14ac:dyDescent="0.35">
      <c r="A5201" s="127"/>
      <c r="C5201" s="124"/>
    </row>
    <row r="5202" spans="1:3" ht="18.75" customHeight="1" x14ac:dyDescent="0.35">
      <c r="A5202" s="127"/>
      <c r="C5202" s="124"/>
    </row>
    <row r="5203" spans="1:3" ht="18.75" customHeight="1" x14ac:dyDescent="0.35">
      <c r="A5203" s="127"/>
      <c r="C5203" s="124"/>
    </row>
    <row r="5204" spans="1:3" ht="18.75" customHeight="1" x14ac:dyDescent="0.35">
      <c r="A5204" s="127"/>
      <c r="C5204" s="124"/>
    </row>
    <row r="5205" spans="1:3" ht="18.75" customHeight="1" x14ac:dyDescent="0.35">
      <c r="A5205" s="127"/>
      <c r="C5205" s="124"/>
    </row>
    <row r="5206" spans="1:3" ht="18.75" customHeight="1" x14ac:dyDescent="0.35">
      <c r="A5206" s="127"/>
      <c r="C5206" s="124"/>
    </row>
    <row r="5207" spans="1:3" ht="18.75" customHeight="1" x14ac:dyDescent="0.35">
      <c r="A5207" s="127"/>
      <c r="C5207" s="124"/>
    </row>
    <row r="5208" spans="1:3" ht="18.75" customHeight="1" x14ac:dyDescent="0.35">
      <c r="A5208" s="127"/>
      <c r="C5208" s="124"/>
    </row>
    <row r="5209" spans="1:3" ht="18.75" customHeight="1" x14ac:dyDescent="0.35">
      <c r="A5209" s="127"/>
      <c r="C5209" s="124"/>
    </row>
    <row r="5210" spans="1:3" ht="18.75" customHeight="1" x14ac:dyDescent="0.35">
      <c r="A5210" s="127"/>
      <c r="C5210" s="124"/>
    </row>
    <row r="5211" spans="1:3" ht="18.75" customHeight="1" x14ac:dyDescent="0.35">
      <c r="A5211" s="127"/>
      <c r="C5211" s="124"/>
    </row>
    <row r="5212" spans="1:3" ht="18.75" customHeight="1" x14ac:dyDescent="0.35">
      <c r="A5212" s="127"/>
      <c r="C5212" s="124"/>
    </row>
    <row r="5213" spans="1:3" ht="18.75" customHeight="1" x14ac:dyDescent="0.35">
      <c r="A5213" s="127"/>
      <c r="C5213" s="124"/>
    </row>
    <row r="5214" spans="1:3" ht="18.75" customHeight="1" x14ac:dyDescent="0.35">
      <c r="A5214" s="127"/>
      <c r="C5214" s="124"/>
    </row>
    <row r="5215" spans="1:3" ht="18.75" customHeight="1" x14ac:dyDescent="0.35">
      <c r="A5215" s="127"/>
      <c r="C5215" s="124"/>
    </row>
    <row r="5216" spans="1:3" ht="18.75" customHeight="1" x14ac:dyDescent="0.35">
      <c r="A5216" s="127"/>
      <c r="C5216" s="124"/>
    </row>
    <row r="5217" spans="1:3" ht="18.75" customHeight="1" x14ac:dyDescent="0.35">
      <c r="A5217" s="127"/>
      <c r="C5217" s="124"/>
    </row>
    <row r="5218" spans="1:3" ht="18.75" customHeight="1" x14ac:dyDescent="0.35">
      <c r="A5218" s="127"/>
      <c r="C5218" s="124"/>
    </row>
    <row r="5219" spans="1:3" ht="18.75" customHeight="1" x14ac:dyDescent="0.35">
      <c r="A5219" s="127"/>
      <c r="C5219" s="124"/>
    </row>
    <row r="5220" spans="1:3" ht="18.75" customHeight="1" x14ac:dyDescent="0.35">
      <c r="A5220" s="127"/>
      <c r="C5220" s="124"/>
    </row>
    <row r="5221" spans="1:3" ht="18.75" customHeight="1" x14ac:dyDescent="0.35">
      <c r="A5221" s="127"/>
      <c r="C5221" s="124"/>
    </row>
    <row r="5222" spans="1:3" ht="18.75" customHeight="1" x14ac:dyDescent="0.35">
      <c r="A5222" s="127"/>
      <c r="C5222" s="124"/>
    </row>
    <row r="5223" spans="1:3" ht="18.75" customHeight="1" x14ac:dyDescent="0.35">
      <c r="A5223" s="127"/>
      <c r="C5223" s="124"/>
    </row>
    <row r="5224" spans="1:3" ht="18.75" customHeight="1" x14ac:dyDescent="0.35">
      <c r="A5224" s="127"/>
      <c r="C5224" s="124"/>
    </row>
    <row r="5225" spans="1:3" ht="18.75" customHeight="1" x14ac:dyDescent="0.35">
      <c r="A5225" s="127"/>
      <c r="C5225" s="124"/>
    </row>
    <row r="5226" spans="1:3" ht="18.75" customHeight="1" x14ac:dyDescent="0.35">
      <c r="A5226" s="127"/>
      <c r="C5226" s="124"/>
    </row>
    <row r="5227" spans="1:3" ht="18.75" customHeight="1" x14ac:dyDescent="0.35">
      <c r="A5227" s="127"/>
      <c r="C5227" s="124"/>
    </row>
    <row r="5228" spans="1:3" ht="18.75" customHeight="1" x14ac:dyDescent="0.35">
      <c r="A5228" s="127"/>
      <c r="C5228" s="124"/>
    </row>
    <row r="5229" spans="1:3" ht="18.75" customHeight="1" x14ac:dyDescent="0.35">
      <c r="A5229" s="127"/>
      <c r="C5229" s="124"/>
    </row>
    <row r="5230" spans="1:3" ht="18.75" customHeight="1" x14ac:dyDescent="0.35">
      <c r="A5230" s="127"/>
      <c r="C5230" s="124"/>
    </row>
    <row r="5231" spans="1:3" ht="18.75" customHeight="1" x14ac:dyDescent="0.35">
      <c r="A5231" s="127"/>
      <c r="C5231" s="124"/>
    </row>
    <row r="5232" spans="1:3" ht="18.75" customHeight="1" x14ac:dyDescent="0.35">
      <c r="A5232" s="127"/>
      <c r="C5232" s="124"/>
    </row>
    <row r="5233" spans="1:3" ht="18.75" customHeight="1" x14ac:dyDescent="0.35">
      <c r="A5233" s="127"/>
      <c r="C5233" s="124"/>
    </row>
    <row r="5234" spans="1:3" ht="18.75" customHeight="1" x14ac:dyDescent="0.35">
      <c r="A5234" s="127"/>
      <c r="C5234" s="124"/>
    </row>
    <row r="5235" spans="1:3" ht="18.75" customHeight="1" x14ac:dyDescent="0.35">
      <c r="A5235" s="127"/>
      <c r="C5235" s="124"/>
    </row>
    <row r="5236" spans="1:3" ht="18.75" customHeight="1" x14ac:dyDescent="0.35">
      <c r="A5236" s="127"/>
      <c r="C5236" s="124"/>
    </row>
    <row r="5237" spans="1:3" ht="18.75" customHeight="1" x14ac:dyDescent="0.35">
      <c r="A5237" s="127"/>
      <c r="C5237" s="124"/>
    </row>
    <row r="5238" spans="1:3" ht="18.75" customHeight="1" x14ac:dyDescent="0.35">
      <c r="A5238" s="127"/>
      <c r="C5238" s="124"/>
    </row>
    <row r="5239" spans="1:3" ht="18.75" customHeight="1" x14ac:dyDescent="0.35">
      <c r="A5239" s="127"/>
      <c r="C5239" s="124"/>
    </row>
    <row r="5240" spans="1:3" ht="18.75" customHeight="1" x14ac:dyDescent="0.35">
      <c r="A5240" s="127"/>
      <c r="C5240" s="124"/>
    </row>
    <row r="5241" spans="1:3" ht="18.75" customHeight="1" x14ac:dyDescent="0.35">
      <c r="A5241" s="127"/>
      <c r="C5241" s="124"/>
    </row>
    <row r="5242" spans="1:3" ht="18.75" customHeight="1" x14ac:dyDescent="0.35">
      <c r="A5242" s="127"/>
      <c r="C5242" s="124"/>
    </row>
    <row r="5243" spans="1:3" ht="18.75" customHeight="1" x14ac:dyDescent="0.35">
      <c r="A5243" s="127"/>
      <c r="C5243" s="124"/>
    </row>
    <row r="5244" spans="1:3" ht="18.75" customHeight="1" x14ac:dyDescent="0.35">
      <c r="A5244" s="127"/>
      <c r="C5244" s="124"/>
    </row>
    <row r="5245" spans="1:3" ht="18.75" customHeight="1" x14ac:dyDescent="0.35">
      <c r="A5245" s="127"/>
      <c r="C5245" s="124"/>
    </row>
    <row r="5246" spans="1:3" ht="18.75" customHeight="1" x14ac:dyDescent="0.35">
      <c r="A5246" s="127"/>
      <c r="C5246" s="124"/>
    </row>
    <row r="5247" spans="1:3" ht="18.75" customHeight="1" x14ac:dyDescent="0.35">
      <c r="A5247" s="127"/>
      <c r="C5247" s="124"/>
    </row>
    <row r="5248" spans="1:3" ht="18.75" customHeight="1" x14ac:dyDescent="0.35">
      <c r="A5248" s="127"/>
      <c r="C5248" s="124"/>
    </row>
    <row r="5249" spans="1:3" ht="18.75" customHeight="1" x14ac:dyDescent="0.35">
      <c r="A5249" s="127"/>
      <c r="C5249" s="124"/>
    </row>
    <row r="5250" spans="1:3" ht="18.75" customHeight="1" x14ac:dyDescent="0.35">
      <c r="A5250" s="127"/>
      <c r="C5250" s="124"/>
    </row>
    <row r="5251" spans="1:3" ht="18.75" customHeight="1" x14ac:dyDescent="0.35">
      <c r="A5251" s="127"/>
      <c r="C5251" s="124"/>
    </row>
    <row r="5252" spans="1:3" ht="18.75" customHeight="1" x14ac:dyDescent="0.35">
      <c r="A5252" s="127"/>
      <c r="C5252" s="124"/>
    </row>
    <row r="5253" spans="1:3" ht="18.75" customHeight="1" x14ac:dyDescent="0.35">
      <c r="A5253" s="127"/>
      <c r="C5253" s="124"/>
    </row>
    <row r="5254" spans="1:3" ht="18.75" customHeight="1" x14ac:dyDescent="0.35">
      <c r="A5254" s="127"/>
      <c r="C5254" s="124"/>
    </row>
    <row r="5255" spans="1:3" ht="18.75" customHeight="1" x14ac:dyDescent="0.35">
      <c r="A5255" s="127"/>
      <c r="C5255" s="124"/>
    </row>
    <row r="5256" spans="1:3" ht="18.75" customHeight="1" x14ac:dyDescent="0.35">
      <c r="A5256" s="127"/>
      <c r="C5256" s="124"/>
    </row>
    <row r="5257" spans="1:3" ht="18.75" customHeight="1" x14ac:dyDescent="0.35">
      <c r="A5257" s="127"/>
      <c r="C5257" s="124"/>
    </row>
    <row r="5258" spans="1:3" ht="18.75" customHeight="1" x14ac:dyDescent="0.35">
      <c r="A5258" s="127"/>
      <c r="C5258" s="124"/>
    </row>
    <row r="5259" spans="1:3" ht="18.75" customHeight="1" x14ac:dyDescent="0.35">
      <c r="A5259" s="127"/>
      <c r="C5259" s="124"/>
    </row>
    <row r="5260" spans="1:3" ht="18.75" customHeight="1" x14ac:dyDescent="0.35">
      <c r="A5260" s="127"/>
      <c r="C5260" s="124"/>
    </row>
    <row r="5261" spans="1:3" ht="18.75" customHeight="1" x14ac:dyDescent="0.35">
      <c r="A5261" s="127"/>
      <c r="C5261" s="124"/>
    </row>
    <row r="5262" spans="1:3" ht="18.75" customHeight="1" x14ac:dyDescent="0.35">
      <c r="A5262" s="127"/>
      <c r="C5262" s="124"/>
    </row>
    <row r="5263" spans="1:3" ht="18.75" customHeight="1" x14ac:dyDescent="0.35">
      <c r="A5263" s="127"/>
      <c r="C5263" s="124"/>
    </row>
    <row r="5264" spans="1:3" ht="18.75" customHeight="1" x14ac:dyDescent="0.35">
      <c r="A5264" s="127"/>
      <c r="C5264" s="124"/>
    </row>
    <row r="5265" spans="1:3" ht="18.75" customHeight="1" x14ac:dyDescent="0.35">
      <c r="A5265" s="127"/>
      <c r="C5265" s="124"/>
    </row>
    <row r="5266" spans="1:3" ht="18.75" customHeight="1" x14ac:dyDescent="0.35">
      <c r="A5266" s="127"/>
      <c r="C5266" s="124"/>
    </row>
    <row r="5267" spans="1:3" ht="18.75" customHeight="1" x14ac:dyDescent="0.35">
      <c r="A5267" s="127"/>
      <c r="C5267" s="124"/>
    </row>
    <row r="5268" spans="1:3" ht="18.75" customHeight="1" x14ac:dyDescent="0.35">
      <c r="A5268" s="127"/>
      <c r="C5268" s="124"/>
    </row>
    <row r="5269" spans="1:3" ht="18.75" customHeight="1" x14ac:dyDescent="0.35">
      <c r="A5269" s="127"/>
      <c r="C5269" s="124"/>
    </row>
    <row r="5270" spans="1:3" ht="18.75" customHeight="1" x14ac:dyDescent="0.35">
      <c r="A5270" s="127"/>
      <c r="C5270" s="124"/>
    </row>
    <row r="5271" spans="1:3" ht="18.75" customHeight="1" x14ac:dyDescent="0.35">
      <c r="A5271" s="127"/>
      <c r="C5271" s="124"/>
    </row>
    <row r="5272" spans="1:3" ht="18.75" customHeight="1" x14ac:dyDescent="0.35">
      <c r="A5272" s="127"/>
      <c r="C5272" s="124"/>
    </row>
    <row r="5273" spans="1:3" ht="18.75" customHeight="1" x14ac:dyDescent="0.35">
      <c r="A5273" s="127"/>
      <c r="C5273" s="124"/>
    </row>
    <row r="5274" spans="1:3" ht="18.75" customHeight="1" x14ac:dyDescent="0.35">
      <c r="A5274" s="127"/>
      <c r="C5274" s="124"/>
    </row>
    <row r="5275" spans="1:3" ht="18.75" customHeight="1" x14ac:dyDescent="0.35">
      <c r="A5275" s="127"/>
      <c r="C5275" s="124"/>
    </row>
    <row r="5276" spans="1:3" ht="18.75" customHeight="1" x14ac:dyDescent="0.35">
      <c r="A5276" s="127"/>
      <c r="C5276" s="124"/>
    </row>
    <row r="5277" spans="1:3" ht="18.75" customHeight="1" x14ac:dyDescent="0.35">
      <c r="A5277" s="127"/>
      <c r="C5277" s="124"/>
    </row>
    <row r="5278" spans="1:3" ht="18.75" customHeight="1" x14ac:dyDescent="0.35">
      <c r="A5278" s="127"/>
      <c r="C5278" s="124"/>
    </row>
    <row r="5279" spans="1:3" ht="18.75" customHeight="1" x14ac:dyDescent="0.35">
      <c r="A5279" s="127"/>
      <c r="C5279" s="124"/>
    </row>
    <row r="5280" spans="1:3" ht="18.75" customHeight="1" x14ac:dyDescent="0.35">
      <c r="A5280" s="127"/>
      <c r="C5280" s="124"/>
    </row>
    <row r="5281" spans="1:3" ht="18.75" customHeight="1" x14ac:dyDescent="0.35">
      <c r="A5281" s="127"/>
      <c r="C5281" s="124"/>
    </row>
    <row r="5282" spans="1:3" ht="18.75" customHeight="1" x14ac:dyDescent="0.35">
      <c r="A5282" s="127"/>
      <c r="C5282" s="124"/>
    </row>
    <row r="5283" spans="1:3" ht="18.75" customHeight="1" x14ac:dyDescent="0.35">
      <c r="A5283" s="127"/>
      <c r="C5283" s="124"/>
    </row>
    <row r="5284" spans="1:3" ht="18.75" customHeight="1" x14ac:dyDescent="0.35">
      <c r="A5284" s="127"/>
      <c r="C5284" s="124"/>
    </row>
    <row r="5285" spans="1:3" ht="18.75" customHeight="1" x14ac:dyDescent="0.35">
      <c r="A5285" s="127"/>
      <c r="C5285" s="124"/>
    </row>
    <row r="5286" spans="1:3" ht="18.75" customHeight="1" x14ac:dyDescent="0.35">
      <c r="A5286" s="127"/>
      <c r="C5286" s="124"/>
    </row>
    <row r="5287" spans="1:3" ht="18.75" customHeight="1" x14ac:dyDescent="0.35">
      <c r="A5287" s="127"/>
      <c r="C5287" s="124"/>
    </row>
    <row r="5288" spans="1:3" ht="18.75" customHeight="1" x14ac:dyDescent="0.35">
      <c r="A5288" s="127"/>
      <c r="C5288" s="124"/>
    </row>
    <row r="5289" spans="1:3" ht="18.75" customHeight="1" x14ac:dyDescent="0.35">
      <c r="A5289" s="127"/>
      <c r="C5289" s="124"/>
    </row>
    <row r="5290" spans="1:3" ht="18.75" customHeight="1" x14ac:dyDescent="0.35">
      <c r="A5290" s="127"/>
      <c r="C5290" s="124"/>
    </row>
    <row r="5291" spans="1:3" ht="18.75" customHeight="1" x14ac:dyDescent="0.35">
      <c r="A5291" s="127"/>
      <c r="C5291" s="124"/>
    </row>
    <row r="5292" spans="1:3" ht="18.75" customHeight="1" x14ac:dyDescent="0.35">
      <c r="A5292" s="127"/>
      <c r="C5292" s="124"/>
    </row>
    <row r="5293" spans="1:3" ht="18.75" customHeight="1" x14ac:dyDescent="0.35">
      <c r="A5293" s="127"/>
      <c r="C5293" s="124"/>
    </row>
    <row r="5294" spans="1:3" ht="18.75" customHeight="1" x14ac:dyDescent="0.35">
      <c r="A5294" s="127"/>
      <c r="C5294" s="124"/>
    </row>
    <row r="5295" spans="1:3" ht="18.75" customHeight="1" x14ac:dyDescent="0.35">
      <c r="A5295" s="127"/>
      <c r="C5295" s="124"/>
    </row>
    <row r="5296" spans="1:3" ht="18.75" customHeight="1" x14ac:dyDescent="0.35">
      <c r="A5296" s="127"/>
      <c r="C5296" s="124"/>
    </row>
    <row r="5297" spans="1:3" ht="18.75" customHeight="1" x14ac:dyDescent="0.35">
      <c r="A5297" s="127"/>
      <c r="C5297" s="124"/>
    </row>
    <row r="5298" spans="1:3" ht="18.75" customHeight="1" x14ac:dyDescent="0.35">
      <c r="A5298" s="127"/>
      <c r="C5298" s="124"/>
    </row>
    <row r="5299" spans="1:3" ht="18.75" customHeight="1" x14ac:dyDescent="0.35">
      <c r="A5299" s="127"/>
      <c r="C5299" s="124"/>
    </row>
    <row r="5300" spans="1:3" ht="18.75" customHeight="1" x14ac:dyDescent="0.35">
      <c r="A5300" s="127"/>
      <c r="C5300" s="124"/>
    </row>
    <row r="5301" spans="1:3" ht="18.75" customHeight="1" x14ac:dyDescent="0.35">
      <c r="A5301" s="127"/>
      <c r="C5301" s="124"/>
    </row>
    <row r="5302" spans="1:3" ht="18.75" customHeight="1" x14ac:dyDescent="0.35">
      <c r="A5302" s="127"/>
      <c r="C5302" s="124"/>
    </row>
    <row r="5303" spans="1:3" ht="18.75" customHeight="1" x14ac:dyDescent="0.35">
      <c r="A5303" s="127"/>
      <c r="C5303" s="124"/>
    </row>
    <row r="5304" spans="1:3" ht="18.75" customHeight="1" x14ac:dyDescent="0.35">
      <c r="A5304" s="127"/>
      <c r="C5304" s="124"/>
    </row>
    <row r="5305" spans="1:3" ht="18.75" customHeight="1" x14ac:dyDescent="0.35">
      <c r="A5305" s="127"/>
      <c r="C5305" s="124"/>
    </row>
    <row r="5306" spans="1:3" ht="18.75" customHeight="1" x14ac:dyDescent="0.35">
      <c r="A5306" s="127"/>
      <c r="C5306" s="124"/>
    </row>
    <row r="5307" spans="1:3" ht="18.75" customHeight="1" x14ac:dyDescent="0.35">
      <c r="A5307" s="127"/>
      <c r="C5307" s="124"/>
    </row>
    <row r="5308" spans="1:3" ht="18.75" customHeight="1" x14ac:dyDescent="0.35">
      <c r="A5308" s="127"/>
      <c r="C5308" s="124"/>
    </row>
    <row r="5309" spans="1:3" ht="18.75" customHeight="1" x14ac:dyDescent="0.35">
      <c r="A5309" s="127"/>
      <c r="C5309" s="124"/>
    </row>
    <row r="5310" spans="1:3" ht="18.75" customHeight="1" x14ac:dyDescent="0.35">
      <c r="A5310" s="127"/>
      <c r="C5310" s="124"/>
    </row>
    <row r="5311" spans="1:3" ht="18.75" customHeight="1" x14ac:dyDescent="0.35">
      <c r="A5311" s="127"/>
      <c r="C5311" s="124"/>
    </row>
    <row r="5312" spans="1:3" ht="18.75" customHeight="1" x14ac:dyDescent="0.35">
      <c r="A5312" s="127"/>
      <c r="C5312" s="124"/>
    </row>
    <row r="5313" spans="1:3" ht="18.75" customHeight="1" x14ac:dyDescent="0.35">
      <c r="A5313" s="127"/>
      <c r="C5313" s="124"/>
    </row>
    <row r="5314" spans="1:3" ht="18.75" customHeight="1" x14ac:dyDescent="0.35">
      <c r="A5314" s="127"/>
      <c r="C5314" s="124"/>
    </row>
    <row r="5315" spans="1:3" ht="18.75" customHeight="1" x14ac:dyDescent="0.35">
      <c r="A5315" s="127"/>
      <c r="C5315" s="124"/>
    </row>
    <row r="5316" spans="1:3" ht="18.75" customHeight="1" x14ac:dyDescent="0.35">
      <c r="A5316" s="127"/>
      <c r="C5316" s="124"/>
    </row>
    <row r="5317" spans="1:3" ht="18.75" customHeight="1" x14ac:dyDescent="0.35">
      <c r="A5317" s="127"/>
      <c r="C5317" s="124"/>
    </row>
    <row r="5318" spans="1:3" ht="18.75" customHeight="1" x14ac:dyDescent="0.35">
      <c r="A5318" s="127"/>
      <c r="C5318" s="124"/>
    </row>
    <row r="5319" spans="1:3" ht="18.75" customHeight="1" x14ac:dyDescent="0.35">
      <c r="A5319" s="127"/>
      <c r="C5319" s="124"/>
    </row>
    <row r="5320" spans="1:3" ht="18.75" customHeight="1" x14ac:dyDescent="0.35">
      <c r="A5320" s="127"/>
      <c r="C5320" s="124"/>
    </row>
    <row r="5321" spans="1:3" ht="18.75" customHeight="1" x14ac:dyDescent="0.35">
      <c r="A5321" s="127"/>
      <c r="C5321" s="124"/>
    </row>
    <row r="5322" spans="1:3" ht="18.75" customHeight="1" x14ac:dyDescent="0.35">
      <c r="A5322" s="127"/>
      <c r="C5322" s="124"/>
    </row>
    <row r="5323" spans="1:3" ht="18.75" customHeight="1" x14ac:dyDescent="0.35">
      <c r="A5323" s="127"/>
      <c r="C5323" s="124"/>
    </row>
    <row r="5324" spans="1:3" ht="18.75" customHeight="1" x14ac:dyDescent="0.35">
      <c r="A5324" s="127"/>
      <c r="C5324" s="124"/>
    </row>
    <row r="5325" spans="1:3" ht="18.75" customHeight="1" x14ac:dyDescent="0.35">
      <c r="A5325" s="127"/>
      <c r="C5325" s="124"/>
    </row>
    <row r="5326" spans="1:3" ht="18.75" customHeight="1" x14ac:dyDescent="0.35">
      <c r="A5326" s="127"/>
      <c r="C5326" s="124"/>
    </row>
    <row r="5327" spans="1:3" ht="18.75" customHeight="1" x14ac:dyDescent="0.35">
      <c r="A5327" s="127"/>
      <c r="C5327" s="124"/>
    </row>
    <row r="5328" spans="1:3" ht="18.75" customHeight="1" x14ac:dyDescent="0.35">
      <c r="A5328" s="127"/>
      <c r="C5328" s="124"/>
    </row>
    <row r="5329" spans="1:3" ht="18.75" customHeight="1" x14ac:dyDescent="0.35">
      <c r="A5329" s="127"/>
      <c r="C5329" s="124"/>
    </row>
    <row r="5330" spans="1:3" ht="18.75" customHeight="1" x14ac:dyDescent="0.35">
      <c r="A5330" s="127"/>
      <c r="C5330" s="124"/>
    </row>
    <row r="5331" spans="1:3" ht="18.75" customHeight="1" x14ac:dyDescent="0.35">
      <c r="A5331" s="127"/>
      <c r="C5331" s="124"/>
    </row>
    <row r="5332" spans="1:3" ht="18.75" customHeight="1" x14ac:dyDescent="0.35">
      <c r="A5332" s="127"/>
      <c r="C5332" s="124"/>
    </row>
    <row r="5333" spans="1:3" ht="18.75" customHeight="1" x14ac:dyDescent="0.35">
      <c r="A5333" s="127"/>
      <c r="C5333" s="124"/>
    </row>
    <row r="5334" spans="1:3" ht="18.75" customHeight="1" x14ac:dyDescent="0.35">
      <c r="A5334" s="127"/>
      <c r="C5334" s="124"/>
    </row>
    <row r="5335" spans="1:3" ht="18.75" customHeight="1" x14ac:dyDescent="0.35">
      <c r="A5335" s="127"/>
      <c r="C5335" s="124"/>
    </row>
    <row r="5336" spans="1:3" ht="18.75" customHeight="1" x14ac:dyDescent="0.35">
      <c r="A5336" s="127"/>
      <c r="C5336" s="124"/>
    </row>
    <row r="5337" spans="1:3" ht="18.75" customHeight="1" x14ac:dyDescent="0.35">
      <c r="A5337" s="127"/>
      <c r="C5337" s="124"/>
    </row>
    <row r="5338" spans="1:3" ht="18.75" customHeight="1" x14ac:dyDescent="0.35">
      <c r="A5338" s="127"/>
      <c r="C5338" s="124"/>
    </row>
    <row r="5339" spans="1:3" ht="18.75" customHeight="1" x14ac:dyDescent="0.35">
      <c r="A5339" s="127"/>
      <c r="C5339" s="124"/>
    </row>
    <row r="5340" spans="1:3" ht="18.75" customHeight="1" x14ac:dyDescent="0.35">
      <c r="A5340" s="127"/>
      <c r="C5340" s="124"/>
    </row>
    <row r="5341" spans="1:3" ht="18.75" customHeight="1" x14ac:dyDescent="0.35">
      <c r="A5341" s="127"/>
      <c r="C5341" s="124"/>
    </row>
    <row r="5342" spans="1:3" ht="18.75" customHeight="1" x14ac:dyDescent="0.35">
      <c r="A5342" s="127"/>
      <c r="C5342" s="124"/>
    </row>
    <row r="5343" spans="1:3" ht="18.75" customHeight="1" x14ac:dyDescent="0.35">
      <c r="A5343" s="127"/>
      <c r="C5343" s="124"/>
    </row>
    <row r="5344" spans="1:3" ht="18.75" customHeight="1" x14ac:dyDescent="0.35">
      <c r="A5344" s="127"/>
      <c r="C5344" s="124"/>
    </row>
    <row r="5345" spans="1:3" ht="18.75" customHeight="1" x14ac:dyDescent="0.35">
      <c r="A5345" s="127"/>
      <c r="C5345" s="124"/>
    </row>
    <row r="5346" spans="1:3" ht="18.75" customHeight="1" x14ac:dyDescent="0.35">
      <c r="A5346" s="127"/>
      <c r="C5346" s="124"/>
    </row>
    <row r="5347" spans="1:3" ht="18.75" customHeight="1" x14ac:dyDescent="0.35">
      <c r="A5347" s="127"/>
      <c r="C5347" s="124"/>
    </row>
    <row r="5348" spans="1:3" ht="18.75" customHeight="1" x14ac:dyDescent="0.35">
      <c r="A5348" s="127"/>
      <c r="C5348" s="124"/>
    </row>
    <row r="5349" spans="1:3" ht="18.75" customHeight="1" x14ac:dyDescent="0.35">
      <c r="A5349" s="127"/>
      <c r="C5349" s="124"/>
    </row>
    <row r="5350" spans="1:3" ht="18.75" customHeight="1" x14ac:dyDescent="0.35">
      <c r="A5350" s="127"/>
      <c r="C5350" s="124"/>
    </row>
    <row r="5351" spans="1:3" ht="18.75" customHeight="1" x14ac:dyDescent="0.35">
      <c r="A5351" s="127"/>
      <c r="C5351" s="124"/>
    </row>
    <row r="5352" spans="1:3" ht="18.75" customHeight="1" x14ac:dyDescent="0.35">
      <c r="A5352" s="127"/>
      <c r="C5352" s="124"/>
    </row>
    <row r="5353" spans="1:3" ht="18.75" customHeight="1" x14ac:dyDescent="0.35">
      <c r="A5353" s="127"/>
      <c r="C5353" s="124"/>
    </row>
    <row r="5354" spans="1:3" ht="18.75" customHeight="1" x14ac:dyDescent="0.35">
      <c r="A5354" s="127"/>
      <c r="C5354" s="124"/>
    </row>
    <row r="5355" spans="1:3" ht="18.75" customHeight="1" x14ac:dyDescent="0.35">
      <c r="A5355" s="127"/>
      <c r="C5355" s="124"/>
    </row>
    <row r="5356" spans="1:3" ht="18.75" customHeight="1" x14ac:dyDescent="0.35">
      <c r="A5356" s="127"/>
      <c r="C5356" s="124"/>
    </row>
    <row r="5357" spans="1:3" ht="18.75" customHeight="1" x14ac:dyDescent="0.35">
      <c r="A5357" s="127"/>
      <c r="C5357" s="124"/>
    </row>
    <row r="5358" spans="1:3" ht="18.75" customHeight="1" x14ac:dyDescent="0.35">
      <c r="A5358" s="127"/>
      <c r="C5358" s="124"/>
    </row>
    <row r="5359" spans="1:3" ht="18.75" customHeight="1" x14ac:dyDescent="0.35">
      <c r="A5359" s="127"/>
      <c r="C5359" s="124"/>
    </row>
    <row r="5360" spans="1:3" ht="18.75" customHeight="1" x14ac:dyDescent="0.35">
      <c r="A5360" s="127"/>
      <c r="C5360" s="124"/>
    </row>
    <row r="5361" spans="1:3" ht="18.75" customHeight="1" x14ac:dyDescent="0.35">
      <c r="A5361" s="127"/>
      <c r="C5361" s="124"/>
    </row>
    <row r="5362" spans="1:3" ht="18.75" customHeight="1" x14ac:dyDescent="0.35">
      <c r="A5362" s="127"/>
      <c r="C5362" s="124"/>
    </row>
    <row r="5363" spans="1:3" ht="18.75" customHeight="1" x14ac:dyDescent="0.35">
      <c r="A5363" s="127"/>
      <c r="C5363" s="124"/>
    </row>
    <row r="5364" spans="1:3" ht="18.75" customHeight="1" x14ac:dyDescent="0.35">
      <c r="A5364" s="127"/>
      <c r="C5364" s="124"/>
    </row>
    <row r="5365" spans="1:3" ht="18.75" customHeight="1" x14ac:dyDescent="0.35">
      <c r="A5365" s="127"/>
      <c r="C5365" s="124"/>
    </row>
    <row r="5366" spans="1:3" ht="18.75" customHeight="1" x14ac:dyDescent="0.35">
      <c r="A5366" s="127"/>
      <c r="C5366" s="124"/>
    </row>
    <row r="5367" spans="1:3" ht="18.75" customHeight="1" x14ac:dyDescent="0.35">
      <c r="A5367" s="127"/>
      <c r="C5367" s="124"/>
    </row>
    <row r="5368" spans="1:3" ht="18.75" customHeight="1" x14ac:dyDescent="0.35">
      <c r="A5368" s="127"/>
      <c r="C5368" s="124"/>
    </row>
    <row r="5369" spans="1:3" ht="18.75" customHeight="1" x14ac:dyDescent="0.35">
      <c r="A5369" s="127"/>
      <c r="C5369" s="124"/>
    </row>
    <row r="5370" spans="1:3" ht="18.75" customHeight="1" x14ac:dyDescent="0.35">
      <c r="A5370" s="127"/>
      <c r="C5370" s="124"/>
    </row>
    <row r="5371" spans="1:3" ht="18.75" customHeight="1" x14ac:dyDescent="0.35">
      <c r="A5371" s="127"/>
      <c r="C5371" s="124"/>
    </row>
    <row r="5372" spans="1:3" ht="18.75" customHeight="1" x14ac:dyDescent="0.35">
      <c r="A5372" s="127"/>
      <c r="C5372" s="124"/>
    </row>
    <row r="5373" spans="1:3" ht="18.75" customHeight="1" x14ac:dyDescent="0.35">
      <c r="A5373" s="127"/>
      <c r="C5373" s="124"/>
    </row>
    <row r="5374" spans="1:3" ht="18.75" customHeight="1" x14ac:dyDescent="0.35">
      <c r="A5374" s="127"/>
      <c r="C5374" s="124"/>
    </row>
    <row r="5375" spans="1:3" ht="18.75" customHeight="1" x14ac:dyDescent="0.35">
      <c r="A5375" s="127"/>
      <c r="C5375" s="124"/>
    </row>
    <row r="5376" spans="1:3" ht="18.75" customHeight="1" x14ac:dyDescent="0.35">
      <c r="A5376" s="127"/>
      <c r="C5376" s="124"/>
    </row>
    <row r="5377" spans="1:3" ht="18.75" customHeight="1" x14ac:dyDescent="0.35">
      <c r="A5377" s="127"/>
      <c r="C5377" s="124"/>
    </row>
    <row r="5378" spans="1:3" ht="18.75" customHeight="1" x14ac:dyDescent="0.35">
      <c r="A5378" s="127"/>
      <c r="C5378" s="124"/>
    </row>
    <row r="5379" spans="1:3" ht="18.75" customHeight="1" x14ac:dyDescent="0.35">
      <c r="A5379" s="127"/>
      <c r="C5379" s="124"/>
    </row>
    <row r="5380" spans="1:3" ht="18.75" customHeight="1" x14ac:dyDescent="0.35">
      <c r="A5380" s="127"/>
      <c r="C5380" s="124"/>
    </row>
    <row r="5381" spans="1:3" ht="18.75" customHeight="1" x14ac:dyDescent="0.35">
      <c r="A5381" s="127"/>
      <c r="C5381" s="124"/>
    </row>
    <row r="5382" spans="1:3" ht="18.75" customHeight="1" x14ac:dyDescent="0.35">
      <c r="A5382" s="127"/>
      <c r="C5382" s="124"/>
    </row>
    <row r="5383" spans="1:3" ht="18.75" customHeight="1" x14ac:dyDescent="0.35">
      <c r="A5383" s="127"/>
      <c r="C5383" s="124"/>
    </row>
    <row r="5384" spans="1:3" ht="18.75" customHeight="1" x14ac:dyDescent="0.35">
      <c r="A5384" s="127"/>
      <c r="C5384" s="124"/>
    </row>
    <row r="5385" spans="1:3" ht="18.75" customHeight="1" x14ac:dyDescent="0.35">
      <c r="A5385" s="127"/>
      <c r="C5385" s="124"/>
    </row>
    <row r="5386" spans="1:3" ht="18.75" customHeight="1" x14ac:dyDescent="0.35">
      <c r="A5386" s="127"/>
      <c r="C5386" s="124"/>
    </row>
    <row r="5387" spans="1:3" ht="18.75" customHeight="1" x14ac:dyDescent="0.35">
      <c r="A5387" s="127"/>
      <c r="C5387" s="124"/>
    </row>
    <row r="5388" spans="1:3" ht="18.75" customHeight="1" x14ac:dyDescent="0.35">
      <c r="A5388" s="127"/>
      <c r="C5388" s="124"/>
    </row>
    <row r="5389" spans="1:3" ht="18.75" customHeight="1" x14ac:dyDescent="0.35">
      <c r="A5389" s="127"/>
      <c r="C5389" s="124"/>
    </row>
    <row r="5390" spans="1:3" ht="18.75" customHeight="1" x14ac:dyDescent="0.35">
      <c r="A5390" s="127"/>
      <c r="C5390" s="124"/>
    </row>
    <row r="5391" spans="1:3" ht="18.75" customHeight="1" x14ac:dyDescent="0.35">
      <c r="A5391" s="127"/>
      <c r="C5391" s="124"/>
    </row>
    <row r="5392" spans="1:3" ht="18.75" customHeight="1" x14ac:dyDescent="0.35">
      <c r="A5392" s="127"/>
      <c r="C5392" s="124"/>
    </row>
    <row r="5393" spans="1:3" ht="18.75" customHeight="1" x14ac:dyDescent="0.35">
      <c r="A5393" s="127"/>
      <c r="C5393" s="124"/>
    </row>
    <row r="5394" spans="1:3" ht="18.75" customHeight="1" x14ac:dyDescent="0.35">
      <c r="A5394" s="127"/>
      <c r="C5394" s="124"/>
    </row>
    <row r="5395" spans="1:3" ht="18.75" customHeight="1" x14ac:dyDescent="0.35">
      <c r="A5395" s="127"/>
      <c r="C5395" s="124"/>
    </row>
    <row r="5396" spans="1:3" ht="18.75" customHeight="1" x14ac:dyDescent="0.35">
      <c r="A5396" s="127"/>
      <c r="C5396" s="124"/>
    </row>
    <row r="5397" spans="1:3" ht="18.75" customHeight="1" x14ac:dyDescent="0.35">
      <c r="A5397" s="127"/>
      <c r="C5397" s="124"/>
    </row>
    <row r="5398" spans="1:3" ht="18.75" customHeight="1" x14ac:dyDescent="0.35">
      <c r="A5398" s="127"/>
      <c r="C5398" s="124"/>
    </row>
    <row r="5399" spans="1:3" ht="18.75" customHeight="1" x14ac:dyDescent="0.35">
      <c r="A5399" s="127"/>
      <c r="C5399" s="124"/>
    </row>
    <row r="5400" spans="1:3" ht="18.75" customHeight="1" x14ac:dyDescent="0.35">
      <c r="A5400" s="127"/>
      <c r="C5400" s="124"/>
    </row>
    <row r="5401" spans="1:3" ht="18.75" customHeight="1" x14ac:dyDescent="0.35">
      <c r="A5401" s="127"/>
      <c r="C5401" s="124"/>
    </row>
    <row r="5402" spans="1:3" ht="18.75" customHeight="1" x14ac:dyDescent="0.35">
      <c r="A5402" s="127"/>
      <c r="C5402" s="124"/>
    </row>
    <row r="5403" spans="1:3" ht="18.75" customHeight="1" x14ac:dyDescent="0.35">
      <c r="A5403" s="127"/>
      <c r="C5403" s="124"/>
    </row>
    <row r="5404" spans="1:3" ht="18.75" customHeight="1" x14ac:dyDescent="0.35">
      <c r="A5404" s="127"/>
      <c r="C5404" s="124"/>
    </row>
    <row r="5405" spans="1:3" ht="18.75" customHeight="1" x14ac:dyDescent="0.35">
      <c r="A5405" s="127"/>
      <c r="C5405" s="124"/>
    </row>
    <row r="5406" spans="1:3" ht="18.75" customHeight="1" x14ac:dyDescent="0.35">
      <c r="A5406" s="127"/>
      <c r="C5406" s="124"/>
    </row>
    <row r="5407" spans="1:3" ht="18.75" customHeight="1" x14ac:dyDescent="0.35">
      <c r="A5407" s="127"/>
      <c r="C5407" s="124"/>
    </row>
    <row r="5408" spans="1:3" ht="18.75" customHeight="1" x14ac:dyDescent="0.35">
      <c r="A5408" s="127"/>
      <c r="C5408" s="124"/>
    </row>
    <row r="5409" spans="1:3" ht="18.75" customHeight="1" x14ac:dyDescent="0.35">
      <c r="A5409" s="127"/>
      <c r="C5409" s="124"/>
    </row>
    <row r="5410" spans="1:3" ht="18.75" customHeight="1" x14ac:dyDescent="0.35">
      <c r="A5410" s="127"/>
      <c r="C5410" s="124"/>
    </row>
    <row r="5411" spans="1:3" ht="18.75" customHeight="1" x14ac:dyDescent="0.35">
      <c r="A5411" s="127"/>
      <c r="C5411" s="124"/>
    </row>
    <row r="5412" spans="1:3" ht="18.75" customHeight="1" x14ac:dyDescent="0.35">
      <c r="A5412" s="127"/>
      <c r="C5412" s="124"/>
    </row>
    <row r="5413" spans="1:3" ht="18.75" customHeight="1" x14ac:dyDescent="0.35">
      <c r="A5413" s="127"/>
      <c r="C5413" s="124"/>
    </row>
    <row r="5414" spans="1:3" ht="18.75" customHeight="1" x14ac:dyDescent="0.35">
      <c r="A5414" s="127"/>
      <c r="C5414" s="124"/>
    </row>
    <row r="5415" spans="1:3" ht="18.75" customHeight="1" x14ac:dyDescent="0.35">
      <c r="A5415" s="127"/>
      <c r="C5415" s="124"/>
    </row>
    <row r="5416" spans="1:3" ht="18.75" customHeight="1" x14ac:dyDescent="0.35">
      <c r="A5416" s="127"/>
      <c r="C5416" s="124"/>
    </row>
    <row r="5417" spans="1:3" ht="18.75" customHeight="1" x14ac:dyDescent="0.35">
      <c r="A5417" s="127"/>
      <c r="C5417" s="124"/>
    </row>
    <row r="5418" spans="1:3" ht="18.75" customHeight="1" x14ac:dyDescent="0.35">
      <c r="A5418" s="127"/>
      <c r="C5418" s="124"/>
    </row>
    <row r="5419" spans="1:3" ht="18.75" customHeight="1" x14ac:dyDescent="0.35">
      <c r="A5419" s="127"/>
      <c r="C5419" s="124"/>
    </row>
    <row r="5420" spans="1:3" ht="18.75" customHeight="1" x14ac:dyDescent="0.35">
      <c r="A5420" s="127"/>
      <c r="C5420" s="124"/>
    </row>
    <row r="5421" spans="1:3" ht="18.75" customHeight="1" x14ac:dyDescent="0.35">
      <c r="A5421" s="127"/>
      <c r="C5421" s="124"/>
    </row>
    <row r="5422" spans="1:3" ht="18.75" customHeight="1" x14ac:dyDescent="0.35">
      <c r="A5422" s="127"/>
      <c r="C5422" s="124"/>
    </row>
    <row r="5423" spans="1:3" ht="18.75" customHeight="1" x14ac:dyDescent="0.35">
      <c r="A5423" s="127"/>
      <c r="C5423" s="124"/>
    </row>
    <row r="5424" spans="1:3" ht="18.75" customHeight="1" x14ac:dyDescent="0.35">
      <c r="A5424" s="127"/>
      <c r="C5424" s="124"/>
    </row>
    <row r="5425" spans="1:3" ht="18.75" customHeight="1" x14ac:dyDescent="0.35">
      <c r="A5425" s="127"/>
      <c r="C5425" s="124"/>
    </row>
    <row r="5426" spans="1:3" ht="18.75" customHeight="1" x14ac:dyDescent="0.35">
      <c r="A5426" s="127"/>
      <c r="C5426" s="124"/>
    </row>
    <row r="5427" spans="1:3" ht="18.75" customHeight="1" x14ac:dyDescent="0.35">
      <c r="A5427" s="127"/>
      <c r="C5427" s="124"/>
    </row>
    <row r="5428" spans="1:3" ht="18.75" customHeight="1" x14ac:dyDescent="0.35">
      <c r="A5428" s="127"/>
      <c r="C5428" s="124"/>
    </row>
    <row r="5429" spans="1:3" ht="18.75" customHeight="1" x14ac:dyDescent="0.35">
      <c r="A5429" s="127"/>
      <c r="C5429" s="124"/>
    </row>
    <row r="5430" spans="1:3" ht="18.75" customHeight="1" x14ac:dyDescent="0.35">
      <c r="A5430" s="127"/>
      <c r="C5430" s="124"/>
    </row>
    <row r="5431" spans="1:3" ht="18.75" customHeight="1" x14ac:dyDescent="0.35">
      <c r="A5431" s="127"/>
      <c r="C5431" s="124"/>
    </row>
    <row r="5432" spans="1:3" ht="18.75" customHeight="1" x14ac:dyDescent="0.35">
      <c r="A5432" s="127"/>
      <c r="C5432" s="124"/>
    </row>
    <row r="5433" spans="1:3" ht="18.75" customHeight="1" x14ac:dyDescent="0.35">
      <c r="A5433" s="127"/>
      <c r="C5433" s="124"/>
    </row>
    <row r="5434" spans="1:3" ht="18.75" customHeight="1" x14ac:dyDescent="0.35">
      <c r="A5434" s="127"/>
      <c r="C5434" s="124"/>
    </row>
    <row r="5435" spans="1:3" ht="18.75" customHeight="1" x14ac:dyDescent="0.35">
      <c r="A5435" s="127"/>
      <c r="C5435" s="124"/>
    </row>
    <row r="5436" spans="1:3" ht="18.75" customHeight="1" x14ac:dyDescent="0.35">
      <c r="A5436" s="127"/>
      <c r="C5436" s="124"/>
    </row>
    <row r="5437" spans="1:3" ht="18.75" customHeight="1" x14ac:dyDescent="0.35">
      <c r="A5437" s="127"/>
      <c r="C5437" s="124"/>
    </row>
    <row r="5438" spans="1:3" ht="18.75" customHeight="1" x14ac:dyDescent="0.35">
      <c r="A5438" s="127"/>
      <c r="C5438" s="124"/>
    </row>
    <row r="5439" spans="1:3" ht="18.75" customHeight="1" x14ac:dyDescent="0.35">
      <c r="A5439" s="127"/>
      <c r="C5439" s="124"/>
    </row>
    <row r="5440" spans="1:3" ht="18.75" customHeight="1" x14ac:dyDescent="0.35">
      <c r="A5440" s="127"/>
      <c r="C5440" s="124"/>
    </row>
    <row r="5441" spans="1:3" ht="18.75" customHeight="1" x14ac:dyDescent="0.35">
      <c r="A5441" s="127"/>
      <c r="C5441" s="124"/>
    </row>
    <row r="5442" spans="1:3" ht="18.75" customHeight="1" x14ac:dyDescent="0.35">
      <c r="A5442" s="127"/>
      <c r="C5442" s="124"/>
    </row>
    <row r="5443" spans="1:3" ht="18.75" customHeight="1" x14ac:dyDescent="0.35">
      <c r="A5443" s="127"/>
      <c r="C5443" s="124"/>
    </row>
    <row r="5444" spans="1:3" ht="18.75" customHeight="1" x14ac:dyDescent="0.35">
      <c r="A5444" s="127"/>
      <c r="C5444" s="124"/>
    </row>
    <row r="5445" spans="1:3" ht="18.75" customHeight="1" x14ac:dyDescent="0.35">
      <c r="A5445" s="127"/>
      <c r="C5445" s="124"/>
    </row>
    <row r="5446" spans="1:3" ht="18.75" customHeight="1" x14ac:dyDescent="0.35">
      <c r="A5446" s="127"/>
      <c r="C5446" s="124"/>
    </row>
    <row r="5447" spans="1:3" ht="18.75" customHeight="1" x14ac:dyDescent="0.35">
      <c r="A5447" s="127"/>
      <c r="C5447" s="124"/>
    </row>
    <row r="5448" spans="1:3" ht="18.75" customHeight="1" x14ac:dyDescent="0.35">
      <c r="A5448" s="127"/>
      <c r="C5448" s="124"/>
    </row>
    <row r="5449" spans="1:3" ht="18.75" customHeight="1" x14ac:dyDescent="0.35">
      <c r="A5449" s="127"/>
      <c r="C5449" s="124"/>
    </row>
    <row r="5450" spans="1:3" ht="18.75" customHeight="1" x14ac:dyDescent="0.35">
      <c r="A5450" s="127"/>
      <c r="C5450" s="124"/>
    </row>
    <row r="5451" spans="1:3" ht="18.75" customHeight="1" x14ac:dyDescent="0.35">
      <c r="A5451" s="127"/>
      <c r="C5451" s="124"/>
    </row>
    <row r="5452" spans="1:3" ht="18.75" customHeight="1" x14ac:dyDescent="0.35">
      <c r="A5452" s="127"/>
      <c r="C5452" s="124"/>
    </row>
    <row r="5453" spans="1:3" ht="18.75" customHeight="1" x14ac:dyDescent="0.35">
      <c r="A5453" s="127"/>
      <c r="C5453" s="124"/>
    </row>
    <row r="5454" spans="1:3" ht="18.75" customHeight="1" x14ac:dyDescent="0.35">
      <c r="A5454" s="127"/>
      <c r="C5454" s="124"/>
    </row>
    <row r="5455" spans="1:3" ht="18.75" customHeight="1" x14ac:dyDescent="0.35">
      <c r="A5455" s="127"/>
      <c r="C5455" s="124"/>
    </row>
    <row r="5456" spans="1:3" ht="18.75" customHeight="1" x14ac:dyDescent="0.35">
      <c r="A5456" s="127"/>
      <c r="C5456" s="124"/>
    </row>
    <row r="5457" spans="1:3" ht="18.75" customHeight="1" x14ac:dyDescent="0.35">
      <c r="A5457" s="127"/>
      <c r="C5457" s="124"/>
    </row>
    <row r="5458" spans="1:3" ht="18.75" customHeight="1" x14ac:dyDescent="0.35">
      <c r="A5458" s="127"/>
      <c r="C5458" s="124"/>
    </row>
    <row r="5459" spans="1:3" ht="18.75" customHeight="1" x14ac:dyDescent="0.35">
      <c r="A5459" s="127"/>
      <c r="C5459" s="124"/>
    </row>
    <row r="5460" spans="1:3" ht="18.75" customHeight="1" x14ac:dyDescent="0.35">
      <c r="A5460" s="127"/>
      <c r="C5460" s="124"/>
    </row>
    <row r="5461" spans="1:3" ht="18.75" customHeight="1" x14ac:dyDescent="0.35">
      <c r="A5461" s="127"/>
      <c r="C5461" s="124"/>
    </row>
    <row r="5462" spans="1:3" ht="18.75" customHeight="1" x14ac:dyDescent="0.35">
      <c r="A5462" s="127"/>
      <c r="C5462" s="124"/>
    </row>
    <row r="5463" spans="1:3" ht="18.75" customHeight="1" x14ac:dyDescent="0.35">
      <c r="A5463" s="127"/>
      <c r="C5463" s="124"/>
    </row>
    <row r="5464" spans="1:3" ht="18.75" customHeight="1" x14ac:dyDescent="0.35">
      <c r="A5464" s="127"/>
      <c r="C5464" s="124"/>
    </row>
    <row r="5465" spans="1:3" ht="18.75" customHeight="1" x14ac:dyDescent="0.35">
      <c r="A5465" s="127"/>
      <c r="C5465" s="124"/>
    </row>
    <row r="5466" spans="1:3" ht="18.75" customHeight="1" x14ac:dyDescent="0.35">
      <c r="A5466" s="127"/>
      <c r="C5466" s="124"/>
    </row>
    <row r="5467" spans="1:3" ht="18.75" customHeight="1" x14ac:dyDescent="0.35">
      <c r="A5467" s="127"/>
      <c r="C5467" s="124"/>
    </row>
    <row r="5468" spans="1:3" ht="18.75" customHeight="1" x14ac:dyDescent="0.35">
      <c r="A5468" s="127"/>
      <c r="C5468" s="124"/>
    </row>
    <row r="5469" spans="1:3" ht="18.75" customHeight="1" x14ac:dyDescent="0.35">
      <c r="A5469" s="127"/>
      <c r="C5469" s="124"/>
    </row>
    <row r="5470" spans="1:3" ht="18.75" customHeight="1" x14ac:dyDescent="0.35">
      <c r="A5470" s="127"/>
      <c r="C5470" s="124"/>
    </row>
    <row r="5471" spans="1:3" ht="18.75" customHeight="1" x14ac:dyDescent="0.35">
      <c r="A5471" s="127"/>
      <c r="C5471" s="124"/>
    </row>
    <row r="5472" spans="1:3" ht="18.75" customHeight="1" x14ac:dyDescent="0.35">
      <c r="A5472" s="127"/>
      <c r="C5472" s="124"/>
    </row>
    <row r="5473" spans="1:3" ht="18.75" customHeight="1" x14ac:dyDescent="0.35">
      <c r="A5473" s="127"/>
      <c r="C5473" s="124"/>
    </row>
    <row r="5474" spans="1:3" ht="18.75" customHeight="1" x14ac:dyDescent="0.35">
      <c r="A5474" s="127"/>
      <c r="C5474" s="124"/>
    </row>
    <row r="5475" spans="1:3" ht="18.75" customHeight="1" x14ac:dyDescent="0.35">
      <c r="A5475" s="127"/>
      <c r="C5475" s="124"/>
    </row>
    <row r="5476" spans="1:3" ht="18.75" customHeight="1" x14ac:dyDescent="0.35">
      <c r="A5476" s="127"/>
      <c r="C5476" s="124"/>
    </row>
    <row r="5477" spans="1:3" ht="18.75" customHeight="1" x14ac:dyDescent="0.35">
      <c r="A5477" s="127"/>
      <c r="C5477" s="124"/>
    </row>
    <row r="5478" spans="1:3" ht="18.75" customHeight="1" x14ac:dyDescent="0.35">
      <c r="A5478" s="127"/>
      <c r="C5478" s="124"/>
    </row>
    <row r="5479" spans="1:3" ht="18.75" customHeight="1" x14ac:dyDescent="0.35">
      <c r="A5479" s="127"/>
      <c r="C5479" s="124"/>
    </row>
    <row r="5480" spans="1:3" ht="18.75" customHeight="1" x14ac:dyDescent="0.35">
      <c r="A5480" s="127"/>
      <c r="C5480" s="124"/>
    </row>
    <row r="5481" spans="1:3" ht="18.75" customHeight="1" x14ac:dyDescent="0.35">
      <c r="A5481" s="127"/>
      <c r="C5481" s="124"/>
    </row>
    <row r="5482" spans="1:3" ht="18.75" customHeight="1" x14ac:dyDescent="0.35">
      <c r="A5482" s="127"/>
      <c r="C5482" s="124"/>
    </row>
    <row r="5483" spans="1:3" ht="18.75" customHeight="1" x14ac:dyDescent="0.35">
      <c r="A5483" s="127"/>
      <c r="C5483" s="124"/>
    </row>
    <row r="5484" spans="1:3" ht="18.75" customHeight="1" x14ac:dyDescent="0.35">
      <c r="A5484" s="127"/>
      <c r="C5484" s="124"/>
    </row>
    <row r="5485" spans="1:3" ht="18.75" customHeight="1" x14ac:dyDescent="0.35">
      <c r="A5485" s="127"/>
      <c r="C5485" s="124"/>
    </row>
    <row r="5486" spans="1:3" ht="18.75" customHeight="1" x14ac:dyDescent="0.35">
      <c r="A5486" s="127"/>
      <c r="C5486" s="124"/>
    </row>
    <row r="5487" spans="1:3" ht="18.75" customHeight="1" x14ac:dyDescent="0.35">
      <c r="A5487" s="127"/>
      <c r="C5487" s="124"/>
    </row>
    <row r="5488" spans="1:3" ht="18.75" customHeight="1" x14ac:dyDescent="0.35">
      <c r="A5488" s="127"/>
      <c r="C5488" s="124"/>
    </row>
    <row r="5489" spans="1:3" ht="18.75" customHeight="1" x14ac:dyDescent="0.35">
      <c r="A5489" s="127"/>
      <c r="C5489" s="124"/>
    </row>
    <row r="5490" spans="1:3" ht="18.75" customHeight="1" x14ac:dyDescent="0.35">
      <c r="A5490" s="127"/>
      <c r="C5490" s="124"/>
    </row>
    <row r="5491" spans="1:3" ht="18.75" customHeight="1" x14ac:dyDescent="0.35">
      <c r="A5491" s="127"/>
      <c r="C5491" s="124"/>
    </row>
    <row r="5492" spans="1:3" ht="18.75" customHeight="1" x14ac:dyDescent="0.35">
      <c r="A5492" s="127"/>
      <c r="C5492" s="124"/>
    </row>
    <row r="5493" spans="1:3" ht="18.75" customHeight="1" x14ac:dyDescent="0.35">
      <c r="A5493" s="127"/>
      <c r="C5493" s="124"/>
    </row>
    <row r="5494" spans="1:3" ht="18.75" customHeight="1" x14ac:dyDescent="0.35">
      <c r="A5494" s="127"/>
      <c r="C5494" s="124"/>
    </row>
    <row r="5495" spans="1:3" ht="18.75" customHeight="1" x14ac:dyDescent="0.35">
      <c r="A5495" s="127"/>
      <c r="C5495" s="124"/>
    </row>
    <row r="5496" spans="1:3" ht="18.75" customHeight="1" x14ac:dyDescent="0.35">
      <c r="A5496" s="127"/>
      <c r="C5496" s="124"/>
    </row>
    <row r="5497" spans="1:3" ht="18.75" customHeight="1" x14ac:dyDescent="0.35">
      <c r="A5497" s="127"/>
      <c r="C5497" s="124"/>
    </row>
    <row r="5498" spans="1:3" ht="18.75" customHeight="1" x14ac:dyDescent="0.35">
      <c r="A5498" s="127"/>
      <c r="C5498" s="124"/>
    </row>
    <row r="5499" spans="1:3" ht="18.75" customHeight="1" x14ac:dyDescent="0.35">
      <c r="A5499" s="127"/>
      <c r="C5499" s="124"/>
    </row>
    <row r="5500" spans="1:3" ht="18.75" customHeight="1" x14ac:dyDescent="0.35">
      <c r="A5500" s="127"/>
      <c r="C5500" s="124"/>
    </row>
    <row r="5501" spans="1:3" ht="18.75" customHeight="1" x14ac:dyDescent="0.35">
      <c r="A5501" s="127"/>
      <c r="C5501" s="124"/>
    </row>
    <row r="5502" spans="1:3" ht="18.75" customHeight="1" x14ac:dyDescent="0.35">
      <c r="A5502" s="127"/>
      <c r="C5502" s="124"/>
    </row>
    <row r="5503" spans="1:3" ht="18.75" customHeight="1" x14ac:dyDescent="0.35">
      <c r="A5503" s="127"/>
      <c r="C5503" s="124"/>
    </row>
    <row r="5504" spans="1:3" ht="18.75" customHeight="1" x14ac:dyDescent="0.35">
      <c r="A5504" s="127"/>
      <c r="C5504" s="124"/>
    </row>
    <row r="5505" spans="1:3" ht="18.75" customHeight="1" x14ac:dyDescent="0.35">
      <c r="A5505" s="127"/>
      <c r="C5505" s="124"/>
    </row>
    <row r="5506" spans="1:3" ht="18.75" customHeight="1" x14ac:dyDescent="0.35">
      <c r="A5506" s="127"/>
      <c r="C5506" s="124"/>
    </row>
    <row r="5507" spans="1:3" ht="18.75" customHeight="1" x14ac:dyDescent="0.35">
      <c r="A5507" s="127"/>
      <c r="C5507" s="124"/>
    </row>
    <row r="5508" spans="1:3" ht="18.75" customHeight="1" x14ac:dyDescent="0.35">
      <c r="A5508" s="127"/>
      <c r="C5508" s="124"/>
    </row>
    <row r="5509" spans="1:3" ht="18.75" customHeight="1" x14ac:dyDescent="0.35">
      <c r="A5509" s="127"/>
      <c r="C5509" s="124"/>
    </row>
    <row r="5510" spans="1:3" ht="18.75" customHeight="1" x14ac:dyDescent="0.35">
      <c r="A5510" s="127"/>
      <c r="C5510" s="124"/>
    </row>
    <row r="5511" spans="1:3" ht="18.75" customHeight="1" x14ac:dyDescent="0.35">
      <c r="A5511" s="127"/>
      <c r="C5511" s="124"/>
    </row>
    <row r="5512" spans="1:3" ht="18.75" customHeight="1" x14ac:dyDescent="0.35">
      <c r="A5512" s="127"/>
      <c r="C5512" s="124"/>
    </row>
    <row r="5513" spans="1:3" ht="18.75" customHeight="1" x14ac:dyDescent="0.35">
      <c r="A5513" s="127"/>
      <c r="C5513" s="124"/>
    </row>
    <row r="5514" spans="1:3" ht="18.75" customHeight="1" x14ac:dyDescent="0.35">
      <c r="A5514" s="127"/>
      <c r="C5514" s="124"/>
    </row>
    <row r="5515" spans="1:3" ht="18.75" customHeight="1" x14ac:dyDescent="0.35">
      <c r="A5515" s="127"/>
      <c r="C5515" s="124"/>
    </row>
    <row r="5516" spans="1:3" ht="18.75" customHeight="1" x14ac:dyDescent="0.35">
      <c r="A5516" s="127"/>
      <c r="C5516" s="124"/>
    </row>
    <row r="5517" spans="1:3" ht="18.75" customHeight="1" x14ac:dyDescent="0.35">
      <c r="A5517" s="127"/>
      <c r="C5517" s="124"/>
    </row>
    <row r="5518" spans="1:3" ht="18.75" customHeight="1" x14ac:dyDescent="0.35">
      <c r="A5518" s="127"/>
      <c r="C5518" s="124"/>
    </row>
    <row r="5519" spans="1:3" ht="18.75" customHeight="1" x14ac:dyDescent="0.35">
      <c r="A5519" s="127"/>
      <c r="C5519" s="124"/>
    </row>
    <row r="5520" spans="1:3" ht="18.75" customHeight="1" x14ac:dyDescent="0.35">
      <c r="A5520" s="127"/>
      <c r="C5520" s="124"/>
    </row>
    <row r="5521" spans="1:3" ht="18.75" customHeight="1" x14ac:dyDescent="0.35">
      <c r="A5521" s="127"/>
      <c r="C5521" s="124"/>
    </row>
    <row r="5522" spans="1:3" ht="18.75" customHeight="1" x14ac:dyDescent="0.35">
      <c r="A5522" s="127"/>
      <c r="C5522" s="124"/>
    </row>
    <row r="5523" spans="1:3" ht="18.75" customHeight="1" x14ac:dyDescent="0.35">
      <c r="A5523" s="127"/>
      <c r="C5523" s="124"/>
    </row>
    <row r="5524" spans="1:3" ht="18.75" customHeight="1" x14ac:dyDescent="0.35">
      <c r="A5524" s="127"/>
      <c r="C5524" s="124"/>
    </row>
    <row r="5525" spans="1:3" ht="18.75" customHeight="1" x14ac:dyDescent="0.35">
      <c r="A5525" s="127"/>
      <c r="C5525" s="124"/>
    </row>
    <row r="5526" spans="1:3" ht="18.75" customHeight="1" x14ac:dyDescent="0.35">
      <c r="A5526" s="127"/>
      <c r="C5526" s="124"/>
    </row>
    <row r="5527" spans="1:3" ht="18.75" customHeight="1" x14ac:dyDescent="0.35">
      <c r="A5527" s="127"/>
      <c r="C5527" s="124"/>
    </row>
    <row r="5528" spans="1:3" ht="18.75" customHeight="1" x14ac:dyDescent="0.35">
      <c r="A5528" s="127"/>
      <c r="C5528" s="124"/>
    </row>
    <row r="5529" spans="1:3" ht="18.75" customHeight="1" x14ac:dyDescent="0.35">
      <c r="A5529" s="127"/>
      <c r="C5529" s="124"/>
    </row>
    <row r="5530" spans="1:3" ht="18.75" customHeight="1" x14ac:dyDescent="0.35">
      <c r="A5530" s="127"/>
      <c r="C5530" s="124"/>
    </row>
    <row r="5531" spans="1:3" ht="18.75" customHeight="1" x14ac:dyDescent="0.35">
      <c r="A5531" s="127"/>
      <c r="C5531" s="124"/>
    </row>
    <row r="5532" spans="1:3" ht="18.75" customHeight="1" x14ac:dyDescent="0.35">
      <c r="A5532" s="127"/>
      <c r="C5532" s="124"/>
    </row>
    <row r="5533" spans="1:3" ht="18.75" customHeight="1" x14ac:dyDescent="0.35">
      <c r="A5533" s="127"/>
      <c r="C5533" s="124"/>
    </row>
    <row r="5534" spans="1:3" ht="18.75" customHeight="1" x14ac:dyDescent="0.35">
      <c r="A5534" s="127"/>
      <c r="C5534" s="124"/>
    </row>
    <row r="5535" spans="1:3" ht="18.75" customHeight="1" x14ac:dyDescent="0.35">
      <c r="A5535" s="127"/>
      <c r="C5535" s="124"/>
    </row>
    <row r="5536" spans="1:3" ht="18.75" customHeight="1" x14ac:dyDescent="0.35">
      <c r="A5536" s="127"/>
      <c r="C5536" s="124"/>
    </row>
    <row r="5537" spans="1:3" ht="18.75" customHeight="1" x14ac:dyDescent="0.35">
      <c r="A5537" s="127"/>
      <c r="C5537" s="124"/>
    </row>
    <row r="5538" spans="1:3" ht="18.75" customHeight="1" x14ac:dyDescent="0.35">
      <c r="A5538" s="127"/>
      <c r="C5538" s="124"/>
    </row>
    <row r="5539" spans="1:3" ht="18.75" customHeight="1" x14ac:dyDescent="0.35">
      <c r="A5539" s="127"/>
      <c r="C5539" s="124"/>
    </row>
    <row r="5540" spans="1:3" ht="18.75" customHeight="1" x14ac:dyDescent="0.35">
      <c r="A5540" s="127"/>
      <c r="C5540" s="124"/>
    </row>
    <row r="5541" spans="1:3" ht="18.75" customHeight="1" x14ac:dyDescent="0.35">
      <c r="A5541" s="127"/>
      <c r="C5541" s="124"/>
    </row>
    <row r="5542" spans="1:3" ht="18.75" customHeight="1" x14ac:dyDescent="0.35">
      <c r="A5542" s="127"/>
      <c r="C5542" s="124"/>
    </row>
    <row r="5543" spans="1:3" ht="18.75" customHeight="1" x14ac:dyDescent="0.35">
      <c r="A5543" s="127"/>
      <c r="C5543" s="124"/>
    </row>
    <row r="5544" spans="1:3" ht="18.75" customHeight="1" x14ac:dyDescent="0.35">
      <c r="A5544" s="127"/>
      <c r="C5544" s="124"/>
    </row>
    <row r="5545" spans="1:3" ht="18.75" customHeight="1" x14ac:dyDescent="0.35">
      <c r="A5545" s="127"/>
      <c r="C5545" s="124"/>
    </row>
    <row r="5546" spans="1:3" ht="18.75" customHeight="1" x14ac:dyDescent="0.35">
      <c r="A5546" s="127"/>
      <c r="C5546" s="124"/>
    </row>
    <row r="5547" spans="1:3" ht="18.75" customHeight="1" x14ac:dyDescent="0.35">
      <c r="A5547" s="127"/>
      <c r="C5547" s="124"/>
    </row>
    <row r="5548" spans="1:3" ht="18.75" customHeight="1" x14ac:dyDescent="0.35">
      <c r="A5548" s="127"/>
      <c r="C5548" s="124"/>
    </row>
    <row r="5549" spans="1:3" ht="18.75" customHeight="1" x14ac:dyDescent="0.35">
      <c r="A5549" s="127"/>
      <c r="C5549" s="124"/>
    </row>
    <row r="5550" spans="1:3" ht="18.75" customHeight="1" x14ac:dyDescent="0.35">
      <c r="A5550" s="127"/>
      <c r="C5550" s="124"/>
    </row>
    <row r="5551" spans="1:3" ht="18.75" customHeight="1" x14ac:dyDescent="0.35">
      <c r="A5551" s="127"/>
      <c r="C5551" s="124"/>
    </row>
    <row r="5552" spans="1:3" ht="18.75" customHeight="1" x14ac:dyDescent="0.35">
      <c r="A5552" s="127"/>
      <c r="C5552" s="124"/>
    </row>
    <row r="5553" spans="1:3" ht="18.75" customHeight="1" x14ac:dyDescent="0.35">
      <c r="A5553" s="127"/>
      <c r="C5553" s="124"/>
    </row>
    <row r="5554" spans="1:3" ht="18.75" customHeight="1" x14ac:dyDescent="0.35">
      <c r="A5554" s="127"/>
      <c r="C5554" s="124"/>
    </row>
    <row r="5555" spans="1:3" ht="18.75" customHeight="1" x14ac:dyDescent="0.35">
      <c r="A5555" s="127"/>
      <c r="C5555" s="124"/>
    </row>
    <row r="5556" spans="1:3" ht="18.75" customHeight="1" x14ac:dyDescent="0.35">
      <c r="A5556" s="127"/>
      <c r="C5556" s="124"/>
    </row>
    <row r="5557" spans="1:3" ht="18.75" customHeight="1" x14ac:dyDescent="0.35">
      <c r="A5557" s="127"/>
      <c r="C5557" s="124"/>
    </row>
    <row r="5558" spans="1:3" ht="18.75" customHeight="1" x14ac:dyDescent="0.35">
      <c r="A5558" s="127"/>
      <c r="C5558" s="124"/>
    </row>
    <row r="5559" spans="1:3" ht="18.75" customHeight="1" x14ac:dyDescent="0.35">
      <c r="A5559" s="127"/>
      <c r="C5559" s="124"/>
    </row>
    <row r="5560" spans="1:3" ht="18.75" customHeight="1" x14ac:dyDescent="0.35">
      <c r="A5560" s="127"/>
      <c r="C5560" s="124"/>
    </row>
    <row r="5561" spans="1:3" ht="18.75" customHeight="1" x14ac:dyDescent="0.35">
      <c r="A5561" s="127"/>
      <c r="C5561" s="124"/>
    </row>
    <row r="5562" spans="1:3" ht="18.75" customHeight="1" x14ac:dyDescent="0.35">
      <c r="A5562" s="127"/>
      <c r="C5562" s="124"/>
    </row>
    <row r="5563" spans="1:3" ht="18.75" customHeight="1" x14ac:dyDescent="0.35">
      <c r="A5563" s="127"/>
      <c r="C5563" s="124"/>
    </row>
    <row r="5564" spans="1:3" ht="18.75" customHeight="1" x14ac:dyDescent="0.35">
      <c r="A5564" s="127"/>
      <c r="C5564" s="124"/>
    </row>
    <row r="5565" spans="1:3" ht="18.75" customHeight="1" x14ac:dyDescent="0.35">
      <c r="A5565" s="127"/>
      <c r="C5565" s="124"/>
    </row>
    <row r="5566" spans="1:3" ht="18.75" customHeight="1" x14ac:dyDescent="0.35">
      <c r="A5566" s="127"/>
      <c r="C5566" s="124"/>
    </row>
    <row r="5567" spans="1:3" ht="18.75" customHeight="1" x14ac:dyDescent="0.35">
      <c r="A5567" s="127"/>
      <c r="C5567" s="124"/>
    </row>
    <row r="5568" spans="1:3" ht="18.75" customHeight="1" x14ac:dyDescent="0.35">
      <c r="A5568" s="127"/>
      <c r="C5568" s="124"/>
    </row>
    <row r="5569" spans="1:3" ht="18.75" customHeight="1" x14ac:dyDescent="0.35">
      <c r="A5569" s="127"/>
      <c r="C5569" s="124"/>
    </row>
    <row r="5570" spans="1:3" ht="18.75" customHeight="1" x14ac:dyDescent="0.35">
      <c r="A5570" s="127"/>
      <c r="C5570" s="124"/>
    </row>
    <row r="5571" spans="1:3" ht="18.75" customHeight="1" x14ac:dyDescent="0.35">
      <c r="A5571" s="127"/>
      <c r="C5571" s="124"/>
    </row>
    <row r="5572" spans="1:3" ht="18.75" customHeight="1" x14ac:dyDescent="0.35">
      <c r="A5572" s="127"/>
      <c r="C5572" s="124"/>
    </row>
    <row r="5573" spans="1:3" ht="18.75" customHeight="1" x14ac:dyDescent="0.35">
      <c r="A5573" s="127"/>
      <c r="C5573" s="124"/>
    </row>
    <row r="5574" spans="1:3" ht="18.75" customHeight="1" x14ac:dyDescent="0.35">
      <c r="A5574" s="127"/>
      <c r="C5574" s="124"/>
    </row>
    <row r="5575" spans="1:3" ht="18.75" customHeight="1" x14ac:dyDescent="0.35">
      <c r="A5575" s="127"/>
      <c r="C5575" s="124"/>
    </row>
    <row r="5576" spans="1:3" ht="18.75" customHeight="1" x14ac:dyDescent="0.35">
      <c r="A5576" s="127"/>
      <c r="C5576" s="124"/>
    </row>
    <row r="5577" spans="1:3" ht="18.75" customHeight="1" x14ac:dyDescent="0.35">
      <c r="A5577" s="127"/>
      <c r="C5577" s="124"/>
    </row>
    <row r="5578" spans="1:3" ht="18.75" customHeight="1" x14ac:dyDescent="0.35">
      <c r="A5578" s="127"/>
      <c r="C5578" s="124"/>
    </row>
    <row r="5579" spans="1:3" ht="18.75" customHeight="1" x14ac:dyDescent="0.35">
      <c r="A5579" s="127"/>
      <c r="C5579" s="124"/>
    </row>
    <row r="5580" spans="1:3" ht="18.75" customHeight="1" x14ac:dyDescent="0.35">
      <c r="A5580" s="127"/>
      <c r="C5580" s="124"/>
    </row>
    <row r="5581" spans="1:3" ht="18.75" customHeight="1" x14ac:dyDescent="0.35">
      <c r="A5581" s="127"/>
      <c r="C5581" s="124"/>
    </row>
    <row r="5582" spans="1:3" ht="18.75" customHeight="1" x14ac:dyDescent="0.35">
      <c r="A5582" s="127"/>
      <c r="C5582" s="124"/>
    </row>
    <row r="5583" spans="1:3" ht="18.75" customHeight="1" x14ac:dyDescent="0.35">
      <c r="A5583" s="127"/>
      <c r="C5583" s="124"/>
    </row>
    <row r="5584" spans="1:3" ht="18.75" customHeight="1" x14ac:dyDescent="0.35">
      <c r="A5584" s="127"/>
      <c r="C5584" s="124"/>
    </row>
    <row r="5585" spans="1:3" ht="18.75" customHeight="1" x14ac:dyDescent="0.35">
      <c r="A5585" s="127"/>
      <c r="C5585" s="124"/>
    </row>
    <row r="5586" spans="1:3" ht="18.75" customHeight="1" x14ac:dyDescent="0.35">
      <c r="A5586" s="127"/>
      <c r="C5586" s="124"/>
    </row>
    <row r="5587" spans="1:3" ht="18.75" customHeight="1" x14ac:dyDescent="0.35">
      <c r="A5587" s="127"/>
      <c r="C5587" s="124"/>
    </row>
    <row r="5588" spans="1:3" ht="18.75" customHeight="1" x14ac:dyDescent="0.35">
      <c r="A5588" s="127"/>
      <c r="C5588" s="124"/>
    </row>
    <row r="5589" spans="1:3" ht="18.75" customHeight="1" x14ac:dyDescent="0.35">
      <c r="A5589" s="127"/>
      <c r="C5589" s="124"/>
    </row>
    <row r="5590" spans="1:3" ht="18.75" customHeight="1" x14ac:dyDescent="0.35">
      <c r="A5590" s="127"/>
      <c r="C5590" s="124"/>
    </row>
    <row r="5591" spans="1:3" ht="18.75" customHeight="1" x14ac:dyDescent="0.35">
      <c r="A5591" s="127"/>
      <c r="C5591" s="124"/>
    </row>
    <row r="5592" spans="1:3" ht="18.75" customHeight="1" x14ac:dyDescent="0.35">
      <c r="A5592" s="127"/>
      <c r="C5592" s="124"/>
    </row>
    <row r="5593" spans="1:3" ht="18.75" customHeight="1" x14ac:dyDescent="0.35">
      <c r="A5593" s="127"/>
      <c r="C5593" s="124"/>
    </row>
    <row r="5594" spans="1:3" ht="18.75" customHeight="1" x14ac:dyDescent="0.35">
      <c r="A5594" s="127"/>
      <c r="C5594" s="124"/>
    </row>
    <row r="5595" spans="1:3" ht="18.75" customHeight="1" x14ac:dyDescent="0.35">
      <c r="A5595" s="127"/>
      <c r="C5595" s="124"/>
    </row>
    <row r="5596" spans="1:3" ht="18.75" customHeight="1" x14ac:dyDescent="0.35">
      <c r="A5596" s="127"/>
      <c r="C5596" s="124"/>
    </row>
    <row r="5597" spans="1:3" ht="18.75" customHeight="1" x14ac:dyDescent="0.35">
      <c r="A5597" s="127"/>
      <c r="C5597" s="124"/>
    </row>
    <row r="5598" spans="1:3" ht="18.75" customHeight="1" x14ac:dyDescent="0.35">
      <c r="A5598" s="127"/>
      <c r="C5598" s="124"/>
    </row>
    <row r="5599" spans="1:3" ht="18.75" customHeight="1" x14ac:dyDescent="0.35">
      <c r="A5599" s="127"/>
      <c r="C5599" s="124"/>
    </row>
    <row r="5600" spans="1:3" ht="18.75" customHeight="1" x14ac:dyDescent="0.35">
      <c r="A5600" s="127"/>
      <c r="C5600" s="124"/>
    </row>
    <row r="5601" spans="1:3" ht="18.75" customHeight="1" x14ac:dyDescent="0.35">
      <c r="A5601" s="127"/>
      <c r="C5601" s="124"/>
    </row>
    <row r="5602" spans="1:3" ht="18.75" customHeight="1" x14ac:dyDescent="0.35">
      <c r="A5602" s="127"/>
      <c r="C5602" s="124"/>
    </row>
    <row r="5603" spans="1:3" ht="18.75" customHeight="1" x14ac:dyDescent="0.35">
      <c r="A5603" s="127"/>
      <c r="C5603" s="124"/>
    </row>
    <row r="5604" spans="1:3" ht="18.75" customHeight="1" x14ac:dyDescent="0.35">
      <c r="A5604" s="127"/>
      <c r="C5604" s="124"/>
    </row>
    <row r="5605" spans="1:3" ht="18.75" customHeight="1" x14ac:dyDescent="0.35">
      <c r="A5605" s="127"/>
      <c r="C5605" s="124"/>
    </row>
    <row r="5606" spans="1:3" ht="18.75" customHeight="1" x14ac:dyDescent="0.35">
      <c r="A5606" s="127"/>
      <c r="C5606" s="124"/>
    </row>
    <row r="5607" spans="1:3" ht="18.75" customHeight="1" x14ac:dyDescent="0.35">
      <c r="A5607" s="127"/>
      <c r="C5607" s="124"/>
    </row>
    <row r="5608" spans="1:3" ht="18.75" customHeight="1" x14ac:dyDescent="0.35">
      <c r="A5608" s="127"/>
      <c r="C5608" s="124"/>
    </row>
    <row r="5609" spans="1:3" ht="18.75" customHeight="1" x14ac:dyDescent="0.35">
      <c r="A5609" s="127"/>
      <c r="C5609" s="124"/>
    </row>
    <row r="5610" spans="1:3" ht="18.75" customHeight="1" x14ac:dyDescent="0.35">
      <c r="A5610" s="127"/>
      <c r="C5610" s="124"/>
    </row>
    <row r="5611" spans="1:3" ht="18.75" customHeight="1" x14ac:dyDescent="0.35">
      <c r="A5611" s="127"/>
      <c r="C5611" s="124"/>
    </row>
    <row r="5612" spans="1:3" ht="18.75" customHeight="1" x14ac:dyDescent="0.35">
      <c r="A5612" s="127"/>
      <c r="C5612" s="124"/>
    </row>
    <row r="5613" spans="1:3" ht="18.75" customHeight="1" x14ac:dyDescent="0.35">
      <c r="A5613" s="127"/>
      <c r="C5613" s="124"/>
    </row>
    <row r="5614" spans="1:3" ht="18.75" customHeight="1" x14ac:dyDescent="0.35">
      <c r="A5614" s="127"/>
      <c r="C5614" s="124"/>
    </row>
    <row r="5615" spans="1:3" ht="18.75" customHeight="1" x14ac:dyDescent="0.35">
      <c r="A5615" s="127"/>
      <c r="C5615" s="124"/>
    </row>
    <row r="5616" spans="1:3" ht="18.75" customHeight="1" x14ac:dyDescent="0.35">
      <c r="A5616" s="127"/>
      <c r="C5616" s="124"/>
    </row>
    <row r="5617" spans="1:3" ht="18.75" customHeight="1" x14ac:dyDescent="0.35">
      <c r="A5617" s="127"/>
      <c r="C5617" s="124"/>
    </row>
    <row r="5618" spans="1:3" ht="18.75" customHeight="1" x14ac:dyDescent="0.35">
      <c r="A5618" s="127"/>
      <c r="C5618" s="124"/>
    </row>
    <row r="5619" spans="1:3" ht="18.75" customHeight="1" x14ac:dyDescent="0.35">
      <c r="A5619" s="127"/>
      <c r="C5619" s="124"/>
    </row>
    <row r="5620" spans="1:3" ht="18.75" customHeight="1" x14ac:dyDescent="0.35">
      <c r="A5620" s="127"/>
      <c r="C5620" s="124"/>
    </row>
    <row r="5621" spans="1:3" ht="18.75" customHeight="1" x14ac:dyDescent="0.35">
      <c r="A5621" s="127"/>
      <c r="C5621" s="124"/>
    </row>
    <row r="5622" spans="1:3" ht="18.75" customHeight="1" x14ac:dyDescent="0.35">
      <c r="A5622" s="127"/>
      <c r="C5622" s="124"/>
    </row>
    <row r="5623" spans="1:3" ht="18.75" customHeight="1" x14ac:dyDescent="0.35">
      <c r="A5623" s="127"/>
      <c r="C5623" s="124"/>
    </row>
    <row r="5624" spans="1:3" ht="18.75" customHeight="1" x14ac:dyDescent="0.35">
      <c r="A5624" s="127"/>
      <c r="C5624" s="124"/>
    </row>
    <row r="5625" spans="1:3" ht="18.75" customHeight="1" x14ac:dyDescent="0.35">
      <c r="A5625" s="127"/>
      <c r="C5625" s="124"/>
    </row>
    <row r="5626" spans="1:3" ht="18.75" customHeight="1" x14ac:dyDescent="0.35">
      <c r="A5626" s="127"/>
      <c r="C5626" s="124"/>
    </row>
    <row r="5627" spans="1:3" ht="18.75" customHeight="1" x14ac:dyDescent="0.35">
      <c r="A5627" s="127"/>
      <c r="C5627" s="124"/>
    </row>
    <row r="5628" spans="1:3" ht="18.75" customHeight="1" x14ac:dyDescent="0.35">
      <c r="A5628" s="127"/>
      <c r="C5628" s="124"/>
    </row>
    <row r="5629" spans="1:3" ht="18.75" customHeight="1" x14ac:dyDescent="0.35">
      <c r="A5629" s="127"/>
      <c r="C5629" s="124"/>
    </row>
    <row r="5630" spans="1:3" ht="18.75" customHeight="1" x14ac:dyDescent="0.35">
      <c r="A5630" s="127"/>
      <c r="C5630" s="124"/>
    </row>
    <row r="5631" spans="1:3" ht="18.75" customHeight="1" x14ac:dyDescent="0.35">
      <c r="A5631" s="127"/>
      <c r="C5631" s="124"/>
    </row>
    <row r="5632" spans="1:3" ht="18.75" customHeight="1" x14ac:dyDescent="0.35">
      <c r="A5632" s="127"/>
      <c r="C5632" s="124"/>
    </row>
    <row r="5633" spans="1:3" ht="18.75" customHeight="1" x14ac:dyDescent="0.35">
      <c r="A5633" s="127"/>
      <c r="C5633" s="124"/>
    </row>
    <row r="5634" spans="1:3" ht="18.75" customHeight="1" x14ac:dyDescent="0.35">
      <c r="A5634" s="127"/>
      <c r="C5634" s="124"/>
    </row>
    <row r="5635" spans="1:3" ht="18.75" customHeight="1" x14ac:dyDescent="0.35">
      <c r="A5635" s="127"/>
      <c r="C5635" s="124"/>
    </row>
    <row r="5636" spans="1:3" ht="18.75" customHeight="1" x14ac:dyDescent="0.35">
      <c r="A5636" s="127"/>
      <c r="C5636" s="124"/>
    </row>
    <row r="5637" spans="1:3" ht="18.75" customHeight="1" x14ac:dyDescent="0.35">
      <c r="A5637" s="127"/>
      <c r="C5637" s="124"/>
    </row>
    <row r="5638" spans="1:3" ht="18.75" customHeight="1" x14ac:dyDescent="0.35">
      <c r="A5638" s="127"/>
      <c r="C5638" s="124"/>
    </row>
    <row r="5639" spans="1:3" ht="18.75" customHeight="1" x14ac:dyDescent="0.35">
      <c r="A5639" s="127"/>
      <c r="C5639" s="124"/>
    </row>
    <row r="5640" spans="1:3" ht="18.75" customHeight="1" x14ac:dyDescent="0.35">
      <c r="A5640" s="127"/>
      <c r="C5640" s="124"/>
    </row>
    <row r="5641" spans="1:3" ht="18.75" customHeight="1" x14ac:dyDescent="0.35">
      <c r="A5641" s="127"/>
      <c r="C5641" s="124"/>
    </row>
    <row r="5642" spans="1:3" ht="18.75" customHeight="1" x14ac:dyDescent="0.35">
      <c r="A5642" s="127"/>
      <c r="C5642" s="124"/>
    </row>
    <row r="5643" spans="1:3" ht="18.75" customHeight="1" x14ac:dyDescent="0.35">
      <c r="A5643" s="127"/>
      <c r="C5643" s="124"/>
    </row>
    <row r="5644" spans="1:3" ht="18.75" customHeight="1" x14ac:dyDescent="0.35">
      <c r="A5644" s="127"/>
      <c r="C5644" s="124"/>
    </row>
    <row r="5645" spans="1:3" ht="18.75" customHeight="1" x14ac:dyDescent="0.35">
      <c r="A5645" s="127"/>
      <c r="C5645" s="124"/>
    </row>
    <row r="5646" spans="1:3" ht="18.75" customHeight="1" x14ac:dyDescent="0.35">
      <c r="A5646" s="127"/>
      <c r="C5646" s="124"/>
    </row>
    <row r="5647" spans="1:3" ht="18.75" customHeight="1" x14ac:dyDescent="0.35">
      <c r="A5647" s="127"/>
      <c r="C5647" s="124"/>
    </row>
    <row r="5648" spans="1:3" ht="18.75" customHeight="1" x14ac:dyDescent="0.35">
      <c r="A5648" s="127"/>
      <c r="C5648" s="124"/>
    </row>
    <row r="5649" spans="1:3" ht="18.75" customHeight="1" x14ac:dyDescent="0.35">
      <c r="A5649" s="127"/>
      <c r="C5649" s="124"/>
    </row>
    <row r="5650" spans="1:3" ht="18.75" customHeight="1" x14ac:dyDescent="0.35">
      <c r="A5650" s="127"/>
      <c r="C5650" s="124"/>
    </row>
    <row r="5651" spans="1:3" ht="18.75" customHeight="1" x14ac:dyDescent="0.35">
      <c r="A5651" s="127"/>
      <c r="C5651" s="124"/>
    </row>
    <row r="5652" spans="1:3" ht="18.75" customHeight="1" x14ac:dyDescent="0.35">
      <c r="A5652" s="127"/>
      <c r="C5652" s="124"/>
    </row>
    <row r="5653" spans="1:3" ht="18.75" customHeight="1" x14ac:dyDescent="0.35">
      <c r="A5653" s="127"/>
      <c r="C5653" s="124"/>
    </row>
    <row r="5654" spans="1:3" ht="18.75" customHeight="1" x14ac:dyDescent="0.35">
      <c r="A5654" s="127"/>
      <c r="C5654" s="124"/>
    </row>
    <row r="5655" spans="1:3" ht="18.75" customHeight="1" x14ac:dyDescent="0.35">
      <c r="A5655" s="127"/>
      <c r="C5655" s="124"/>
    </row>
    <row r="5656" spans="1:3" ht="18.75" customHeight="1" x14ac:dyDescent="0.35">
      <c r="A5656" s="127"/>
      <c r="C5656" s="124"/>
    </row>
    <row r="5657" spans="1:3" ht="18.75" customHeight="1" x14ac:dyDescent="0.35">
      <c r="A5657" s="127"/>
      <c r="C5657" s="124"/>
    </row>
    <row r="5658" spans="1:3" ht="18.75" customHeight="1" x14ac:dyDescent="0.35">
      <c r="A5658" s="127"/>
      <c r="C5658" s="124"/>
    </row>
    <row r="5659" spans="1:3" ht="18.75" customHeight="1" x14ac:dyDescent="0.35">
      <c r="A5659" s="127"/>
      <c r="C5659" s="124"/>
    </row>
    <row r="5660" spans="1:3" ht="18.75" customHeight="1" x14ac:dyDescent="0.35">
      <c r="A5660" s="127"/>
      <c r="C5660" s="124"/>
    </row>
    <row r="5661" spans="1:3" ht="18.75" customHeight="1" x14ac:dyDescent="0.35">
      <c r="A5661" s="127"/>
      <c r="C5661" s="124"/>
    </row>
    <row r="5662" spans="1:3" ht="18.75" customHeight="1" x14ac:dyDescent="0.35">
      <c r="A5662" s="127"/>
      <c r="C5662" s="124"/>
    </row>
    <row r="5663" spans="1:3" ht="18.75" customHeight="1" x14ac:dyDescent="0.35">
      <c r="A5663" s="127"/>
      <c r="C5663" s="124"/>
    </row>
    <row r="5664" spans="1:3" ht="18.75" customHeight="1" x14ac:dyDescent="0.35">
      <c r="A5664" s="127"/>
      <c r="C5664" s="124"/>
    </row>
    <row r="5665" spans="1:3" ht="18.75" customHeight="1" x14ac:dyDescent="0.35">
      <c r="A5665" s="127"/>
      <c r="C5665" s="124"/>
    </row>
    <row r="5666" spans="1:3" ht="18.75" customHeight="1" x14ac:dyDescent="0.35">
      <c r="A5666" s="127"/>
      <c r="C5666" s="124"/>
    </row>
    <row r="5667" spans="1:3" ht="18.75" customHeight="1" x14ac:dyDescent="0.35">
      <c r="A5667" s="127"/>
      <c r="C5667" s="124"/>
    </row>
    <row r="5668" spans="1:3" ht="18.75" customHeight="1" x14ac:dyDescent="0.35">
      <c r="A5668" s="127"/>
      <c r="C5668" s="124"/>
    </row>
    <row r="5669" spans="1:3" ht="18.75" customHeight="1" x14ac:dyDescent="0.35">
      <c r="A5669" s="127"/>
      <c r="C5669" s="124"/>
    </row>
    <row r="5670" spans="1:3" ht="18.75" customHeight="1" x14ac:dyDescent="0.35">
      <c r="A5670" s="127"/>
      <c r="C5670" s="124"/>
    </row>
    <row r="5671" spans="1:3" ht="18.75" customHeight="1" x14ac:dyDescent="0.35">
      <c r="A5671" s="127"/>
      <c r="C5671" s="124"/>
    </row>
    <row r="5672" spans="1:3" ht="18.75" customHeight="1" x14ac:dyDescent="0.35">
      <c r="A5672" s="127"/>
      <c r="C5672" s="124"/>
    </row>
    <row r="5673" spans="1:3" ht="18.75" customHeight="1" x14ac:dyDescent="0.35">
      <c r="A5673" s="127"/>
      <c r="C5673" s="124"/>
    </row>
    <row r="5674" spans="1:3" ht="18.75" customHeight="1" x14ac:dyDescent="0.35">
      <c r="A5674" s="127"/>
      <c r="C5674" s="124"/>
    </row>
    <row r="5675" spans="1:3" ht="18.75" customHeight="1" x14ac:dyDescent="0.35">
      <c r="A5675" s="127"/>
      <c r="C5675" s="124"/>
    </row>
    <row r="5676" spans="1:3" ht="18.75" customHeight="1" x14ac:dyDescent="0.35">
      <c r="A5676" s="127"/>
      <c r="C5676" s="124"/>
    </row>
    <row r="5677" spans="1:3" ht="18.75" customHeight="1" x14ac:dyDescent="0.35">
      <c r="A5677" s="127"/>
      <c r="C5677" s="124"/>
    </row>
    <row r="5678" spans="1:3" ht="18.75" customHeight="1" x14ac:dyDescent="0.35">
      <c r="A5678" s="127"/>
      <c r="C5678" s="124"/>
    </row>
    <row r="5679" spans="1:3" ht="18.75" customHeight="1" x14ac:dyDescent="0.35">
      <c r="A5679" s="127"/>
      <c r="C5679" s="124"/>
    </row>
    <row r="5680" spans="1:3" ht="18.75" customHeight="1" x14ac:dyDescent="0.35">
      <c r="A5680" s="127"/>
      <c r="C5680" s="124"/>
    </row>
    <row r="5681" spans="1:3" ht="18.75" customHeight="1" x14ac:dyDescent="0.35">
      <c r="A5681" s="127"/>
      <c r="C5681" s="124"/>
    </row>
    <row r="5682" spans="1:3" ht="18.75" customHeight="1" x14ac:dyDescent="0.35">
      <c r="A5682" s="127"/>
      <c r="C5682" s="124"/>
    </row>
    <row r="5683" spans="1:3" ht="18.75" customHeight="1" x14ac:dyDescent="0.35">
      <c r="A5683" s="127"/>
      <c r="C5683" s="124"/>
    </row>
    <row r="5684" spans="1:3" ht="18.75" customHeight="1" x14ac:dyDescent="0.35">
      <c r="A5684" s="127"/>
      <c r="C5684" s="124"/>
    </row>
    <row r="5685" spans="1:3" ht="18.75" customHeight="1" x14ac:dyDescent="0.35">
      <c r="A5685" s="127"/>
      <c r="C5685" s="124"/>
    </row>
    <row r="5686" spans="1:3" ht="18.75" customHeight="1" x14ac:dyDescent="0.35">
      <c r="A5686" s="127"/>
      <c r="C5686" s="124"/>
    </row>
    <row r="5687" spans="1:3" ht="18.75" customHeight="1" x14ac:dyDescent="0.35">
      <c r="A5687" s="127"/>
      <c r="C5687" s="124"/>
    </row>
    <row r="5688" spans="1:3" ht="18.75" customHeight="1" x14ac:dyDescent="0.35">
      <c r="A5688" s="127"/>
      <c r="C5688" s="124"/>
    </row>
    <row r="5689" spans="1:3" ht="18.75" customHeight="1" x14ac:dyDescent="0.35">
      <c r="A5689" s="127"/>
      <c r="C5689" s="124"/>
    </row>
    <row r="5690" spans="1:3" ht="18.75" customHeight="1" x14ac:dyDescent="0.35">
      <c r="A5690" s="127"/>
      <c r="C5690" s="124"/>
    </row>
    <row r="5691" spans="1:3" ht="18.75" customHeight="1" x14ac:dyDescent="0.35">
      <c r="A5691" s="127"/>
      <c r="C5691" s="124"/>
    </row>
    <row r="5692" spans="1:3" ht="18.75" customHeight="1" x14ac:dyDescent="0.35">
      <c r="A5692" s="127"/>
      <c r="C5692" s="124"/>
    </row>
    <row r="5693" spans="1:3" ht="18.75" customHeight="1" x14ac:dyDescent="0.35">
      <c r="A5693" s="127"/>
      <c r="C5693" s="124"/>
    </row>
    <row r="5694" spans="1:3" ht="18.75" customHeight="1" x14ac:dyDescent="0.35">
      <c r="A5694" s="127"/>
      <c r="C5694" s="124"/>
    </row>
    <row r="5695" spans="1:3" ht="18.75" customHeight="1" x14ac:dyDescent="0.35">
      <c r="A5695" s="127"/>
      <c r="C5695" s="124"/>
    </row>
    <row r="5696" spans="1:3" ht="18.75" customHeight="1" x14ac:dyDescent="0.35">
      <c r="A5696" s="127"/>
      <c r="C5696" s="124"/>
    </row>
    <row r="5697" spans="1:3" ht="18.75" customHeight="1" x14ac:dyDescent="0.35">
      <c r="A5697" s="127"/>
      <c r="C5697" s="124"/>
    </row>
    <row r="5698" spans="1:3" ht="18.75" customHeight="1" x14ac:dyDescent="0.35">
      <c r="A5698" s="127"/>
      <c r="C5698" s="124"/>
    </row>
    <row r="5699" spans="1:3" ht="18.75" customHeight="1" x14ac:dyDescent="0.35">
      <c r="A5699" s="127"/>
      <c r="C5699" s="124"/>
    </row>
    <row r="5700" spans="1:3" ht="18.75" customHeight="1" x14ac:dyDescent="0.35">
      <c r="A5700" s="127"/>
      <c r="C5700" s="124"/>
    </row>
    <row r="5701" spans="1:3" ht="18.75" customHeight="1" x14ac:dyDescent="0.35">
      <c r="A5701" s="127"/>
      <c r="C5701" s="124"/>
    </row>
    <row r="5702" spans="1:3" ht="18.75" customHeight="1" x14ac:dyDescent="0.35">
      <c r="A5702" s="127"/>
      <c r="C5702" s="124"/>
    </row>
    <row r="5703" spans="1:3" ht="18.75" customHeight="1" x14ac:dyDescent="0.35">
      <c r="A5703" s="127"/>
      <c r="C5703" s="124"/>
    </row>
    <row r="5704" spans="1:3" ht="18.75" customHeight="1" x14ac:dyDescent="0.35">
      <c r="A5704" s="127"/>
      <c r="C5704" s="124"/>
    </row>
    <row r="5705" spans="1:3" ht="18.75" customHeight="1" x14ac:dyDescent="0.35">
      <c r="A5705" s="127"/>
      <c r="C5705" s="124"/>
    </row>
    <row r="5706" spans="1:3" ht="18.75" customHeight="1" x14ac:dyDescent="0.35">
      <c r="A5706" s="127"/>
      <c r="C5706" s="124"/>
    </row>
    <row r="5707" spans="1:3" ht="18.75" customHeight="1" x14ac:dyDescent="0.35">
      <c r="A5707" s="127"/>
      <c r="C5707" s="124"/>
    </row>
    <row r="5708" spans="1:3" ht="18.75" customHeight="1" x14ac:dyDescent="0.35">
      <c r="A5708" s="127"/>
      <c r="C5708" s="124"/>
    </row>
    <row r="5709" spans="1:3" ht="18.75" customHeight="1" x14ac:dyDescent="0.35">
      <c r="A5709" s="127"/>
      <c r="C5709" s="124"/>
    </row>
    <row r="5710" spans="1:3" ht="18.75" customHeight="1" x14ac:dyDescent="0.35">
      <c r="A5710" s="127"/>
      <c r="C5710" s="124"/>
    </row>
    <row r="5711" spans="1:3" ht="18.75" customHeight="1" x14ac:dyDescent="0.35">
      <c r="A5711" s="127"/>
      <c r="C5711" s="124"/>
    </row>
    <row r="5712" spans="1:3" ht="18.75" customHeight="1" x14ac:dyDescent="0.35">
      <c r="A5712" s="127"/>
      <c r="C5712" s="124"/>
    </row>
    <row r="5713" spans="1:3" ht="18.75" customHeight="1" x14ac:dyDescent="0.35">
      <c r="A5713" s="127"/>
      <c r="C5713" s="124"/>
    </row>
    <row r="5714" spans="1:3" ht="18.75" customHeight="1" x14ac:dyDescent="0.35">
      <c r="A5714" s="127"/>
      <c r="C5714" s="124"/>
    </row>
    <row r="5715" spans="1:3" ht="18.75" customHeight="1" x14ac:dyDescent="0.35">
      <c r="A5715" s="127"/>
      <c r="C5715" s="124"/>
    </row>
    <row r="5716" spans="1:3" ht="18.75" customHeight="1" x14ac:dyDescent="0.35">
      <c r="A5716" s="127"/>
      <c r="C5716" s="124"/>
    </row>
    <row r="5717" spans="1:3" ht="18.75" customHeight="1" x14ac:dyDescent="0.35">
      <c r="A5717" s="127"/>
      <c r="C5717" s="124"/>
    </row>
    <row r="5718" spans="1:3" ht="18.75" customHeight="1" x14ac:dyDescent="0.35">
      <c r="A5718" s="127"/>
      <c r="C5718" s="124"/>
    </row>
    <row r="5719" spans="1:3" ht="18.75" customHeight="1" x14ac:dyDescent="0.35">
      <c r="A5719" s="127"/>
      <c r="C5719" s="124"/>
    </row>
    <row r="5720" spans="1:3" ht="18.75" customHeight="1" x14ac:dyDescent="0.35">
      <c r="A5720" s="127"/>
      <c r="C5720" s="124"/>
    </row>
    <row r="5721" spans="1:3" ht="18.75" customHeight="1" x14ac:dyDescent="0.35">
      <c r="A5721" s="127"/>
      <c r="C5721" s="124"/>
    </row>
    <row r="5722" spans="1:3" ht="18.75" customHeight="1" x14ac:dyDescent="0.35">
      <c r="A5722" s="127"/>
      <c r="C5722" s="124"/>
    </row>
    <row r="5723" spans="1:3" ht="18.75" customHeight="1" x14ac:dyDescent="0.35">
      <c r="A5723" s="127"/>
      <c r="C5723" s="124"/>
    </row>
    <row r="5724" spans="1:3" ht="18.75" customHeight="1" x14ac:dyDescent="0.35">
      <c r="A5724" s="127"/>
      <c r="C5724" s="124"/>
    </row>
    <row r="5725" spans="1:3" ht="18.75" customHeight="1" x14ac:dyDescent="0.35">
      <c r="A5725" s="127"/>
      <c r="C5725" s="124"/>
    </row>
    <row r="5726" spans="1:3" ht="18.75" customHeight="1" x14ac:dyDescent="0.35">
      <c r="A5726" s="127"/>
      <c r="C5726" s="124"/>
    </row>
    <row r="5727" spans="1:3" ht="18.75" customHeight="1" x14ac:dyDescent="0.35">
      <c r="A5727" s="127"/>
      <c r="C5727" s="124"/>
    </row>
    <row r="5728" spans="1:3" ht="18.75" customHeight="1" x14ac:dyDescent="0.35">
      <c r="A5728" s="127"/>
      <c r="C5728" s="124"/>
    </row>
    <row r="5729" spans="1:3" ht="18.75" customHeight="1" x14ac:dyDescent="0.35">
      <c r="A5729" s="127"/>
      <c r="C5729" s="124"/>
    </row>
    <row r="5730" spans="1:3" ht="18.75" customHeight="1" x14ac:dyDescent="0.35">
      <c r="A5730" s="127"/>
      <c r="C5730" s="124"/>
    </row>
    <row r="5731" spans="1:3" ht="18.75" customHeight="1" x14ac:dyDescent="0.35">
      <c r="A5731" s="127"/>
      <c r="C5731" s="124"/>
    </row>
    <row r="5732" spans="1:3" ht="18.75" customHeight="1" x14ac:dyDescent="0.35">
      <c r="A5732" s="127"/>
      <c r="C5732" s="124"/>
    </row>
    <row r="5733" spans="1:3" ht="18.75" customHeight="1" x14ac:dyDescent="0.35">
      <c r="A5733" s="127"/>
      <c r="C5733" s="124"/>
    </row>
    <row r="5734" spans="1:3" ht="18.75" customHeight="1" x14ac:dyDescent="0.35">
      <c r="A5734" s="127"/>
      <c r="C5734" s="124"/>
    </row>
    <row r="5735" spans="1:3" ht="18.75" customHeight="1" x14ac:dyDescent="0.35">
      <c r="A5735" s="127"/>
      <c r="C5735" s="124"/>
    </row>
    <row r="5736" spans="1:3" ht="18.75" customHeight="1" x14ac:dyDescent="0.35">
      <c r="A5736" s="127"/>
      <c r="C5736" s="124"/>
    </row>
    <row r="5737" spans="1:3" ht="18.75" customHeight="1" x14ac:dyDescent="0.35">
      <c r="A5737" s="127"/>
      <c r="C5737" s="124"/>
    </row>
    <row r="5738" spans="1:3" ht="18.75" customHeight="1" x14ac:dyDescent="0.35">
      <c r="A5738" s="127"/>
      <c r="C5738" s="124"/>
    </row>
    <row r="5739" spans="1:3" ht="18.75" customHeight="1" x14ac:dyDescent="0.35">
      <c r="A5739" s="127"/>
      <c r="C5739" s="124"/>
    </row>
    <row r="5740" spans="1:3" ht="18.75" customHeight="1" x14ac:dyDescent="0.35">
      <c r="A5740" s="127"/>
      <c r="C5740" s="124"/>
    </row>
    <row r="5741" spans="1:3" ht="18.75" customHeight="1" x14ac:dyDescent="0.35">
      <c r="A5741" s="127"/>
      <c r="C5741" s="124"/>
    </row>
    <row r="5742" spans="1:3" ht="18.75" customHeight="1" x14ac:dyDescent="0.35">
      <c r="A5742" s="127"/>
      <c r="C5742" s="124"/>
    </row>
    <row r="5743" spans="1:3" ht="18.75" customHeight="1" x14ac:dyDescent="0.35">
      <c r="A5743" s="127"/>
      <c r="C5743" s="124"/>
    </row>
    <row r="5744" spans="1:3" ht="18.75" customHeight="1" x14ac:dyDescent="0.35">
      <c r="A5744" s="127"/>
      <c r="C5744" s="124"/>
    </row>
    <row r="5745" spans="1:3" ht="18.75" customHeight="1" x14ac:dyDescent="0.35">
      <c r="A5745" s="127"/>
      <c r="C5745" s="124"/>
    </row>
    <row r="5746" spans="1:3" ht="18.75" customHeight="1" x14ac:dyDescent="0.35">
      <c r="A5746" s="127"/>
      <c r="C5746" s="124"/>
    </row>
    <row r="5747" spans="1:3" ht="18.75" customHeight="1" x14ac:dyDescent="0.35">
      <c r="A5747" s="127"/>
      <c r="C5747" s="124"/>
    </row>
    <row r="5748" spans="1:3" ht="18.75" customHeight="1" x14ac:dyDescent="0.35">
      <c r="A5748" s="127"/>
      <c r="C5748" s="124"/>
    </row>
    <row r="5749" spans="1:3" ht="18.75" customHeight="1" x14ac:dyDescent="0.35">
      <c r="A5749" s="127"/>
      <c r="C5749" s="124"/>
    </row>
    <row r="5750" spans="1:3" ht="18.75" customHeight="1" x14ac:dyDescent="0.35">
      <c r="A5750" s="127"/>
      <c r="C5750" s="124"/>
    </row>
    <row r="5751" spans="1:3" ht="18.75" customHeight="1" x14ac:dyDescent="0.35">
      <c r="A5751" s="127"/>
      <c r="C5751" s="124"/>
    </row>
    <row r="5752" spans="1:3" ht="18.75" customHeight="1" x14ac:dyDescent="0.35">
      <c r="A5752" s="127"/>
      <c r="C5752" s="124"/>
    </row>
    <row r="5753" spans="1:3" ht="18.75" customHeight="1" x14ac:dyDescent="0.35">
      <c r="A5753" s="127"/>
      <c r="C5753" s="124"/>
    </row>
    <row r="5754" spans="1:3" ht="18.75" customHeight="1" x14ac:dyDescent="0.35">
      <c r="A5754" s="127"/>
      <c r="C5754" s="124"/>
    </row>
    <row r="5755" spans="1:3" ht="18.75" customHeight="1" x14ac:dyDescent="0.35">
      <c r="A5755" s="127"/>
      <c r="C5755" s="124"/>
    </row>
    <row r="5756" spans="1:3" ht="18.75" customHeight="1" x14ac:dyDescent="0.35">
      <c r="A5756" s="127"/>
      <c r="C5756" s="124"/>
    </row>
    <row r="5757" spans="1:3" ht="18.75" customHeight="1" x14ac:dyDescent="0.35">
      <c r="A5757" s="127"/>
      <c r="C5757" s="124"/>
    </row>
    <row r="5758" spans="1:3" ht="18.75" customHeight="1" x14ac:dyDescent="0.35">
      <c r="A5758" s="127"/>
      <c r="C5758" s="124"/>
    </row>
    <row r="5759" spans="1:3" ht="18.75" customHeight="1" x14ac:dyDescent="0.35">
      <c r="A5759" s="127"/>
      <c r="C5759" s="124"/>
    </row>
    <row r="5760" spans="1:3" ht="18.75" customHeight="1" x14ac:dyDescent="0.35">
      <c r="A5760" s="127"/>
      <c r="C5760" s="124"/>
    </row>
    <row r="5761" spans="1:3" ht="18.75" customHeight="1" x14ac:dyDescent="0.35">
      <c r="A5761" s="127"/>
      <c r="C5761" s="124"/>
    </row>
    <row r="5762" spans="1:3" ht="18.75" customHeight="1" x14ac:dyDescent="0.35">
      <c r="A5762" s="127"/>
      <c r="C5762" s="124"/>
    </row>
    <row r="5763" spans="1:3" ht="18.75" customHeight="1" x14ac:dyDescent="0.35">
      <c r="A5763" s="127"/>
      <c r="C5763" s="124"/>
    </row>
    <row r="5764" spans="1:3" ht="18.75" customHeight="1" x14ac:dyDescent="0.35">
      <c r="A5764" s="127"/>
      <c r="C5764" s="124"/>
    </row>
    <row r="5765" spans="1:3" ht="18.75" customHeight="1" x14ac:dyDescent="0.35">
      <c r="A5765" s="127"/>
      <c r="C5765" s="124"/>
    </row>
    <row r="5766" spans="1:3" ht="18.75" customHeight="1" x14ac:dyDescent="0.35">
      <c r="A5766" s="127"/>
      <c r="C5766" s="124"/>
    </row>
    <row r="5767" spans="1:3" ht="18.75" customHeight="1" x14ac:dyDescent="0.35">
      <c r="A5767" s="127"/>
      <c r="C5767" s="124"/>
    </row>
    <row r="5768" spans="1:3" ht="18.75" customHeight="1" x14ac:dyDescent="0.35">
      <c r="A5768" s="127"/>
      <c r="C5768" s="124"/>
    </row>
    <row r="5769" spans="1:3" ht="18.75" customHeight="1" x14ac:dyDescent="0.35">
      <c r="A5769" s="127"/>
      <c r="C5769" s="124"/>
    </row>
    <row r="5770" spans="1:3" ht="18.75" customHeight="1" x14ac:dyDescent="0.35">
      <c r="A5770" s="127"/>
      <c r="C5770" s="124"/>
    </row>
    <row r="5771" spans="1:3" ht="18.75" customHeight="1" x14ac:dyDescent="0.35">
      <c r="A5771" s="127"/>
      <c r="C5771" s="124"/>
    </row>
    <row r="5772" spans="1:3" ht="18.75" customHeight="1" x14ac:dyDescent="0.35">
      <c r="A5772" s="127"/>
      <c r="C5772" s="124"/>
    </row>
    <row r="5773" spans="1:3" ht="18.75" customHeight="1" x14ac:dyDescent="0.35">
      <c r="A5773" s="127"/>
      <c r="C5773" s="124"/>
    </row>
    <row r="5774" spans="1:3" ht="18.75" customHeight="1" x14ac:dyDescent="0.35">
      <c r="A5774" s="127"/>
      <c r="C5774" s="124"/>
    </row>
    <row r="5775" spans="1:3" ht="18.75" customHeight="1" x14ac:dyDescent="0.35">
      <c r="A5775" s="127"/>
      <c r="C5775" s="124"/>
    </row>
    <row r="5776" spans="1:3" ht="18.75" customHeight="1" x14ac:dyDescent="0.35">
      <c r="A5776" s="127"/>
      <c r="C5776" s="124"/>
    </row>
    <row r="5777" spans="1:3" ht="18.75" customHeight="1" x14ac:dyDescent="0.35">
      <c r="A5777" s="127"/>
      <c r="C5777" s="124"/>
    </row>
    <row r="5778" spans="1:3" ht="18.75" customHeight="1" x14ac:dyDescent="0.35">
      <c r="A5778" s="127"/>
      <c r="C5778" s="124"/>
    </row>
    <row r="5779" spans="1:3" ht="18.75" customHeight="1" x14ac:dyDescent="0.35">
      <c r="A5779" s="127"/>
      <c r="C5779" s="124"/>
    </row>
    <row r="5780" spans="1:3" ht="18.75" customHeight="1" x14ac:dyDescent="0.35">
      <c r="A5780" s="127"/>
      <c r="C5780" s="124"/>
    </row>
    <row r="5781" spans="1:3" ht="18.75" customHeight="1" x14ac:dyDescent="0.35">
      <c r="A5781" s="127"/>
      <c r="C5781" s="124"/>
    </row>
    <row r="5782" spans="1:3" ht="18.75" customHeight="1" x14ac:dyDescent="0.35">
      <c r="A5782" s="127"/>
      <c r="C5782" s="124"/>
    </row>
    <row r="5783" spans="1:3" ht="18.75" customHeight="1" x14ac:dyDescent="0.35">
      <c r="A5783" s="127"/>
      <c r="C5783" s="124"/>
    </row>
    <row r="5784" spans="1:3" ht="18.75" customHeight="1" x14ac:dyDescent="0.35">
      <c r="A5784" s="127"/>
      <c r="C5784" s="124"/>
    </row>
    <row r="5785" spans="1:3" ht="18.75" customHeight="1" x14ac:dyDescent="0.35">
      <c r="A5785" s="127"/>
      <c r="C5785" s="124"/>
    </row>
    <row r="5786" spans="1:3" ht="18.75" customHeight="1" x14ac:dyDescent="0.35">
      <c r="A5786" s="127"/>
      <c r="C5786" s="124"/>
    </row>
    <row r="5787" spans="1:3" ht="18.75" customHeight="1" x14ac:dyDescent="0.35">
      <c r="A5787" s="127"/>
      <c r="C5787" s="124"/>
    </row>
    <row r="5788" spans="1:3" ht="18.75" customHeight="1" x14ac:dyDescent="0.35">
      <c r="A5788" s="127"/>
      <c r="C5788" s="124"/>
    </row>
    <row r="5789" spans="1:3" ht="18.75" customHeight="1" x14ac:dyDescent="0.35">
      <c r="A5789" s="127"/>
      <c r="C5789" s="124"/>
    </row>
    <row r="5790" spans="1:3" ht="18.75" customHeight="1" x14ac:dyDescent="0.35">
      <c r="A5790" s="127"/>
      <c r="C5790" s="124"/>
    </row>
    <row r="5791" spans="1:3" ht="18.75" customHeight="1" x14ac:dyDescent="0.35">
      <c r="A5791" s="127"/>
      <c r="C5791" s="124"/>
    </row>
    <row r="5792" spans="1:3" ht="18.75" customHeight="1" x14ac:dyDescent="0.35">
      <c r="A5792" s="127"/>
      <c r="C5792" s="124"/>
    </row>
    <row r="5793" spans="1:3" ht="18.75" customHeight="1" x14ac:dyDescent="0.35">
      <c r="A5793" s="127"/>
      <c r="C5793" s="124"/>
    </row>
    <row r="5794" spans="1:3" ht="18.75" customHeight="1" x14ac:dyDescent="0.35">
      <c r="A5794" s="127"/>
      <c r="C5794" s="124"/>
    </row>
    <row r="5795" spans="1:3" ht="18.75" customHeight="1" x14ac:dyDescent="0.35">
      <c r="A5795" s="127"/>
      <c r="C5795" s="124"/>
    </row>
    <row r="5796" spans="1:3" ht="18.75" customHeight="1" x14ac:dyDescent="0.35">
      <c r="A5796" s="127"/>
      <c r="C5796" s="124"/>
    </row>
    <row r="5797" spans="1:3" ht="18.75" customHeight="1" x14ac:dyDescent="0.35">
      <c r="A5797" s="127"/>
      <c r="C5797" s="124"/>
    </row>
    <row r="5798" spans="1:3" ht="18.75" customHeight="1" x14ac:dyDescent="0.35">
      <c r="A5798" s="127"/>
      <c r="C5798" s="124"/>
    </row>
    <row r="5799" spans="1:3" ht="18.75" customHeight="1" x14ac:dyDescent="0.35">
      <c r="A5799" s="127"/>
      <c r="C5799" s="124"/>
    </row>
    <row r="5800" spans="1:3" ht="18.75" customHeight="1" x14ac:dyDescent="0.35">
      <c r="A5800" s="127"/>
      <c r="C5800" s="124"/>
    </row>
    <row r="5801" spans="1:3" ht="18.75" customHeight="1" x14ac:dyDescent="0.35">
      <c r="A5801" s="127"/>
      <c r="C5801" s="124"/>
    </row>
    <row r="5802" spans="1:3" ht="18.75" customHeight="1" x14ac:dyDescent="0.35">
      <c r="A5802" s="127"/>
      <c r="C5802" s="124"/>
    </row>
    <row r="5803" spans="1:3" ht="18.75" customHeight="1" x14ac:dyDescent="0.35">
      <c r="A5803" s="127"/>
      <c r="C5803" s="124"/>
    </row>
    <row r="5804" spans="1:3" ht="18.75" customHeight="1" x14ac:dyDescent="0.35">
      <c r="A5804" s="127"/>
      <c r="C5804" s="124"/>
    </row>
    <row r="5805" spans="1:3" ht="18.75" customHeight="1" x14ac:dyDescent="0.35">
      <c r="A5805" s="127"/>
      <c r="C5805" s="124"/>
    </row>
    <row r="5806" spans="1:3" ht="18.75" customHeight="1" x14ac:dyDescent="0.35">
      <c r="A5806" s="127"/>
      <c r="C5806" s="124"/>
    </row>
    <row r="5807" spans="1:3" ht="18.75" customHeight="1" x14ac:dyDescent="0.35">
      <c r="A5807" s="127"/>
      <c r="C5807" s="124"/>
    </row>
    <row r="5808" spans="1:3" ht="18.75" customHeight="1" x14ac:dyDescent="0.35">
      <c r="A5808" s="127"/>
      <c r="C5808" s="124"/>
    </row>
    <row r="5809" spans="1:3" ht="18.75" customHeight="1" x14ac:dyDescent="0.35">
      <c r="A5809" s="127"/>
      <c r="C5809" s="124"/>
    </row>
    <row r="5810" spans="1:3" ht="18.75" customHeight="1" x14ac:dyDescent="0.35">
      <c r="A5810" s="127"/>
      <c r="C5810" s="124"/>
    </row>
    <row r="5811" spans="1:3" ht="18.75" customHeight="1" x14ac:dyDescent="0.35">
      <c r="A5811" s="127"/>
      <c r="C5811" s="124"/>
    </row>
    <row r="5812" spans="1:3" ht="18.75" customHeight="1" x14ac:dyDescent="0.35">
      <c r="A5812" s="127"/>
      <c r="C5812" s="124"/>
    </row>
    <row r="5813" spans="1:3" ht="18.75" customHeight="1" x14ac:dyDescent="0.35">
      <c r="A5813" s="127"/>
      <c r="C5813" s="124"/>
    </row>
    <row r="5814" spans="1:3" ht="18.75" customHeight="1" x14ac:dyDescent="0.35">
      <c r="A5814" s="127"/>
      <c r="C5814" s="124"/>
    </row>
    <row r="5815" spans="1:3" ht="18.75" customHeight="1" x14ac:dyDescent="0.35">
      <c r="A5815" s="127"/>
      <c r="C5815" s="124"/>
    </row>
    <row r="5816" spans="1:3" ht="18.75" customHeight="1" x14ac:dyDescent="0.35">
      <c r="A5816" s="127"/>
      <c r="C5816" s="124"/>
    </row>
    <row r="5817" spans="1:3" ht="18.75" customHeight="1" x14ac:dyDescent="0.35">
      <c r="A5817" s="127"/>
      <c r="C5817" s="124"/>
    </row>
    <row r="5818" spans="1:3" ht="18.75" customHeight="1" x14ac:dyDescent="0.35">
      <c r="A5818" s="127"/>
      <c r="C5818" s="124"/>
    </row>
    <row r="5819" spans="1:3" ht="18.75" customHeight="1" x14ac:dyDescent="0.35">
      <c r="A5819" s="127"/>
      <c r="C5819" s="124"/>
    </row>
    <row r="5820" spans="1:3" ht="18.75" customHeight="1" x14ac:dyDescent="0.35">
      <c r="A5820" s="127"/>
      <c r="C5820" s="124"/>
    </row>
    <row r="5821" spans="1:3" ht="18.75" customHeight="1" x14ac:dyDescent="0.35">
      <c r="A5821" s="127"/>
      <c r="C5821" s="124"/>
    </row>
    <row r="5822" spans="1:3" ht="18.75" customHeight="1" x14ac:dyDescent="0.35">
      <c r="A5822" s="127"/>
      <c r="C5822" s="124"/>
    </row>
    <row r="5823" spans="1:3" ht="18.75" customHeight="1" x14ac:dyDescent="0.35">
      <c r="A5823" s="127"/>
      <c r="C5823" s="124"/>
    </row>
    <row r="5824" spans="1:3" ht="18.75" customHeight="1" x14ac:dyDescent="0.35">
      <c r="A5824" s="127"/>
      <c r="C5824" s="124"/>
    </row>
    <row r="5825" spans="1:3" ht="18.75" customHeight="1" x14ac:dyDescent="0.35">
      <c r="A5825" s="127"/>
      <c r="C5825" s="124"/>
    </row>
    <row r="5826" spans="1:3" ht="18.75" customHeight="1" x14ac:dyDescent="0.35">
      <c r="A5826" s="127"/>
      <c r="C5826" s="124"/>
    </row>
    <row r="5827" spans="1:3" ht="18.75" customHeight="1" x14ac:dyDescent="0.35">
      <c r="A5827" s="127"/>
      <c r="C5827" s="124"/>
    </row>
    <row r="5828" spans="1:3" ht="18.75" customHeight="1" x14ac:dyDescent="0.35">
      <c r="A5828" s="127"/>
      <c r="C5828" s="124"/>
    </row>
    <row r="5829" spans="1:3" ht="18.75" customHeight="1" x14ac:dyDescent="0.35">
      <c r="A5829" s="127"/>
      <c r="C5829" s="124"/>
    </row>
    <row r="5830" spans="1:3" ht="18.75" customHeight="1" x14ac:dyDescent="0.35">
      <c r="A5830" s="127"/>
      <c r="C5830" s="124"/>
    </row>
    <row r="5831" spans="1:3" ht="18.75" customHeight="1" x14ac:dyDescent="0.35">
      <c r="A5831" s="127"/>
      <c r="C5831" s="124"/>
    </row>
    <row r="5832" spans="1:3" ht="18.75" customHeight="1" x14ac:dyDescent="0.35">
      <c r="A5832" s="127"/>
      <c r="C5832" s="124"/>
    </row>
    <row r="5833" spans="1:3" ht="18.75" customHeight="1" x14ac:dyDescent="0.35">
      <c r="A5833" s="127"/>
      <c r="C5833" s="124"/>
    </row>
    <row r="5834" spans="1:3" ht="18.75" customHeight="1" x14ac:dyDescent="0.35">
      <c r="A5834" s="127"/>
      <c r="C5834" s="124"/>
    </row>
    <row r="5835" spans="1:3" ht="18.75" customHeight="1" x14ac:dyDescent="0.35">
      <c r="A5835" s="127"/>
      <c r="C5835" s="124"/>
    </row>
    <row r="5836" spans="1:3" ht="18.75" customHeight="1" x14ac:dyDescent="0.35">
      <c r="A5836" s="127"/>
      <c r="C5836" s="124"/>
    </row>
    <row r="5837" spans="1:3" ht="18.75" customHeight="1" x14ac:dyDescent="0.35">
      <c r="A5837" s="127"/>
      <c r="C5837" s="124"/>
    </row>
    <row r="5838" spans="1:3" ht="18.75" customHeight="1" x14ac:dyDescent="0.35">
      <c r="A5838" s="127"/>
      <c r="C5838" s="124"/>
    </row>
    <row r="5839" spans="1:3" ht="18.75" customHeight="1" x14ac:dyDescent="0.35">
      <c r="A5839" s="127"/>
      <c r="C5839" s="124"/>
    </row>
    <row r="5840" spans="1:3" ht="18.75" customHeight="1" x14ac:dyDescent="0.35">
      <c r="A5840" s="127"/>
      <c r="C5840" s="124"/>
    </row>
    <row r="5841" spans="1:3" ht="18.75" customHeight="1" x14ac:dyDescent="0.35">
      <c r="A5841" s="127"/>
      <c r="C5841" s="124"/>
    </row>
    <row r="5842" spans="1:3" ht="18.75" customHeight="1" x14ac:dyDescent="0.35">
      <c r="A5842" s="127"/>
      <c r="C5842" s="124"/>
    </row>
    <row r="5843" spans="1:3" ht="18.75" customHeight="1" x14ac:dyDescent="0.35">
      <c r="A5843" s="127"/>
      <c r="C5843" s="124"/>
    </row>
    <row r="5844" spans="1:3" ht="18.75" customHeight="1" x14ac:dyDescent="0.35">
      <c r="A5844" s="127"/>
      <c r="C5844" s="124"/>
    </row>
    <row r="5845" spans="1:3" ht="18.75" customHeight="1" x14ac:dyDescent="0.35">
      <c r="A5845" s="127"/>
      <c r="C5845" s="124"/>
    </row>
    <row r="5846" spans="1:3" ht="18.75" customHeight="1" x14ac:dyDescent="0.35">
      <c r="A5846" s="127"/>
      <c r="C5846" s="124"/>
    </row>
    <row r="5847" spans="1:3" ht="18.75" customHeight="1" x14ac:dyDescent="0.35">
      <c r="A5847" s="127"/>
      <c r="C5847" s="124"/>
    </row>
    <row r="5848" spans="1:3" ht="18.75" customHeight="1" x14ac:dyDescent="0.35">
      <c r="A5848" s="127"/>
      <c r="C5848" s="124"/>
    </row>
    <row r="5849" spans="1:3" ht="18.75" customHeight="1" x14ac:dyDescent="0.35">
      <c r="A5849" s="127"/>
      <c r="C5849" s="124"/>
    </row>
    <row r="5850" spans="1:3" ht="18.75" customHeight="1" x14ac:dyDescent="0.35">
      <c r="A5850" s="127"/>
      <c r="C5850" s="124"/>
    </row>
    <row r="5851" spans="1:3" ht="18.75" customHeight="1" x14ac:dyDescent="0.35">
      <c r="A5851" s="127"/>
      <c r="C5851" s="124"/>
    </row>
    <row r="5852" spans="1:3" ht="18.75" customHeight="1" x14ac:dyDescent="0.35">
      <c r="A5852" s="127"/>
      <c r="C5852" s="124"/>
    </row>
    <row r="5853" spans="1:3" ht="18.75" customHeight="1" x14ac:dyDescent="0.35">
      <c r="A5853" s="127"/>
      <c r="C5853" s="124"/>
    </row>
    <row r="5854" spans="1:3" ht="18.75" customHeight="1" x14ac:dyDescent="0.35">
      <c r="A5854" s="127"/>
      <c r="C5854" s="124"/>
    </row>
    <row r="5855" spans="1:3" ht="18.75" customHeight="1" x14ac:dyDescent="0.35">
      <c r="A5855" s="127"/>
      <c r="C5855" s="124"/>
    </row>
    <row r="5856" spans="1:3" ht="18.75" customHeight="1" x14ac:dyDescent="0.35">
      <c r="A5856" s="127"/>
      <c r="C5856" s="124"/>
    </row>
    <row r="5857" spans="1:3" ht="18.75" customHeight="1" x14ac:dyDescent="0.35">
      <c r="A5857" s="127"/>
      <c r="C5857" s="124"/>
    </row>
    <row r="5858" spans="1:3" ht="18.75" customHeight="1" x14ac:dyDescent="0.35">
      <c r="A5858" s="127"/>
      <c r="C5858" s="124"/>
    </row>
    <row r="5859" spans="1:3" ht="18.75" customHeight="1" x14ac:dyDescent="0.35">
      <c r="A5859" s="127"/>
      <c r="C5859" s="124"/>
    </row>
    <row r="5860" spans="1:3" ht="18.75" customHeight="1" x14ac:dyDescent="0.35">
      <c r="A5860" s="127"/>
      <c r="C5860" s="124"/>
    </row>
    <row r="5861" spans="1:3" ht="18.75" customHeight="1" x14ac:dyDescent="0.35">
      <c r="A5861" s="127"/>
      <c r="C5861" s="124"/>
    </row>
    <row r="5862" spans="1:3" ht="18.75" customHeight="1" x14ac:dyDescent="0.35">
      <c r="A5862" s="127"/>
      <c r="C5862" s="124"/>
    </row>
    <row r="5863" spans="1:3" ht="18.75" customHeight="1" x14ac:dyDescent="0.35">
      <c r="A5863" s="127"/>
      <c r="C5863" s="124"/>
    </row>
    <row r="5864" spans="1:3" ht="18.75" customHeight="1" x14ac:dyDescent="0.35">
      <c r="A5864" s="127"/>
      <c r="C5864" s="124"/>
    </row>
    <row r="5865" spans="1:3" ht="18.75" customHeight="1" x14ac:dyDescent="0.35">
      <c r="A5865" s="127"/>
      <c r="C5865" s="124"/>
    </row>
    <row r="5866" spans="1:3" ht="18.75" customHeight="1" x14ac:dyDescent="0.35">
      <c r="A5866" s="127"/>
      <c r="C5866" s="124"/>
    </row>
    <row r="5867" spans="1:3" ht="18.75" customHeight="1" x14ac:dyDescent="0.35">
      <c r="A5867" s="127"/>
      <c r="C5867" s="124"/>
    </row>
    <row r="5868" spans="1:3" ht="18.75" customHeight="1" x14ac:dyDescent="0.35">
      <c r="A5868" s="127"/>
      <c r="C5868" s="124"/>
    </row>
    <row r="5869" spans="1:3" ht="18.75" customHeight="1" x14ac:dyDescent="0.35">
      <c r="A5869" s="127"/>
      <c r="C5869" s="124"/>
    </row>
    <row r="5870" spans="1:3" ht="18.75" customHeight="1" x14ac:dyDescent="0.35">
      <c r="A5870" s="127"/>
      <c r="C5870" s="124"/>
    </row>
    <row r="5871" spans="1:3" ht="18.75" customHeight="1" x14ac:dyDescent="0.35">
      <c r="A5871" s="127"/>
      <c r="C5871" s="124"/>
    </row>
    <row r="5872" spans="1:3" ht="18.75" customHeight="1" x14ac:dyDescent="0.35">
      <c r="A5872" s="127"/>
      <c r="C5872" s="124"/>
    </row>
    <row r="5873" spans="1:3" ht="18.75" customHeight="1" x14ac:dyDescent="0.35">
      <c r="A5873" s="127"/>
      <c r="C5873" s="124"/>
    </row>
    <row r="5874" spans="1:3" ht="18.75" customHeight="1" x14ac:dyDescent="0.35">
      <c r="A5874" s="127"/>
      <c r="C5874" s="124"/>
    </row>
    <row r="5875" spans="1:3" ht="18.75" customHeight="1" x14ac:dyDescent="0.35">
      <c r="A5875" s="127"/>
      <c r="C5875" s="124"/>
    </row>
    <row r="5876" spans="1:3" ht="18.75" customHeight="1" x14ac:dyDescent="0.35">
      <c r="A5876" s="127"/>
      <c r="C5876" s="124"/>
    </row>
    <row r="5877" spans="1:3" ht="18.75" customHeight="1" x14ac:dyDescent="0.35">
      <c r="A5877" s="127"/>
      <c r="C5877" s="124"/>
    </row>
    <row r="5878" spans="1:3" ht="18.75" customHeight="1" x14ac:dyDescent="0.35">
      <c r="A5878" s="127"/>
      <c r="C5878" s="124"/>
    </row>
    <row r="5879" spans="1:3" ht="18.75" customHeight="1" x14ac:dyDescent="0.35">
      <c r="A5879" s="127"/>
      <c r="C5879" s="124"/>
    </row>
    <row r="5880" spans="1:3" ht="18.75" customHeight="1" x14ac:dyDescent="0.35">
      <c r="A5880" s="127"/>
      <c r="C5880" s="124"/>
    </row>
    <row r="5881" spans="1:3" ht="18.75" customHeight="1" x14ac:dyDescent="0.35">
      <c r="A5881" s="127"/>
      <c r="C5881" s="124"/>
    </row>
    <row r="5882" spans="1:3" ht="18.75" customHeight="1" x14ac:dyDescent="0.35">
      <c r="A5882" s="127"/>
      <c r="C5882" s="124"/>
    </row>
    <row r="5883" spans="1:3" ht="18.75" customHeight="1" x14ac:dyDescent="0.35">
      <c r="A5883" s="127"/>
      <c r="C5883" s="124"/>
    </row>
    <row r="5884" spans="1:3" ht="18.75" customHeight="1" x14ac:dyDescent="0.35">
      <c r="A5884" s="127"/>
      <c r="C5884" s="124"/>
    </row>
    <row r="5885" spans="1:3" ht="18.75" customHeight="1" x14ac:dyDescent="0.35">
      <c r="A5885" s="127"/>
      <c r="C5885" s="124"/>
    </row>
    <row r="5886" spans="1:3" ht="18.75" customHeight="1" x14ac:dyDescent="0.35">
      <c r="A5886" s="127"/>
      <c r="C5886" s="124"/>
    </row>
    <row r="5887" spans="1:3" ht="18.75" customHeight="1" x14ac:dyDescent="0.35">
      <c r="A5887" s="127"/>
      <c r="C5887" s="124"/>
    </row>
    <row r="5888" spans="1:3" ht="18.75" customHeight="1" x14ac:dyDescent="0.35">
      <c r="A5888" s="127"/>
      <c r="C5888" s="124"/>
    </row>
    <row r="5889" spans="1:3" ht="18.75" customHeight="1" x14ac:dyDescent="0.35">
      <c r="A5889" s="127"/>
      <c r="C5889" s="124"/>
    </row>
    <row r="5890" spans="1:3" ht="18.75" customHeight="1" x14ac:dyDescent="0.35">
      <c r="A5890" s="127"/>
      <c r="C5890" s="124"/>
    </row>
    <row r="5891" spans="1:3" ht="18.75" customHeight="1" x14ac:dyDescent="0.35">
      <c r="A5891" s="127"/>
      <c r="C5891" s="124"/>
    </row>
    <row r="5892" spans="1:3" ht="18.75" customHeight="1" x14ac:dyDescent="0.35">
      <c r="A5892" s="127"/>
      <c r="C5892" s="124"/>
    </row>
    <row r="5893" spans="1:3" ht="18.75" customHeight="1" x14ac:dyDescent="0.35">
      <c r="A5893" s="127"/>
      <c r="C5893" s="124"/>
    </row>
    <row r="5894" spans="1:3" ht="18.75" customHeight="1" x14ac:dyDescent="0.35">
      <c r="A5894" s="127"/>
      <c r="C5894" s="124"/>
    </row>
    <row r="5895" spans="1:3" ht="18.75" customHeight="1" x14ac:dyDescent="0.35">
      <c r="A5895" s="127"/>
      <c r="C5895" s="124"/>
    </row>
    <row r="5896" spans="1:3" ht="18.75" customHeight="1" x14ac:dyDescent="0.35">
      <c r="A5896" s="127"/>
      <c r="C5896" s="124"/>
    </row>
    <row r="5897" spans="1:3" ht="18.75" customHeight="1" x14ac:dyDescent="0.35">
      <c r="A5897" s="127"/>
      <c r="C5897" s="124"/>
    </row>
    <row r="5898" spans="1:3" ht="18.75" customHeight="1" x14ac:dyDescent="0.35">
      <c r="A5898" s="127"/>
      <c r="C5898" s="124"/>
    </row>
    <row r="5899" spans="1:3" ht="18.75" customHeight="1" x14ac:dyDescent="0.35">
      <c r="A5899" s="127"/>
      <c r="C5899" s="124"/>
    </row>
    <row r="5900" spans="1:3" ht="18.75" customHeight="1" x14ac:dyDescent="0.35">
      <c r="A5900" s="127"/>
      <c r="C5900" s="124"/>
    </row>
    <row r="5901" spans="1:3" ht="18.75" customHeight="1" x14ac:dyDescent="0.35">
      <c r="A5901" s="127"/>
      <c r="C5901" s="124"/>
    </row>
    <row r="5902" spans="1:3" ht="18.75" customHeight="1" x14ac:dyDescent="0.35">
      <c r="A5902" s="127"/>
      <c r="C5902" s="124"/>
    </row>
    <row r="5903" spans="1:3" ht="18.75" customHeight="1" x14ac:dyDescent="0.35">
      <c r="A5903" s="127"/>
      <c r="C5903" s="124"/>
    </row>
    <row r="5904" spans="1:3" ht="18.75" customHeight="1" x14ac:dyDescent="0.35">
      <c r="A5904" s="127"/>
      <c r="C5904" s="124"/>
    </row>
    <row r="5905" spans="1:3" ht="18.75" customHeight="1" x14ac:dyDescent="0.35">
      <c r="A5905" s="127"/>
      <c r="C5905" s="124"/>
    </row>
    <row r="5906" spans="1:3" ht="18.75" customHeight="1" x14ac:dyDescent="0.35">
      <c r="A5906" s="127"/>
      <c r="C5906" s="124"/>
    </row>
    <row r="5907" spans="1:3" ht="18.75" customHeight="1" x14ac:dyDescent="0.35">
      <c r="A5907" s="127"/>
      <c r="C5907" s="124"/>
    </row>
    <row r="5908" spans="1:3" ht="18.75" customHeight="1" x14ac:dyDescent="0.35">
      <c r="A5908" s="127"/>
      <c r="C5908" s="124"/>
    </row>
    <row r="5909" spans="1:3" ht="18.75" customHeight="1" x14ac:dyDescent="0.35">
      <c r="A5909" s="127"/>
      <c r="C5909" s="124"/>
    </row>
    <row r="5910" spans="1:3" ht="18.75" customHeight="1" x14ac:dyDescent="0.35">
      <c r="A5910" s="127"/>
      <c r="C5910" s="124"/>
    </row>
    <row r="5911" spans="1:3" ht="18.75" customHeight="1" x14ac:dyDescent="0.35">
      <c r="A5911" s="127"/>
      <c r="C5911" s="124"/>
    </row>
    <row r="5912" spans="1:3" ht="18.75" customHeight="1" x14ac:dyDescent="0.35">
      <c r="A5912" s="127"/>
      <c r="C5912" s="124"/>
    </row>
    <row r="5913" spans="1:3" ht="18.75" customHeight="1" x14ac:dyDescent="0.35">
      <c r="A5913" s="127"/>
      <c r="C5913" s="124"/>
    </row>
    <row r="5914" spans="1:3" ht="18.75" customHeight="1" x14ac:dyDescent="0.35">
      <c r="A5914" s="127"/>
      <c r="C5914" s="124"/>
    </row>
    <row r="5915" spans="1:3" ht="18.75" customHeight="1" x14ac:dyDescent="0.35">
      <c r="A5915" s="127"/>
      <c r="C5915" s="124"/>
    </row>
    <row r="5916" spans="1:3" ht="18.75" customHeight="1" x14ac:dyDescent="0.35">
      <c r="A5916" s="127"/>
      <c r="C5916" s="124"/>
    </row>
    <row r="5917" spans="1:3" ht="18.75" customHeight="1" x14ac:dyDescent="0.35">
      <c r="A5917" s="127"/>
      <c r="C5917" s="124"/>
    </row>
    <row r="5918" spans="1:3" ht="18.75" customHeight="1" x14ac:dyDescent="0.35">
      <c r="A5918" s="127"/>
      <c r="C5918" s="124"/>
    </row>
    <row r="5919" spans="1:3" ht="18.75" customHeight="1" x14ac:dyDescent="0.35">
      <c r="A5919" s="127"/>
      <c r="C5919" s="124"/>
    </row>
    <row r="5920" spans="1:3" ht="18.75" customHeight="1" x14ac:dyDescent="0.35">
      <c r="A5920" s="127"/>
      <c r="C5920" s="124"/>
    </row>
    <row r="5921" spans="1:3" ht="18.75" customHeight="1" x14ac:dyDescent="0.35">
      <c r="A5921" s="127"/>
      <c r="C5921" s="124"/>
    </row>
    <row r="5922" spans="1:3" ht="18.75" customHeight="1" x14ac:dyDescent="0.35">
      <c r="A5922" s="127"/>
      <c r="C5922" s="124"/>
    </row>
    <row r="5923" spans="1:3" ht="18.75" customHeight="1" x14ac:dyDescent="0.35">
      <c r="A5923" s="127"/>
      <c r="C5923" s="124"/>
    </row>
    <row r="5924" spans="1:3" ht="18.75" customHeight="1" x14ac:dyDescent="0.35">
      <c r="A5924" s="127"/>
      <c r="C5924" s="124"/>
    </row>
    <row r="5925" spans="1:3" ht="18.75" customHeight="1" x14ac:dyDescent="0.35">
      <c r="A5925" s="127"/>
      <c r="C5925" s="124"/>
    </row>
    <row r="5926" spans="1:3" ht="18.75" customHeight="1" x14ac:dyDescent="0.35">
      <c r="A5926" s="127"/>
      <c r="C5926" s="124"/>
    </row>
    <row r="5927" spans="1:3" ht="18.75" customHeight="1" x14ac:dyDescent="0.35">
      <c r="A5927" s="127"/>
      <c r="C5927" s="124"/>
    </row>
    <row r="5928" spans="1:3" ht="18.75" customHeight="1" x14ac:dyDescent="0.35">
      <c r="A5928" s="127"/>
      <c r="C5928" s="124"/>
    </row>
    <row r="5929" spans="1:3" ht="18.75" customHeight="1" x14ac:dyDescent="0.35">
      <c r="A5929" s="127"/>
      <c r="C5929" s="124"/>
    </row>
    <row r="5930" spans="1:3" ht="18.75" customHeight="1" x14ac:dyDescent="0.35">
      <c r="A5930" s="127"/>
      <c r="C5930" s="124"/>
    </row>
    <row r="5931" spans="1:3" ht="18.75" customHeight="1" x14ac:dyDescent="0.35">
      <c r="A5931" s="127"/>
      <c r="C5931" s="124"/>
    </row>
    <row r="5932" spans="1:3" ht="18.75" customHeight="1" x14ac:dyDescent="0.35">
      <c r="A5932" s="127"/>
      <c r="C5932" s="124"/>
    </row>
    <row r="5933" spans="1:3" ht="18.75" customHeight="1" x14ac:dyDescent="0.35">
      <c r="A5933" s="127"/>
      <c r="C5933" s="124"/>
    </row>
    <row r="5934" spans="1:3" ht="18.75" customHeight="1" x14ac:dyDescent="0.35">
      <c r="A5934" s="127"/>
      <c r="C5934" s="124"/>
    </row>
    <row r="5935" spans="1:3" ht="18.75" customHeight="1" x14ac:dyDescent="0.35">
      <c r="A5935" s="127"/>
      <c r="C5935" s="124"/>
    </row>
    <row r="5936" spans="1:3" ht="18.75" customHeight="1" x14ac:dyDescent="0.35">
      <c r="A5936" s="127"/>
      <c r="C5936" s="124"/>
    </row>
    <row r="5937" spans="1:3" ht="18.75" customHeight="1" x14ac:dyDescent="0.35">
      <c r="A5937" s="127"/>
      <c r="C5937" s="124"/>
    </row>
    <row r="5938" spans="1:3" ht="18.75" customHeight="1" x14ac:dyDescent="0.35">
      <c r="A5938" s="127"/>
      <c r="C5938" s="124"/>
    </row>
    <row r="5939" spans="1:3" ht="18.75" customHeight="1" x14ac:dyDescent="0.35">
      <c r="A5939" s="127"/>
      <c r="C5939" s="124"/>
    </row>
    <row r="5940" spans="1:3" ht="18.75" customHeight="1" x14ac:dyDescent="0.35">
      <c r="A5940" s="127"/>
      <c r="C5940" s="124"/>
    </row>
    <row r="5941" spans="1:3" ht="18.75" customHeight="1" x14ac:dyDescent="0.35">
      <c r="A5941" s="127"/>
      <c r="C5941" s="124"/>
    </row>
    <row r="5942" spans="1:3" ht="18.75" customHeight="1" x14ac:dyDescent="0.35">
      <c r="A5942" s="127"/>
      <c r="C5942" s="124"/>
    </row>
    <row r="5943" spans="1:3" ht="18.75" customHeight="1" x14ac:dyDescent="0.35">
      <c r="A5943" s="127"/>
      <c r="C5943" s="124"/>
    </row>
    <row r="5944" spans="1:3" ht="18.75" customHeight="1" x14ac:dyDescent="0.35">
      <c r="A5944" s="127"/>
      <c r="C5944" s="124"/>
    </row>
    <row r="5945" spans="1:3" ht="18.75" customHeight="1" x14ac:dyDescent="0.35">
      <c r="A5945" s="127"/>
      <c r="C5945" s="124"/>
    </row>
    <row r="5946" spans="1:3" ht="18.75" customHeight="1" x14ac:dyDescent="0.35">
      <c r="A5946" s="127"/>
      <c r="C5946" s="124"/>
    </row>
    <row r="5947" spans="1:3" ht="18.75" customHeight="1" x14ac:dyDescent="0.35">
      <c r="A5947" s="127"/>
      <c r="C5947" s="124"/>
    </row>
    <row r="5948" spans="1:3" ht="18.75" customHeight="1" x14ac:dyDescent="0.35">
      <c r="A5948" s="127"/>
      <c r="C5948" s="124"/>
    </row>
    <row r="5949" spans="1:3" ht="18.75" customHeight="1" x14ac:dyDescent="0.35">
      <c r="A5949" s="127"/>
      <c r="C5949" s="124"/>
    </row>
    <row r="5950" spans="1:3" ht="18.75" customHeight="1" x14ac:dyDescent="0.35">
      <c r="A5950" s="127"/>
      <c r="C5950" s="124"/>
    </row>
    <row r="5951" spans="1:3" ht="18.75" customHeight="1" x14ac:dyDescent="0.35">
      <c r="A5951" s="127"/>
      <c r="C5951" s="124"/>
    </row>
    <row r="5952" spans="1:3" ht="18.75" customHeight="1" x14ac:dyDescent="0.35">
      <c r="A5952" s="127"/>
      <c r="C5952" s="124"/>
    </row>
    <row r="5953" spans="1:3" ht="18.75" customHeight="1" x14ac:dyDescent="0.35">
      <c r="A5953" s="127"/>
      <c r="C5953" s="124"/>
    </row>
    <row r="5954" spans="1:3" ht="18.75" customHeight="1" x14ac:dyDescent="0.35">
      <c r="A5954" s="127"/>
      <c r="C5954" s="124"/>
    </row>
    <row r="5955" spans="1:3" ht="18.75" customHeight="1" x14ac:dyDescent="0.35">
      <c r="A5955" s="127"/>
      <c r="C5955" s="124"/>
    </row>
    <row r="5956" spans="1:3" ht="18.75" customHeight="1" x14ac:dyDescent="0.35">
      <c r="A5956" s="127"/>
      <c r="C5956" s="124"/>
    </row>
    <row r="5957" spans="1:3" ht="18.75" customHeight="1" x14ac:dyDescent="0.35">
      <c r="A5957" s="127"/>
      <c r="C5957" s="124"/>
    </row>
  </sheetData>
  <sheetProtection algorithmName="SHA-512" hashValue="aNjNn3F/azN/TOAM8cA1DRo3EEMdopyRtyxSrQxFwGW8EXwVty9vqJ3JvxBFLvQD8j5fKBE4+jcs0Ejo0ShiEA==" saltValue="aWa2tgGpIHzC+/zGMHeqpw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112" bestFit="1" customWidth="1"/>
    <col min="2" max="2" width="10.453125" bestFit="1" customWidth="1"/>
    <col min="3" max="3" width="15.453125" style="125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bestFit="1" customWidth="1"/>
    <col min="11" max="11" width="9.816406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t="s">
        <v>171</v>
      </c>
      <c r="C2" s="124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81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172</v>
      </c>
      <c r="H2" t="s">
        <v>172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16">
        <v>1</v>
      </c>
    </row>
    <row r="3" spans="1:11" ht="18.75" customHeight="1" x14ac:dyDescent="0.35">
      <c r="A3" s="116">
        <v>2024</v>
      </c>
      <c r="B3" t="s">
        <v>171</v>
      </c>
      <c r="C3" s="124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186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172</v>
      </c>
      <c r="H3" t="s">
        <v>172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16">
        <v>301</v>
      </c>
    </row>
    <row r="4" spans="1:11" ht="18.75" customHeight="1" x14ac:dyDescent="0.35">
      <c r="A4" s="116">
        <v>2024</v>
      </c>
      <c r="B4" t="s">
        <v>171</v>
      </c>
      <c r="C4" s="124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187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172</v>
      </c>
      <c r="H4" t="s">
        <v>172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16">
        <v>1</v>
      </c>
    </row>
    <row r="5" spans="1:11" ht="18.75" customHeight="1" x14ac:dyDescent="0.35">
      <c r="A5" s="116">
        <v>2024</v>
      </c>
      <c r="B5" t="s">
        <v>171</v>
      </c>
      <c r="C5" s="124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85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172</v>
      </c>
      <c r="H5" t="s">
        <v>172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16">
        <v>189</v>
      </c>
    </row>
    <row r="6" spans="1:11" ht="18.75" customHeight="1" x14ac:dyDescent="0.35">
      <c r="A6" s="116">
        <v>2024</v>
      </c>
      <c r="B6" t="s">
        <v>171</v>
      </c>
      <c r="C6" s="124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110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172</v>
      </c>
      <c r="H6" t="s">
        <v>172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16">
        <v>14062866</v>
      </c>
    </row>
    <row r="7" spans="1:11" ht="18.75" customHeight="1" x14ac:dyDescent="0.35">
      <c r="A7" s="116">
        <v>2024</v>
      </c>
      <c r="B7" t="s">
        <v>171</v>
      </c>
      <c r="C7" s="124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109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172</v>
      </c>
      <c r="H7" t="s">
        <v>172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16">
        <v>576783</v>
      </c>
    </row>
    <row r="8" spans="1:11" ht="18.75" customHeight="1" x14ac:dyDescent="0.35">
      <c r="A8" s="116">
        <v>2024</v>
      </c>
      <c r="B8" t="s">
        <v>171</v>
      </c>
      <c r="C8" s="124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86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172</v>
      </c>
      <c r="H8" t="s">
        <v>172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16">
        <v>39</v>
      </c>
    </row>
    <row r="9" spans="1:11" ht="18.75" customHeight="1" x14ac:dyDescent="0.35">
      <c r="A9" s="116">
        <v>2024</v>
      </c>
      <c r="B9" t="s">
        <v>171</v>
      </c>
      <c r="C9" s="124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188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172</v>
      </c>
      <c r="H9" t="s">
        <v>172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16">
        <v>0</v>
      </c>
    </row>
    <row r="10" spans="1:11" ht="18.75" customHeight="1" x14ac:dyDescent="0.35">
      <c r="A10" s="116">
        <v>2024</v>
      </c>
      <c r="B10" t="s">
        <v>171</v>
      </c>
      <c r="C10" s="124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189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172</v>
      </c>
      <c r="H10" t="s">
        <v>172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16">
        <v>43</v>
      </c>
    </row>
    <row r="11" spans="1:11" ht="18.75" customHeight="1" x14ac:dyDescent="0.35">
      <c r="A11" s="116">
        <v>2024</v>
      </c>
      <c r="B11" t="s">
        <v>171</v>
      </c>
      <c r="C11" s="124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190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172</v>
      </c>
      <c r="H11" t="s">
        <v>172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16">
        <v>58</v>
      </c>
    </row>
    <row r="12" spans="1:11" ht="18.75" customHeight="1" x14ac:dyDescent="0.35">
      <c r="A12" s="116">
        <v>2024</v>
      </c>
      <c r="B12" t="s">
        <v>171</v>
      </c>
      <c r="C12" s="124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90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172</v>
      </c>
      <c r="H12" t="s">
        <v>172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16">
        <v>1759768</v>
      </c>
    </row>
    <row r="13" spans="1:11" ht="18.75" customHeight="1" x14ac:dyDescent="0.35">
      <c r="A13" s="116">
        <v>2024</v>
      </c>
      <c r="B13" t="s">
        <v>171</v>
      </c>
      <c r="C13" s="124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84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172</v>
      </c>
      <c r="H13" t="s">
        <v>172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16">
        <v>0</v>
      </c>
    </row>
    <row r="14" spans="1:11" ht="18.75" customHeight="1" x14ac:dyDescent="0.35">
      <c r="A14" s="116">
        <v>2024</v>
      </c>
      <c r="B14" t="s">
        <v>174</v>
      </c>
      <c r="C14" s="124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81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172</v>
      </c>
      <c r="H14" t="s">
        <v>172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16">
        <v>0</v>
      </c>
    </row>
    <row r="15" spans="1:11" ht="18.75" customHeight="1" x14ac:dyDescent="0.35">
      <c r="A15" s="116">
        <v>2024</v>
      </c>
      <c r="B15" t="s">
        <v>174</v>
      </c>
      <c r="C15" s="124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186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172</v>
      </c>
      <c r="H15" t="s">
        <v>172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16">
        <v>282</v>
      </c>
    </row>
    <row r="16" spans="1:11" ht="18.75" customHeight="1" x14ac:dyDescent="0.35">
      <c r="A16" s="116">
        <v>2024</v>
      </c>
      <c r="B16" t="s">
        <v>174</v>
      </c>
      <c r="C16" s="124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187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172</v>
      </c>
      <c r="H16" t="s">
        <v>172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16">
        <v>1</v>
      </c>
    </row>
    <row r="17" spans="1:11" ht="18.75" customHeight="1" x14ac:dyDescent="0.35">
      <c r="A17" s="116">
        <v>2024</v>
      </c>
      <c r="B17" t="s">
        <v>174</v>
      </c>
      <c r="C17" s="124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85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172</v>
      </c>
      <c r="H17" t="s">
        <v>172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16">
        <v>319</v>
      </c>
    </row>
    <row r="18" spans="1:11" ht="18.75" customHeight="1" x14ac:dyDescent="0.35">
      <c r="A18" s="116">
        <v>2024</v>
      </c>
      <c r="B18" t="s">
        <v>174</v>
      </c>
      <c r="C18" s="124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110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172</v>
      </c>
      <c r="H18" t="s">
        <v>172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16">
        <v>24869790</v>
      </c>
    </row>
    <row r="19" spans="1:11" ht="18.75" customHeight="1" x14ac:dyDescent="0.35">
      <c r="A19" s="116">
        <v>2024</v>
      </c>
      <c r="B19" t="s">
        <v>174</v>
      </c>
      <c r="C19" s="124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109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172</v>
      </c>
      <c r="H19" t="s">
        <v>172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16">
        <v>1012279</v>
      </c>
    </row>
    <row r="20" spans="1:11" ht="18.75" customHeight="1" x14ac:dyDescent="0.35">
      <c r="A20" s="116">
        <v>2024</v>
      </c>
      <c r="B20" t="s">
        <v>174</v>
      </c>
      <c r="C20" s="124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86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172</v>
      </c>
      <c r="H20" t="s">
        <v>172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16">
        <v>24</v>
      </c>
    </row>
    <row r="21" spans="1:11" ht="18.75" customHeight="1" x14ac:dyDescent="0.35">
      <c r="A21" s="116">
        <v>2024</v>
      </c>
      <c r="B21" t="s">
        <v>174</v>
      </c>
      <c r="C21" s="124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188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172</v>
      </c>
      <c r="H21" t="s">
        <v>172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16">
        <v>1</v>
      </c>
    </row>
    <row r="22" spans="1:11" ht="18.75" customHeight="1" x14ac:dyDescent="0.35">
      <c r="A22" s="116">
        <v>2024</v>
      </c>
      <c r="B22" t="s">
        <v>174</v>
      </c>
      <c r="C22" s="124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189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172</v>
      </c>
      <c r="H22" t="s">
        <v>172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16">
        <v>29</v>
      </c>
    </row>
    <row r="23" spans="1:11" ht="18.75" customHeight="1" x14ac:dyDescent="0.35">
      <c r="A23" s="116">
        <v>2024</v>
      </c>
      <c r="B23" t="s">
        <v>174</v>
      </c>
      <c r="C23" s="124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190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172</v>
      </c>
      <c r="H23" t="s">
        <v>172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16">
        <v>48</v>
      </c>
    </row>
    <row r="24" spans="1:11" ht="18.75" customHeight="1" x14ac:dyDescent="0.35">
      <c r="A24" s="116">
        <v>2024</v>
      </c>
      <c r="B24" t="s">
        <v>174</v>
      </c>
      <c r="C24" s="124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90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172</v>
      </c>
      <c r="H24" t="s">
        <v>172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16">
        <v>479311</v>
      </c>
    </row>
    <row r="25" spans="1:11" ht="18.75" customHeight="1" x14ac:dyDescent="0.35">
      <c r="A25" s="116">
        <v>2024</v>
      </c>
      <c r="B25" t="s">
        <v>174</v>
      </c>
      <c r="C25" s="124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84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172</v>
      </c>
      <c r="H25" t="s">
        <v>172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16">
        <v>0</v>
      </c>
    </row>
    <row r="26" spans="1:11" ht="18.75" customHeight="1" x14ac:dyDescent="0.35">
      <c r="A26" s="116">
        <v>2024</v>
      </c>
      <c r="B26" t="s">
        <v>175</v>
      </c>
      <c r="C26" s="124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81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172</v>
      </c>
      <c r="H26" t="s">
        <v>172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16">
        <v>0</v>
      </c>
    </row>
    <row r="27" spans="1:11" ht="18.75" customHeight="1" x14ac:dyDescent="0.35">
      <c r="A27" s="116">
        <v>2024</v>
      </c>
      <c r="B27" t="s">
        <v>175</v>
      </c>
      <c r="C27" s="124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186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172</v>
      </c>
      <c r="H27" t="s">
        <v>172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16">
        <v>244</v>
      </c>
    </row>
    <row r="28" spans="1:11" ht="18.75" customHeight="1" x14ac:dyDescent="0.35">
      <c r="A28" s="116">
        <v>2024</v>
      </c>
      <c r="B28" t="s">
        <v>175</v>
      </c>
      <c r="C28" s="124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187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172</v>
      </c>
      <c r="H28" t="s">
        <v>172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16">
        <v>2</v>
      </c>
    </row>
    <row r="29" spans="1:11" ht="18.75" customHeight="1" x14ac:dyDescent="0.35">
      <c r="A29" s="116">
        <v>2024</v>
      </c>
      <c r="B29" t="s">
        <v>175</v>
      </c>
      <c r="C29" s="124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85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172</v>
      </c>
      <c r="H29" t="s">
        <v>172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16">
        <v>279</v>
      </c>
    </row>
    <row r="30" spans="1:11" ht="18.75" customHeight="1" x14ac:dyDescent="0.35">
      <c r="A30" s="116">
        <v>2024</v>
      </c>
      <c r="B30" t="s">
        <v>175</v>
      </c>
      <c r="C30" s="124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110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172</v>
      </c>
      <c r="H30" t="s">
        <v>172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16">
        <v>22638455</v>
      </c>
    </row>
    <row r="31" spans="1:11" ht="18.75" customHeight="1" x14ac:dyDescent="0.35">
      <c r="A31" s="116">
        <v>2024</v>
      </c>
      <c r="B31" t="s">
        <v>175</v>
      </c>
      <c r="C31" s="124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109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172</v>
      </c>
      <c r="H31" t="s">
        <v>172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16">
        <v>1094022</v>
      </c>
    </row>
    <row r="32" spans="1:11" ht="18.75" customHeight="1" x14ac:dyDescent="0.35">
      <c r="A32" s="116">
        <v>2024</v>
      </c>
      <c r="B32" t="s">
        <v>175</v>
      </c>
      <c r="C32" s="124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86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172</v>
      </c>
      <c r="H32" t="s">
        <v>172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16">
        <v>12</v>
      </c>
    </row>
    <row r="33" spans="1:11" ht="18.75" customHeight="1" x14ac:dyDescent="0.35">
      <c r="A33" s="116">
        <v>2024</v>
      </c>
      <c r="B33" t="s">
        <v>175</v>
      </c>
      <c r="C33" s="124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188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172</v>
      </c>
      <c r="H33" t="s">
        <v>172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16">
        <v>0</v>
      </c>
    </row>
    <row r="34" spans="1:11" ht="18.75" customHeight="1" x14ac:dyDescent="0.35">
      <c r="A34" s="116">
        <v>2024</v>
      </c>
      <c r="B34" t="s">
        <v>175</v>
      </c>
      <c r="C34" s="124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189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172</v>
      </c>
      <c r="H34" t="s">
        <v>172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16">
        <v>45</v>
      </c>
    </row>
    <row r="35" spans="1:11" ht="18.75" customHeight="1" x14ac:dyDescent="0.35">
      <c r="A35" s="116">
        <v>2024</v>
      </c>
      <c r="B35" t="s">
        <v>175</v>
      </c>
      <c r="C35" s="124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190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172</v>
      </c>
      <c r="H35" t="s">
        <v>172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16">
        <v>29</v>
      </c>
    </row>
    <row r="36" spans="1:11" ht="18.75" customHeight="1" x14ac:dyDescent="0.35">
      <c r="A36" s="116">
        <v>2024</v>
      </c>
      <c r="B36" t="s">
        <v>175</v>
      </c>
      <c r="C36" s="124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90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172</v>
      </c>
      <c r="H36" t="s">
        <v>172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16">
        <v>410763</v>
      </c>
    </row>
    <row r="37" spans="1:11" ht="18.75" customHeight="1" x14ac:dyDescent="0.35">
      <c r="A37" s="116">
        <v>2024</v>
      </c>
      <c r="B37" t="s">
        <v>175</v>
      </c>
      <c r="C37" s="124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84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172</v>
      </c>
      <c r="H37" t="s">
        <v>172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16">
        <v>0</v>
      </c>
    </row>
    <row r="38" spans="1:11" ht="18.75" customHeight="1" x14ac:dyDescent="0.35">
      <c r="A38" s="116">
        <v>2024</v>
      </c>
      <c r="B38" t="s">
        <v>176</v>
      </c>
      <c r="C38" s="124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81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172</v>
      </c>
      <c r="H38" t="s">
        <v>172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16">
        <v>1</v>
      </c>
    </row>
    <row r="39" spans="1:11" ht="18.75" customHeight="1" x14ac:dyDescent="0.35">
      <c r="A39" s="116">
        <v>2024</v>
      </c>
      <c r="B39" t="s">
        <v>176</v>
      </c>
      <c r="C39" s="124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186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172</v>
      </c>
      <c r="H39" t="s">
        <v>172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16">
        <v>285</v>
      </c>
    </row>
    <row r="40" spans="1:11" ht="18.75" customHeight="1" x14ac:dyDescent="0.35">
      <c r="A40" s="116">
        <v>2024</v>
      </c>
      <c r="B40" t="s">
        <v>176</v>
      </c>
      <c r="C40" s="124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187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172</v>
      </c>
      <c r="H40" t="s">
        <v>172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16">
        <v>1</v>
      </c>
    </row>
    <row r="41" spans="1:11" ht="18.75" customHeight="1" x14ac:dyDescent="0.35">
      <c r="A41" s="116">
        <v>2024</v>
      </c>
      <c r="B41" t="s">
        <v>176</v>
      </c>
      <c r="C41" s="124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85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172</v>
      </c>
      <c r="H41" t="s">
        <v>172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16">
        <v>483</v>
      </c>
    </row>
    <row r="42" spans="1:11" ht="18.75" customHeight="1" x14ac:dyDescent="0.35">
      <c r="A42" s="116">
        <v>2024</v>
      </c>
      <c r="B42" t="s">
        <v>176</v>
      </c>
      <c r="C42" s="124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110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172</v>
      </c>
      <c r="H42" t="s">
        <v>172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16">
        <v>43805106</v>
      </c>
    </row>
    <row r="43" spans="1:11" ht="18.75" customHeight="1" x14ac:dyDescent="0.35">
      <c r="A43" s="116">
        <v>2024</v>
      </c>
      <c r="B43" t="s">
        <v>176</v>
      </c>
      <c r="C43" s="124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109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172</v>
      </c>
      <c r="H43" t="s">
        <v>172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16">
        <v>1396763</v>
      </c>
    </row>
    <row r="44" spans="1:11" ht="18.75" customHeight="1" x14ac:dyDescent="0.35">
      <c r="A44" s="116">
        <v>2024</v>
      </c>
      <c r="B44" t="s">
        <v>176</v>
      </c>
      <c r="C44" s="124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86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172</v>
      </c>
      <c r="H44" t="s">
        <v>172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16">
        <v>29</v>
      </c>
    </row>
    <row r="45" spans="1:11" ht="18.75" customHeight="1" x14ac:dyDescent="0.35">
      <c r="A45" s="116">
        <v>2024</v>
      </c>
      <c r="B45" t="s">
        <v>176</v>
      </c>
      <c r="C45" s="124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188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172</v>
      </c>
      <c r="H45" t="s">
        <v>172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16">
        <v>14</v>
      </c>
    </row>
    <row r="46" spans="1:11" ht="18.75" customHeight="1" x14ac:dyDescent="0.35">
      <c r="A46" s="116">
        <v>2024</v>
      </c>
      <c r="B46" t="s">
        <v>176</v>
      </c>
      <c r="C46" s="124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189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172</v>
      </c>
      <c r="H46" t="s">
        <v>172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16">
        <v>31</v>
      </c>
    </row>
    <row r="47" spans="1:11" ht="18.75" customHeight="1" x14ac:dyDescent="0.35">
      <c r="A47" s="116">
        <v>2024</v>
      </c>
      <c r="B47" t="s">
        <v>176</v>
      </c>
      <c r="C47" s="124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190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172</v>
      </c>
      <c r="H47" t="s">
        <v>172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16">
        <v>35</v>
      </c>
    </row>
    <row r="48" spans="1:11" ht="18.75" customHeight="1" x14ac:dyDescent="0.35">
      <c r="A48" s="116">
        <v>2024</v>
      </c>
      <c r="B48" t="s">
        <v>176</v>
      </c>
      <c r="C48" s="124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90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172</v>
      </c>
      <c r="H48" t="s">
        <v>172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16">
        <v>2604700</v>
      </c>
    </row>
    <row r="49" spans="1:11" ht="18.75" customHeight="1" x14ac:dyDescent="0.35">
      <c r="A49" s="116">
        <v>2024</v>
      </c>
      <c r="B49" t="s">
        <v>176</v>
      </c>
      <c r="C49" s="124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84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172</v>
      </c>
      <c r="H49" t="s">
        <v>172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16">
        <v>0</v>
      </c>
    </row>
    <row r="50" spans="1:11" ht="18.75" customHeight="1" x14ac:dyDescent="0.35">
      <c r="A50" s="116">
        <v>2024</v>
      </c>
      <c r="B50" t="s">
        <v>177</v>
      </c>
      <c r="C50" s="124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81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172</v>
      </c>
      <c r="H50" t="s">
        <v>172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16">
        <v>0</v>
      </c>
    </row>
    <row r="51" spans="1:11" ht="18.75" customHeight="1" x14ac:dyDescent="0.35">
      <c r="A51" s="116">
        <v>2024</v>
      </c>
      <c r="B51" t="s">
        <v>177</v>
      </c>
      <c r="C51" s="124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172</v>
      </c>
      <c r="H51" t="s">
        <v>172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16">
        <v>265</v>
      </c>
    </row>
    <row r="52" spans="1:11" ht="18.75" customHeight="1" x14ac:dyDescent="0.35">
      <c r="A52" s="116">
        <v>2024</v>
      </c>
      <c r="B52" t="s">
        <v>177</v>
      </c>
      <c r="C52" s="124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187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172</v>
      </c>
      <c r="H52" t="s">
        <v>172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16">
        <v>0</v>
      </c>
    </row>
    <row r="53" spans="1:11" ht="18.75" customHeight="1" x14ac:dyDescent="0.35">
      <c r="A53" s="116">
        <v>2024</v>
      </c>
      <c r="B53" t="s">
        <v>177</v>
      </c>
      <c r="C53" s="124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85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172</v>
      </c>
      <c r="H53" t="s">
        <v>172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16">
        <v>553</v>
      </c>
    </row>
    <row r="54" spans="1:11" ht="18.75" customHeight="1" x14ac:dyDescent="0.35">
      <c r="A54" s="116">
        <v>2024</v>
      </c>
      <c r="B54" t="s">
        <v>177</v>
      </c>
      <c r="C54" s="124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110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172</v>
      </c>
      <c r="H54" t="s">
        <v>172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16">
        <v>53465451</v>
      </c>
    </row>
    <row r="55" spans="1:11" ht="18.75" customHeight="1" x14ac:dyDescent="0.35">
      <c r="A55" s="116">
        <v>2024</v>
      </c>
      <c r="B55" t="s">
        <v>177</v>
      </c>
      <c r="C55" s="124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109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172</v>
      </c>
      <c r="H55" t="s">
        <v>172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16">
        <v>1079691</v>
      </c>
    </row>
    <row r="56" spans="1:11" ht="18.75" customHeight="1" x14ac:dyDescent="0.35">
      <c r="A56" s="116">
        <v>2024</v>
      </c>
      <c r="B56" t="s">
        <v>177</v>
      </c>
      <c r="C56" s="124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86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172</v>
      </c>
      <c r="H56" t="s">
        <v>172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16">
        <v>20</v>
      </c>
    </row>
    <row r="57" spans="1:11" ht="18.75" customHeight="1" x14ac:dyDescent="0.35">
      <c r="A57" s="116">
        <v>2024</v>
      </c>
      <c r="B57" t="s">
        <v>177</v>
      </c>
      <c r="C57" s="124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188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172</v>
      </c>
      <c r="H57" t="s">
        <v>172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16">
        <v>0</v>
      </c>
    </row>
    <row r="58" spans="1:11" ht="18.75" customHeight="1" x14ac:dyDescent="0.35">
      <c r="A58" s="116">
        <v>2024</v>
      </c>
      <c r="B58" t="s">
        <v>177</v>
      </c>
      <c r="C58" s="124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189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172</v>
      </c>
      <c r="H58" t="s">
        <v>172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16">
        <v>27</v>
      </c>
    </row>
    <row r="59" spans="1:11" ht="18.75" customHeight="1" x14ac:dyDescent="0.35">
      <c r="A59" s="116">
        <v>2024</v>
      </c>
      <c r="B59" t="s">
        <v>177</v>
      </c>
      <c r="C59" s="124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190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172</v>
      </c>
      <c r="H59" t="s">
        <v>172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16">
        <v>32</v>
      </c>
    </row>
    <row r="60" spans="1:11" ht="18.75" customHeight="1" x14ac:dyDescent="0.35">
      <c r="A60" s="116">
        <v>2024</v>
      </c>
      <c r="B60" t="s">
        <v>177</v>
      </c>
      <c r="C60" s="124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90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172</v>
      </c>
      <c r="H60" t="s">
        <v>172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16">
        <v>592257</v>
      </c>
    </row>
    <row r="61" spans="1:11" ht="18.75" customHeight="1" x14ac:dyDescent="0.35">
      <c r="A61" s="116">
        <v>2024</v>
      </c>
      <c r="B61" t="s">
        <v>177</v>
      </c>
      <c r="C61" s="124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84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172</v>
      </c>
      <c r="H61" t="s">
        <v>172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16">
        <v>0</v>
      </c>
    </row>
    <row r="62" spans="1:11" ht="18.75" customHeight="1" x14ac:dyDescent="0.35">
      <c r="A62" s="116">
        <v>2024</v>
      </c>
      <c r="B62" t="s">
        <v>178</v>
      </c>
      <c r="C62" s="124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81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172</v>
      </c>
      <c r="H62" t="s">
        <v>172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16">
        <v>0</v>
      </c>
    </row>
    <row r="63" spans="1:11" ht="18.75" customHeight="1" x14ac:dyDescent="0.35">
      <c r="A63" s="116">
        <v>2024</v>
      </c>
      <c r="B63" t="s">
        <v>178</v>
      </c>
      <c r="C63" s="124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186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172</v>
      </c>
      <c r="H63" t="s">
        <v>172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16">
        <v>291</v>
      </c>
    </row>
    <row r="64" spans="1:11" ht="18.75" customHeight="1" x14ac:dyDescent="0.35">
      <c r="A64" s="116">
        <v>2024</v>
      </c>
      <c r="B64" t="s">
        <v>178</v>
      </c>
      <c r="C64" s="124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187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172</v>
      </c>
      <c r="H64" t="s">
        <v>172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16">
        <v>0</v>
      </c>
    </row>
    <row r="65" spans="1:11" ht="18.75" customHeight="1" x14ac:dyDescent="0.35">
      <c r="A65" s="116">
        <v>2024</v>
      </c>
      <c r="B65" t="s">
        <v>178</v>
      </c>
      <c r="C65" s="124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85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172</v>
      </c>
      <c r="H65" t="s">
        <v>172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16">
        <v>384</v>
      </c>
    </row>
    <row r="66" spans="1:11" ht="18.75" customHeight="1" x14ac:dyDescent="0.35">
      <c r="A66" s="116">
        <v>2024</v>
      </c>
      <c r="B66" t="s">
        <v>178</v>
      </c>
      <c r="C66" s="124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110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172</v>
      </c>
      <c r="H66" t="s">
        <v>172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16">
        <v>31816261</v>
      </c>
    </row>
    <row r="67" spans="1:11" ht="18.75" customHeight="1" x14ac:dyDescent="0.35">
      <c r="A67" s="116">
        <v>2024</v>
      </c>
      <c r="B67" t="s">
        <v>178</v>
      </c>
      <c r="C67" s="124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109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172</v>
      </c>
      <c r="H67" t="s">
        <v>172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16">
        <v>1921652</v>
      </c>
    </row>
    <row r="68" spans="1:11" ht="18.75" customHeight="1" x14ac:dyDescent="0.35">
      <c r="A68" s="116">
        <v>2024</v>
      </c>
      <c r="B68" t="s">
        <v>178</v>
      </c>
      <c r="C68" s="124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86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172</v>
      </c>
      <c r="H68" t="s">
        <v>172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16">
        <v>38</v>
      </c>
    </row>
    <row r="69" spans="1:11" ht="18.75" customHeight="1" x14ac:dyDescent="0.35">
      <c r="A69" s="116">
        <v>2024</v>
      </c>
      <c r="B69" t="s">
        <v>178</v>
      </c>
      <c r="C69" s="124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188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172</v>
      </c>
      <c r="H69" t="s">
        <v>172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16">
        <v>0</v>
      </c>
    </row>
    <row r="70" spans="1:11" ht="18.75" customHeight="1" x14ac:dyDescent="0.35">
      <c r="A70" s="116">
        <v>2024</v>
      </c>
      <c r="B70" t="s">
        <v>178</v>
      </c>
      <c r="C70" s="124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189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172</v>
      </c>
      <c r="H70" t="s">
        <v>172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16">
        <v>19</v>
      </c>
    </row>
    <row r="71" spans="1:11" ht="18.75" customHeight="1" x14ac:dyDescent="0.35">
      <c r="A71" s="116">
        <v>2024</v>
      </c>
      <c r="B71" t="s">
        <v>178</v>
      </c>
      <c r="C71" s="124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190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172</v>
      </c>
      <c r="H71" t="s">
        <v>172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16">
        <v>20</v>
      </c>
    </row>
    <row r="72" spans="1:11" ht="18.75" customHeight="1" x14ac:dyDescent="0.35">
      <c r="A72" s="116">
        <v>2024</v>
      </c>
      <c r="B72" t="s">
        <v>178</v>
      </c>
      <c r="C72" s="124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90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172</v>
      </c>
      <c r="H72" t="s">
        <v>172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16">
        <v>1565026</v>
      </c>
    </row>
    <row r="73" spans="1:11" ht="18.75" customHeight="1" x14ac:dyDescent="0.35">
      <c r="A73" s="116">
        <v>2024</v>
      </c>
      <c r="B73" t="s">
        <v>178</v>
      </c>
      <c r="C73" s="124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84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172</v>
      </c>
      <c r="H73" t="s">
        <v>172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16">
        <v>0</v>
      </c>
    </row>
    <row r="74" spans="1:11" ht="18.75" customHeight="1" x14ac:dyDescent="0.35">
      <c r="A74" s="116">
        <v>2024</v>
      </c>
      <c r="B74" t="s">
        <v>179</v>
      </c>
      <c r="C74" s="124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81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172</v>
      </c>
      <c r="H74" t="s">
        <v>172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16">
        <v>0</v>
      </c>
    </row>
    <row r="75" spans="1:11" ht="18.75" customHeight="1" x14ac:dyDescent="0.35">
      <c r="A75" s="116">
        <v>2024</v>
      </c>
      <c r="B75" t="s">
        <v>179</v>
      </c>
      <c r="C75" s="124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186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172</v>
      </c>
      <c r="H75" t="s">
        <v>172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16">
        <v>293</v>
      </c>
    </row>
    <row r="76" spans="1:11" ht="18.75" customHeight="1" x14ac:dyDescent="0.35">
      <c r="A76" s="116">
        <v>2024</v>
      </c>
      <c r="B76" t="s">
        <v>179</v>
      </c>
      <c r="C76" s="124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187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172</v>
      </c>
      <c r="H76" t="s">
        <v>172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16">
        <v>3</v>
      </c>
    </row>
    <row r="77" spans="1:11" ht="18.75" customHeight="1" x14ac:dyDescent="0.35">
      <c r="A77" s="116">
        <v>2024</v>
      </c>
      <c r="B77" t="s">
        <v>179</v>
      </c>
      <c r="C77" s="124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85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172</v>
      </c>
      <c r="H77" t="s">
        <v>172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16">
        <v>424</v>
      </c>
    </row>
    <row r="78" spans="1:11" ht="18.75" customHeight="1" x14ac:dyDescent="0.35">
      <c r="A78" s="116">
        <v>2024</v>
      </c>
      <c r="B78" t="s">
        <v>179</v>
      </c>
      <c r="C78" s="124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110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172</v>
      </c>
      <c r="H78" t="s">
        <v>172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16">
        <v>32548389</v>
      </c>
    </row>
    <row r="79" spans="1:11" ht="18.75" customHeight="1" x14ac:dyDescent="0.35">
      <c r="A79" s="116">
        <v>2024</v>
      </c>
      <c r="B79" t="s">
        <v>179</v>
      </c>
      <c r="C79" s="124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109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172</v>
      </c>
      <c r="H79" t="s">
        <v>172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16">
        <v>1471341</v>
      </c>
    </row>
    <row r="80" spans="1:11" ht="18.75" customHeight="1" x14ac:dyDescent="0.35">
      <c r="A80" s="116">
        <v>2024</v>
      </c>
      <c r="B80" t="s">
        <v>179</v>
      </c>
      <c r="C80" s="124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86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172</v>
      </c>
      <c r="H80" t="s">
        <v>172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16">
        <v>40</v>
      </c>
    </row>
    <row r="81" spans="1:11" ht="18.75" customHeight="1" x14ac:dyDescent="0.35">
      <c r="A81" s="116">
        <v>2024</v>
      </c>
      <c r="B81" t="s">
        <v>179</v>
      </c>
      <c r="C81" s="124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188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172</v>
      </c>
      <c r="H81" t="s">
        <v>172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16">
        <v>5</v>
      </c>
    </row>
    <row r="82" spans="1:11" ht="18.75" customHeight="1" x14ac:dyDescent="0.35">
      <c r="A82" s="116">
        <v>2024</v>
      </c>
      <c r="B82" t="s">
        <v>179</v>
      </c>
      <c r="C82" s="124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189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172</v>
      </c>
      <c r="H82" t="s">
        <v>172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16">
        <v>55</v>
      </c>
    </row>
    <row r="83" spans="1:11" ht="18.75" customHeight="1" x14ac:dyDescent="0.35">
      <c r="A83" s="116">
        <v>2024</v>
      </c>
      <c r="B83" t="s">
        <v>179</v>
      </c>
      <c r="C83" s="124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190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172</v>
      </c>
      <c r="H83" t="s">
        <v>172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16">
        <v>16</v>
      </c>
    </row>
    <row r="84" spans="1:11" ht="18.75" customHeight="1" x14ac:dyDescent="0.35">
      <c r="A84" s="116">
        <v>2024</v>
      </c>
      <c r="B84" t="s">
        <v>179</v>
      </c>
      <c r="C84" s="124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90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172</v>
      </c>
      <c r="H84" t="s">
        <v>172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16">
        <v>1766363</v>
      </c>
    </row>
    <row r="85" spans="1:11" ht="18.75" customHeight="1" x14ac:dyDescent="0.35">
      <c r="A85" s="116">
        <v>2024</v>
      </c>
      <c r="B85" t="s">
        <v>179</v>
      </c>
      <c r="C85" s="124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84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172</v>
      </c>
      <c r="H85" t="s">
        <v>172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16">
        <v>0</v>
      </c>
    </row>
    <row r="86" spans="1:11" ht="18.75" customHeight="1" x14ac:dyDescent="0.35">
      <c r="A86" s="116">
        <v>2024</v>
      </c>
      <c r="B86" t="s">
        <v>180</v>
      </c>
      <c r="C86" s="124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81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172</v>
      </c>
      <c r="H86" t="s">
        <v>172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16">
        <v>2</v>
      </c>
    </row>
    <row r="87" spans="1:11" ht="18.75" customHeight="1" x14ac:dyDescent="0.35">
      <c r="A87" s="116">
        <v>2024</v>
      </c>
      <c r="B87" t="s">
        <v>180</v>
      </c>
      <c r="C87" s="124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186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172</v>
      </c>
      <c r="H87" t="s">
        <v>172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16">
        <v>225</v>
      </c>
    </row>
    <row r="88" spans="1:11" ht="18.75" customHeight="1" x14ac:dyDescent="0.35">
      <c r="A88" s="116">
        <v>2024</v>
      </c>
      <c r="B88" t="s">
        <v>180</v>
      </c>
      <c r="C88" s="124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187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172</v>
      </c>
      <c r="H88" t="s">
        <v>172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16">
        <v>6</v>
      </c>
    </row>
    <row r="89" spans="1:11" ht="18.75" customHeight="1" x14ac:dyDescent="0.35">
      <c r="A89" s="116">
        <v>2024</v>
      </c>
      <c r="B89" t="s">
        <v>180</v>
      </c>
      <c r="C89" s="124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85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172</v>
      </c>
      <c r="H89" t="s">
        <v>172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16">
        <v>429</v>
      </c>
    </row>
    <row r="90" spans="1:11" ht="18.75" customHeight="1" x14ac:dyDescent="0.35">
      <c r="A90" s="116">
        <v>2024</v>
      </c>
      <c r="B90" t="s">
        <v>180</v>
      </c>
      <c r="C90" s="124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110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172</v>
      </c>
      <c r="H90" t="s">
        <v>172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16">
        <v>29963058</v>
      </c>
    </row>
    <row r="91" spans="1:11" ht="18.75" customHeight="1" x14ac:dyDescent="0.35">
      <c r="A91" s="116">
        <v>2024</v>
      </c>
      <c r="B91" t="s">
        <v>180</v>
      </c>
      <c r="C91" s="124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109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172</v>
      </c>
      <c r="H91" t="s">
        <v>172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16">
        <v>2487322</v>
      </c>
    </row>
    <row r="92" spans="1:11" ht="18.75" customHeight="1" x14ac:dyDescent="0.35">
      <c r="A92" s="116">
        <v>2024</v>
      </c>
      <c r="B92" t="s">
        <v>180</v>
      </c>
      <c r="C92" s="124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86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172</v>
      </c>
      <c r="H92" t="s">
        <v>172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16">
        <v>48</v>
      </c>
    </row>
    <row r="93" spans="1:11" ht="18.75" customHeight="1" x14ac:dyDescent="0.35">
      <c r="A93" s="116">
        <v>2024</v>
      </c>
      <c r="B93" t="s">
        <v>180</v>
      </c>
      <c r="C93" s="124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188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172</v>
      </c>
      <c r="H93" t="s">
        <v>172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16">
        <v>19</v>
      </c>
    </row>
    <row r="94" spans="1:11" ht="18.75" customHeight="1" x14ac:dyDescent="0.35">
      <c r="A94" s="116">
        <v>2024</v>
      </c>
      <c r="B94" t="s">
        <v>180</v>
      </c>
      <c r="C94" s="124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189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172</v>
      </c>
      <c r="H94" t="s">
        <v>172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16">
        <v>52</v>
      </c>
    </row>
    <row r="95" spans="1:11" ht="18.75" customHeight="1" x14ac:dyDescent="0.35">
      <c r="A95" s="116">
        <v>2024</v>
      </c>
      <c r="B95" t="s">
        <v>180</v>
      </c>
      <c r="C95" s="124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190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172</v>
      </c>
      <c r="H95" t="s">
        <v>172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16">
        <v>16</v>
      </c>
    </row>
    <row r="96" spans="1:11" ht="18.75" customHeight="1" x14ac:dyDescent="0.35">
      <c r="A96" s="116">
        <v>2024</v>
      </c>
      <c r="B96" t="s">
        <v>180</v>
      </c>
      <c r="C96" s="124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90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172</v>
      </c>
      <c r="H96" t="s">
        <v>172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16">
        <v>939281</v>
      </c>
    </row>
    <row r="97" spans="1:11" ht="18.75" customHeight="1" x14ac:dyDescent="0.35">
      <c r="A97" s="116">
        <v>2024</v>
      </c>
      <c r="B97" t="s">
        <v>181</v>
      </c>
      <c r="C97" s="124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81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172</v>
      </c>
      <c r="H97" t="s">
        <v>172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16">
        <v>4</v>
      </c>
    </row>
    <row r="98" spans="1:11" ht="18.75" customHeight="1" x14ac:dyDescent="0.35">
      <c r="A98" s="116">
        <v>2024</v>
      </c>
      <c r="B98" t="s">
        <v>181</v>
      </c>
      <c r="C98" s="124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186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172</v>
      </c>
      <c r="H98" t="s">
        <v>172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16">
        <v>259</v>
      </c>
    </row>
    <row r="99" spans="1:11" ht="18.75" customHeight="1" x14ac:dyDescent="0.35">
      <c r="A99" s="116">
        <v>2024</v>
      </c>
      <c r="B99" t="s">
        <v>181</v>
      </c>
      <c r="C99" s="124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187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172</v>
      </c>
      <c r="H99" t="s">
        <v>172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16">
        <v>4</v>
      </c>
    </row>
    <row r="100" spans="1:11" ht="18.75" customHeight="1" x14ac:dyDescent="0.35">
      <c r="A100" s="116">
        <v>2024</v>
      </c>
      <c r="B100" t="s">
        <v>181</v>
      </c>
      <c r="C100" s="124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85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172</v>
      </c>
      <c r="H100" t="s">
        <v>172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16">
        <v>413</v>
      </c>
    </row>
    <row r="101" spans="1:11" ht="18.75" customHeight="1" x14ac:dyDescent="0.35">
      <c r="A101" s="116">
        <v>2024</v>
      </c>
      <c r="B101" t="s">
        <v>181</v>
      </c>
      <c r="C101" s="124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110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172</v>
      </c>
      <c r="H101" t="s">
        <v>172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16">
        <v>31831467</v>
      </c>
    </row>
    <row r="102" spans="1:11" ht="18.75" customHeight="1" x14ac:dyDescent="0.35">
      <c r="A102" s="116">
        <v>2024</v>
      </c>
      <c r="B102" t="s">
        <v>181</v>
      </c>
      <c r="C102" s="124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109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172</v>
      </c>
      <c r="H102" t="s">
        <v>172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16">
        <v>2215974</v>
      </c>
    </row>
    <row r="103" spans="1:11" ht="18.75" customHeight="1" x14ac:dyDescent="0.35">
      <c r="A103" s="116">
        <v>2024</v>
      </c>
      <c r="B103" t="s">
        <v>181</v>
      </c>
      <c r="C103" s="124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86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172</v>
      </c>
      <c r="H103" t="s">
        <v>172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16">
        <v>35</v>
      </c>
    </row>
    <row r="104" spans="1:11" ht="18.75" customHeight="1" x14ac:dyDescent="0.35">
      <c r="A104" s="116">
        <v>2024</v>
      </c>
      <c r="B104" t="s">
        <v>181</v>
      </c>
      <c r="C104" s="124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188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172</v>
      </c>
      <c r="H104" t="s">
        <v>172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16">
        <v>9</v>
      </c>
    </row>
    <row r="105" spans="1:11" ht="18.75" customHeight="1" x14ac:dyDescent="0.35">
      <c r="A105" s="116">
        <v>2024</v>
      </c>
      <c r="B105" t="s">
        <v>181</v>
      </c>
      <c r="C105" s="124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189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172</v>
      </c>
      <c r="H105" t="s">
        <v>172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16">
        <v>116</v>
      </c>
    </row>
    <row r="106" spans="1:11" ht="18.75" customHeight="1" x14ac:dyDescent="0.35">
      <c r="A106" s="116">
        <v>2024</v>
      </c>
      <c r="B106" t="s">
        <v>181</v>
      </c>
      <c r="C106" s="124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190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172</v>
      </c>
      <c r="H106" t="s">
        <v>172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16">
        <v>30</v>
      </c>
    </row>
    <row r="107" spans="1:11" ht="18.75" customHeight="1" x14ac:dyDescent="0.35">
      <c r="A107" s="116">
        <v>2024</v>
      </c>
      <c r="B107" t="s">
        <v>181</v>
      </c>
      <c r="C107" s="124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90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172</v>
      </c>
      <c r="H107" t="s">
        <v>172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16">
        <v>2503626</v>
      </c>
    </row>
    <row r="108" spans="1:11" ht="18.75" customHeight="1" x14ac:dyDescent="0.35">
      <c r="A108" s="116">
        <v>2024</v>
      </c>
      <c r="B108" t="s">
        <v>182</v>
      </c>
      <c r="C108" s="124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81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172</v>
      </c>
      <c r="H108" t="s">
        <v>172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16">
        <v>6</v>
      </c>
    </row>
    <row r="109" spans="1:11" ht="18.75" customHeight="1" x14ac:dyDescent="0.35">
      <c r="A109" s="116">
        <v>2024</v>
      </c>
      <c r="B109" t="s">
        <v>182</v>
      </c>
      <c r="C109" s="124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186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172</v>
      </c>
      <c r="H109" t="s">
        <v>172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16">
        <v>253</v>
      </c>
    </row>
    <row r="110" spans="1:11" ht="18.75" customHeight="1" x14ac:dyDescent="0.35">
      <c r="A110" s="116">
        <v>2024</v>
      </c>
      <c r="B110" t="s">
        <v>182</v>
      </c>
      <c r="C110" s="124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187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172</v>
      </c>
      <c r="H110" t="s">
        <v>172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16">
        <v>3</v>
      </c>
    </row>
    <row r="111" spans="1:11" ht="18.75" customHeight="1" x14ac:dyDescent="0.35">
      <c r="A111" s="116">
        <v>2024</v>
      </c>
      <c r="B111" t="s">
        <v>182</v>
      </c>
      <c r="C111" s="124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85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172</v>
      </c>
      <c r="H111" t="s">
        <v>172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16">
        <v>515</v>
      </c>
    </row>
    <row r="112" spans="1:11" ht="18.75" customHeight="1" x14ac:dyDescent="0.35">
      <c r="A112" s="116">
        <v>2024</v>
      </c>
      <c r="B112" t="s">
        <v>182</v>
      </c>
      <c r="C112" s="124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110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172</v>
      </c>
      <c r="H112" t="s">
        <v>172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16">
        <v>45523887</v>
      </c>
    </row>
    <row r="113" spans="1:11" ht="18.75" customHeight="1" x14ac:dyDescent="0.35">
      <c r="A113" s="116">
        <v>2024</v>
      </c>
      <c r="B113" t="s">
        <v>182</v>
      </c>
      <c r="C113" s="124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109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172</v>
      </c>
      <c r="H113" t="s">
        <v>172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16">
        <v>3241548</v>
      </c>
    </row>
    <row r="114" spans="1:11" ht="18.75" customHeight="1" x14ac:dyDescent="0.35">
      <c r="A114" s="116">
        <v>2024</v>
      </c>
      <c r="B114" t="s">
        <v>182</v>
      </c>
      <c r="C114" s="124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86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172</v>
      </c>
      <c r="H114" t="s">
        <v>172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16">
        <v>41</v>
      </c>
    </row>
    <row r="115" spans="1:11" ht="18.75" customHeight="1" x14ac:dyDescent="0.35">
      <c r="A115" s="116">
        <v>2024</v>
      </c>
      <c r="B115" t="s">
        <v>182</v>
      </c>
      <c r="C115" s="124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188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172</v>
      </c>
      <c r="H115" t="s">
        <v>172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16">
        <v>7</v>
      </c>
    </row>
    <row r="116" spans="1:11" ht="18.75" customHeight="1" x14ac:dyDescent="0.35">
      <c r="A116" s="116">
        <v>2024</v>
      </c>
      <c r="B116" t="s">
        <v>182</v>
      </c>
      <c r="C116" s="124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189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172</v>
      </c>
      <c r="H116" t="s">
        <v>172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16">
        <v>64</v>
      </c>
    </row>
    <row r="117" spans="1:11" ht="18.75" customHeight="1" x14ac:dyDescent="0.35">
      <c r="A117" s="116">
        <v>2024</v>
      </c>
      <c r="B117" t="s">
        <v>182</v>
      </c>
      <c r="C117" s="124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190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172</v>
      </c>
      <c r="H117" t="s">
        <v>172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16">
        <v>30</v>
      </c>
    </row>
    <row r="118" spans="1:11" ht="18.75" customHeight="1" x14ac:dyDescent="0.35">
      <c r="A118" s="116">
        <v>2024</v>
      </c>
      <c r="B118" t="s">
        <v>182</v>
      </c>
      <c r="C118" s="124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90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172</v>
      </c>
      <c r="H118" t="s">
        <v>172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16">
        <v>3754104</v>
      </c>
    </row>
    <row r="119" spans="1:11" ht="18.75" customHeight="1" x14ac:dyDescent="0.35">
      <c r="A119" s="116">
        <v>2024</v>
      </c>
      <c r="B119" t="s">
        <v>183</v>
      </c>
      <c r="C119" s="124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81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172</v>
      </c>
      <c r="H119" t="s">
        <v>172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16">
        <v>10</v>
      </c>
    </row>
    <row r="120" spans="1:11" ht="18.75" customHeight="1" x14ac:dyDescent="0.35">
      <c r="A120" s="116">
        <v>2024</v>
      </c>
      <c r="B120" t="s">
        <v>183</v>
      </c>
      <c r="C120" s="124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186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172</v>
      </c>
      <c r="H120" t="s">
        <v>172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16">
        <v>214</v>
      </c>
    </row>
    <row r="121" spans="1:11" ht="18.75" customHeight="1" x14ac:dyDescent="0.35">
      <c r="A121" s="116">
        <v>2024</v>
      </c>
      <c r="B121" t="s">
        <v>183</v>
      </c>
      <c r="C121" s="124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187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172</v>
      </c>
      <c r="H121" t="s">
        <v>172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16">
        <v>1</v>
      </c>
    </row>
    <row r="122" spans="1:11" ht="18.75" customHeight="1" x14ac:dyDescent="0.35">
      <c r="A122" s="116">
        <v>2024</v>
      </c>
      <c r="B122" t="s">
        <v>183</v>
      </c>
      <c r="C122" s="124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85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172</v>
      </c>
      <c r="H122" t="s">
        <v>172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16">
        <v>693</v>
      </c>
    </row>
    <row r="123" spans="1:11" ht="18.75" customHeight="1" x14ac:dyDescent="0.35">
      <c r="A123" s="116">
        <v>2024</v>
      </c>
      <c r="B123" t="s">
        <v>183</v>
      </c>
      <c r="C123" s="124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110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172</v>
      </c>
      <c r="H123" t="s">
        <v>172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16">
        <v>52625935</v>
      </c>
    </row>
    <row r="124" spans="1:11" ht="18.75" customHeight="1" x14ac:dyDescent="0.35">
      <c r="A124" s="116">
        <v>2024</v>
      </c>
      <c r="B124" t="s">
        <v>183</v>
      </c>
      <c r="C124" s="124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109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172</v>
      </c>
      <c r="H124" t="s">
        <v>172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16">
        <v>2536045</v>
      </c>
    </row>
    <row r="125" spans="1:11" ht="18.75" customHeight="1" x14ac:dyDescent="0.35">
      <c r="A125" s="116">
        <v>2024</v>
      </c>
      <c r="B125" t="s">
        <v>183</v>
      </c>
      <c r="C125" s="124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86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172</v>
      </c>
      <c r="H125" t="s">
        <v>172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16">
        <v>34</v>
      </c>
    </row>
    <row r="126" spans="1:11" ht="18.75" customHeight="1" x14ac:dyDescent="0.35">
      <c r="A126" s="116">
        <v>2024</v>
      </c>
      <c r="B126" t="s">
        <v>183</v>
      </c>
      <c r="C126" s="124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188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172</v>
      </c>
      <c r="H126" t="s">
        <v>172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16">
        <v>5</v>
      </c>
    </row>
    <row r="127" spans="1:11" ht="18.75" customHeight="1" x14ac:dyDescent="0.35">
      <c r="A127" s="116">
        <v>2024</v>
      </c>
      <c r="B127" t="s">
        <v>183</v>
      </c>
      <c r="C127" s="124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189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172</v>
      </c>
      <c r="H127" t="s">
        <v>172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16">
        <v>34</v>
      </c>
    </row>
    <row r="128" spans="1:11" ht="18.75" customHeight="1" x14ac:dyDescent="0.35">
      <c r="A128" s="116">
        <v>2024</v>
      </c>
      <c r="B128" t="s">
        <v>183</v>
      </c>
      <c r="C128" s="124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190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172</v>
      </c>
      <c r="H128" t="s">
        <v>172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16">
        <v>18</v>
      </c>
    </row>
    <row r="129" spans="1:11" ht="18.75" customHeight="1" x14ac:dyDescent="0.35">
      <c r="A129" s="116">
        <v>2024</v>
      </c>
      <c r="B129" t="s">
        <v>183</v>
      </c>
      <c r="C129" s="124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90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172</v>
      </c>
      <c r="H129" t="s">
        <v>172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16">
        <v>253970</v>
      </c>
    </row>
    <row r="130" spans="1:11" ht="18.75" customHeight="1" x14ac:dyDescent="0.35">
      <c r="A130" s="116">
        <v>2025</v>
      </c>
      <c r="B130" t="s">
        <v>171</v>
      </c>
      <c r="C130" s="124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172</v>
      </c>
      <c r="H130" t="s">
        <v>172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16">
        <v>403</v>
      </c>
    </row>
    <row r="131" spans="1:11" ht="18.75" customHeight="1" x14ac:dyDescent="0.35">
      <c r="A131" s="116">
        <v>2025</v>
      </c>
      <c r="B131" t="s">
        <v>171</v>
      </c>
      <c r="C131" s="124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191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172</v>
      </c>
      <c r="H131" t="s">
        <v>172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16">
        <v>21</v>
      </c>
    </row>
    <row r="132" spans="1:11" ht="18.75" customHeight="1" x14ac:dyDescent="0.35">
      <c r="A132" s="116">
        <v>2025</v>
      </c>
      <c r="B132" t="s">
        <v>171</v>
      </c>
      <c r="C132" s="124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187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172</v>
      </c>
      <c r="H132" t="s">
        <v>172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16">
        <v>3</v>
      </c>
    </row>
    <row r="133" spans="1:11" ht="18.75" customHeight="1" x14ac:dyDescent="0.35">
      <c r="A133" s="116">
        <v>2025</v>
      </c>
      <c r="B133" t="s">
        <v>171</v>
      </c>
      <c r="C133" s="124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85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172</v>
      </c>
      <c r="H133" t="s">
        <v>172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16">
        <v>469</v>
      </c>
    </row>
    <row r="134" spans="1:11" ht="18.75" customHeight="1" x14ac:dyDescent="0.35">
      <c r="A134" s="116">
        <v>2025</v>
      </c>
      <c r="B134" t="s">
        <v>171</v>
      </c>
      <c r="C134" s="124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139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172</v>
      </c>
      <c r="H134" t="s">
        <v>172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16">
        <v>0</v>
      </c>
    </row>
    <row r="135" spans="1:11" ht="18.75" customHeight="1" x14ac:dyDescent="0.35">
      <c r="A135" s="116">
        <v>2025</v>
      </c>
      <c r="B135" t="s">
        <v>171</v>
      </c>
      <c r="C135" s="124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110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172</v>
      </c>
      <c r="H135" t="s">
        <v>172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16">
        <v>20357465</v>
      </c>
    </row>
    <row r="136" spans="1:11" ht="18.75" customHeight="1" x14ac:dyDescent="0.35">
      <c r="A136" s="116">
        <v>2025</v>
      </c>
      <c r="B136" t="s">
        <v>171</v>
      </c>
      <c r="C136" s="124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109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172</v>
      </c>
      <c r="H136" t="s">
        <v>172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16">
        <v>27136071</v>
      </c>
    </row>
    <row r="137" spans="1:11" ht="18.75" customHeight="1" x14ac:dyDescent="0.35">
      <c r="A137" s="116">
        <v>2025</v>
      </c>
      <c r="B137" t="s">
        <v>171</v>
      </c>
      <c r="C137" s="124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142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172</v>
      </c>
      <c r="H137" t="s">
        <v>172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16">
        <v>98883018</v>
      </c>
    </row>
    <row r="138" spans="1:11" ht="18.75" customHeight="1" x14ac:dyDescent="0.35">
      <c r="A138" s="116">
        <v>2025</v>
      </c>
      <c r="B138" t="s">
        <v>171</v>
      </c>
      <c r="C138" s="124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86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172</v>
      </c>
      <c r="H138" t="s">
        <v>172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16">
        <v>102</v>
      </c>
    </row>
    <row r="139" spans="1:11" ht="18.75" customHeight="1" x14ac:dyDescent="0.35">
      <c r="A139" s="116">
        <v>2025</v>
      </c>
      <c r="B139" t="s">
        <v>171</v>
      </c>
      <c r="C139" s="124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188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172</v>
      </c>
      <c r="H139" t="s">
        <v>172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16">
        <v>1</v>
      </c>
    </row>
    <row r="140" spans="1:11" ht="18.75" customHeight="1" x14ac:dyDescent="0.35">
      <c r="A140" s="116">
        <v>2025</v>
      </c>
      <c r="B140" t="s">
        <v>171</v>
      </c>
      <c r="C140" s="124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189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172</v>
      </c>
      <c r="H140" t="s">
        <v>172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16">
        <v>12</v>
      </c>
    </row>
    <row r="141" spans="1:11" ht="18.75" customHeight="1" x14ac:dyDescent="0.35">
      <c r="A141" s="116">
        <v>2025</v>
      </c>
      <c r="B141" t="s">
        <v>171</v>
      </c>
      <c r="C141" s="124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190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172</v>
      </c>
      <c r="H141" t="s">
        <v>172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16">
        <v>8</v>
      </c>
    </row>
    <row r="142" spans="1:11" ht="18.75" customHeight="1" x14ac:dyDescent="0.35">
      <c r="A142" s="116">
        <v>2025</v>
      </c>
      <c r="B142" t="s">
        <v>171</v>
      </c>
      <c r="C142" s="124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90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172</v>
      </c>
      <c r="H142" t="s">
        <v>172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16">
        <v>1681551</v>
      </c>
    </row>
    <row r="143" spans="1:11" ht="18.75" customHeight="1" x14ac:dyDescent="0.35">
      <c r="A143" s="116">
        <v>2025</v>
      </c>
      <c r="B143" t="s">
        <v>171</v>
      </c>
      <c r="C143" s="124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84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172</v>
      </c>
      <c r="H143" t="s">
        <v>172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16">
        <v>0</v>
      </c>
    </row>
    <row r="144" spans="1:11" ht="18.75" customHeight="1" x14ac:dyDescent="0.35">
      <c r="A144" s="116">
        <v>2025</v>
      </c>
      <c r="B144" t="s">
        <v>174</v>
      </c>
      <c r="C144" s="124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186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172</v>
      </c>
      <c r="H144" t="s">
        <v>172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16">
        <v>235</v>
      </c>
    </row>
    <row r="145" spans="1:11" ht="18.75" customHeight="1" x14ac:dyDescent="0.35">
      <c r="A145" s="116">
        <v>2025</v>
      </c>
      <c r="B145" t="s">
        <v>174</v>
      </c>
      <c r="C145" s="124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191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172</v>
      </c>
      <c r="H145" t="s">
        <v>172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16">
        <v>36</v>
      </c>
    </row>
    <row r="146" spans="1:11" ht="18.75" customHeight="1" x14ac:dyDescent="0.35">
      <c r="A146" s="116">
        <v>2025</v>
      </c>
      <c r="B146" t="s">
        <v>174</v>
      </c>
      <c r="C146" s="124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187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172</v>
      </c>
      <c r="H146" t="s">
        <v>172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16">
        <v>10</v>
      </c>
    </row>
    <row r="147" spans="1:11" ht="18.75" customHeight="1" x14ac:dyDescent="0.35">
      <c r="A147" s="116">
        <v>2025</v>
      </c>
      <c r="B147" t="s">
        <v>174</v>
      </c>
      <c r="C147" s="124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85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172</v>
      </c>
      <c r="H147" t="s">
        <v>172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16">
        <v>417</v>
      </c>
    </row>
    <row r="148" spans="1:11" ht="18.75" customHeight="1" x14ac:dyDescent="0.35">
      <c r="A148" s="116">
        <v>2025</v>
      </c>
      <c r="B148" t="s">
        <v>174</v>
      </c>
      <c r="C148" s="124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139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172</v>
      </c>
      <c r="H148" t="s">
        <v>172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16">
        <v>9908828</v>
      </c>
    </row>
    <row r="149" spans="1:11" ht="18.75" customHeight="1" x14ac:dyDescent="0.35">
      <c r="A149" s="116">
        <v>2025</v>
      </c>
      <c r="B149" t="s">
        <v>174</v>
      </c>
      <c r="C149" s="124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110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172</v>
      </c>
      <c r="H149" t="s">
        <v>172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16">
        <v>26013078</v>
      </c>
    </row>
    <row r="150" spans="1:11" ht="18.75" customHeight="1" x14ac:dyDescent="0.35">
      <c r="A150" s="116">
        <v>2025</v>
      </c>
      <c r="B150" t="s">
        <v>174</v>
      </c>
      <c r="C150" s="124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109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172</v>
      </c>
      <c r="H150" t="s">
        <v>172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16">
        <v>2224907</v>
      </c>
    </row>
    <row r="151" spans="1:11" ht="18.75" customHeight="1" x14ac:dyDescent="0.35">
      <c r="A151" s="116">
        <v>2025</v>
      </c>
      <c r="B151" t="s">
        <v>174</v>
      </c>
      <c r="C151" s="124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142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172</v>
      </c>
      <c r="H151" t="s">
        <v>172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16">
        <v>76629957</v>
      </c>
    </row>
    <row r="152" spans="1:11" ht="18.75" customHeight="1" x14ac:dyDescent="0.35">
      <c r="A152" s="116">
        <v>2025</v>
      </c>
      <c r="B152" t="s">
        <v>174</v>
      </c>
      <c r="C152" s="124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86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172</v>
      </c>
      <c r="H152" t="s">
        <v>172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16">
        <v>48</v>
      </c>
    </row>
    <row r="153" spans="1:11" ht="18.75" customHeight="1" x14ac:dyDescent="0.35">
      <c r="A153" s="116">
        <v>2025</v>
      </c>
      <c r="B153" t="s">
        <v>174</v>
      </c>
      <c r="C153" s="124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188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172</v>
      </c>
      <c r="H153" t="s">
        <v>172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16">
        <v>0</v>
      </c>
    </row>
    <row r="154" spans="1:11" ht="18.75" customHeight="1" x14ac:dyDescent="0.35">
      <c r="A154" s="116">
        <v>2025</v>
      </c>
      <c r="B154" t="s">
        <v>174</v>
      </c>
      <c r="C154" s="124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189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172</v>
      </c>
      <c r="H154" t="s">
        <v>172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16">
        <v>91</v>
      </c>
    </row>
    <row r="155" spans="1:11" ht="18.75" customHeight="1" x14ac:dyDescent="0.35">
      <c r="A155" s="116">
        <v>2025</v>
      </c>
      <c r="B155" t="s">
        <v>174</v>
      </c>
      <c r="C155" s="124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190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172</v>
      </c>
      <c r="H155" t="s">
        <v>172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16">
        <v>3</v>
      </c>
    </row>
    <row r="156" spans="1:11" ht="18.75" customHeight="1" x14ac:dyDescent="0.35">
      <c r="A156" s="116">
        <v>2025</v>
      </c>
      <c r="B156" t="s">
        <v>174</v>
      </c>
      <c r="C156" s="124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90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172</v>
      </c>
      <c r="H156" t="s">
        <v>172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16">
        <v>324129</v>
      </c>
    </row>
    <row r="157" spans="1:11" ht="18.75" customHeight="1" x14ac:dyDescent="0.35">
      <c r="A157" s="116">
        <v>2025</v>
      </c>
      <c r="B157" t="s">
        <v>174</v>
      </c>
      <c r="C157" s="124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84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172</v>
      </c>
      <c r="H157" t="s">
        <v>172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16">
        <v>0</v>
      </c>
    </row>
    <row r="158" spans="1:11" ht="18.75" customHeight="1" x14ac:dyDescent="0.35">
      <c r="A158" s="116">
        <v>2025</v>
      </c>
      <c r="B158" t="s">
        <v>175</v>
      </c>
      <c r="C158" s="124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186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172</v>
      </c>
      <c r="H158" t="s">
        <v>172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16">
        <v>254</v>
      </c>
    </row>
    <row r="159" spans="1:11" ht="18.75" customHeight="1" x14ac:dyDescent="0.35">
      <c r="A159" s="116">
        <v>2025</v>
      </c>
      <c r="B159" t="s">
        <v>175</v>
      </c>
      <c r="C159" s="124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191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172</v>
      </c>
      <c r="H159" t="s">
        <v>172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16">
        <v>10</v>
      </c>
    </row>
    <row r="160" spans="1:11" ht="18.75" customHeight="1" x14ac:dyDescent="0.35">
      <c r="A160" s="116">
        <v>2025</v>
      </c>
      <c r="B160" t="s">
        <v>175</v>
      </c>
      <c r="C160" s="124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187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172</v>
      </c>
      <c r="H160" t="s">
        <v>172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16">
        <v>18</v>
      </c>
    </row>
    <row r="161" spans="1:11" ht="18.75" customHeight="1" x14ac:dyDescent="0.35">
      <c r="A161" s="116">
        <v>2025</v>
      </c>
      <c r="B161" t="s">
        <v>175</v>
      </c>
      <c r="C161" s="124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85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172</v>
      </c>
      <c r="H161" t="s">
        <v>172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16">
        <v>531</v>
      </c>
    </row>
    <row r="162" spans="1:11" ht="18.75" customHeight="1" x14ac:dyDescent="0.35">
      <c r="A162" s="116">
        <v>2025</v>
      </c>
      <c r="B162" t="s">
        <v>175</v>
      </c>
      <c r="C162" s="124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139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172</v>
      </c>
      <c r="H162" t="s">
        <v>172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16">
        <v>0</v>
      </c>
    </row>
    <row r="163" spans="1:11" ht="18.75" customHeight="1" x14ac:dyDescent="0.35">
      <c r="A163" s="116">
        <v>2025</v>
      </c>
      <c r="B163" t="s">
        <v>175</v>
      </c>
      <c r="C163" s="124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110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172</v>
      </c>
      <c r="H163" t="s">
        <v>172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16">
        <v>35835250</v>
      </c>
    </row>
    <row r="164" spans="1:11" ht="18.75" customHeight="1" x14ac:dyDescent="0.35">
      <c r="A164" s="116">
        <v>2025</v>
      </c>
      <c r="B164" t="s">
        <v>175</v>
      </c>
      <c r="C164" s="124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109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172</v>
      </c>
      <c r="H164" t="s">
        <v>172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16">
        <v>2154030</v>
      </c>
    </row>
    <row r="165" spans="1:11" ht="18.75" customHeight="1" x14ac:dyDescent="0.35">
      <c r="A165" s="116">
        <v>2025</v>
      </c>
      <c r="B165" t="s">
        <v>175</v>
      </c>
      <c r="C165" s="124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142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172</v>
      </c>
      <c r="H165" t="s">
        <v>172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16">
        <v>104023403</v>
      </c>
    </row>
    <row r="166" spans="1:11" ht="18.75" customHeight="1" x14ac:dyDescent="0.35">
      <c r="A166" s="116">
        <v>2025</v>
      </c>
      <c r="B166" t="s">
        <v>175</v>
      </c>
      <c r="C166" s="124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86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172</v>
      </c>
      <c r="H166" t="s">
        <v>172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16">
        <v>42</v>
      </c>
    </row>
    <row r="167" spans="1:11" ht="18.75" customHeight="1" x14ac:dyDescent="0.35">
      <c r="A167" s="116">
        <v>2025</v>
      </c>
      <c r="B167" t="s">
        <v>175</v>
      </c>
      <c r="C167" s="124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188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172</v>
      </c>
      <c r="H167" t="s">
        <v>172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16">
        <v>5</v>
      </c>
    </row>
    <row r="168" spans="1:11" ht="18.75" customHeight="1" x14ac:dyDescent="0.35">
      <c r="A168" s="116">
        <v>2025</v>
      </c>
      <c r="B168" t="s">
        <v>175</v>
      </c>
      <c r="C168" s="124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189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172</v>
      </c>
      <c r="H168" t="s">
        <v>172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16">
        <v>94</v>
      </c>
    </row>
    <row r="169" spans="1:11" ht="18.75" customHeight="1" x14ac:dyDescent="0.35">
      <c r="A169" s="116">
        <v>2025</v>
      </c>
      <c r="B169" t="s">
        <v>175</v>
      </c>
      <c r="C169" s="124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190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172</v>
      </c>
      <c r="H169" t="s">
        <v>172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16">
        <v>7</v>
      </c>
    </row>
    <row r="170" spans="1:11" ht="18.75" customHeight="1" x14ac:dyDescent="0.35">
      <c r="A170" s="116">
        <v>2025</v>
      </c>
      <c r="B170" t="s">
        <v>175</v>
      </c>
      <c r="C170" s="124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90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172</v>
      </c>
      <c r="H170" t="s">
        <v>172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16">
        <v>178153</v>
      </c>
    </row>
    <row r="171" spans="1:11" ht="18.75" customHeight="1" x14ac:dyDescent="0.35">
      <c r="A171" s="116">
        <v>2025</v>
      </c>
      <c r="B171" t="s">
        <v>175</v>
      </c>
      <c r="C171" s="124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84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172</v>
      </c>
      <c r="H171" t="s">
        <v>172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16">
        <v>0</v>
      </c>
    </row>
    <row r="172" spans="1:11" ht="18.75" customHeight="1" x14ac:dyDescent="0.35">
      <c r="A172" s="116">
        <v>2025</v>
      </c>
      <c r="B172" t="s">
        <v>176</v>
      </c>
      <c r="C172" s="124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186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172</v>
      </c>
      <c r="H172" t="s">
        <v>172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16">
        <v>278</v>
      </c>
    </row>
    <row r="173" spans="1:11" ht="18.75" customHeight="1" x14ac:dyDescent="0.35">
      <c r="A173" s="116">
        <v>2025</v>
      </c>
      <c r="B173" t="s">
        <v>176</v>
      </c>
      <c r="C173" s="124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191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172</v>
      </c>
      <c r="H173" t="s">
        <v>172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16">
        <v>13</v>
      </c>
    </row>
    <row r="174" spans="1:11" ht="18.75" customHeight="1" x14ac:dyDescent="0.35">
      <c r="A174" s="116">
        <v>2025</v>
      </c>
      <c r="B174" t="s">
        <v>176</v>
      </c>
      <c r="C174" s="124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187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172</v>
      </c>
      <c r="H174" t="s">
        <v>172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16">
        <v>10</v>
      </c>
    </row>
    <row r="175" spans="1:11" ht="18.75" customHeight="1" x14ac:dyDescent="0.35">
      <c r="A175" s="116">
        <v>2025</v>
      </c>
      <c r="B175" t="s">
        <v>176</v>
      </c>
      <c r="C175" s="124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85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172</v>
      </c>
      <c r="H175" t="s">
        <v>172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16">
        <v>567</v>
      </c>
    </row>
    <row r="176" spans="1:11" ht="18.75" customHeight="1" x14ac:dyDescent="0.35">
      <c r="A176" s="116">
        <v>2025</v>
      </c>
      <c r="B176" t="s">
        <v>176</v>
      </c>
      <c r="C176" s="124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139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172</v>
      </c>
      <c r="H176" t="s">
        <v>172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16">
        <v>1492621</v>
      </c>
    </row>
    <row r="177" spans="1:11" ht="18.75" customHeight="1" x14ac:dyDescent="0.35">
      <c r="A177" s="116">
        <v>2025</v>
      </c>
      <c r="B177" t="s">
        <v>176</v>
      </c>
      <c r="C177" s="124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110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172</v>
      </c>
      <c r="H177" t="s">
        <v>172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16">
        <v>39163406</v>
      </c>
    </row>
    <row r="178" spans="1:11" ht="18.75" customHeight="1" x14ac:dyDescent="0.35">
      <c r="A178" s="116">
        <v>2025</v>
      </c>
      <c r="B178" t="s">
        <v>176</v>
      </c>
      <c r="C178" s="124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109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172</v>
      </c>
      <c r="H178" t="s">
        <v>172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16">
        <v>1496608</v>
      </c>
    </row>
    <row r="179" spans="1:11" ht="18.75" customHeight="1" x14ac:dyDescent="0.35">
      <c r="A179" s="116">
        <v>2025</v>
      </c>
      <c r="B179" t="s">
        <v>176</v>
      </c>
      <c r="C179" s="124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142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172</v>
      </c>
      <c r="H179" t="s">
        <v>172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16">
        <v>96715244</v>
      </c>
    </row>
    <row r="180" spans="1:11" ht="18.75" customHeight="1" x14ac:dyDescent="0.35">
      <c r="A180" s="116">
        <v>2025</v>
      </c>
      <c r="B180" t="s">
        <v>176</v>
      </c>
      <c r="C180" s="124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86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172</v>
      </c>
      <c r="H180" t="s">
        <v>172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16">
        <v>38</v>
      </c>
    </row>
    <row r="181" spans="1:11" ht="18.75" customHeight="1" x14ac:dyDescent="0.35">
      <c r="A181" s="116">
        <v>2025</v>
      </c>
      <c r="B181" t="s">
        <v>176</v>
      </c>
      <c r="C181" s="124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188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172</v>
      </c>
      <c r="H181" t="s">
        <v>172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16">
        <v>5</v>
      </c>
    </row>
    <row r="182" spans="1:11" ht="18.75" customHeight="1" x14ac:dyDescent="0.35">
      <c r="A182" s="116">
        <v>2025</v>
      </c>
      <c r="B182" t="s">
        <v>176</v>
      </c>
      <c r="C182" s="124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189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172</v>
      </c>
      <c r="H182" t="s">
        <v>172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16">
        <v>55</v>
      </c>
    </row>
    <row r="183" spans="1:11" ht="18.75" customHeight="1" x14ac:dyDescent="0.35">
      <c r="A183" s="116">
        <v>2025</v>
      </c>
      <c r="B183" t="s">
        <v>176</v>
      </c>
      <c r="C183" s="124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190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172</v>
      </c>
      <c r="H183" t="s">
        <v>172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16">
        <v>1</v>
      </c>
    </row>
    <row r="184" spans="1:11" ht="18.75" customHeight="1" x14ac:dyDescent="0.35">
      <c r="A184" s="116">
        <v>2025</v>
      </c>
      <c r="B184" t="s">
        <v>176</v>
      </c>
      <c r="C184" s="124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90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172</v>
      </c>
      <c r="H184" t="s">
        <v>172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16">
        <v>137005</v>
      </c>
    </row>
    <row r="185" spans="1:11" ht="18.75" customHeight="1" x14ac:dyDescent="0.35">
      <c r="A185" s="116">
        <v>2025</v>
      </c>
      <c r="B185" t="s">
        <v>176</v>
      </c>
      <c r="C185" s="124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84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172</v>
      </c>
      <c r="H185" t="s">
        <v>172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16">
        <v>0</v>
      </c>
    </row>
    <row r="186" spans="1:11" ht="18.75" customHeight="1" x14ac:dyDescent="0.35">
      <c r="A186" s="116">
        <v>2025</v>
      </c>
      <c r="B186" t="s">
        <v>177</v>
      </c>
      <c r="C186" s="124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186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172</v>
      </c>
      <c r="H186" t="s">
        <v>172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16">
        <v>287</v>
      </c>
    </row>
    <row r="187" spans="1:11" ht="18.75" customHeight="1" x14ac:dyDescent="0.35">
      <c r="A187" s="116">
        <v>2025</v>
      </c>
      <c r="B187" t="s">
        <v>177</v>
      </c>
      <c r="C187" s="124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191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172</v>
      </c>
      <c r="H187" t="s">
        <v>172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16">
        <v>11</v>
      </c>
    </row>
    <row r="188" spans="1:11" ht="18.75" customHeight="1" x14ac:dyDescent="0.35">
      <c r="A188" s="116">
        <v>2025</v>
      </c>
      <c r="B188" t="s">
        <v>177</v>
      </c>
      <c r="C188" s="124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187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172</v>
      </c>
      <c r="H188" t="s">
        <v>172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16">
        <v>13</v>
      </c>
    </row>
    <row r="189" spans="1:11" ht="18.75" customHeight="1" x14ac:dyDescent="0.35">
      <c r="A189" s="116">
        <v>2025</v>
      </c>
      <c r="B189" t="s">
        <v>177</v>
      </c>
      <c r="C189" s="124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85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172</v>
      </c>
      <c r="H189" t="s">
        <v>172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16">
        <v>617</v>
      </c>
    </row>
    <row r="190" spans="1:11" ht="18.75" customHeight="1" x14ac:dyDescent="0.35">
      <c r="A190" s="116">
        <v>2025</v>
      </c>
      <c r="B190" t="s">
        <v>177</v>
      </c>
      <c r="C190" s="124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139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172</v>
      </c>
      <c r="H190" t="s">
        <v>172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16">
        <v>0</v>
      </c>
    </row>
    <row r="191" spans="1:11" ht="18.75" customHeight="1" x14ac:dyDescent="0.35">
      <c r="A191" s="116">
        <v>2025</v>
      </c>
      <c r="B191" t="s">
        <v>177</v>
      </c>
      <c r="C191" s="124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110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172</v>
      </c>
      <c r="H191" t="s">
        <v>172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16">
        <v>48792669</v>
      </c>
    </row>
    <row r="192" spans="1:11" ht="18.75" customHeight="1" x14ac:dyDescent="0.35">
      <c r="A192" s="116">
        <v>2025</v>
      </c>
      <c r="B192" t="s">
        <v>177</v>
      </c>
      <c r="C192" s="124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109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172</v>
      </c>
      <c r="H192" t="s">
        <v>172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16">
        <v>2585129</v>
      </c>
    </row>
    <row r="193" spans="1:11" ht="18.75" customHeight="1" x14ac:dyDescent="0.35">
      <c r="A193" s="116">
        <v>2025</v>
      </c>
      <c r="B193" t="s">
        <v>177</v>
      </c>
      <c r="C193" s="124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142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172</v>
      </c>
      <c r="H193" t="s">
        <v>172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16">
        <v>97324083</v>
      </c>
    </row>
    <row r="194" spans="1:11" ht="18.75" customHeight="1" x14ac:dyDescent="0.35">
      <c r="A194" s="116">
        <v>2025</v>
      </c>
      <c r="B194" t="s">
        <v>177</v>
      </c>
      <c r="C194" s="124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86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172</v>
      </c>
      <c r="H194" t="s">
        <v>172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16">
        <v>66</v>
      </c>
    </row>
    <row r="195" spans="1:11" ht="18.75" customHeight="1" x14ac:dyDescent="0.35">
      <c r="A195" s="116">
        <v>2025</v>
      </c>
      <c r="B195" t="s">
        <v>177</v>
      </c>
      <c r="C195" s="124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188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172</v>
      </c>
      <c r="H195" t="s">
        <v>172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16">
        <v>7</v>
      </c>
    </row>
    <row r="196" spans="1:11" ht="18.75" customHeight="1" x14ac:dyDescent="0.35">
      <c r="A196" s="116">
        <v>2025</v>
      </c>
      <c r="B196" t="s">
        <v>177</v>
      </c>
      <c r="C196" s="124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189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172</v>
      </c>
      <c r="H196" t="s">
        <v>172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16">
        <v>25</v>
      </c>
    </row>
    <row r="197" spans="1:11" ht="18.75" customHeight="1" x14ac:dyDescent="0.35">
      <c r="A197" s="116">
        <v>2025</v>
      </c>
      <c r="B197" t="s">
        <v>177</v>
      </c>
      <c r="C197" s="124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190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172</v>
      </c>
      <c r="H197" t="s">
        <v>172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16">
        <v>5</v>
      </c>
    </row>
    <row r="198" spans="1:11" ht="18.75" customHeight="1" x14ac:dyDescent="0.35">
      <c r="A198" s="116">
        <v>2025</v>
      </c>
      <c r="B198" t="s">
        <v>177</v>
      </c>
      <c r="C198" s="124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90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172</v>
      </c>
      <c r="H198" t="s">
        <v>172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16">
        <v>520194</v>
      </c>
    </row>
    <row r="199" spans="1:11" ht="18.75" customHeight="1" x14ac:dyDescent="0.35">
      <c r="A199" s="116">
        <v>2025</v>
      </c>
      <c r="B199" t="s">
        <v>177</v>
      </c>
      <c r="C199" s="124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84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172</v>
      </c>
      <c r="H199" t="s">
        <v>172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16">
        <v>0</v>
      </c>
    </row>
    <row r="200" spans="1:11" ht="18.75" customHeight="1" x14ac:dyDescent="0.35">
      <c r="A200" s="116">
        <v>2025</v>
      </c>
      <c r="B200" t="s">
        <v>178</v>
      </c>
      <c r="C200" s="124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186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172</v>
      </c>
      <c r="H200" t="s">
        <v>172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16">
        <v>258</v>
      </c>
    </row>
    <row r="201" spans="1:11" ht="18.75" customHeight="1" x14ac:dyDescent="0.35">
      <c r="A201" s="116">
        <v>2025</v>
      </c>
      <c r="B201" t="s">
        <v>178</v>
      </c>
      <c r="C201" s="124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191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172</v>
      </c>
      <c r="H201" t="s">
        <v>172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16">
        <v>50</v>
      </c>
    </row>
    <row r="202" spans="1:11" ht="18.75" customHeight="1" x14ac:dyDescent="0.35">
      <c r="A202" s="116">
        <v>2025</v>
      </c>
      <c r="B202" t="s">
        <v>178</v>
      </c>
      <c r="C202" s="124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187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172</v>
      </c>
      <c r="H202" t="s">
        <v>172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16">
        <v>22</v>
      </c>
    </row>
    <row r="203" spans="1:11" ht="18.75" customHeight="1" x14ac:dyDescent="0.35">
      <c r="A203" s="116">
        <v>2025</v>
      </c>
      <c r="B203" t="s">
        <v>178</v>
      </c>
      <c r="C203" s="124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85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172</v>
      </c>
      <c r="H203" t="s">
        <v>172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16">
        <v>581</v>
      </c>
    </row>
    <row r="204" spans="1:11" ht="18.75" customHeight="1" x14ac:dyDescent="0.35">
      <c r="A204" s="116">
        <v>2025</v>
      </c>
      <c r="B204" t="s">
        <v>178</v>
      </c>
      <c r="C204" s="124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139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172</v>
      </c>
      <c r="H204" t="s">
        <v>172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16">
        <v>4415441</v>
      </c>
    </row>
    <row r="205" spans="1:11" ht="18.75" customHeight="1" x14ac:dyDescent="0.35">
      <c r="A205" s="116">
        <v>2025</v>
      </c>
      <c r="B205" t="s">
        <v>178</v>
      </c>
      <c r="C205" s="124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110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172</v>
      </c>
      <c r="H205" t="s">
        <v>172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16">
        <v>32298975</v>
      </c>
    </row>
    <row r="206" spans="1:11" ht="18.75" customHeight="1" x14ac:dyDescent="0.35">
      <c r="A206" s="116">
        <v>2025</v>
      </c>
      <c r="B206" t="s">
        <v>178</v>
      </c>
      <c r="C206" s="124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109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172</v>
      </c>
      <c r="H206" t="s">
        <v>172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16">
        <v>1652767</v>
      </c>
    </row>
    <row r="207" spans="1:11" ht="18.75" customHeight="1" x14ac:dyDescent="0.35">
      <c r="A207" s="116">
        <v>2025</v>
      </c>
      <c r="B207" t="s">
        <v>178</v>
      </c>
      <c r="C207" s="124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142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172</v>
      </c>
      <c r="H207" t="s">
        <v>172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16">
        <v>57510314</v>
      </c>
    </row>
    <row r="208" spans="1:11" ht="18.75" customHeight="1" x14ac:dyDescent="0.35">
      <c r="A208" s="116">
        <v>2025</v>
      </c>
      <c r="B208" t="s">
        <v>178</v>
      </c>
      <c r="C208" s="124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86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172</v>
      </c>
      <c r="H208" t="s">
        <v>172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16">
        <v>67</v>
      </c>
    </row>
    <row r="209" spans="1:11" ht="18.75" customHeight="1" x14ac:dyDescent="0.35">
      <c r="A209" s="116">
        <v>2025</v>
      </c>
      <c r="B209" t="s">
        <v>178</v>
      </c>
      <c r="C209" s="124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188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172</v>
      </c>
      <c r="H209" t="s">
        <v>172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16">
        <v>7</v>
      </c>
    </row>
    <row r="210" spans="1:11" ht="18.75" customHeight="1" x14ac:dyDescent="0.35">
      <c r="A210" s="116">
        <v>2025</v>
      </c>
      <c r="B210" t="s">
        <v>178</v>
      </c>
      <c r="C210" s="124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189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172</v>
      </c>
      <c r="H210" t="s">
        <v>172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16">
        <v>15</v>
      </c>
    </row>
    <row r="211" spans="1:11" ht="18.75" customHeight="1" x14ac:dyDescent="0.35">
      <c r="A211" s="116">
        <v>2025</v>
      </c>
      <c r="B211" t="s">
        <v>178</v>
      </c>
      <c r="C211" s="124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190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172</v>
      </c>
      <c r="H211" t="s">
        <v>172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16">
        <v>3</v>
      </c>
    </row>
    <row r="212" spans="1:11" ht="18.75" customHeight="1" x14ac:dyDescent="0.35">
      <c r="A212" s="116">
        <v>2025</v>
      </c>
      <c r="B212" t="s">
        <v>178</v>
      </c>
      <c r="C212" s="124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90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172</v>
      </c>
      <c r="H212" t="s">
        <v>172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16">
        <v>680887</v>
      </c>
    </row>
    <row r="213" spans="1:11" ht="18.75" customHeight="1" x14ac:dyDescent="0.35">
      <c r="A213" s="116">
        <v>2025</v>
      </c>
      <c r="B213" t="s">
        <v>178</v>
      </c>
      <c r="C213" s="124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84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172</v>
      </c>
      <c r="H213" t="s">
        <v>172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16">
        <v>0</v>
      </c>
    </row>
    <row r="214" spans="1:11" ht="18.75" customHeight="1" x14ac:dyDescent="0.35">
      <c r="A214" s="116">
        <v>2025</v>
      </c>
      <c r="B214" t="s">
        <v>179</v>
      </c>
      <c r="C214" s="124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186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172</v>
      </c>
      <c r="H214" t="s">
        <v>172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16">
        <v>386</v>
      </c>
    </row>
    <row r="215" spans="1:11" ht="18.75" customHeight="1" x14ac:dyDescent="0.35">
      <c r="A215" s="116">
        <v>2025</v>
      </c>
      <c r="B215" t="s">
        <v>179</v>
      </c>
      <c r="C215" s="124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191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172</v>
      </c>
      <c r="H215" t="s">
        <v>172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16">
        <v>25</v>
      </c>
    </row>
    <row r="216" spans="1:11" ht="18.75" customHeight="1" x14ac:dyDescent="0.35">
      <c r="A216" s="116">
        <v>2025</v>
      </c>
      <c r="B216" t="s">
        <v>179</v>
      </c>
      <c r="C216" s="124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187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172</v>
      </c>
      <c r="H216" t="s">
        <v>172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16">
        <v>22</v>
      </c>
    </row>
    <row r="217" spans="1:11" ht="18.75" customHeight="1" x14ac:dyDescent="0.35">
      <c r="A217" s="116">
        <v>2025</v>
      </c>
      <c r="B217" t="s">
        <v>179</v>
      </c>
      <c r="C217" s="124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85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172</v>
      </c>
      <c r="H217" t="s">
        <v>172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16">
        <v>454</v>
      </c>
    </row>
    <row r="218" spans="1:11" ht="18.75" customHeight="1" x14ac:dyDescent="0.35">
      <c r="A218" s="116">
        <v>2025</v>
      </c>
      <c r="B218" t="s">
        <v>179</v>
      </c>
      <c r="C218" s="124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139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172</v>
      </c>
      <c r="H218" t="s">
        <v>172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16">
        <v>6355532</v>
      </c>
    </row>
    <row r="219" spans="1:11" ht="18.75" customHeight="1" x14ac:dyDescent="0.35">
      <c r="A219" s="116">
        <v>2025</v>
      </c>
      <c r="B219" t="s">
        <v>179</v>
      </c>
      <c r="C219" s="124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110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172</v>
      </c>
      <c r="H219" t="s">
        <v>172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16">
        <v>28520120</v>
      </c>
    </row>
    <row r="220" spans="1:11" ht="18.75" customHeight="1" x14ac:dyDescent="0.35">
      <c r="A220" s="116">
        <v>2025</v>
      </c>
      <c r="B220" t="s">
        <v>179</v>
      </c>
      <c r="C220" s="124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109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172</v>
      </c>
      <c r="H220" t="s">
        <v>172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16">
        <v>1556520</v>
      </c>
    </row>
    <row r="221" spans="1:11" ht="18.75" customHeight="1" x14ac:dyDescent="0.35">
      <c r="A221" s="116">
        <v>2025</v>
      </c>
      <c r="B221" t="s">
        <v>179</v>
      </c>
      <c r="C221" s="124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142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172</v>
      </c>
      <c r="H221" t="s">
        <v>172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16">
        <v>0</v>
      </c>
    </row>
    <row r="222" spans="1:11" ht="18.75" customHeight="1" x14ac:dyDescent="0.35">
      <c r="A222" s="116">
        <v>2025</v>
      </c>
      <c r="B222" t="s">
        <v>179</v>
      </c>
      <c r="C222" s="124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86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172</v>
      </c>
      <c r="H222" t="s">
        <v>172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16">
        <v>95</v>
      </c>
    </row>
    <row r="223" spans="1:11" ht="18.75" customHeight="1" x14ac:dyDescent="0.35">
      <c r="A223" s="116">
        <v>2025</v>
      </c>
      <c r="B223" t="s">
        <v>179</v>
      </c>
      <c r="C223" s="124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188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172</v>
      </c>
      <c r="H223" t="s">
        <v>172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16">
        <v>1</v>
      </c>
    </row>
    <row r="224" spans="1:11" ht="18.75" customHeight="1" x14ac:dyDescent="0.35">
      <c r="A224" s="116">
        <v>2025</v>
      </c>
      <c r="B224" t="s">
        <v>179</v>
      </c>
      <c r="C224" s="124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189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172</v>
      </c>
      <c r="H224" t="s">
        <v>172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16">
        <v>34</v>
      </c>
    </row>
    <row r="225" spans="1:11" ht="18.75" customHeight="1" x14ac:dyDescent="0.35">
      <c r="A225" s="116">
        <v>2025</v>
      </c>
      <c r="B225" t="s">
        <v>179</v>
      </c>
      <c r="C225" s="124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190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172</v>
      </c>
      <c r="H225" t="s">
        <v>172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16">
        <v>0</v>
      </c>
    </row>
    <row r="226" spans="1:11" ht="18.75" customHeight="1" x14ac:dyDescent="0.35">
      <c r="A226" s="116">
        <v>2025</v>
      </c>
      <c r="B226" t="s">
        <v>179</v>
      </c>
      <c r="C226" s="124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90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172</v>
      </c>
      <c r="H226" t="s">
        <v>172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16">
        <v>538368</v>
      </c>
    </row>
    <row r="227" spans="1:11" ht="18.75" customHeight="1" x14ac:dyDescent="0.35">
      <c r="A227" s="116">
        <v>2025</v>
      </c>
      <c r="B227" t="s">
        <v>179</v>
      </c>
      <c r="C227" s="124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84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172</v>
      </c>
      <c r="H227" t="s">
        <v>172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16">
        <v>0</v>
      </c>
    </row>
    <row r="228" spans="1:11" ht="18.75" customHeight="1" x14ac:dyDescent="0.35">
      <c r="A228" s="116">
        <v>2025</v>
      </c>
      <c r="B228" t="s">
        <v>180</v>
      </c>
      <c r="C228" s="124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186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172</v>
      </c>
      <c r="H228" t="s">
        <v>172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16">
        <v>265</v>
      </c>
    </row>
    <row r="229" spans="1:11" ht="18.75" customHeight="1" x14ac:dyDescent="0.35">
      <c r="A229" s="116">
        <v>2025</v>
      </c>
      <c r="B229" t="s">
        <v>180</v>
      </c>
      <c r="C229" s="124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191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172</v>
      </c>
      <c r="H229" t="s">
        <v>172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16">
        <v>247</v>
      </c>
    </row>
    <row r="230" spans="1:11" ht="18.75" customHeight="1" x14ac:dyDescent="0.35">
      <c r="A230" s="116">
        <v>2025</v>
      </c>
      <c r="B230" t="s">
        <v>180</v>
      </c>
      <c r="C230" s="124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187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172</v>
      </c>
      <c r="H230" t="s">
        <v>172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16">
        <v>33</v>
      </c>
    </row>
    <row r="231" spans="1:11" ht="18.75" customHeight="1" x14ac:dyDescent="0.35">
      <c r="A231" s="116">
        <v>2025</v>
      </c>
      <c r="B231" t="s">
        <v>180</v>
      </c>
      <c r="C231" s="124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85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172</v>
      </c>
      <c r="H231" t="s">
        <v>172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16">
        <v>594</v>
      </c>
    </row>
    <row r="232" spans="1:11" ht="18.75" customHeight="1" x14ac:dyDescent="0.35">
      <c r="A232" s="116">
        <v>2025</v>
      </c>
      <c r="B232" t="s">
        <v>180</v>
      </c>
      <c r="C232" s="124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139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172</v>
      </c>
      <c r="H232" t="s">
        <v>172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16">
        <v>286250</v>
      </c>
    </row>
    <row r="233" spans="1:11" ht="18.75" customHeight="1" x14ac:dyDescent="0.35">
      <c r="A233" s="116">
        <v>2025</v>
      </c>
      <c r="B233" t="s">
        <v>180</v>
      </c>
      <c r="C233" s="124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110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172</v>
      </c>
      <c r="H233" t="s">
        <v>172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16">
        <v>35365010</v>
      </c>
    </row>
    <row r="234" spans="1:11" ht="18.75" customHeight="1" x14ac:dyDescent="0.35">
      <c r="A234" s="116">
        <v>2025</v>
      </c>
      <c r="B234" t="s">
        <v>180</v>
      </c>
      <c r="C234" s="124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109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172</v>
      </c>
      <c r="H234" t="s">
        <v>172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16">
        <v>1941059</v>
      </c>
    </row>
    <row r="235" spans="1:11" ht="18.75" customHeight="1" x14ac:dyDescent="0.35">
      <c r="A235" s="116">
        <v>2025</v>
      </c>
      <c r="B235" t="s">
        <v>180</v>
      </c>
      <c r="C235" s="124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142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172</v>
      </c>
      <c r="H235" t="s">
        <v>172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16">
        <v>82787653</v>
      </c>
    </row>
    <row r="236" spans="1:11" ht="18.75" customHeight="1" x14ac:dyDescent="0.35">
      <c r="A236" s="116">
        <v>2025</v>
      </c>
      <c r="B236" t="s">
        <v>180</v>
      </c>
      <c r="C236" s="124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86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172</v>
      </c>
      <c r="H236" t="s">
        <v>172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16">
        <v>70</v>
      </c>
    </row>
    <row r="237" spans="1:11" ht="18.75" customHeight="1" x14ac:dyDescent="0.35">
      <c r="A237" s="116">
        <v>2025</v>
      </c>
      <c r="B237" t="s">
        <v>180</v>
      </c>
      <c r="C237" s="124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188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172</v>
      </c>
      <c r="H237" t="s">
        <v>172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16">
        <v>3</v>
      </c>
    </row>
    <row r="238" spans="1:11" ht="18.75" customHeight="1" x14ac:dyDescent="0.35">
      <c r="A238" s="116">
        <v>2025</v>
      </c>
      <c r="B238" t="s">
        <v>180</v>
      </c>
      <c r="C238" s="124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189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172</v>
      </c>
      <c r="H238" t="s">
        <v>172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16">
        <v>36</v>
      </c>
    </row>
    <row r="239" spans="1:11" ht="18.75" customHeight="1" x14ac:dyDescent="0.35">
      <c r="A239" s="116">
        <v>2025</v>
      </c>
      <c r="B239" t="s">
        <v>180</v>
      </c>
      <c r="C239" s="124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190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172</v>
      </c>
      <c r="H239" t="s">
        <v>172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16">
        <v>11</v>
      </c>
    </row>
    <row r="240" spans="1:11" ht="18.75" customHeight="1" x14ac:dyDescent="0.35">
      <c r="A240" s="116">
        <v>2025</v>
      </c>
      <c r="B240" t="s">
        <v>180</v>
      </c>
      <c r="C240" s="124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90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172</v>
      </c>
      <c r="H240" t="s">
        <v>172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16">
        <v>1028953</v>
      </c>
    </row>
    <row r="241" spans="1:11" ht="18.75" customHeight="1" x14ac:dyDescent="0.35">
      <c r="A241" s="116">
        <v>2025</v>
      </c>
      <c r="B241" t="s">
        <v>180</v>
      </c>
      <c r="C241" s="124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84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172</v>
      </c>
      <c r="H241" t="s">
        <v>172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ht="18.75" customHeight="1" x14ac:dyDescent="0.35">
      <c r="A242" s="116">
        <v>2025</v>
      </c>
      <c r="B242" t="s">
        <v>181</v>
      </c>
      <c r="C242" s="124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186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172</v>
      </c>
      <c r="H242" t="s">
        <v>172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16">
        <v>367</v>
      </c>
    </row>
    <row r="243" spans="1:11" ht="18.75" customHeight="1" x14ac:dyDescent="0.35">
      <c r="A243" s="116">
        <v>2025</v>
      </c>
      <c r="B243" t="s">
        <v>181</v>
      </c>
      <c r="C243" s="124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191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172</v>
      </c>
      <c r="H243" t="s">
        <v>172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16">
        <v>81</v>
      </c>
    </row>
    <row r="244" spans="1:11" ht="18.75" customHeight="1" x14ac:dyDescent="0.35">
      <c r="A244" s="116">
        <v>2025</v>
      </c>
      <c r="B244" t="s">
        <v>181</v>
      </c>
      <c r="C244" s="124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187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172</v>
      </c>
      <c r="H244" t="s">
        <v>172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16">
        <v>9</v>
      </c>
    </row>
    <row r="245" spans="1:11" ht="18.75" customHeight="1" x14ac:dyDescent="0.35">
      <c r="A245" s="116">
        <v>2025</v>
      </c>
      <c r="B245" t="s">
        <v>181</v>
      </c>
      <c r="C245" s="124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85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172</v>
      </c>
      <c r="H245" t="s">
        <v>172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16">
        <v>546</v>
      </c>
    </row>
    <row r="246" spans="1:11" ht="18.75" customHeight="1" x14ac:dyDescent="0.35">
      <c r="A246" s="116">
        <v>2025</v>
      </c>
      <c r="B246" t="s">
        <v>181</v>
      </c>
      <c r="C246" s="124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139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172</v>
      </c>
      <c r="H246" t="s">
        <v>172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ht="18.75" customHeight="1" x14ac:dyDescent="0.35">
      <c r="A247" s="116">
        <v>2025</v>
      </c>
      <c r="B247" t="s">
        <v>181</v>
      </c>
      <c r="C247" s="124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110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172</v>
      </c>
      <c r="H247" t="s">
        <v>172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16">
        <v>37871394</v>
      </c>
    </row>
    <row r="248" spans="1:11" ht="18.75" customHeight="1" x14ac:dyDescent="0.35">
      <c r="A248" s="116">
        <v>2025</v>
      </c>
      <c r="B248" t="s">
        <v>181</v>
      </c>
      <c r="C248" s="124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109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172</v>
      </c>
      <c r="H248" t="s">
        <v>172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16">
        <v>2205924</v>
      </c>
    </row>
    <row r="249" spans="1:11" ht="18.75" customHeight="1" x14ac:dyDescent="0.35">
      <c r="A249" s="116">
        <v>2025</v>
      </c>
      <c r="B249" t="s">
        <v>181</v>
      </c>
      <c r="C249" s="124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142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172</v>
      </c>
      <c r="H249" t="s">
        <v>172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16">
        <v>78269553</v>
      </c>
    </row>
    <row r="250" spans="1:11" ht="18.75" customHeight="1" x14ac:dyDescent="0.35">
      <c r="A250" s="116">
        <v>2025</v>
      </c>
      <c r="B250" t="s">
        <v>181</v>
      </c>
      <c r="C250" s="124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86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172</v>
      </c>
      <c r="H250" t="s">
        <v>172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16">
        <v>94</v>
      </c>
    </row>
    <row r="251" spans="1:11" ht="18.75" customHeight="1" x14ac:dyDescent="0.35">
      <c r="A251" s="116">
        <v>2025</v>
      </c>
      <c r="B251" t="s">
        <v>181</v>
      </c>
      <c r="C251" s="124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188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172</v>
      </c>
      <c r="H251" t="s">
        <v>172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16">
        <v>5</v>
      </c>
    </row>
    <row r="252" spans="1:11" ht="18.75" customHeight="1" x14ac:dyDescent="0.35">
      <c r="A252" s="116">
        <v>2025</v>
      </c>
      <c r="B252" t="s">
        <v>181</v>
      </c>
      <c r="C252" s="124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189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172</v>
      </c>
      <c r="H252" t="s">
        <v>172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16">
        <v>87</v>
      </c>
    </row>
    <row r="253" spans="1:11" ht="18.75" customHeight="1" x14ac:dyDescent="0.35">
      <c r="A253" s="116">
        <v>2025</v>
      </c>
      <c r="B253" t="s">
        <v>181</v>
      </c>
      <c r="C253" s="124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190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172</v>
      </c>
      <c r="H253" t="s">
        <v>172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16">
        <v>5</v>
      </c>
    </row>
    <row r="254" spans="1:11" ht="18.75" customHeight="1" x14ac:dyDescent="0.35">
      <c r="A254" s="116">
        <v>2025</v>
      </c>
      <c r="B254" t="s">
        <v>181</v>
      </c>
      <c r="C254" s="124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90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172</v>
      </c>
      <c r="H254" t="s">
        <v>172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16">
        <v>412565</v>
      </c>
    </row>
    <row r="255" spans="1:11" ht="18.75" customHeight="1" x14ac:dyDescent="0.35">
      <c r="A255" s="116">
        <v>2025</v>
      </c>
      <c r="B255" t="s">
        <v>181</v>
      </c>
      <c r="C255" s="124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84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172</v>
      </c>
      <c r="H255" t="s">
        <v>172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ht="18.75" customHeight="1" x14ac:dyDescent="0.35">
      <c r="C256" s="124" t="str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/>
      </c>
      <c r="E256" t="str">
        <f>+IFERROR(VLOOKUP(Fact_Control_Operaciones[[#This Row], [Concepto Anterior]],Conceptos_Control_Operaciones[#All],5,0),"")</f>
        <v/>
      </c>
      <c r="F256" t="str">
        <f>+IFERROR(VLOOKUP(Fact_Control_Operaciones[[#This Row], 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ht="18.75" customHeight="1" x14ac:dyDescent="0.35">
      <c r="C257" s="124" t="str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/>
      </c>
      <c r="E257" t="str">
        <f>+IFERROR(VLOOKUP(Fact_Control_Operaciones[[#This Row], [Concepto Anterior]],Conceptos_Control_Operaciones[#All],5,0),"")</f>
        <v/>
      </c>
      <c r="F257" t="str">
        <f>+IFERROR(VLOOKUP(Fact_Control_Operaciones[[#This Row], 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ht="18.75" customHeight="1" x14ac:dyDescent="0.35">
      <c r="C258" s="124" t="str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/>
      </c>
      <c r="E258" t="str">
        <f>+IFERROR(VLOOKUP(Fact_Control_Operaciones[[#This Row], [Concepto Anterior]],Conceptos_Control_Operaciones[#All],5,0),"")</f>
        <v/>
      </c>
      <c r="F258" t="str">
        <f>+IFERROR(VLOOKUP(Fact_Control_Operaciones[[#This Row], 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ht="18.75" customHeight="1" x14ac:dyDescent="0.35">
      <c r="C259" s="124" t="str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/>
      </c>
      <c r="E259" t="str">
        <f>+IFERROR(VLOOKUP(Fact_Control_Operaciones[[#This Row], [Concepto Anterior]],Conceptos_Control_Operaciones[#All],5,0),"")</f>
        <v/>
      </c>
      <c r="F259" t="str">
        <f>+IFERROR(VLOOKUP(Fact_Control_Operaciones[[#This Row], 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ht="18.75" customHeight="1" x14ac:dyDescent="0.35">
      <c r="C260" s="124" t="str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/>
      </c>
      <c r="E260" t="str">
        <f>+IFERROR(VLOOKUP(Fact_Control_Operaciones[[#This Row], [Concepto Anterior]],Conceptos_Control_Operaciones[#All],5,0),"")</f>
        <v/>
      </c>
      <c r="F260" t="str">
        <f>+IFERROR(VLOOKUP(Fact_Control_Operaciones[[#This Row], 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ht="18.75" customHeight="1" x14ac:dyDescent="0.35">
      <c r="C261" s="124" t="str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/>
      </c>
      <c r="E261" t="str">
        <f>+IFERROR(VLOOKUP(Fact_Control_Operaciones[[#This Row], [Concepto Anterior]],Conceptos_Control_Operaciones[#All],5,0),"")</f>
        <v/>
      </c>
      <c r="F261" t="str">
        <f>+IFERROR(VLOOKUP(Fact_Control_Operaciones[[#This Row], 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ht="18.75" customHeight="1" x14ac:dyDescent="0.35">
      <c r="C262" s="124" t="str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/>
      </c>
      <c r="E262" t="str">
        <f>+IFERROR(VLOOKUP(Fact_Control_Operaciones[[#This Row], [Concepto Anterior]],Conceptos_Control_Operaciones[#All],5,0),"")</f>
        <v/>
      </c>
      <c r="F262" t="str">
        <f>+IFERROR(VLOOKUP(Fact_Control_Operaciones[[#This Row], 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ht="18.75" customHeight="1" x14ac:dyDescent="0.35">
      <c r="C263" s="124" t="str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/>
      </c>
      <c r="E263" t="str">
        <f>+IFERROR(VLOOKUP(Fact_Control_Operaciones[[#This Row], [Concepto Anterior]],Conceptos_Control_Operaciones[#All],5,0),"")</f>
        <v/>
      </c>
      <c r="F263" t="str">
        <f>+IFERROR(VLOOKUP(Fact_Control_Operaciones[[#This Row], 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ht="18.75" customHeight="1" x14ac:dyDescent="0.35">
      <c r="C264" s="124" t="str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/>
      </c>
      <c r="E264" t="str">
        <f>+IFERROR(VLOOKUP(Fact_Control_Operaciones[[#This Row], [Concepto Anterior]],Conceptos_Control_Operaciones[#All],5,0),"")</f>
        <v/>
      </c>
      <c r="F264" t="str">
        <f>+IFERROR(VLOOKUP(Fact_Control_Operaciones[[#This Row], 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ht="18.75" customHeight="1" x14ac:dyDescent="0.35">
      <c r="C265" s="124" t="str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/>
      </c>
      <c r="E265" t="str">
        <f>+IFERROR(VLOOKUP(Fact_Control_Operaciones[[#This Row], [Concepto Anterior]],Conceptos_Control_Operaciones[#All],5,0),"")</f>
        <v/>
      </c>
      <c r="F265" t="str">
        <f>+IFERROR(VLOOKUP(Fact_Control_Operaciones[[#This Row], 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ht="18.75" customHeight="1" x14ac:dyDescent="0.35">
      <c r="C266" s="124" t="str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/>
      </c>
      <c r="E266" t="str">
        <f>+IFERROR(VLOOKUP(Fact_Control_Operaciones[[#This Row], [Concepto Anterior]],Conceptos_Control_Operaciones[#All],5,0),"")</f>
        <v/>
      </c>
      <c r="F266" t="str">
        <f>+IFERROR(VLOOKUP(Fact_Control_Operaciones[[#This Row], 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ht="18.75" customHeight="1" x14ac:dyDescent="0.35">
      <c r="C267" s="124" t="str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/>
      </c>
      <c r="E267" t="str">
        <f>+IFERROR(VLOOKUP(Fact_Control_Operaciones[[#This Row], [Concepto Anterior]],Conceptos_Control_Operaciones[#All],5,0),"")</f>
        <v/>
      </c>
      <c r="F267" t="str">
        <f>+IFERROR(VLOOKUP(Fact_Control_Operaciones[[#This Row], 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ht="18.75" customHeight="1" x14ac:dyDescent="0.35">
      <c r="C268" s="124" t="str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/>
      </c>
      <c r="E268" t="str">
        <f>+IFERROR(VLOOKUP(Fact_Control_Operaciones[[#This Row], [Concepto Anterior]],Conceptos_Control_Operaciones[#All],5,0),"")</f>
        <v/>
      </c>
      <c r="F268" t="str">
        <f>+IFERROR(VLOOKUP(Fact_Control_Operaciones[[#This Row], 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ht="18.75" customHeight="1" x14ac:dyDescent="0.35">
      <c r="C269" s="124" t="str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/>
      </c>
      <c r="E269" t="str">
        <f>+IFERROR(VLOOKUP(Fact_Control_Operaciones[[#This Row], [Concepto Anterior]],Conceptos_Control_Operaciones[#All],5,0),"")</f>
        <v/>
      </c>
      <c r="F269" t="str">
        <f>+IFERROR(VLOOKUP(Fact_Control_Operaciones[[#This Row], 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ht="18.75" customHeight="1" x14ac:dyDescent="0.35">
      <c r="C270" s="124" t="str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/>
      </c>
      <c r="E270" t="str">
        <f>+IFERROR(VLOOKUP(Fact_Control_Operaciones[[#This Row], [Concepto Anterior]],Conceptos_Control_Operaciones[#All],5,0),"")</f>
        <v/>
      </c>
      <c r="F270" t="str">
        <f>+IFERROR(VLOOKUP(Fact_Control_Operaciones[[#This Row], 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ht="18.75" customHeight="1" x14ac:dyDescent="0.35">
      <c r="C271" s="124" t="str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/>
      </c>
      <c r="E271" t="str">
        <f>+IFERROR(VLOOKUP(Fact_Control_Operaciones[[#This Row], [Concepto Anterior]],Conceptos_Control_Operaciones[#All],5,0),"")</f>
        <v/>
      </c>
      <c r="F271" t="str">
        <f>+IFERROR(VLOOKUP(Fact_Control_Operaciones[[#This Row], 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ht="18.75" customHeight="1" x14ac:dyDescent="0.35">
      <c r="C272" s="124" t="str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/>
      </c>
      <c r="E272" t="str">
        <f>+IFERROR(VLOOKUP(Fact_Control_Operaciones[[#This Row], [Concepto Anterior]],Conceptos_Control_Operaciones[#All],5,0),"")</f>
        <v/>
      </c>
      <c r="F272" t="str">
        <f>+IFERROR(VLOOKUP(Fact_Control_Operaciones[[#This Row], 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ht="18.75" customHeight="1" x14ac:dyDescent="0.35">
      <c r="C273" s="124" t="str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/>
      </c>
      <c r="E273" t="str">
        <f>+IFERROR(VLOOKUP(Fact_Control_Operaciones[[#This Row], [Concepto Anterior]],Conceptos_Control_Operaciones[#All],5,0),"")</f>
        <v/>
      </c>
      <c r="F273" t="str">
        <f>+IFERROR(VLOOKUP(Fact_Control_Operaciones[[#This Row], 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ht="18.75" customHeight="1" x14ac:dyDescent="0.35">
      <c r="C274" s="124" t="str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/>
      </c>
      <c r="E274" t="str">
        <f>+IFERROR(VLOOKUP(Fact_Control_Operaciones[[#This Row], [Concepto Anterior]],Conceptos_Control_Operaciones[#All],5,0),"")</f>
        <v/>
      </c>
      <c r="F274" t="str">
        <f>+IFERROR(VLOOKUP(Fact_Control_Operaciones[[#This Row], 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ht="18.75" customHeight="1" x14ac:dyDescent="0.35">
      <c r="C275" s="124" t="str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/>
      </c>
      <c r="E275" t="str">
        <f>+IFERROR(VLOOKUP(Fact_Control_Operaciones[[#This Row], [Concepto Anterior]],Conceptos_Control_Operaciones[#All],5,0),"")</f>
        <v/>
      </c>
      <c r="F275" t="str">
        <f>+IFERROR(VLOOKUP(Fact_Control_Operaciones[[#This Row], 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ht="18.75" customHeight="1" x14ac:dyDescent="0.35">
      <c r="C276" s="124" t="str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/>
      </c>
      <c r="E276" t="str">
        <f>+IFERROR(VLOOKUP(Fact_Control_Operaciones[[#This Row], [Concepto Anterior]],Conceptos_Control_Operaciones[#All],5,0),"")</f>
        <v/>
      </c>
      <c r="F276" t="str">
        <f>+IFERROR(VLOOKUP(Fact_Control_Operaciones[[#This Row], 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ht="18.75" customHeight="1" x14ac:dyDescent="0.35">
      <c r="C277" s="124" t="str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/>
      </c>
      <c r="E277" t="str">
        <f>+IFERROR(VLOOKUP(Fact_Control_Operaciones[[#This Row], [Concepto Anterior]],Conceptos_Control_Operaciones[#All],5,0),"")</f>
        <v/>
      </c>
      <c r="F277" t="str">
        <f>+IFERROR(VLOOKUP(Fact_Control_Operaciones[[#This Row], 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ht="18.75" customHeight="1" x14ac:dyDescent="0.35">
      <c r="C278" s="124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ht="18.75" customHeight="1" x14ac:dyDescent="0.35">
      <c r="C279" s="124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ht="18.75" customHeight="1" x14ac:dyDescent="0.35">
      <c r="C280" s="124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ht="18.75" customHeight="1" x14ac:dyDescent="0.35">
      <c r="C281" s="124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ht="18.75" customHeight="1" x14ac:dyDescent="0.35">
      <c r="C282" s="124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ht="18.75" customHeight="1" x14ac:dyDescent="0.35">
      <c r="C283" s="124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ht="18.75" customHeight="1" x14ac:dyDescent="0.35">
      <c r="C284" s="124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ht="18.75" customHeight="1" x14ac:dyDescent="0.35">
      <c r="C285" s="124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ht="18.75" customHeight="1" x14ac:dyDescent="0.35">
      <c r="C286" s="124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ht="18.75" customHeight="1" x14ac:dyDescent="0.35">
      <c r="C287" s="124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ht="18.75" customHeight="1" x14ac:dyDescent="0.35">
      <c r="C288" s="124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ht="18.75" customHeight="1" x14ac:dyDescent="0.35">
      <c r="C289" s="124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ht="18.75" customHeight="1" x14ac:dyDescent="0.35">
      <c r="C290" s="124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ht="18.75" customHeight="1" x14ac:dyDescent="0.35">
      <c r="C291" s="124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ht="18.75" customHeight="1" x14ac:dyDescent="0.35">
      <c r="C292" s="124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ht="18.75" customHeight="1" x14ac:dyDescent="0.35">
      <c r="C293" s="124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ht="18.75" customHeight="1" x14ac:dyDescent="0.35">
      <c r="C294" s="124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ht="18.75" customHeight="1" x14ac:dyDescent="0.35">
      <c r="C295" s="124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ht="18.75" customHeight="1" x14ac:dyDescent="0.35">
      <c r="C296" s="124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ht="18.75" customHeight="1" x14ac:dyDescent="0.35">
      <c r="C297" s="124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ht="18.75" customHeight="1" x14ac:dyDescent="0.35">
      <c r="C298" s="124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ht="18.75" customHeight="1" x14ac:dyDescent="0.35">
      <c r="C299" s="124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ht="18.75" customHeight="1" x14ac:dyDescent="0.35">
      <c r="C300" s="124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ht="18.75" customHeight="1" x14ac:dyDescent="0.35">
      <c r="C301" s="124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ht="18.75" customHeight="1" x14ac:dyDescent="0.35">
      <c r="C302" s="124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ht="18.75" customHeight="1" x14ac:dyDescent="0.35">
      <c r="C303" s="124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ht="18.75" customHeight="1" x14ac:dyDescent="0.35">
      <c r="C304" s="124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ht="18.75" customHeight="1" x14ac:dyDescent="0.35">
      <c r="C305" s="124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ht="18.75" customHeight="1" x14ac:dyDescent="0.35">
      <c r="C306" s="124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ht="18.75" customHeight="1" x14ac:dyDescent="0.35">
      <c r="C307" s="124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ht="18.75" customHeight="1" x14ac:dyDescent="0.35">
      <c r="C308" s="124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ht="18.75" customHeight="1" x14ac:dyDescent="0.35">
      <c r="C309" s="124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ht="18.75" customHeight="1" x14ac:dyDescent="0.35">
      <c r="C310" s="124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ht="18.75" customHeight="1" x14ac:dyDescent="0.35">
      <c r="C311" s="124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ht="18.75" customHeight="1" x14ac:dyDescent="0.35">
      <c r="C312" s="124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ht="18.75" customHeight="1" x14ac:dyDescent="0.35">
      <c r="C313" s="124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ht="18.75" customHeight="1" x14ac:dyDescent="0.35">
      <c r="C314" s="124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ht="18.75" customHeight="1" x14ac:dyDescent="0.35">
      <c r="C315" s="124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ht="18.75" customHeight="1" x14ac:dyDescent="0.35">
      <c r="C316" s="124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ht="18.75" customHeight="1" x14ac:dyDescent="0.35">
      <c r="C317" s="124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ht="18.75" customHeight="1" x14ac:dyDescent="0.35">
      <c r="C318" s="124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ht="18.75" customHeight="1" x14ac:dyDescent="0.35">
      <c r="C319" s="124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ht="18.75" customHeight="1" x14ac:dyDescent="0.35">
      <c r="C320" s="124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ht="18.75" customHeight="1" x14ac:dyDescent="0.35">
      <c r="C321" s="124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ht="18.75" customHeight="1" x14ac:dyDescent="0.35">
      <c r="C322" s="124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ht="18.75" customHeight="1" x14ac:dyDescent="0.35">
      <c r="C323" s="124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ht="18.75" customHeight="1" x14ac:dyDescent="0.35">
      <c r="C324" s="124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ht="18.75" customHeight="1" x14ac:dyDescent="0.35">
      <c r="C325" s="124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ht="18.75" customHeight="1" x14ac:dyDescent="0.35">
      <c r="C326" s="124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ht="18.75" customHeight="1" x14ac:dyDescent="0.35">
      <c r="C327" s="124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ht="18.75" customHeight="1" x14ac:dyDescent="0.35">
      <c r="C328" s="124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ht="18.75" customHeight="1" x14ac:dyDescent="0.35">
      <c r="C329" s="124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ht="18.75" customHeight="1" x14ac:dyDescent="0.35">
      <c r="C330" s="124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ht="18.75" customHeight="1" x14ac:dyDescent="0.35">
      <c r="C331" s="124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ht="18.75" customHeight="1" x14ac:dyDescent="0.35">
      <c r="C332" s="124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ht="18.75" customHeight="1" x14ac:dyDescent="0.35">
      <c r="C333" s="124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ht="18.75" customHeight="1" x14ac:dyDescent="0.35">
      <c r="C334" s="124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ht="18.75" customHeight="1" x14ac:dyDescent="0.35">
      <c r="C335" s="124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ht="18.75" customHeight="1" x14ac:dyDescent="0.35">
      <c r="C336" s="124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ht="18.75" customHeight="1" x14ac:dyDescent="0.35">
      <c r="C337" s="124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ht="18.75" customHeight="1" x14ac:dyDescent="0.35">
      <c r="C338" s="124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ht="18.75" customHeight="1" x14ac:dyDescent="0.35">
      <c r="C339" s="124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ht="18.75" customHeight="1" x14ac:dyDescent="0.35">
      <c r="C340" s="124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ht="18.75" customHeight="1" x14ac:dyDescent="0.35">
      <c r="C341" s="124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ht="18.75" customHeight="1" x14ac:dyDescent="0.35">
      <c r="C342" s="124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ht="18.75" customHeight="1" x14ac:dyDescent="0.35">
      <c r="C343" s="124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ht="18.75" customHeight="1" x14ac:dyDescent="0.35">
      <c r="C344" s="124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ht="18.75" customHeight="1" x14ac:dyDescent="0.35">
      <c r="C345" s="124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ht="18.75" customHeight="1" x14ac:dyDescent="0.35">
      <c r="C346" s="124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ht="18.75" customHeight="1" x14ac:dyDescent="0.35">
      <c r="C347" s="124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ht="18.75" customHeight="1" x14ac:dyDescent="0.35">
      <c r="C348" s="124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ht="18.75" customHeight="1" x14ac:dyDescent="0.35">
      <c r="C349" s="124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ht="18.75" customHeight="1" x14ac:dyDescent="0.35">
      <c r="C350" s="124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ht="18.75" customHeight="1" x14ac:dyDescent="0.35">
      <c r="C351" s="124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ht="18.75" customHeight="1" x14ac:dyDescent="0.35">
      <c r="C352" s="124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ht="18.75" customHeight="1" x14ac:dyDescent="0.35">
      <c r="C353" s="124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ht="18.75" customHeight="1" x14ac:dyDescent="0.35">
      <c r="C354" s="124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ht="18.75" customHeight="1" x14ac:dyDescent="0.35">
      <c r="C355" s="124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ht="18.75" customHeight="1" x14ac:dyDescent="0.35">
      <c r="C356" s="124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ht="18.75" customHeight="1" x14ac:dyDescent="0.35">
      <c r="C357" s="124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ht="18.75" customHeight="1" x14ac:dyDescent="0.35">
      <c r="C358" s="124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ht="18.75" customHeight="1" x14ac:dyDescent="0.35">
      <c r="C359" s="124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ht="18.75" customHeight="1" x14ac:dyDescent="0.35">
      <c r="C360" s="124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ht="18.75" customHeight="1" x14ac:dyDescent="0.35">
      <c r="C361" s="124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ht="18.75" customHeight="1" x14ac:dyDescent="0.35">
      <c r="C362" s="124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ht="18.75" customHeight="1" x14ac:dyDescent="0.35">
      <c r="C363" s="124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ht="18.75" customHeight="1" x14ac:dyDescent="0.35">
      <c r="C364" s="124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ht="18.75" customHeight="1" x14ac:dyDescent="0.35">
      <c r="C365" s="124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ht="18.75" customHeight="1" x14ac:dyDescent="0.35">
      <c r="C366" s="124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ht="18.75" customHeight="1" x14ac:dyDescent="0.35">
      <c r="C367" s="124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ht="18.75" customHeight="1" x14ac:dyDescent="0.35">
      <c r="C368" s="124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ht="18.75" customHeight="1" x14ac:dyDescent="0.35">
      <c r="C369" s="124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ht="18.75" customHeight="1" x14ac:dyDescent="0.35">
      <c r="C370" s="124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ht="18.75" customHeight="1" x14ac:dyDescent="0.35">
      <c r="C371" s="124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ht="18.75" customHeight="1" x14ac:dyDescent="0.35">
      <c r="C372" s="124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ht="18.75" customHeight="1" x14ac:dyDescent="0.35">
      <c r="C373" s="124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ht="18.75" customHeight="1" x14ac:dyDescent="0.35">
      <c r="C374" s="124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ht="18.75" customHeight="1" x14ac:dyDescent="0.35">
      <c r="C375" s="124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ht="18.75" customHeight="1" x14ac:dyDescent="0.35">
      <c r="C376" s="124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ht="18.75" customHeight="1" x14ac:dyDescent="0.35">
      <c r="C377" s="124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ht="18.75" customHeight="1" x14ac:dyDescent="0.35">
      <c r="C378" s="124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ht="18.75" customHeight="1" x14ac:dyDescent="0.35">
      <c r="C379" s="124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ht="18.75" customHeight="1" x14ac:dyDescent="0.35">
      <c r="C380" s="124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ht="18.75" customHeight="1" x14ac:dyDescent="0.35">
      <c r="C381" s="124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ht="18.75" customHeight="1" x14ac:dyDescent="0.35">
      <c r="C382" s="124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ht="18.75" customHeight="1" x14ac:dyDescent="0.35">
      <c r="C383" s="124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ht="18.75" customHeight="1" x14ac:dyDescent="0.35">
      <c r="C384" s="124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ht="18.75" customHeight="1" x14ac:dyDescent="0.35">
      <c r="C385" s="124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ht="18.75" customHeight="1" x14ac:dyDescent="0.35">
      <c r="C386" s="124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ht="18.75" customHeight="1" x14ac:dyDescent="0.35">
      <c r="C387" s="124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ht="18.75" customHeight="1" x14ac:dyDescent="0.35">
      <c r="C388" s="124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ht="18.75" customHeight="1" x14ac:dyDescent="0.35">
      <c r="C389" s="124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ht="18.75" customHeight="1" x14ac:dyDescent="0.35">
      <c r="C390" s="124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ht="18.75" customHeight="1" x14ac:dyDescent="0.35">
      <c r="C391" s="124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ht="18.75" customHeight="1" x14ac:dyDescent="0.35">
      <c r="C392" s="124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ht="18.75" customHeight="1" x14ac:dyDescent="0.35">
      <c r="C393" s="124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ht="18.75" customHeight="1" x14ac:dyDescent="0.35">
      <c r="C394" s="124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ht="18.75" customHeight="1" x14ac:dyDescent="0.35">
      <c r="C395" s="124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ht="18.75" customHeight="1" x14ac:dyDescent="0.35">
      <c r="C396" s="124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ht="18.75" customHeight="1" x14ac:dyDescent="0.35">
      <c r="C397" s="124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ht="18.75" customHeight="1" x14ac:dyDescent="0.35">
      <c r="C398" s="124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ht="18.75" customHeight="1" x14ac:dyDescent="0.35">
      <c r="C399" s="124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ht="18.75" customHeight="1" x14ac:dyDescent="0.35">
      <c r="C400" s="124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ht="18.75" customHeight="1" x14ac:dyDescent="0.35">
      <c r="C401" s="124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ht="18.75" customHeight="1" x14ac:dyDescent="0.35">
      <c r="C402" s="124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ht="18.75" customHeight="1" x14ac:dyDescent="0.35">
      <c r="C403" s="124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ht="18.75" customHeight="1" x14ac:dyDescent="0.35">
      <c r="C404" s="124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ht="18.75" customHeight="1" x14ac:dyDescent="0.35">
      <c r="C405" s="124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ht="18.75" customHeight="1" x14ac:dyDescent="0.35">
      <c r="C406" s="124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ht="18.75" customHeight="1" x14ac:dyDescent="0.35">
      <c r="C407" s="124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ht="18.75" customHeight="1" x14ac:dyDescent="0.35">
      <c r="C408" s="124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ht="18.75" customHeight="1" x14ac:dyDescent="0.35">
      <c r="C409" s="124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ht="18.75" customHeight="1" x14ac:dyDescent="0.35">
      <c r="C410" s="124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ht="18.75" customHeight="1" x14ac:dyDescent="0.35">
      <c r="C411" s="124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ht="18.75" customHeight="1" x14ac:dyDescent="0.35">
      <c r="C412" s="124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ht="18.75" customHeight="1" x14ac:dyDescent="0.35">
      <c r="C413" s="124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ht="18.75" customHeight="1" x14ac:dyDescent="0.35">
      <c r="C414" s="124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ht="18.75" customHeight="1" x14ac:dyDescent="0.35">
      <c r="C415" s="124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ht="18.75" customHeight="1" x14ac:dyDescent="0.35">
      <c r="C416" s="124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ht="18.75" customHeight="1" x14ac:dyDescent="0.35">
      <c r="C417" s="124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ht="18.75" customHeight="1" x14ac:dyDescent="0.35">
      <c r="C418" s="124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ht="18.75" customHeight="1" x14ac:dyDescent="0.35">
      <c r="C419" s="124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ht="18.75" customHeight="1" x14ac:dyDescent="0.35">
      <c r="C420" s="124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ht="18.75" customHeight="1" x14ac:dyDescent="0.35">
      <c r="C421" s="124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ht="18.75" customHeight="1" x14ac:dyDescent="0.35">
      <c r="C422" s="124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ht="18.75" customHeight="1" x14ac:dyDescent="0.35">
      <c r="C423" s="124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ht="18.75" customHeight="1" x14ac:dyDescent="0.35">
      <c r="C424" s="124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ht="18.75" customHeight="1" x14ac:dyDescent="0.35">
      <c r="C425" s="124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ht="18.75" customHeight="1" x14ac:dyDescent="0.35">
      <c r="C426" s="124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ht="18.75" customHeight="1" x14ac:dyDescent="0.35">
      <c r="C427" s="124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ht="18.75" customHeight="1" x14ac:dyDescent="0.35">
      <c r="C428" s="124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ht="18.75" customHeight="1" x14ac:dyDescent="0.35">
      <c r="C429" s="124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ht="18.75" customHeight="1" x14ac:dyDescent="0.35">
      <c r="C430" s="124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ht="18.75" customHeight="1" x14ac:dyDescent="0.35">
      <c r="C431" s="124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ht="18.75" customHeight="1" x14ac:dyDescent="0.35">
      <c r="C432" s="124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ht="18.75" customHeight="1" x14ac:dyDescent="0.35">
      <c r="C433" s="124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ht="18.75" customHeight="1" x14ac:dyDescent="0.35">
      <c r="C434" s="124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ht="18.75" customHeight="1" x14ac:dyDescent="0.35">
      <c r="C435" s="124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ht="18.75" customHeight="1" x14ac:dyDescent="0.35">
      <c r="C436" s="124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ht="18.75" customHeight="1" x14ac:dyDescent="0.35">
      <c r="C437" s="124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ht="18.75" customHeight="1" x14ac:dyDescent="0.35">
      <c r="C438" s="124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ht="18.75" customHeight="1" x14ac:dyDescent="0.35">
      <c r="C439" s="124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ht="18.75" customHeight="1" x14ac:dyDescent="0.35">
      <c r="C440" s="124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ht="18.75" customHeight="1" x14ac:dyDescent="0.35">
      <c r="C441" s="124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ht="18.75" customHeight="1" x14ac:dyDescent="0.35">
      <c r="C442" s="124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ht="18.75" customHeight="1" x14ac:dyDescent="0.35">
      <c r="C443" s="124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ht="18.75" customHeight="1" x14ac:dyDescent="0.35">
      <c r="C444" s="124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ht="18.75" customHeight="1" x14ac:dyDescent="0.35">
      <c r="C445" s="124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ht="18.75" customHeight="1" x14ac:dyDescent="0.35">
      <c r="C446" s="124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ht="18.75" customHeight="1" x14ac:dyDescent="0.35">
      <c r="C447" s="124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ht="18.75" customHeight="1" x14ac:dyDescent="0.35">
      <c r="C448" s="124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ht="18.75" customHeight="1" x14ac:dyDescent="0.35">
      <c r="C449" s="124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ht="18.75" customHeight="1" x14ac:dyDescent="0.35">
      <c r="C450" s="124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ht="18.75" customHeight="1" x14ac:dyDescent="0.35">
      <c r="C451" s="124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ht="18.75" customHeight="1" x14ac:dyDescent="0.35">
      <c r="C452" s="124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ht="18.75" customHeight="1" x14ac:dyDescent="0.35">
      <c r="C453" s="124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ht="18.75" customHeight="1" x14ac:dyDescent="0.35">
      <c r="C454" s="124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ht="18.75" customHeight="1" x14ac:dyDescent="0.35">
      <c r="C455" s="124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ht="18.75" customHeight="1" x14ac:dyDescent="0.35">
      <c r="C456" s="124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ht="18.75" customHeight="1" x14ac:dyDescent="0.35">
      <c r="C457" s="124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ht="18.75" customHeight="1" x14ac:dyDescent="0.35">
      <c r="C458" s="124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ht="18.75" customHeight="1" x14ac:dyDescent="0.35">
      <c r="C459" s="124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ht="18.75" customHeight="1" x14ac:dyDescent="0.35">
      <c r="C460" s="124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ht="18.75" customHeight="1" x14ac:dyDescent="0.35">
      <c r="C461" s="124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ht="18.75" customHeight="1" x14ac:dyDescent="0.35">
      <c r="C462" s="124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ht="18.75" customHeight="1" x14ac:dyDescent="0.35">
      <c r="C463" s="124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ht="18.75" customHeight="1" x14ac:dyDescent="0.35">
      <c r="C464" s="124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ht="18.75" customHeight="1" x14ac:dyDescent="0.35">
      <c r="C465" s="124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ht="18.75" customHeight="1" x14ac:dyDescent="0.35">
      <c r="C466" s="124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ht="18.75" customHeight="1" x14ac:dyDescent="0.35">
      <c r="C467" s="124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ht="18.75" customHeight="1" x14ac:dyDescent="0.35">
      <c r="C468" s="124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ht="18.75" customHeight="1" x14ac:dyDescent="0.35">
      <c r="C469" s="124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ht="18.75" customHeight="1" x14ac:dyDescent="0.35">
      <c r="C470" s="124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ht="18.75" customHeight="1" x14ac:dyDescent="0.35">
      <c r="C471" s="124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ht="18.75" customHeight="1" x14ac:dyDescent="0.35">
      <c r="C472" s="124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ht="18.75" customHeight="1" x14ac:dyDescent="0.35">
      <c r="C473" s="124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ht="18.75" customHeight="1" x14ac:dyDescent="0.35">
      <c r="C474" s="124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ht="18.75" customHeight="1" x14ac:dyDescent="0.35">
      <c r="C475" s="124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ht="18.75" customHeight="1" x14ac:dyDescent="0.35">
      <c r="C476" s="124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ht="18.75" customHeight="1" x14ac:dyDescent="0.35">
      <c r="C477" s="124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ht="18.75" customHeight="1" x14ac:dyDescent="0.35">
      <c r="C478" s="124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ht="18.75" customHeight="1" x14ac:dyDescent="0.35">
      <c r="C479" s="124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ht="18.75" customHeight="1" x14ac:dyDescent="0.35">
      <c r="C480" s="124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ht="18.75" customHeight="1" x14ac:dyDescent="0.35">
      <c r="C481" s="124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ht="18.75" customHeight="1" x14ac:dyDescent="0.35">
      <c r="C482" s="124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ht="18.75" customHeight="1" x14ac:dyDescent="0.35">
      <c r="C483" s="124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ht="18.75" customHeight="1" x14ac:dyDescent="0.35">
      <c r="C484" s="124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ht="18.75" customHeight="1" x14ac:dyDescent="0.35">
      <c r="C485" s="124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ht="18.75" customHeight="1" x14ac:dyDescent="0.35">
      <c r="C486" s="124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ht="18.75" customHeight="1" x14ac:dyDescent="0.35">
      <c r="C487" s="124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ht="18.75" customHeight="1" x14ac:dyDescent="0.35">
      <c r="C488" s="124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ht="18.75" customHeight="1" x14ac:dyDescent="0.35">
      <c r="C489" s="124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ht="18.75" customHeight="1" x14ac:dyDescent="0.35">
      <c r="C490" s="124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ht="18.75" customHeight="1" x14ac:dyDescent="0.35">
      <c r="C491" s="124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ht="18.75" customHeight="1" x14ac:dyDescent="0.35">
      <c r="C492" s="124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ht="18.75" customHeight="1" x14ac:dyDescent="0.35">
      <c r="C493" s="124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ht="18.75" customHeight="1" x14ac:dyDescent="0.35">
      <c r="C494" s="124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ht="18.75" customHeight="1" x14ac:dyDescent="0.35">
      <c r="C495" s="124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ht="18.75" customHeight="1" x14ac:dyDescent="0.35">
      <c r="C496" s="124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ht="18.75" customHeight="1" x14ac:dyDescent="0.35">
      <c r="C497" s="124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ht="18.75" customHeight="1" x14ac:dyDescent="0.35">
      <c r="C498" s="124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ht="18.75" customHeight="1" x14ac:dyDescent="0.35">
      <c r="C499" s="124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ht="18.75" customHeight="1" x14ac:dyDescent="0.35">
      <c r="C500" s="124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ht="18.75" customHeight="1" x14ac:dyDescent="0.35">
      <c r="C501" s="124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ht="18.75" customHeight="1" x14ac:dyDescent="0.35">
      <c r="C502" s="124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ht="18.75" customHeight="1" x14ac:dyDescent="0.35">
      <c r="C503" s="124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ht="18.75" customHeight="1" x14ac:dyDescent="0.35">
      <c r="C504" s="124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ht="18.75" customHeight="1" x14ac:dyDescent="0.35">
      <c r="C505" s="124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ht="18.75" customHeight="1" x14ac:dyDescent="0.35">
      <c r="C506" s="124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ht="18.75" customHeight="1" x14ac:dyDescent="0.35">
      <c r="C507" s="124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ht="18.75" customHeight="1" x14ac:dyDescent="0.35">
      <c r="C508" s="124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ht="18.75" customHeight="1" x14ac:dyDescent="0.35">
      <c r="C509" s="124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ht="18.75" customHeight="1" x14ac:dyDescent="0.35">
      <c r="C510" s="124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ht="18.75" customHeight="1" x14ac:dyDescent="0.35">
      <c r="C511" s="124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ht="18.75" customHeight="1" x14ac:dyDescent="0.35">
      <c r="C512" s="124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ht="18.75" customHeight="1" x14ac:dyDescent="0.35">
      <c r="C513" s="124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ht="18.75" customHeight="1" x14ac:dyDescent="0.35">
      <c r="C514" s="124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ht="18.75" customHeight="1" x14ac:dyDescent="0.35">
      <c r="C515" s="124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ht="18.75" customHeight="1" x14ac:dyDescent="0.35">
      <c r="C516" s="124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ht="18.75" customHeight="1" x14ac:dyDescent="0.35">
      <c r="C517" s="124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ht="18.75" customHeight="1" x14ac:dyDescent="0.35">
      <c r="C518" s="124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ht="18.75" customHeight="1" x14ac:dyDescent="0.35">
      <c r="C519" s="124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ht="18.75" customHeight="1" x14ac:dyDescent="0.35">
      <c r="C520" s="124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ht="18.75" customHeight="1" x14ac:dyDescent="0.35">
      <c r="C521" s="124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ht="18.75" customHeight="1" x14ac:dyDescent="0.35">
      <c r="C522" s="124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ht="18.75" customHeight="1" x14ac:dyDescent="0.35">
      <c r="C523" s="124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ht="18.75" customHeight="1" x14ac:dyDescent="0.35">
      <c r="C524" s="124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ht="18.75" customHeight="1" x14ac:dyDescent="0.35">
      <c r="C525" s="124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ht="18.75" customHeight="1" x14ac:dyDescent="0.35">
      <c r="C526" s="124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ht="18.75" customHeight="1" x14ac:dyDescent="0.35">
      <c r="C527" s="124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ht="18.75" customHeight="1" x14ac:dyDescent="0.35">
      <c r="C528" s="124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ht="18.75" customHeight="1" x14ac:dyDescent="0.35">
      <c r="C529" s="124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ht="18.75" customHeight="1" x14ac:dyDescent="0.35">
      <c r="C530" s="124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ht="18.75" customHeight="1" x14ac:dyDescent="0.35">
      <c r="C531" s="124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ht="18.75" customHeight="1" x14ac:dyDescent="0.35">
      <c r="C532" s="124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ht="18.75" customHeight="1" x14ac:dyDescent="0.35">
      <c r="C533" s="124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ht="18.75" customHeight="1" x14ac:dyDescent="0.35">
      <c r="C534" s="124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ht="18.75" customHeight="1" x14ac:dyDescent="0.35">
      <c r="C535" s="124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ht="18.75" customHeight="1" x14ac:dyDescent="0.35">
      <c r="C536" s="124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ht="18.75" customHeight="1" x14ac:dyDescent="0.35">
      <c r="C537" s="124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ht="18.75" customHeight="1" x14ac:dyDescent="0.35">
      <c r="C538" s="124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ht="18.75" customHeight="1" x14ac:dyDescent="0.35">
      <c r="C539" s="124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ht="18.75" customHeight="1" x14ac:dyDescent="0.35">
      <c r="C540" s="124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ht="18.75" customHeight="1" x14ac:dyDescent="0.35">
      <c r="C541" s="124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ht="18.75" customHeight="1" x14ac:dyDescent="0.35">
      <c r="C542" s="124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ht="18.75" customHeight="1" x14ac:dyDescent="0.35">
      <c r="C543" s="124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ht="18.75" customHeight="1" x14ac:dyDescent="0.35">
      <c r="C544" s="124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ht="18.75" customHeight="1" x14ac:dyDescent="0.35">
      <c r="C545" s="124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ht="18.75" customHeight="1" x14ac:dyDescent="0.35">
      <c r="C546" s="124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ht="18.75" customHeight="1" x14ac:dyDescent="0.35">
      <c r="C547" s="124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ht="18.75" customHeight="1" x14ac:dyDescent="0.35">
      <c r="C548" s="124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ht="18.75" customHeight="1" x14ac:dyDescent="0.35">
      <c r="C549" s="124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ht="18.75" customHeight="1" x14ac:dyDescent="0.35">
      <c r="C550" s="124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ht="18.75" customHeight="1" x14ac:dyDescent="0.35">
      <c r="C551" s="124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ht="18.75" customHeight="1" x14ac:dyDescent="0.35">
      <c r="C552" s="124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ht="18.75" customHeight="1" x14ac:dyDescent="0.35">
      <c r="C553" s="124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ht="18.75" customHeight="1" x14ac:dyDescent="0.35">
      <c r="C554" s="124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ht="18.75" customHeight="1" x14ac:dyDescent="0.35">
      <c r="C555" s="124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ht="18.75" customHeight="1" x14ac:dyDescent="0.35">
      <c r="C556" s="124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ht="18.75" customHeight="1" x14ac:dyDescent="0.35">
      <c r="C557" s="124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ht="18.75" customHeight="1" x14ac:dyDescent="0.35">
      <c r="C558" s="124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ht="18.75" customHeight="1" x14ac:dyDescent="0.35">
      <c r="C559" s="124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ht="18.75" customHeight="1" x14ac:dyDescent="0.35">
      <c r="C560" s="124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ht="18.75" customHeight="1" x14ac:dyDescent="0.35">
      <c r="C561" s="124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ht="18.75" customHeight="1" x14ac:dyDescent="0.35">
      <c r="C562" s="124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ht="18.75" customHeight="1" x14ac:dyDescent="0.35">
      <c r="C563" s="124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ht="18.75" customHeight="1" x14ac:dyDescent="0.35">
      <c r="C564" s="124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ht="18.75" customHeight="1" x14ac:dyDescent="0.35">
      <c r="C565" s="124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ht="18.75" customHeight="1" x14ac:dyDescent="0.35">
      <c r="C566" s="124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ht="18.75" customHeight="1" x14ac:dyDescent="0.35">
      <c r="C567" s="124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ht="18.75" customHeight="1" x14ac:dyDescent="0.35">
      <c r="C568" s="124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ht="18.75" customHeight="1" x14ac:dyDescent="0.35">
      <c r="C569" s="124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ht="18.75" customHeight="1" x14ac:dyDescent="0.35">
      <c r="C570" s="124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ht="18.75" customHeight="1" x14ac:dyDescent="0.35">
      <c r="C571" s="124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ht="18.75" customHeight="1" x14ac:dyDescent="0.35">
      <c r="C572" s="124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ht="18.75" customHeight="1" x14ac:dyDescent="0.35">
      <c r="C573" s="124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ht="18.75" customHeight="1" x14ac:dyDescent="0.35">
      <c r="C574" s="124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ht="18.75" customHeight="1" x14ac:dyDescent="0.35">
      <c r="C575" s="124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ht="18.75" customHeight="1" x14ac:dyDescent="0.35">
      <c r="C576" s="124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ht="18.75" customHeight="1" x14ac:dyDescent="0.35">
      <c r="C577" s="124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ht="18.75" customHeight="1" x14ac:dyDescent="0.35">
      <c r="C578" s="124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ht="18.75" customHeight="1" x14ac:dyDescent="0.35">
      <c r="C579" s="124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ht="18.75" customHeight="1" x14ac:dyDescent="0.35">
      <c r="C580" s="124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ht="18.75" customHeight="1" x14ac:dyDescent="0.35">
      <c r="C581" s="124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ht="18.75" customHeight="1" x14ac:dyDescent="0.35">
      <c r="C582" s="124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ht="18.75" customHeight="1" x14ac:dyDescent="0.35">
      <c r="C583" s="124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ht="18.75" customHeight="1" x14ac:dyDescent="0.35">
      <c r="C584" s="124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ht="18.75" customHeight="1" x14ac:dyDescent="0.35">
      <c r="C585" s="124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ht="18.75" customHeight="1" x14ac:dyDescent="0.35">
      <c r="C586" s="124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ht="18.75" customHeight="1" x14ac:dyDescent="0.35">
      <c r="C587" s="124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ht="18.75" customHeight="1" x14ac:dyDescent="0.35">
      <c r="C588" s="124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ht="18.75" customHeight="1" x14ac:dyDescent="0.35">
      <c r="C589" s="124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ht="18.75" customHeight="1" x14ac:dyDescent="0.35">
      <c r="C590" s="124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ht="18.75" customHeight="1" x14ac:dyDescent="0.35">
      <c r="C591" s="124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ht="18.75" customHeight="1" x14ac:dyDescent="0.35">
      <c r="C592" s="124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ht="18.75" customHeight="1" x14ac:dyDescent="0.35">
      <c r="C593" s="124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ht="18.75" customHeight="1" x14ac:dyDescent="0.35">
      <c r="C594" s="124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ht="18.75" customHeight="1" x14ac:dyDescent="0.35">
      <c r="C595" s="124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ht="18.75" customHeight="1" x14ac:dyDescent="0.35">
      <c r="C596" s="124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ht="18.75" customHeight="1" x14ac:dyDescent="0.35">
      <c r="C597" s="124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ht="18.75" customHeight="1" x14ac:dyDescent="0.35">
      <c r="C598" s="124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ht="18.75" customHeight="1" x14ac:dyDescent="0.35">
      <c r="C599" s="124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ht="18.75" customHeight="1" x14ac:dyDescent="0.35">
      <c r="C600" s="124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ht="18.75" customHeight="1" x14ac:dyDescent="0.35">
      <c r="C601" s="124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ht="18.75" customHeight="1" x14ac:dyDescent="0.35">
      <c r="C602" s="124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ht="18.75" customHeight="1" x14ac:dyDescent="0.35">
      <c r="C603" s="124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ht="18.75" customHeight="1" x14ac:dyDescent="0.35">
      <c r="C604" s="124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ht="18.75" customHeight="1" x14ac:dyDescent="0.35">
      <c r="C605" s="124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ht="18.75" customHeight="1" x14ac:dyDescent="0.35">
      <c r="C606" s="124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ht="18.75" customHeight="1" x14ac:dyDescent="0.35">
      <c r="C607" s="124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ht="18.75" customHeight="1" x14ac:dyDescent="0.35">
      <c r="C608" s="124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ht="18.75" customHeight="1" x14ac:dyDescent="0.35">
      <c r="C609" s="124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ht="18.75" customHeight="1" x14ac:dyDescent="0.35">
      <c r="C610" s="124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ht="18.75" customHeight="1" x14ac:dyDescent="0.35">
      <c r="C611" s="124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ht="18.75" customHeight="1" x14ac:dyDescent="0.35">
      <c r="C612" s="124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ht="18.75" customHeight="1" x14ac:dyDescent="0.35">
      <c r="C613" s="124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ht="18.75" customHeight="1" x14ac:dyDescent="0.35">
      <c r="C614" s="124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ht="18.75" customHeight="1" x14ac:dyDescent="0.35">
      <c r="C615" s="124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ht="18.75" customHeight="1" x14ac:dyDescent="0.35">
      <c r="C616" s="124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ht="18.75" customHeight="1" x14ac:dyDescent="0.35">
      <c r="C617" s="124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ht="18.75" customHeight="1" x14ac:dyDescent="0.35">
      <c r="C618" s="124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ht="18.75" customHeight="1" x14ac:dyDescent="0.35">
      <c r="C619" s="124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ht="18.75" customHeight="1" x14ac:dyDescent="0.35">
      <c r="C620" s="124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ht="18.75" customHeight="1" x14ac:dyDescent="0.35">
      <c r="C621" s="124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ht="18.75" customHeight="1" x14ac:dyDescent="0.35">
      <c r="C622" s="124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ht="18.75" customHeight="1" x14ac:dyDescent="0.35">
      <c r="C623" s="124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ht="18.75" customHeight="1" x14ac:dyDescent="0.35">
      <c r="C624" s="124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ht="18.75" customHeight="1" x14ac:dyDescent="0.35">
      <c r="C625" s="124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ht="18.75" customHeight="1" x14ac:dyDescent="0.35">
      <c r="C626" s="124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ht="18.75" customHeight="1" x14ac:dyDescent="0.35">
      <c r="C627" s="124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ht="18.75" customHeight="1" x14ac:dyDescent="0.35">
      <c r="C628" s="124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ht="18.75" customHeight="1" x14ac:dyDescent="0.35">
      <c r="C629" s="124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ht="18.75" customHeight="1" x14ac:dyDescent="0.35">
      <c r="C630" s="124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ht="18.75" customHeight="1" x14ac:dyDescent="0.35">
      <c r="C631" s="124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ht="18.75" customHeight="1" x14ac:dyDescent="0.35">
      <c r="C632" s="124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ht="18.75" customHeight="1" x14ac:dyDescent="0.35">
      <c r="C633" s="124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ht="18.75" customHeight="1" x14ac:dyDescent="0.35">
      <c r="C634" s="124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ht="18.75" customHeight="1" x14ac:dyDescent="0.35">
      <c r="C635" s="124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ht="18.75" customHeight="1" x14ac:dyDescent="0.35">
      <c r="C636" s="124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ht="18.75" customHeight="1" x14ac:dyDescent="0.35">
      <c r="C637" s="124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ht="18.75" customHeight="1" x14ac:dyDescent="0.35">
      <c r="C638" s="124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ht="18.75" customHeight="1" x14ac:dyDescent="0.35">
      <c r="C639" s="124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ht="18.75" customHeight="1" x14ac:dyDescent="0.35">
      <c r="C640" s="124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ht="18.75" customHeight="1" x14ac:dyDescent="0.35">
      <c r="C641" s="124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ht="18.75" customHeight="1" x14ac:dyDescent="0.35">
      <c r="C642" s="124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ht="18.75" customHeight="1" x14ac:dyDescent="0.35">
      <c r="C643" s="124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ht="18.75" customHeight="1" x14ac:dyDescent="0.35">
      <c r="C644" s="124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ht="18.75" customHeight="1" x14ac:dyDescent="0.35">
      <c r="C645" s="124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ht="18.75" customHeight="1" x14ac:dyDescent="0.35">
      <c r="C646" s="124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ht="18.75" customHeight="1" x14ac:dyDescent="0.35">
      <c r="C647" s="124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ht="18.75" customHeight="1" x14ac:dyDescent="0.35">
      <c r="C648" s="124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ht="18.75" customHeight="1" x14ac:dyDescent="0.35">
      <c r="C649" s="124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ht="18.75" customHeight="1" x14ac:dyDescent="0.35">
      <c r="C650" s="124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ht="18.75" customHeight="1" x14ac:dyDescent="0.35">
      <c r="C651" s="124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ht="18.75" customHeight="1" x14ac:dyDescent="0.35">
      <c r="C652" s="124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ht="18.75" customHeight="1" x14ac:dyDescent="0.35">
      <c r="C653" s="124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ht="18.75" customHeight="1" x14ac:dyDescent="0.35">
      <c r="C654" s="124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ht="18.75" customHeight="1" x14ac:dyDescent="0.35">
      <c r="C655" s="124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ht="18.75" customHeight="1" x14ac:dyDescent="0.35">
      <c r="C656" s="124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ht="18.75" customHeight="1" x14ac:dyDescent="0.35">
      <c r="C657" s="124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ht="18.75" customHeight="1" x14ac:dyDescent="0.35">
      <c r="C658" s="124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ht="18.75" customHeight="1" x14ac:dyDescent="0.35">
      <c r="C659" s="124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ht="18.75" customHeight="1" x14ac:dyDescent="0.35">
      <c r="C660" s="124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ht="18.75" customHeight="1" x14ac:dyDescent="0.35">
      <c r="C661" s="124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ht="18.75" customHeight="1" x14ac:dyDescent="0.35">
      <c r="C662" s="124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ht="18.75" customHeight="1" x14ac:dyDescent="0.35">
      <c r="C663" s="124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ht="18.75" customHeight="1" x14ac:dyDescent="0.35">
      <c r="C664" s="124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ht="18.75" customHeight="1" x14ac:dyDescent="0.35">
      <c r="C665" s="124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ht="18.75" customHeight="1" x14ac:dyDescent="0.35">
      <c r="C666" s="124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ht="18.75" customHeight="1" x14ac:dyDescent="0.35">
      <c r="C667" s="124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ht="18.75" customHeight="1" x14ac:dyDescent="0.35">
      <c r="C668" s="124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ht="18.75" customHeight="1" x14ac:dyDescent="0.35">
      <c r="C669" s="124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ht="18.75" customHeight="1" x14ac:dyDescent="0.35">
      <c r="C670" s="124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ht="18.75" customHeight="1" x14ac:dyDescent="0.35">
      <c r="C671" s="124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ht="18.75" customHeight="1" x14ac:dyDescent="0.35">
      <c r="C672" s="124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ht="18.75" customHeight="1" x14ac:dyDescent="0.35">
      <c r="C673" s="124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ht="18.75" customHeight="1" x14ac:dyDescent="0.35">
      <c r="C674" s="124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ht="18.75" customHeight="1" x14ac:dyDescent="0.35">
      <c r="C675" s="124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ht="18.75" customHeight="1" x14ac:dyDescent="0.35">
      <c r="C676" s="124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ht="18.75" customHeight="1" x14ac:dyDescent="0.35">
      <c r="C677" s="124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ht="18.75" customHeight="1" x14ac:dyDescent="0.35">
      <c r="C678" s="124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ht="18.75" customHeight="1" x14ac:dyDescent="0.35">
      <c r="C679" s="124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ht="18.75" customHeight="1" x14ac:dyDescent="0.35">
      <c r="C680" s="124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ht="18.75" customHeight="1" x14ac:dyDescent="0.35">
      <c r="C681" s="124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ht="18.75" customHeight="1" x14ac:dyDescent="0.35">
      <c r="C682" s="124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ht="18.75" customHeight="1" x14ac:dyDescent="0.35">
      <c r="C683" s="124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ht="18.75" customHeight="1" x14ac:dyDescent="0.35">
      <c r="C684" s="124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ht="18.75" customHeight="1" x14ac:dyDescent="0.35">
      <c r="C685" s="124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ht="18.75" customHeight="1" x14ac:dyDescent="0.35">
      <c r="C686" s="124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ht="18.75" customHeight="1" x14ac:dyDescent="0.35">
      <c r="C687" s="124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ht="18.75" customHeight="1" x14ac:dyDescent="0.35">
      <c r="C688" s="124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ht="18.75" customHeight="1" x14ac:dyDescent="0.35">
      <c r="C689" s="124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ht="18.75" customHeight="1" x14ac:dyDescent="0.35">
      <c r="C690" s="124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ht="18.75" customHeight="1" x14ac:dyDescent="0.35">
      <c r="C691" s="124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ht="18.75" customHeight="1" x14ac:dyDescent="0.35">
      <c r="C692" s="124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ht="18.75" customHeight="1" x14ac:dyDescent="0.35">
      <c r="C693" s="124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ht="18.75" customHeight="1" x14ac:dyDescent="0.35">
      <c r="C694" s="124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ht="18.75" customHeight="1" x14ac:dyDescent="0.35">
      <c r="C695" s="124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ht="18.75" customHeight="1" x14ac:dyDescent="0.35">
      <c r="C696" s="124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ht="18.75" customHeight="1" x14ac:dyDescent="0.35">
      <c r="C697" s="124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ht="18.75" customHeight="1" x14ac:dyDescent="0.35">
      <c r="C698" s="124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ht="18.75" customHeight="1" x14ac:dyDescent="0.35">
      <c r="C699" s="124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ht="18.75" customHeight="1" x14ac:dyDescent="0.35">
      <c r="C700" s="124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ht="18.75" customHeight="1" x14ac:dyDescent="0.35">
      <c r="C701" s="124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ht="18.75" customHeight="1" x14ac:dyDescent="0.35">
      <c r="C702" s="124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ht="18.75" customHeight="1" x14ac:dyDescent="0.35">
      <c r="C703" s="124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ht="18.75" customHeight="1" x14ac:dyDescent="0.35">
      <c r="C704" s="124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ht="18.75" customHeight="1" x14ac:dyDescent="0.35">
      <c r="C705" s="124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ht="18.75" customHeight="1" x14ac:dyDescent="0.35">
      <c r="C706" s="124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ht="18.75" customHeight="1" x14ac:dyDescent="0.35">
      <c r="C707" s="124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ht="18.75" customHeight="1" x14ac:dyDescent="0.35">
      <c r="C708" s="124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ht="18.75" customHeight="1" x14ac:dyDescent="0.35">
      <c r="C709" s="124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ht="18.75" customHeight="1" x14ac:dyDescent="0.35">
      <c r="C710" s="124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ht="18.75" customHeight="1" x14ac:dyDescent="0.35">
      <c r="C711" s="124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ht="18.75" customHeight="1" x14ac:dyDescent="0.35">
      <c r="C712" s="124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ht="18.75" customHeight="1" x14ac:dyDescent="0.35">
      <c r="C713" s="124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ht="18.75" customHeight="1" x14ac:dyDescent="0.35">
      <c r="C714" s="124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ht="18.75" customHeight="1" x14ac:dyDescent="0.35">
      <c r="C715" s="124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ht="18.75" customHeight="1" x14ac:dyDescent="0.35">
      <c r="C716" s="124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ht="18.75" customHeight="1" x14ac:dyDescent="0.35">
      <c r="C717" s="124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ht="18.75" customHeight="1" x14ac:dyDescent="0.35">
      <c r="C718" s="124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ht="18.75" customHeight="1" x14ac:dyDescent="0.35">
      <c r="C719" s="124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ht="18.75" customHeight="1" x14ac:dyDescent="0.35">
      <c r="C720" s="124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ht="18.75" customHeight="1" x14ac:dyDescent="0.35">
      <c r="C721" s="124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ht="18.75" customHeight="1" x14ac:dyDescent="0.35">
      <c r="C722" s="124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ht="18.75" customHeight="1" x14ac:dyDescent="0.35">
      <c r="C723" s="124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ht="18.75" customHeight="1" x14ac:dyDescent="0.35">
      <c r="C724" s="124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ht="18.75" customHeight="1" x14ac:dyDescent="0.35">
      <c r="C725" s="124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ht="18.75" customHeight="1" x14ac:dyDescent="0.35">
      <c r="C726" s="124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ht="18.75" customHeight="1" x14ac:dyDescent="0.35">
      <c r="C727" s="124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ht="18.75" customHeight="1" x14ac:dyDescent="0.35">
      <c r="C728" s="124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ht="18.75" customHeight="1" x14ac:dyDescent="0.35">
      <c r="C729" s="124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ht="18.75" customHeight="1" x14ac:dyDescent="0.35">
      <c r="C730" s="124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ht="18.75" customHeight="1" x14ac:dyDescent="0.35">
      <c r="C731" s="124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ht="18.75" customHeight="1" x14ac:dyDescent="0.35">
      <c r="C732" s="124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ht="18.75" customHeight="1" x14ac:dyDescent="0.35">
      <c r="C733" s="124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ht="18.75" customHeight="1" x14ac:dyDescent="0.35">
      <c r="C734" s="124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ht="18.75" customHeight="1" x14ac:dyDescent="0.35">
      <c r="C735" s="124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ht="18.75" customHeight="1" x14ac:dyDescent="0.35">
      <c r="C736" s="124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ht="18.75" customHeight="1" x14ac:dyDescent="0.35">
      <c r="C737" s="124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ht="18.75" customHeight="1" x14ac:dyDescent="0.35">
      <c r="C738" s="124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ht="18.75" customHeight="1" x14ac:dyDescent="0.35">
      <c r="C739" s="124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ht="18.75" customHeight="1" x14ac:dyDescent="0.35">
      <c r="C740" s="124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ht="18.75" customHeight="1" x14ac:dyDescent="0.35">
      <c r="C741" s="124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ht="18.75" customHeight="1" x14ac:dyDescent="0.35">
      <c r="C742" s="124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ht="18.75" customHeight="1" x14ac:dyDescent="0.35">
      <c r="C743" s="124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ht="18.75" customHeight="1" x14ac:dyDescent="0.35">
      <c r="C744" s="124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ht="18.75" customHeight="1" x14ac:dyDescent="0.35">
      <c r="C745" s="124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ht="18.75" customHeight="1" x14ac:dyDescent="0.35">
      <c r="C746" s="124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ht="18.75" customHeight="1" x14ac:dyDescent="0.35">
      <c r="C747" s="124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ht="18.75" customHeight="1" x14ac:dyDescent="0.35">
      <c r="C748" s="124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ht="18.75" customHeight="1" x14ac:dyDescent="0.35">
      <c r="C749" s="124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ht="18.75" customHeight="1" x14ac:dyDescent="0.35">
      <c r="C750" s="124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ht="18.75" customHeight="1" x14ac:dyDescent="0.35">
      <c r="C751" s="124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ht="18.75" customHeight="1" x14ac:dyDescent="0.35">
      <c r="C752" s="124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ht="18.75" customHeight="1" x14ac:dyDescent="0.35">
      <c r="C753" s="124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ht="18.75" customHeight="1" x14ac:dyDescent="0.35">
      <c r="C754" s="124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ht="18.75" customHeight="1" x14ac:dyDescent="0.35">
      <c r="C755" s="124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ht="18.75" customHeight="1" x14ac:dyDescent="0.35">
      <c r="C756" s="124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ht="18.75" customHeight="1" x14ac:dyDescent="0.35">
      <c r="C757" s="124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ht="18.75" customHeight="1" x14ac:dyDescent="0.35">
      <c r="C758" s="124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ht="18.75" customHeight="1" x14ac:dyDescent="0.35">
      <c r="C759" s="124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ht="18.75" customHeight="1" x14ac:dyDescent="0.35">
      <c r="C760" s="124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ht="18.75" customHeight="1" x14ac:dyDescent="0.35">
      <c r="C761" s="124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ht="18.75" customHeight="1" x14ac:dyDescent="0.35">
      <c r="C762" s="124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ht="18.75" customHeight="1" x14ac:dyDescent="0.35">
      <c r="C763" s="124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ht="18.75" customHeight="1" x14ac:dyDescent="0.35">
      <c r="C764" s="124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ht="18.75" customHeight="1" x14ac:dyDescent="0.35">
      <c r="C765" s="124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ht="18.75" customHeight="1" x14ac:dyDescent="0.35">
      <c r="C766" s="124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ht="18.75" customHeight="1" x14ac:dyDescent="0.35">
      <c r="C767" s="124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ht="18.75" customHeight="1" x14ac:dyDescent="0.35">
      <c r="C768" s="124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ht="18.75" customHeight="1" x14ac:dyDescent="0.35">
      <c r="C769" s="124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ht="18.75" customHeight="1" x14ac:dyDescent="0.35">
      <c r="C770" s="124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ht="18.75" customHeight="1" x14ac:dyDescent="0.35">
      <c r="C771" s="124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ht="18.75" customHeight="1" x14ac:dyDescent="0.35">
      <c r="C772" s="124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ht="18.75" customHeight="1" x14ac:dyDescent="0.35">
      <c r="C773" s="124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ht="18.75" customHeight="1" x14ac:dyDescent="0.35">
      <c r="C774" s="124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ht="18.75" customHeight="1" x14ac:dyDescent="0.35">
      <c r="C775" s="124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ht="18.75" customHeight="1" x14ac:dyDescent="0.35">
      <c r="C776" s="124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ht="18.75" customHeight="1" x14ac:dyDescent="0.35">
      <c r="C777" s="124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ht="18.75" customHeight="1" x14ac:dyDescent="0.35">
      <c r="C778" s="124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ht="18.75" customHeight="1" x14ac:dyDescent="0.35">
      <c r="C779" s="124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ht="18.75" customHeight="1" x14ac:dyDescent="0.35">
      <c r="C780" s="124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ht="18.75" customHeight="1" x14ac:dyDescent="0.35">
      <c r="C781" s="124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ht="18.75" customHeight="1" x14ac:dyDescent="0.35">
      <c r="C782" s="124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ht="18.75" customHeight="1" x14ac:dyDescent="0.35">
      <c r="C783" s="124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ht="18.75" customHeight="1" x14ac:dyDescent="0.35">
      <c r="C784" s="124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ht="18.75" customHeight="1" x14ac:dyDescent="0.35">
      <c r="C785" s="124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ht="18.75" customHeight="1" x14ac:dyDescent="0.35">
      <c r="C786" s="124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ht="18.75" customHeight="1" x14ac:dyDescent="0.35">
      <c r="C787" s="124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ht="18.75" customHeight="1" x14ac:dyDescent="0.35">
      <c r="C788" s="124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ht="18.75" customHeight="1" x14ac:dyDescent="0.35">
      <c r="C789" s="124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ht="18.75" customHeight="1" x14ac:dyDescent="0.35">
      <c r="C790" s="124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ht="18.75" customHeight="1" x14ac:dyDescent="0.35">
      <c r="C791" s="124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ht="18.75" customHeight="1" x14ac:dyDescent="0.35">
      <c r="C792" s="124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ht="18.75" customHeight="1" x14ac:dyDescent="0.35">
      <c r="C793" s="124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ht="18.75" customHeight="1" x14ac:dyDescent="0.35">
      <c r="C794" s="124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ht="18.75" customHeight="1" x14ac:dyDescent="0.35">
      <c r="C795" s="124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ht="18.75" customHeight="1" x14ac:dyDescent="0.35">
      <c r="C796" s="124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ht="18.75" customHeight="1" x14ac:dyDescent="0.35">
      <c r="C797" s="124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ht="18.75" customHeight="1" x14ac:dyDescent="0.35">
      <c r="C798" s="124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ht="18.75" customHeight="1" x14ac:dyDescent="0.35">
      <c r="C799" s="124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ht="18.75" customHeight="1" x14ac:dyDescent="0.35">
      <c r="C800" s="124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ht="18.75" customHeight="1" x14ac:dyDescent="0.35">
      <c r="C801" s="124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ht="18.75" customHeight="1" x14ac:dyDescent="0.35">
      <c r="C802" s="124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ht="18.75" customHeight="1" x14ac:dyDescent="0.35">
      <c r="C803" s="124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ht="18.75" customHeight="1" x14ac:dyDescent="0.35">
      <c r="C804" s="124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ht="18.75" customHeight="1" x14ac:dyDescent="0.35">
      <c r="C805" s="124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ht="18.75" customHeight="1" x14ac:dyDescent="0.35">
      <c r="C806" s="124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ht="18.75" customHeight="1" x14ac:dyDescent="0.35">
      <c r="C807" s="124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ht="18.75" customHeight="1" x14ac:dyDescent="0.35">
      <c r="C808" s="124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ht="18.75" customHeight="1" x14ac:dyDescent="0.35">
      <c r="C809" s="124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ht="18.75" customHeight="1" x14ac:dyDescent="0.35">
      <c r="C810" s="124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ht="18.75" customHeight="1" x14ac:dyDescent="0.35">
      <c r="C811" s="124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ht="18.75" customHeight="1" x14ac:dyDescent="0.35">
      <c r="C812" s="124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ht="18.75" customHeight="1" x14ac:dyDescent="0.35">
      <c r="C813" s="124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ht="18.75" customHeight="1" x14ac:dyDescent="0.35">
      <c r="C814" s="124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ht="18.75" customHeight="1" x14ac:dyDescent="0.35">
      <c r="C815" s="124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ht="18.75" customHeight="1" x14ac:dyDescent="0.35">
      <c r="C816" s="124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ht="18.75" customHeight="1" x14ac:dyDescent="0.35">
      <c r="C817" s="124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ht="18.75" customHeight="1" x14ac:dyDescent="0.35">
      <c r="C818" s="124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ht="18.75" customHeight="1" x14ac:dyDescent="0.35">
      <c r="C819" s="124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ht="18.75" customHeight="1" x14ac:dyDescent="0.35">
      <c r="C820" s="124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ht="18.75" customHeight="1" x14ac:dyDescent="0.35">
      <c r="C821" s="124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ht="18.75" customHeight="1" x14ac:dyDescent="0.35">
      <c r="C822" s="124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ht="18.75" customHeight="1" x14ac:dyDescent="0.35">
      <c r="C823" s="124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ht="18.75" customHeight="1" x14ac:dyDescent="0.35">
      <c r="C824" s="124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ht="18.75" customHeight="1" x14ac:dyDescent="0.35">
      <c r="C825" s="124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ht="18.75" customHeight="1" x14ac:dyDescent="0.35">
      <c r="C826" s="124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ht="18.75" customHeight="1" x14ac:dyDescent="0.35">
      <c r="C827" s="124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ht="18.75" customHeight="1" x14ac:dyDescent="0.35">
      <c r="C828" s="124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ht="18.75" customHeight="1" x14ac:dyDescent="0.35">
      <c r="C829" s="124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ht="18.75" customHeight="1" x14ac:dyDescent="0.35">
      <c r="C830" s="124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ht="18.75" customHeight="1" x14ac:dyDescent="0.35">
      <c r="C831" s="124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ht="18.75" customHeight="1" x14ac:dyDescent="0.35">
      <c r="C832" s="124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ht="18.75" customHeight="1" x14ac:dyDescent="0.35">
      <c r="C833" s="124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ht="18.75" customHeight="1" x14ac:dyDescent="0.35">
      <c r="C834" s="124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ht="18.75" customHeight="1" x14ac:dyDescent="0.35">
      <c r="C835" s="124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ht="18.75" customHeight="1" x14ac:dyDescent="0.35">
      <c r="C836" s="124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ht="18.75" customHeight="1" x14ac:dyDescent="0.35">
      <c r="C837" s="124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ht="18.75" customHeight="1" x14ac:dyDescent="0.35">
      <c r="C838" s="124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ht="18.75" customHeight="1" x14ac:dyDescent="0.35">
      <c r="C839" s="124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ht="18.75" customHeight="1" x14ac:dyDescent="0.35">
      <c r="C840" s="124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ht="18.75" customHeight="1" x14ac:dyDescent="0.35">
      <c r="C841" s="124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ht="18.75" customHeight="1" x14ac:dyDescent="0.35">
      <c r="C842" s="124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ht="18.75" customHeight="1" x14ac:dyDescent="0.35">
      <c r="C843" s="124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ht="18.75" customHeight="1" x14ac:dyDescent="0.35">
      <c r="C844" s="124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ht="18.75" customHeight="1" x14ac:dyDescent="0.35">
      <c r="C845" s="124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ht="18.75" customHeight="1" x14ac:dyDescent="0.35">
      <c r="C846" s="124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ht="18.75" customHeight="1" x14ac:dyDescent="0.35">
      <c r="C847" s="124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ht="18.75" customHeight="1" x14ac:dyDescent="0.35">
      <c r="C848" s="124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ht="18.75" customHeight="1" x14ac:dyDescent="0.35">
      <c r="C849" s="124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ht="18.75" customHeight="1" x14ac:dyDescent="0.35">
      <c r="C850" s="124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ht="18.75" customHeight="1" x14ac:dyDescent="0.35">
      <c r="C851" s="124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ht="18.75" customHeight="1" x14ac:dyDescent="0.35">
      <c r="C852" s="124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ht="18.75" customHeight="1" x14ac:dyDescent="0.35">
      <c r="C853" s="124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ht="18.75" customHeight="1" x14ac:dyDescent="0.35">
      <c r="C854" s="124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ht="18.75" customHeight="1" x14ac:dyDescent="0.35">
      <c r="C855" s="124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ht="18.75" customHeight="1" x14ac:dyDescent="0.35">
      <c r="C856" s="124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ht="18.75" customHeight="1" x14ac:dyDescent="0.35">
      <c r="C857" s="124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ht="18.75" customHeight="1" x14ac:dyDescent="0.35">
      <c r="C858" s="124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ht="18.75" customHeight="1" x14ac:dyDescent="0.35">
      <c r="C859" s="124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ht="18.75" customHeight="1" x14ac:dyDescent="0.35">
      <c r="C860" s="124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ht="18.75" customHeight="1" x14ac:dyDescent="0.35">
      <c r="C861" s="124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ht="18.75" customHeight="1" x14ac:dyDescent="0.35">
      <c r="C862" s="124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ht="18.75" customHeight="1" x14ac:dyDescent="0.35">
      <c r="C863" s="124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ht="18.75" customHeight="1" x14ac:dyDescent="0.35">
      <c r="C864" s="124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ht="18.75" customHeight="1" x14ac:dyDescent="0.35">
      <c r="C865" s="124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ht="18.75" customHeight="1" x14ac:dyDescent="0.35">
      <c r="C866" s="124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ht="18.75" customHeight="1" x14ac:dyDescent="0.35">
      <c r="C867" s="124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ht="18.75" customHeight="1" x14ac:dyDescent="0.35">
      <c r="C868" s="124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ht="18.75" customHeight="1" x14ac:dyDescent="0.35">
      <c r="C869" s="124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ht="18.75" customHeight="1" x14ac:dyDescent="0.35">
      <c r="C870" s="124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ht="18.75" customHeight="1" x14ac:dyDescent="0.35">
      <c r="C871" s="124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ht="18.75" customHeight="1" x14ac:dyDescent="0.35">
      <c r="C872" s="124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ht="18.75" customHeight="1" x14ac:dyDescent="0.35">
      <c r="C873" s="124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ht="18.75" customHeight="1" x14ac:dyDescent="0.35">
      <c r="C874" s="124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ht="18.75" customHeight="1" x14ac:dyDescent="0.35">
      <c r="C875" s="124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ht="18.75" customHeight="1" x14ac:dyDescent="0.35">
      <c r="C876" s="124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ht="18.75" customHeight="1" x14ac:dyDescent="0.35">
      <c r="C877" s="124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ht="18.75" customHeight="1" x14ac:dyDescent="0.35">
      <c r="C878" s="124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ht="18.75" customHeight="1" x14ac:dyDescent="0.35">
      <c r="C879" s="124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ht="18.75" customHeight="1" x14ac:dyDescent="0.35">
      <c r="C880" s="124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ht="18.75" customHeight="1" x14ac:dyDescent="0.35">
      <c r="C881" s="124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ht="18.75" customHeight="1" x14ac:dyDescent="0.35">
      <c r="C882" s="124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ht="18.75" customHeight="1" x14ac:dyDescent="0.35">
      <c r="C883" s="124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ht="18.75" customHeight="1" x14ac:dyDescent="0.35">
      <c r="C884" s="124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ht="18.75" customHeight="1" x14ac:dyDescent="0.35">
      <c r="C885" s="124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ht="18.75" customHeight="1" x14ac:dyDescent="0.35">
      <c r="C886" s="124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ht="18.75" customHeight="1" x14ac:dyDescent="0.35">
      <c r="C887" s="124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ht="18.75" customHeight="1" x14ac:dyDescent="0.35">
      <c r="C888" s="124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ht="18.75" customHeight="1" x14ac:dyDescent="0.35">
      <c r="C889" s="124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ht="18.75" customHeight="1" x14ac:dyDescent="0.35">
      <c r="C890" s="124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ht="18.75" customHeight="1" x14ac:dyDescent="0.35">
      <c r="C891" s="124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ht="18.75" customHeight="1" x14ac:dyDescent="0.35">
      <c r="C892" s="124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ht="18.75" customHeight="1" x14ac:dyDescent="0.35">
      <c r="C893" s="124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ht="18.75" customHeight="1" x14ac:dyDescent="0.35">
      <c r="C894" s="124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ht="18.75" customHeight="1" x14ac:dyDescent="0.35">
      <c r="C895" s="124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ht="18.75" customHeight="1" x14ac:dyDescent="0.35">
      <c r="C896" s="124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ht="18.75" customHeight="1" x14ac:dyDescent="0.35">
      <c r="C897" s="124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ht="18.75" customHeight="1" x14ac:dyDescent="0.35">
      <c r="C898" s="124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ht="18.75" customHeight="1" x14ac:dyDescent="0.35">
      <c r="C899" s="124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ht="18.75" customHeight="1" x14ac:dyDescent="0.35">
      <c r="C900" s="124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ht="18.75" customHeight="1" x14ac:dyDescent="0.35">
      <c r="C901" s="124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ht="18.75" customHeight="1" x14ac:dyDescent="0.35">
      <c r="C902" s="124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ht="18.75" customHeight="1" x14ac:dyDescent="0.35">
      <c r="C903" s="124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ht="18.75" customHeight="1" x14ac:dyDescent="0.35">
      <c r="C904" s="124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ht="18.75" customHeight="1" x14ac:dyDescent="0.35">
      <c r="C905" s="124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ht="18.75" customHeight="1" x14ac:dyDescent="0.35">
      <c r="C906" s="124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ht="18.75" customHeight="1" x14ac:dyDescent="0.35">
      <c r="C907" s="124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ht="18.75" customHeight="1" x14ac:dyDescent="0.35">
      <c r="C908" s="124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ht="18.75" customHeight="1" x14ac:dyDescent="0.35">
      <c r="C909" s="124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ht="18.75" customHeight="1" x14ac:dyDescent="0.35">
      <c r="C910" s="124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ht="18.75" customHeight="1" x14ac:dyDescent="0.35">
      <c r="C911" s="124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ht="18.75" customHeight="1" x14ac:dyDescent="0.35">
      <c r="C912" s="124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ht="18.75" customHeight="1" x14ac:dyDescent="0.35">
      <c r="C913" s="124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ht="18.75" customHeight="1" x14ac:dyDescent="0.35">
      <c r="C914" s="124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ht="18.75" customHeight="1" x14ac:dyDescent="0.35">
      <c r="C915" s="124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ht="18.75" customHeight="1" x14ac:dyDescent="0.35">
      <c r="C916" s="124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ht="18.75" customHeight="1" x14ac:dyDescent="0.35">
      <c r="C917" s="124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ht="18.75" customHeight="1" x14ac:dyDescent="0.35">
      <c r="C918" s="124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ht="18.75" customHeight="1" x14ac:dyDescent="0.35">
      <c r="C919" s="124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ht="18.75" customHeight="1" x14ac:dyDescent="0.35">
      <c r="C920" s="124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ht="18.75" customHeight="1" x14ac:dyDescent="0.35">
      <c r="C921" s="124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ht="18.75" customHeight="1" x14ac:dyDescent="0.35">
      <c r="C922" s="124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ht="18.75" customHeight="1" x14ac:dyDescent="0.35">
      <c r="C923" s="124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ht="18.75" customHeight="1" x14ac:dyDescent="0.35">
      <c r="C924" s="124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ht="18.75" customHeight="1" x14ac:dyDescent="0.35">
      <c r="C925" s="124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ht="18.75" customHeight="1" x14ac:dyDescent="0.35">
      <c r="C926" s="124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ht="18.75" customHeight="1" x14ac:dyDescent="0.35">
      <c r="C927" s="124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ht="18.75" customHeight="1" x14ac:dyDescent="0.35">
      <c r="C928" s="124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ht="18.75" customHeight="1" x14ac:dyDescent="0.35">
      <c r="C929" s="124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ht="18.75" customHeight="1" x14ac:dyDescent="0.35">
      <c r="C930" s="124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ht="18.75" customHeight="1" x14ac:dyDescent="0.35">
      <c r="C931" s="124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ht="18.75" customHeight="1" x14ac:dyDescent="0.35">
      <c r="C932" s="124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ht="18.75" customHeight="1" x14ac:dyDescent="0.35">
      <c r="C933" s="124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ht="18.75" customHeight="1" x14ac:dyDescent="0.35">
      <c r="C934" s="124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ht="18.75" customHeight="1" x14ac:dyDescent="0.35">
      <c r="C935" s="124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ht="18.75" customHeight="1" x14ac:dyDescent="0.35">
      <c r="C936" s="124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ht="18.75" customHeight="1" x14ac:dyDescent="0.35">
      <c r="C937" s="124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ht="18.75" customHeight="1" x14ac:dyDescent="0.35">
      <c r="C938" s="124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ht="18.75" customHeight="1" x14ac:dyDescent="0.35">
      <c r="C939" s="124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ht="18.75" customHeight="1" x14ac:dyDescent="0.35">
      <c r="C940" s="124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ht="18.75" customHeight="1" x14ac:dyDescent="0.35">
      <c r="C941" s="124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ht="18.75" customHeight="1" x14ac:dyDescent="0.35">
      <c r="C942" s="124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ht="18.75" customHeight="1" x14ac:dyDescent="0.35">
      <c r="C943" s="124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ht="18.75" customHeight="1" x14ac:dyDescent="0.35">
      <c r="C944" s="124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ht="18.75" customHeight="1" x14ac:dyDescent="0.35">
      <c r="C945" s="124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ht="18.75" customHeight="1" x14ac:dyDescent="0.35">
      <c r="C946" s="124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ht="18.75" customHeight="1" x14ac:dyDescent="0.35">
      <c r="C947" s="124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ht="18.75" customHeight="1" x14ac:dyDescent="0.35">
      <c r="C948" s="124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ht="18.75" customHeight="1" x14ac:dyDescent="0.35">
      <c r="C949" s="124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ht="18.75" customHeight="1" x14ac:dyDescent="0.35">
      <c r="C950" s="124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ht="18.75" customHeight="1" x14ac:dyDescent="0.35">
      <c r="C951" s="124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ht="18.75" customHeight="1" x14ac:dyDescent="0.35">
      <c r="C952" s="124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ht="18.75" customHeight="1" x14ac:dyDescent="0.35">
      <c r="C953" s="124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ht="18.75" customHeight="1" x14ac:dyDescent="0.35">
      <c r="C954" s="124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ht="18.75" customHeight="1" x14ac:dyDescent="0.35">
      <c r="C955" s="124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ht="18.75" customHeight="1" x14ac:dyDescent="0.35">
      <c r="C956" s="124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ht="18.75" customHeight="1" x14ac:dyDescent="0.35">
      <c r="C957" s="124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ht="18.75" customHeight="1" x14ac:dyDescent="0.35">
      <c r="C958" s="124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ht="18.75" customHeight="1" x14ac:dyDescent="0.35">
      <c r="C959" s="124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ht="18.75" customHeight="1" x14ac:dyDescent="0.35">
      <c r="C960" s="124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ht="18.75" customHeight="1" x14ac:dyDescent="0.35">
      <c r="C961" s="124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ht="18.75" customHeight="1" x14ac:dyDescent="0.35">
      <c r="C962" s="124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ht="18.75" customHeight="1" x14ac:dyDescent="0.35">
      <c r="C963" s="124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ht="18.75" customHeight="1" x14ac:dyDescent="0.35">
      <c r="C964" s="124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ht="18.75" customHeight="1" x14ac:dyDescent="0.35">
      <c r="C965" s="124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ht="18.75" customHeight="1" x14ac:dyDescent="0.35">
      <c r="C966" s="124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ht="18.75" customHeight="1" x14ac:dyDescent="0.35">
      <c r="C967" s="124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ht="18.75" customHeight="1" x14ac:dyDescent="0.35">
      <c r="C968" s="124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ht="18.75" customHeight="1" x14ac:dyDescent="0.35">
      <c r="C969" s="124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ht="18.75" customHeight="1" x14ac:dyDescent="0.35">
      <c r="C970" s="124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ht="18.75" customHeight="1" x14ac:dyDescent="0.35">
      <c r="C971" s="124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ht="18.75" customHeight="1" x14ac:dyDescent="0.35">
      <c r="C972" s="124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ht="18.75" customHeight="1" x14ac:dyDescent="0.35">
      <c r="C973" s="124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ht="18.75" customHeight="1" x14ac:dyDescent="0.35">
      <c r="C974" s="124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ht="18.75" customHeight="1" x14ac:dyDescent="0.35">
      <c r="C975" s="124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ht="18.75" customHeight="1" x14ac:dyDescent="0.35">
      <c r="C976" s="124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ht="18.75" customHeight="1" x14ac:dyDescent="0.35">
      <c r="C977" s="124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ht="18.75" customHeight="1" x14ac:dyDescent="0.35">
      <c r="C978" s="124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ht="18.75" customHeight="1" x14ac:dyDescent="0.35">
      <c r="C979" s="124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ht="18.75" customHeight="1" x14ac:dyDescent="0.35">
      <c r="C980" s="124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ht="18.75" customHeight="1" x14ac:dyDescent="0.35">
      <c r="C981" s="124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ht="18.75" customHeight="1" x14ac:dyDescent="0.35">
      <c r="C982" s="124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ht="18.75" customHeight="1" x14ac:dyDescent="0.35">
      <c r="C983" s="124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ht="18.75" customHeight="1" x14ac:dyDescent="0.35">
      <c r="C984" s="124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ht="18.75" customHeight="1" x14ac:dyDescent="0.35">
      <c r="C985" s="124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ht="18.75" customHeight="1" x14ac:dyDescent="0.35">
      <c r="C986" s="124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ht="18.75" customHeight="1" x14ac:dyDescent="0.35">
      <c r="C987" s="124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ht="18.75" customHeight="1" x14ac:dyDescent="0.35">
      <c r="C988" s="124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ht="18.75" customHeight="1" x14ac:dyDescent="0.35">
      <c r="C989" s="124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ht="18.75" customHeight="1" x14ac:dyDescent="0.35">
      <c r="C990" s="124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ht="18.75" customHeight="1" x14ac:dyDescent="0.35">
      <c r="C991" s="124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ht="18.75" customHeight="1" x14ac:dyDescent="0.35">
      <c r="C992" s="124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ht="18.75" customHeight="1" x14ac:dyDescent="0.35">
      <c r="C993" s="124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ht="18.75" customHeight="1" x14ac:dyDescent="0.35">
      <c r="C994" s="124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ht="18.75" customHeight="1" x14ac:dyDescent="0.35">
      <c r="C995" s="124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ht="18.75" customHeight="1" x14ac:dyDescent="0.35">
      <c r="C996" s="124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ht="18.75" customHeight="1" x14ac:dyDescent="0.35">
      <c r="C997" s="124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ht="18.75" customHeight="1" x14ac:dyDescent="0.35">
      <c r="C998" s="124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ht="18.75" customHeight="1" x14ac:dyDescent="0.35">
      <c r="C999" s="124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ht="18.75" customHeight="1" x14ac:dyDescent="0.35">
      <c r="C1000" s="124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ht="18.75" customHeight="1" x14ac:dyDescent="0.35">
      <c r="C1001" s="124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ht="18.75" customHeight="1" x14ac:dyDescent="0.35">
      <c r="C1002" s="124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ht="18.75" customHeight="1" x14ac:dyDescent="0.35">
      <c r="C1003" s="124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ht="18.75" customHeight="1" x14ac:dyDescent="0.35">
      <c r="C1004" s="124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ht="18.75" customHeight="1" x14ac:dyDescent="0.35">
      <c r="C1005" s="124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ht="18.75" customHeight="1" x14ac:dyDescent="0.35">
      <c r="C1006" s="124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ht="18.75" customHeight="1" x14ac:dyDescent="0.35">
      <c r="C1007" s="124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ht="18.75" customHeight="1" x14ac:dyDescent="0.35">
      <c r="C1008" s="124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ht="18.75" customHeight="1" x14ac:dyDescent="0.35">
      <c r="C1009" s="124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ht="18.75" customHeight="1" x14ac:dyDescent="0.35">
      <c r="C1010" s="124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ht="18.75" customHeight="1" x14ac:dyDescent="0.35">
      <c r="C1011" s="124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ht="18.75" customHeight="1" x14ac:dyDescent="0.35">
      <c r="C1012" s="124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ht="18.75" customHeight="1" x14ac:dyDescent="0.35">
      <c r="C1013" s="124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ht="18.75" customHeight="1" x14ac:dyDescent="0.35">
      <c r="C1014" s="124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ht="18.75" customHeight="1" x14ac:dyDescent="0.35">
      <c r="C1015" s="124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ht="18.75" customHeight="1" x14ac:dyDescent="0.35">
      <c r="C1016" s="124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ht="18.75" customHeight="1" x14ac:dyDescent="0.35">
      <c r="C1017" s="124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ht="18.75" customHeight="1" x14ac:dyDescent="0.35">
      <c r="C1018" s="124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ht="18.75" customHeight="1" x14ac:dyDescent="0.35">
      <c r="C1019" s="124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ht="18.75" customHeight="1" x14ac:dyDescent="0.35">
      <c r="C1020" s="124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ht="18.75" customHeight="1" x14ac:dyDescent="0.35">
      <c r="C1021" s="124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ht="18.75" customHeight="1" x14ac:dyDescent="0.35">
      <c r="C1022" s="124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ht="18.75" customHeight="1" x14ac:dyDescent="0.35">
      <c r="C1023" s="124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ht="18.75" customHeight="1" x14ac:dyDescent="0.35">
      <c r="C1024" s="124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ht="18.75" customHeight="1" x14ac:dyDescent="0.35">
      <c r="C1025" s="124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ht="18.75" customHeight="1" x14ac:dyDescent="0.35">
      <c r="C1026" s="124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ht="18.75" customHeight="1" x14ac:dyDescent="0.35">
      <c r="C1027" s="124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ht="18.75" customHeight="1" x14ac:dyDescent="0.35">
      <c r="C1028" s="124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ht="18.75" customHeight="1" x14ac:dyDescent="0.35">
      <c r="C1029" s="124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ht="18.75" customHeight="1" x14ac:dyDescent="0.35">
      <c r="C1030" s="124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ht="18.75" customHeight="1" x14ac:dyDescent="0.35">
      <c r="C1031" s="124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ht="18.75" customHeight="1" x14ac:dyDescent="0.35">
      <c r="C1032" s="124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ht="18.75" customHeight="1" x14ac:dyDescent="0.35">
      <c r="C1033" s="124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ht="18.75" customHeight="1" x14ac:dyDescent="0.35">
      <c r="C1034" s="124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ht="18.75" customHeight="1" x14ac:dyDescent="0.35">
      <c r="C1035" s="124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ht="18.75" customHeight="1" x14ac:dyDescent="0.35">
      <c r="C1036" s="124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ht="18.75" customHeight="1" x14ac:dyDescent="0.35">
      <c r="C1037" s="124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ht="18.75" customHeight="1" x14ac:dyDescent="0.35">
      <c r="C1038" s="124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ht="18.75" customHeight="1" x14ac:dyDescent="0.35">
      <c r="C1039" s="124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ht="18.75" customHeight="1" x14ac:dyDescent="0.35">
      <c r="C1040" s="124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ht="18.75" customHeight="1" x14ac:dyDescent="0.35">
      <c r="C1041" s="124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ht="18.75" customHeight="1" x14ac:dyDescent="0.35">
      <c r="C1042" s="124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ht="18.75" customHeight="1" x14ac:dyDescent="0.35">
      <c r="C1043" s="124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ht="18.75" customHeight="1" x14ac:dyDescent="0.35">
      <c r="C1044" s="124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ht="18.75" customHeight="1" x14ac:dyDescent="0.35">
      <c r="C1045" s="124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ht="18.75" customHeight="1" x14ac:dyDescent="0.35">
      <c r="C1046" s="124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ht="18.75" customHeight="1" x14ac:dyDescent="0.35">
      <c r="C1047" s="124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ht="18.75" customHeight="1" x14ac:dyDescent="0.35">
      <c r="C1048" s="124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ht="18.75" customHeight="1" x14ac:dyDescent="0.35">
      <c r="C1049" s="124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ht="18.75" customHeight="1" x14ac:dyDescent="0.35">
      <c r="C1050" s="124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ht="18.75" customHeight="1" x14ac:dyDescent="0.35">
      <c r="C1051" s="124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ht="18.75" customHeight="1" x14ac:dyDescent="0.35">
      <c r="C1052" s="124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ht="18.75" customHeight="1" x14ac:dyDescent="0.35">
      <c r="C1053" s="124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ht="18.75" customHeight="1" x14ac:dyDescent="0.35">
      <c r="C1054" s="124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ht="18.75" customHeight="1" x14ac:dyDescent="0.35">
      <c r="C1055" s="124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ht="18.75" customHeight="1" x14ac:dyDescent="0.35">
      <c r="C1056" s="124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ht="18.75" customHeight="1" x14ac:dyDescent="0.35">
      <c r="C1057" s="124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ht="18.75" customHeight="1" x14ac:dyDescent="0.35">
      <c r="C1058" s="124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ht="18.75" customHeight="1" x14ac:dyDescent="0.35">
      <c r="C1059" s="124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ht="18.75" customHeight="1" x14ac:dyDescent="0.35">
      <c r="C1060" s="124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ht="18.75" customHeight="1" x14ac:dyDescent="0.35">
      <c r="C1061" s="124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ht="18.75" customHeight="1" x14ac:dyDescent="0.35">
      <c r="C1062" s="124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ht="18.75" customHeight="1" x14ac:dyDescent="0.35">
      <c r="C1063" s="124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ht="18.75" customHeight="1" x14ac:dyDescent="0.35">
      <c r="C1064" s="124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ht="18.75" customHeight="1" x14ac:dyDescent="0.35">
      <c r="C1065" s="124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ht="18.75" customHeight="1" x14ac:dyDescent="0.35">
      <c r="C1066" s="124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ht="18.75" customHeight="1" x14ac:dyDescent="0.35">
      <c r="C1067" s="124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ht="18.75" customHeight="1" x14ac:dyDescent="0.35">
      <c r="C1068" s="124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ht="18.75" customHeight="1" x14ac:dyDescent="0.35">
      <c r="C1069" s="124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ht="18.75" customHeight="1" x14ac:dyDescent="0.35">
      <c r="C1070" s="124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ht="18.75" customHeight="1" x14ac:dyDescent="0.35">
      <c r="C1071" s="124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ht="18.75" customHeight="1" x14ac:dyDescent="0.35">
      <c r="C1072" s="124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ht="18.75" customHeight="1" x14ac:dyDescent="0.35">
      <c r="C1073" s="124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ht="18.75" customHeight="1" x14ac:dyDescent="0.35">
      <c r="C1074" s="124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ht="18.75" customHeight="1" x14ac:dyDescent="0.35">
      <c r="C1075" s="124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ht="18.75" customHeight="1" x14ac:dyDescent="0.35">
      <c r="C1076" s="124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ht="18.75" customHeight="1" x14ac:dyDescent="0.35">
      <c r="C1077" s="124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ht="18.75" customHeight="1" x14ac:dyDescent="0.35">
      <c r="C1078" s="124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ht="18.75" customHeight="1" x14ac:dyDescent="0.35">
      <c r="C1079" s="124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ht="18.75" customHeight="1" x14ac:dyDescent="0.35">
      <c r="C1080" s="124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ht="18.75" customHeight="1" x14ac:dyDescent="0.35">
      <c r="C1081" s="124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ht="18.75" customHeight="1" x14ac:dyDescent="0.35">
      <c r="C1082" s="124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ht="18.75" customHeight="1" x14ac:dyDescent="0.35">
      <c r="C1083" s="124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ht="18.75" customHeight="1" x14ac:dyDescent="0.35">
      <c r="C1084" s="124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ht="18.75" customHeight="1" x14ac:dyDescent="0.35">
      <c r="C1085" s="124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ht="18.75" customHeight="1" x14ac:dyDescent="0.35">
      <c r="C1086" s="124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ht="18.75" customHeight="1" x14ac:dyDescent="0.35">
      <c r="C1087" s="124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ht="18.75" customHeight="1" x14ac:dyDescent="0.35">
      <c r="C1088" s="124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ht="18.75" customHeight="1" x14ac:dyDescent="0.35">
      <c r="C1089" s="124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ht="18.75" customHeight="1" x14ac:dyDescent="0.35">
      <c r="C1090" s="124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ht="18.75" customHeight="1" x14ac:dyDescent="0.35">
      <c r="C1091" s="124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ht="18.75" customHeight="1" x14ac:dyDescent="0.35">
      <c r="C1092" s="124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ht="18.75" customHeight="1" x14ac:dyDescent="0.35">
      <c r="C1093" s="124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ht="18.75" customHeight="1" x14ac:dyDescent="0.35">
      <c r="C1094" s="124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ht="18.75" customHeight="1" x14ac:dyDescent="0.35">
      <c r="C1095" s="124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ht="18.75" customHeight="1" x14ac:dyDescent="0.35">
      <c r="C1096" s="124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ht="18.75" customHeight="1" x14ac:dyDescent="0.35">
      <c r="C1097" s="124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ht="18.75" customHeight="1" x14ac:dyDescent="0.35">
      <c r="C1098" s="124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ht="18.75" customHeight="1" x14ac:dyDescent="0.35">
      <c r="C1099" s="124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ht="18.75" customHeight="1" x14ac:dyDescent="0.35">
      <c r="C1100" s="124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ht="18.75" customHeight="1" x14ac:dyDescent="0.35">
      <c r="C1101" s="124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ht="18.75" customHeight="1" x14ac:dyDescent="0.35">
      <c r="C1102" s="124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ht="18.75" customHeight="1" x14ac:dyDescent="0.35">
      <c r="C1103" s="124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ht="18.75" customHeight="1" x14ac:dyDescent="0.35">
      <c r="C1104" s="124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ht="18.75" customHeight="1" x14ac:dyDescent="0.35">
      <c r="C1105" s="124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ht="18.75" customHeight="1" x14ac:dyDescent="0.35">
      <c r="C1106" s="124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ht="18.75" customHeight="1" x14ac:dyDescent="0.35">
      <c r="C1107" s="124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ht="18.75" customHeight="1" x14ac:dyDescent="0.35">
      <c r="C1108" s="124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ht="18.75" customHeight="1" x14ac:dyDescent="0.35">
      <c r="C1109" s="124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ht="18.75" customHeight="1" x14ac:dyDescent="0.35">
      <c r="C1110" s="124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ht="18.75" customHeight="1" x14ac:dyDescent="0.35">
      <c r="C1111" s="124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ht="18.75" customHeight="1" x14ac:dyDescent="0.35">
      <c r="C1112" s="124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ht="18.75" customHeight="1" x14ac:dyDescent="0.35">
      <c r="C1113" s="124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ht="18.75" customHeight="1" x14ac:dyDescent="0.35">
      <c r="C1114" s="124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ht="18.75" customHeight="1" x14ac:dyDescent="0.35">
      <c r="C1115" s="124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ht="18.75" customHeight="1" x14ac:dyDescent="0.35">
      <c r="C1116" s="124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ht="18.75" customHeight="1" x14ac:dyDescent="0.35">
      <c r="C1117" s="124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ht="18.75" customHeight="1" x14ac:dyDescent="0.35">
      <c r="C1118" s="124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ht="18.75" customHeight="1" x14ac:dyDescent="0.35">
      <c r="C1119" s="124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ht="18.75" customHeight="1" x14ac:dyDescent="0.35">
      <c r="C1120" s="124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ht="18.75" customHeight="1" x14ac:dyDescent="0.35">
      <c r="C1121" s="124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ht="18.75" customHeight="1" x14ac:dyDescent="0.35">
      <c r="C1122" s="124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ht="18.75" customHeight="1" x14ac:dyDescent="0.35">
      <c r="C1123" s="124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ht="18.75" customHeight="1" x14ac:dyDescent="0.35">
      <c r="C1124" s="124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ht="18.75" customHeight="1" x14ac:dyDescent="0.35">
      <c r="C1125" s="124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ht="18.75" customHeight="1" x14ac:dyDescent="0.35">
      <c r="C1126" s="124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ht="18.75" customHeight="1" x14ac:dyDescent="0.35">
      <c r="C1127" s="124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ht="18.75" customHeight="1" x14ac:dyDescent="0.35">
      <c r="C1128" s="124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ht="18.75" customHeight="1" x14ac:dyDescent="0.35">
      <c r="C1129" s="124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ht="18.75" customHeight="1" x14ac:dyDescent="0.35">
      <c r="C1130" s="124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ht="18.75" customHeight="1" x14ac:dyDescent="0.35">
      <c r="C1131" s="124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ht="18.75" customHeight="1" x14ac:dyDescent="0.35">
      <c r="C1132" s="124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ht="18.75" customHeight="1" x14ac:dyDescent="0.35">
      <c r="C1133" s="124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ht="18.75" customHeight="1" x14ac:dyDescent="0.35">
      <c r="C1134" s="124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ht="18.75" customHeight="1" x14ac:dyDescent="0.35">
      <c r="C1135" s="124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ht="18.75" customHeight="1" x14ac:dyDescent="0.35">
      <c r="C1136" s="124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ht="18.75" customHeight="1" x14ac:dyDescent="0.35">
      <c r="C1137" s="124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ht="18.75" customHeight="1" x14ac:dyDescent="0.35">
      <c r="C1138" s="124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ht="18.75" customHeight="1" x14ac:dyDescent="0.35">
      <c r="C1139" s="124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ht="18.75" customHeight="1" x14ac:dyDescent="0.35">
      <c r="C1140" s="124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ht="18.75" customHeight="1" x14ac:dyDescent="0.35">
      <c r="C1141" s="124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ht="18.75" customHeight="1" x14ac:dyDescent="0.35">
      <c r="C1142" s="124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ht="18.75" customHeight="1" x14ac:dyDescent="0.35">
      <c r="C1143" s="124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ht="18.75" customHeight="1" x14ac:dyDescent="0.35">
      <c r="C1144" s="124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ht="18.75" customHeight="1" x14ac:dyDescent="0.35">
      <c r="C1145" s="124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ht="18.75" customHeight="1" x14ac:dyDescent="0.35">
      <c r="C1146" s="124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ht="18.75" customHeight="1" x14ac:dyDescent="0.35">
      <c r="C1147" s="124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ht="18.75" customHeight="1" x14ac:dyDescent="0.35">
      <c r="C1148" s="124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ht="18.75" customHeight="1" x14ac:dyDescent="0.35">
      <c r="C1149" s="124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ht="18.75" customHeight="1" x14ac:dyDescent="0.35">
      <c r="C1150" s="124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ht="18.75" customHeight="1" x14ac:dyDescent="0.35">
      <c r="C1151" s="124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ht="18.75" customHeight="1" x14ac:dyDescent="0.35">
      <c r="C1152" s="124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ht="18.75" customHeight="1" x14ac:dyDescent="0.35">
      <c r="C1153" s="124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ht="18.75" customHeight="1" x14ac:dyDescent="0.35">
      <c r="C1154" s="124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ht="18.75" customHeight="1" x14ac:dyDescent="0.35">
      <c r="C1155" s="124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ht="18.75" customHeight="1" x14ac:dyDescent="0.35">
      <c r="C1156" s="124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ht="18.75" customHeight="1" x14ac:dyDescent="0.35">
      <c r="C1157" s="124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ht="18.75" customHeight="1" x14ac:dyDescent="0.35">
      <c r="C1158" s="124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ht="18.75" customHeight="1" x14ac:dyDescent="0.35">
      <c r="C1159" s="124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ht="18.75" customHeight="1" x14ac:dyDescent="0.35">
      <c r="C1160" s="124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ht="18.75" customHeight="1" x14ac:dyDescent="0.35">
      <c r="C1161" s="124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ht="18.75" customHeight="1" x14ac:dyDescent="0.35">
      <c r="C1162" s="124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ht="18.75" customHeight="1" x14ac:dyDescent="0.35">
      <c r="C1163" s="124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ht="18.75" customHeight="1" x14ac:dyDescent="0.35">
      <c r="C1164" s="124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ht="18.75" customHeight="1" x14ac:dyDescent="0.35">
      <c r="C1165" s="124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ht="18.75" customHeight="1" x14ac:dyDescent="0.35">
      <c r="C1166" s="124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ht="18.75" customHeight="1" x14ac:dyDescent="0.35">
      <c r="C1167" s="124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ht="18.75" customHeight="1" x14ac:dyDescent="0.35">
      <c r="C1168" s="124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ht="18.75" customHeight="1" x14ac:dyDescent="0.35">
      <c r="C1169" s="124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ht="18.75" customHeight="1" x14ac:dyDescent="0.35">
      <c r="C1170" s="124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ht="18.75" customHeight="1" x14ac:dyDescent="0.35">
      <c r="C1171" s="124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ht="18.75" customHeight="1" x14ac:dyDescent="0.35">
      <c r="C1172" s="124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ht="18.75" customHeight="1" x14ac:dyDescent="0.35">
      <c r="C1173" s="124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ht="18.75" customHeight="1" x14ac:dyDescent="0.35">
      <c r="C1174" s="124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ht="18.75" customHeight="1" x14ac:dyDescent="0.35">
      <c r="C1175" s="124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ht="18.75" customHeight="1" x14ac:dyDescent="0.35">
      <c r="C1176" s="124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ht="18.75" customHeight="1" x14ac:dyDescent="0.35">
      <c r="C1177" s="124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ht="18.75" customHeight="1" x14ac:dyDescent="0.35">
      <c r="C1178" s="124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ht="18.75" customHeight="1" x14ac:dyDescent="0.35">
      <c r="C1179" s="124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ht="18.75" customHeight="1" x14ac:dyDescent="0.35">
      <c r="C1180" s="124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ht="18.75" customHeight="1" x14ac:dyDescent="0.35">
      <c r="C1181" s="124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ht="18.75" customHeight="1" x14ac:dyDescent="0.35">
      <c r="C1182" s="124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ht="18.75" customHeight="1" x14ac:dyDescent="0.35">
      <c r="C1183" s="124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ht="18.75" customHeight="1" x14ac:dyDescent="0.35">
      <c r="C1184" s="124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ht="18.75" customHeight="1" x14ac:dyDescent="0.35">
      <c r="C1185" s="124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ht="18.75" customHeight="1" x14ac:dyDescent="0.35">
      <c r="C1186" s="124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ht="18.75" customHeight="1" x14ac:dyDescent="0.35">
      <c r="C1187" s="124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ht="18.75" customHeight="1" x14ac:dyDescent="0.35">
      <c r="C1188" s="124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ht="18.75" customHeight="1" x14ac:dyDescent="0.35">
      <c r="C1189" s="124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ht="18.75" customHeight="1" x14ac:dyDescent="0.35">
      <c r="C1190" s="124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ht="18.75" customHeight="1" x14ac:dyDescent="0.35">
      <c r="C1191" s="124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ht="18.75" customHeight="1" x14ac:dyDescent="0.35">
      <c r="C1192" s="124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ht="18.75" customHeight="1" x14ac:dyDescent="0.35">
      <c r="C1193" s="124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ht="18.75" customHeight="1" x14ac:dyDescent="0.35">
      <c r="C1194" s="124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ht="18.75" customHeight="1" x14ac:dyDescent="0.35">
      <c r="C1195" s="124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ht="18.75" customHeight="1" x14ac:dyDescent="0.35">
      <c r="C1196" s="124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ht="18.75" customHeight="1" x14ac:dyDescent="0.35">
      <c r="C1197" s="124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ht="18.75" customHeight="1" x14ac:dyDescent="0.35">
      <c r="C1198" s="124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ht="18.75" customHeight="1" x14ac:dyDescent="0.35">
      <c r="C1199" s="124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ht="18.75" customHeight="1" x14ac:dyDescent="0.35">
      <c r="C1200" s="124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ht="18.75" customHeight="1" x14ac:dyDescent="0.35">
      <c r="C1201" s="124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ht="18.75" customHeight="1" x14ac:dyDescent="0.35">
      <c r="C1202" s="124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ht="18.75" customHeight="1" x14ac:dyDescent="0.35">
      <c r="C1203" s="124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ht="18.75" customHeight="1" x14ac:dyDescent="0.35">
      <c r="C1204" s="124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ht="18.75" customHeight="1" x14ac:dyDescent="0.35">
      <c r="C1205" s="124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ht="18.75" customHeight="1" x14ac:dyDescent="0.35">
      <c r="C1206" s="124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ht="18.75" customHeight="1" x14ac:dyDescent="0.35">
      <c r="C1207" s="124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ht="18.75" customHeight="1" x14ac:dyDescent="0.35">
      <c r="C1208" s="124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ht="18.75" customHeight="1" x14ac:dyDescent="0.35">
      <c r="C1209" s="124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ht="18.75" customHeight="1" x14ac:dyDescent="0.35">
      <c r="C1210" s="124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ht="18.75" customHeight="1" x14ac:dyDescent="0.35">
      <c r="C1211" s="124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ht="18.75" customHeight="1" x14ac:dyDescent="0.35">
      <c r="C1212" s="124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ht="18.75" customHeight="1" x14ac:dyDescent="0.35">
      <c r="C1213" s="124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ht="18.75" customHeight="1" x14ac:dyDescent="0.35">
      <c r="C1214" s="124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ht="18.75" customHeight="1" x14ac:dyDescent="0.35">
      <c r="C1215" s="124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ht="18.75" customHeight="1" x14ac:dyDescent="0.35">
      <c r="C1216" s="124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ht="18.75" customHeight="1" x14ac:dyDescent="0.35">
      <c r="C1217" s="124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ht="18.75" customHeight="1" x14ac:dyDescent="0.35">
      <c r="C1218" s="124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ht="18.75" customHeight="1" x14ac:dyDescent="0.35">
      <c r="C1219" s="124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ht="18.75" customHeight="1" x14ac:dyDescent="0.35">
      <c r="C1220" s="124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ht="18.75" customHeight="1" x14ac:dyDescent="0.35">
      <c r="C1221" s="124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ht="18.75" customHeight="1" x14ac:dyDescent="0.35">
      <c r="C1222" s="124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ht="18.75" customHeight="1" x14ac:dyDescent="0.35">
      <c r="C1223" s="124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ht="18.75" customHeight="1" x14ac:dyDescent="0.35">
      <c r="C1224" s="124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ht="18.75" customHeight="1" x14ac:dyDescent="0.35">
      <c r="C1225" s="124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ht="18.75" customHeight="1" x14ac:dyDescent="0.35">
      <c r="C1226" s="124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ht="18.75" customHeight="1" x14ac:dyDescent="0.35">
      <c r="C1227" s="124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ht="18.75" customHeight="1" x14ac:dyDescent="0.35">
      <c r="C1228" s="124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ht="18.75" customHeight="1" x14ac:dyDescent="0.35">
      <c r="C1229" s="124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ht="18.75" customHeight="1" x14ac:dyDescent="0.35">
      <c r="C1230" s="124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ht="18.75" customHeight="1" x14ac:dyDescent="0.35">
      <c r="C1231" s="124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ht="18.75" customHeight="1" x14ac:dyDescent="0.35">
      <c r="C1232" s="124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ht="18.75" customHeight="1" x14ac:dyDescent="0.35">
      <c r="C1233" s="124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ht="18.75" customHeight="1" x14ac:dyDescent="0.35">
      <c r="C1234" s="124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ht="18.75" customHeight="1" x14ac:dyDescent="0.35">
      <c r="C1235" s="124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ht="18.75" customHeight="1" x14ac:dyDescent="0.35">
      <c r="C1236" s="124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ht="18.75" customHeight="1" x14ac:dyDescent="0.35">
      <c r="C1237" s="124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ht="18.75" customHeight="1" x14ac:dyDescent="0.35">
      <c r="C1238" s="124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ht="18.75" customHeight="1" x14ac:dyDescent="0.35">
      <c r="C1239" s="124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ht="18.75" customHeight="1" x14ac:dyDescent="0.35">
      <c r="C1240" s="124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ht="18.75" customHeight="1" x14ac:dyDescent="0.35">
      <c r="C1241" s="124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ht="18.75" customHeight="1" x14ac:dyDescent="0.35">
      <c r="C1242" s="124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ht="18.75" customHeight="1" x14ac:dyDescent="0.35">
      <c r="C1243" s="124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ht="18.75" customHeight="1" x14ac:dyDescent="0.35">
      <c r="C1244" s="124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ht="18.75" customHeight="1" x14ac:dyDescent="0.35">
      <c r="C1245" s="124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ht="18.75" customHeight="1" x14ac:dyDescent="0.35">
      <c r="C1246" s="124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ht="18.75" customHeight="1" x14ac:dyDescent="0.35">
      <c r="C1247" s="124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ht="18.75" customHeight="1" x14ac:dyDescent="0.35">
      <c r="C1248" s="124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ht="18.75" customHeight="1" x14ac:dyDescent="0.35">
      <c r="C1249" s="124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ht="18.75" customHeight="1" x14ac:dyDescent="0.35">
      <c r="C1250" s="124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ht="18.75" customHeight="1" x14ac:dyDescent="0.35">
      <c r="C1251" s="124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ht="18.75" customHeight="1" x14ac:dyDescent="0.35">
      <c r="C1252" s="124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ht="18.75" customHeight="1" x14ac:dyDescent="0.35">
      <c r="C1253" s="124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ht="18.75" customHeight="1" x14ac:dyDescent="0.35">
      <c r="C1254" s="124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ht="18.75" customHeight="1" x14ac:dyDescent="0.35">
      <c r="C1255" s="124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ht="18.75" customHeight="1" x14ac:dyDescent="0.35">
      <c r="C1256" s="124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ht="18.75" customHeight="1" x14ac:dyDescent="0.35">
      <c r="C1257" s="124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ht="18.75" customHeight="1" x14ac:dyDescent="0.35">
      <c r="C1258" s="124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ht="18.75" customHeight="1" x14ac:dyDescent="0.35">
      <c r="C1259" s="124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ht="18.75" customHeight="1" x14ac:dyDescent="0.35">
      <c r="C1260" s="124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ht="18.75" customHeight="1" x14ac:dyDescent="0.35">
      <c r="C1261" s="124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ht="18.75" customHeight="1" x14ac:dyDescent="0.35">
      <c r="C1262" s="124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ht="18.75" customHeight="1" x14ac:dyDescent="0.35">
      <c r="C1263" s="124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ht="18.75" customHeight="1" x14ac:dyDescent="0.35">
      <c r="C1264" s="124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ht="18.75" customHeight="1" x14ac:dyDescent="0.35">
      <c r="C1265" s="124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ht="18.75" customHeight="1" x14ac:dyDescent="0.35">
      <c r="C1266" s="124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ht="18.75" customHeight="1" x14ac:dyDescent="0.35">
      <c r="C1267" s="124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ht="18.75" customHeight="1" x14ac:dyDescent="0.35">
      <c r="C1268" s="124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ht="18.75" customHeight="1" x14ac:dyDescent="0.35">
      <c r="C1269" s="124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ht="18.75" customHeight="1" x14ac:dyDescent="0.35">
      <c r="C1270" s="124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ht="18.75" customHeight="1" x14ac:dyDescent="0.35">
      <c r="C1271" s="124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ht="18.75" customHeight="1" x14ac:dyDescent="0.35">
      <c r="C1272" s="124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ht="18.75" customHeight="1" x14ac:dyDescent="0.35">
      <c r="C1273" s="124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ht="18.75" customHeight="1" x14ac:dyDescent="0.35">
      <c r="C1274" s="124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ht="18.75" customHeight="1" x14ac:dyDescent="0.35">
      <c r="C1275" s="124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ht="18.75" customHeight="1" x14ac:dyDescent="0.35">
      <c r="C1276" s="124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ht="18.75" customHeight="1" x14ac:dyDescent="0.35">
      <c r="C1277" s="124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ht="18.75" customHeight="1" x14ac:dyDescent="0.35">
      <c r="C1278" s="124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ht="18.75" customHeight="1" x14ac:dyDescent="0.35">
      <c r="C1279" s="124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ht="18.75" customHeight="1" x14ac:dyDescent="0.35">
      <c r="C1280" s="124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ht="18.75" customHeight="1" x14ac:dyDescent="0.35">
      <c r="C1281" s="124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ht="18.75" customHeight="1" x14ac:dyDescent="0.35">
      <c r="C1282" s="124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ht="18.75" customHeight="1" x14ac:dyDescent="0.35">
      <c r="C1283" s="124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ht="18.75" customHeight="1" x14ac:dyDescent="0.35">
      <c r="C1284" s="124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ht="18.75" customHeight="1" x14ac:dyDescent="0.35">
      <c r="C1285" s="124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ht="18.75" customHeight="1" x14ac:dyDescent="0.35">
      <c r="C1286" s="124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ht="18.75" customHeight="1" x14ac:dyDescent="0.35">
      <c r="C1287" s="124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ht="18.75" customHeight="1" x14ac:dyDescent="0.35">
      <c r="C1288" s="124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ht="18.75" customHeight="1" x14ac:dyDescent="0.35">
      <c r="C1289" s="124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ht="18.75" customHeight="1" x14ac:dyDescent="0.35">
      <c r="C1290" s="124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ht="18.75" customHeight="1" x14ac:dyDescent="0.35">
      <c r="C1291" s="124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ht="18.75" customHeight="1" x14ac:dyDescent="0.35">
      <c r="C1292" s="124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ht="18.75" customHeight="1" x14ac:dyDescent="0.35">
      <c r="C1293" s="124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ht="18.75" customHeight="1" x14ac:dyDescent="0.35">
      <c r="C1294" s="124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ht="18.75" customHeight="1" x14ac:dyDescent="0.35">
      <c r="C1295" s="124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ht="18.75" customHeight="1" x14ac:dyDescent="0.35">
      <c r="C1296" s="124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ht="18.75" customHeight="1" x14ac:dyDescent="0.35">
      <c r="C1297" s="124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ht="18.75" customHeight="1" x14ac:dyDescent="0.35">
      <c r="C1298" s="124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ht="18.75" customHeight="1" x14ac:dyDescent="0.35">
      <c r="C1299" s="124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ht="18.75" customHeight="1" x14ac:dyDescent="0.35">
      <c r="C1300" s="124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ht="18.75" customHeight="1" x14ac:dyDescent="0.35">
      <c r="C1301" s="124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ht="18.75" customHeight="1" x14ac:dyDescent="0.35">
      <c r="C1302" s="124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ht="18.75" customHeight="1" x14ac:dyDescent="0.35">
      <c r="C1303" s="124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ht="18.75" customHeight="1" x14ac:dyDescent="0.35">
      <c r="C1304" s="124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ht="18.75" customHeight="1" x14ac:dyDescent="0.35">
      <c r="C1305" s="124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ht="18.75" customHeight="1" x14ac:dyDescent="0.35">
      <c r="C1306" s="124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ht="18.75" customHeight="1" x14ac:dyDescent="0.35">
      <c r="C1307" s="124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ht="18.75" customHeight="1" x14ac:dyDescent="0.35">
      <c r="C1308" s="124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ht="18.75" customHeight="1" x14ac:dyDescent="0.35">
      <c r="C1309" s="124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ht="18.75" customHeight="1" x14ac:dyDescent="0.35">
      <c r="C1310" s="124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ht="18.75" customHeight="1" x14ac:dyDescent="0.35">
      <c r="C1311" s="124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ht="18.75" customHeight="1" x14ac:dyDescent="0.35">
      <c r="C1312" s="124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ht="18.75" customHeight="1" x14ac:dyDescent="0.35">
      <c r="C1313" s="124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ht="18.75" customHeight="1" x14ac:dyDescent="0.35">
      <c r="C1314" s="124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ht="18.75" customHeight="1" x14ac:dyDescent="0.35">
      <c r="C1315" s="124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ht="18.75" customHeight="1" x14ac:dyDescent="0.35">
      <c r="C1316" s="124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ht="18.75" customHeight="1" x14ac:dyDescent="0.35">
      <c r="C1317" s="124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ht="18.75" customHeight="1" x14ac:dyDescent="0.35">
      <c r="C1318" s="124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ht="18.75" customHeight="1" x14ac:dyDescent="0.35">
      <c r="C1319" s="124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ht="18.75" customHeight="1" x14ac:dyDescent="0.35">
      <c r="C1320" s="124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ht="18.75" customHeight="1" x14ac:dyDescent="0.35">
      <c r="C1321" s="124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ht="18.75" customHeight="1" x14ac:dyDescent="0.35">
      <c r="C1322" s="124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ht="18.75" customHeight="1" x14ac:dyDescent="0.35">
      <c r="C1323" s="124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ht="18.75" customHeight="1" x14ac:dyDescent="0.35">
      <c r="C1324" s="124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ht="18.75" customHeight="1" x14ac:dyDescent="0.35">
      <c r="C1325" s="124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ht="18.75" customHeight="1" x14ac:dyDescent="0.35">
      <c r="C1326" s="124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ht="18.75" customHeight="1" x14ac:dyDescent="0.35">
      <c r="C1327" s="124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ht="18.75" customHeight="1" x14ac:dyDescent="0.35">
      <c r="C1328" s="124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ht="18.75" customHeight="1" x14ac:dyDescent="0.35">
      <c r="C1329" s="124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ht="18.75" customHeight="1" x14ac:dyDescent="0.35">
      <c r="C1330" s="124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ht="18.75" customHeight="1" x14ac:dyDescent="0.35">
      <c r="C1331" s="124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ht="18.75" customHeight="1" x14ac:dyDescent="0.35">
      <c r="C1332" s="124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ht="18.75" customHeight="1" x14ac:dyDescent="0.35">
      <c r="C1333" s="124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ht="18.75" customHeight="1" x14ac:dyDescent="0.35">
      <c r="C1334" s="124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ht="18.75" customHeight="1" x14ac:dyDescent="0.35">
      <c r="C1335" s="124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ht="18.75" customHeight="1" x14ac:dyDescent="0.35">
      <c r="C1336" s="124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ht="18.75" customHeight="1" x14ac:dyDescent="0.35">
      <c r="C1337" s="124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ht="18.75" customHeight="1" x14ac:dyDescent="0.35">
      <c r="C1338" s="124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ht="18.75" customHeight="1" x14ac:dyDescent="0.35">
      <c r="C1339" s="124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ht="18.75" customHeight="1" x14ac:dyDescent="0.35">
      <c r="C1340" s="124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ht="18.75" customHeight="1" x14ac:dyDescent="0.35">
      <c r="C1341" s="124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ht="18.75" customHeight="1" x14ac:dyDescent="0.35">
      <c r="C1342" s="124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ht="18.75" customHeight="1" x14ac:dyDescent="0.35">
      <c r="C1343" s="124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ht="18.75" customHeight="1" x14ac:dyDescent="0.35">
      <c r="C1344" s="124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ht="18.75" customHeight="1" x14ac:dyDescent="0.35">
      <c r="C1345" s="124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ht="18.75" customHeight="1" x14ac:dyDescent="0.35">
      <c r="C1346" s="124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ht="18.75" customHeight="1" x14ac:dyDescent="0.35">
      <c r="C1347" s="124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ht="18.75" customHeight="1" x14ac:dyDescent="0.35">
      <c r="C1348" s="124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ht="18.75" customHeight="1" x14ac:dyDescent="0.35">
      <c r="C1349" s="124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ht="18.75" customHeight="1" x14ac:dyDescent="0.35">
      <c r="C1350" s="124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ht="18.75" customHeight="1" x14ac:dyDescent="0.35">
      <c r="C1351" s="124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ht="18.75" customHeight="1" x14ac:dyDescent="0.35">
      <c r="C1352" s="124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ht="18.75" customHeight="1" x14ac:dyDescent="0.35">
      <c r="C1353" s="124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ht="18.75" customHeight="1" x14ac:dyDescent="0.35">
      <c r="C1354" s="124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ht="18.75" customHeight="1" x14ac:dyDescent="0.35">
      <c r="C1355" s="124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ht="18.75" customHeight="1" x14ac:dyDescent="0.35">
      <c r="C1356" s="124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ht="18.75" customHeight="1" x14ac:dyDescent="0.35">
      <c r="C1357" s="124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ht="18.75" customHeight="1" x14ac:dyDescent="0.35">
      <c r="C1358" s="124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ht="18.75" customHeight="1" x14ac:dyDescent="0.35">
      <c r="C1359" s="124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ht="18.75" customHeight="1" x14ac:dyDescent="0.35">
      <c r="C1360" s="124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ht="18.75" customHeight="1" x14ac:dyDescent="0.35">
      <c r="C1361" s="124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ht="18.75" customHeight="1" x14ac:dyDescent="0.35">
      <c r="C1362" s="124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ht="18.75" customHeight="1" x14ac:dyDescent="0.35">
      <c r="C1363" s="124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ht="18.75" customHeight="1" x14ac:dyDescent="0.35">
      <c r="C1364" s="124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ht="18.75" customHeight="1" x14ac:dyDescent="0.35">
      <c r="C1365" s="124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ht="18.75" customHeight="1" x14ac:dyDescent="0.35">
      <c r="C1366" s="124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ht="18.75" customHeight="1" x14ac:dyDescent="0.35">
      <c r="C1367" s="124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ht="18.75" customHeight="1" x14ac:dyDescent="0.35">
      <c r="C1368" s="124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ht="18.75" customHeight="1" x14ac:dyDescent="0.35">
      <c r="C1369" s="124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ht="18.75" customHeight="1" x14ac:dyDescent="0.35">
      <c r="C1370" s="124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ht="18.75" customHeight="1" x14ac:dyDescent="0.35">
      <c r="C1371" s="124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ht="18.75" customHeight="1" x14ac:dyDescent="0.35">
      <c r="C1372" s="124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ht="18.75" customHeight="1" x14ac:dyDescent="0.35">
      <c r="C1373" s="124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ht="18.75" customHeight="1" x14ac:dyDescent="0.35">
      <c r="C1374" s="124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ht="18.75" customHeight="1" x14ac:dyDescent="0.35">
      <c r="C1375" s="124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ht="18.75" customHeight="1" x14ac:dyDescent="0.35">
      <c r="C1376" s="124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ht="18.75" customHeight="1" x14ac:dyDescent="0.35">
      <c r="C1377" s="124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ht="18.75" customHeight="1" x14ac:dyDescent="0.35">
      <c r="C1378" s="124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ht="18.75" customHeight="1" x14ac:dyDescent="0.35">
      <c r="C1379" s="124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ht="18.75" customHeight="1" x14ac:dyDescent="0.35">
      <c r="C1380" s="124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ht="18.75" customHeight="1" x14ac:dyDescent="0.35">
      <c r="C1381" s="124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ht="18.75" customHeight="1" x14ac:dyDescent="0.35">
      <c r="C1382" s="124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ht="18.75" customHeight="1" x14ac:dyDescent="0.35">
      <c r="C1383" s="124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ht="18.75" customHeight="1" x14ac:dyDescent="0.35">
      <c r="C1384" s="124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ht="18.75" customHeight="1" x14ac:dyDescent="0.35">
      <c r="C1385" s="124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ht="18.75" customHeight="1" x14ac:dyDescent="0.35">
      <c r="C1386" s="124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ht="18.75" customHeight="1" x14ac:dyDescent="0.35">
      <c r="C1387" s="124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ht="18.75" customHeight="1" x14ac:dyDescent="0.35">
      <c r="C1388" s="124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ht="18.75" customHeight="1" x14ac:dyDescent="0.35">
      <c r="C1389" s="124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ht="18.75" customHeight="1" x14ac:dyDescent="0.35">
      <c r="C1390" s="124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ht="18.75" customHeight="1" x14ac:dyDescent="0.35">
      <c r="C1391" s="124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ht="18.75" customHeight="1" x14ac:dyDescent="0.35">
      <c r="C1392" s="124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ht="18.75" customHeight="1" x14ac:dyDescent="0.35">
      <c r="C1393" s="124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ht="18.75" customHeight="1" x14ac:dyDescent="0.35">
      <c r="C1394" s="124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ht="18.75" customHeight="1" x14ac:dyDescent="0.35">
      <c r="C1395" s="124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ht="18.75" customHeight="1" x14ac:dyDescent="0.35">
      <c r="C1396" s="124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ht="18.75" customHeight="1" x14ac:dyDescent="0.35">
      <c r="C1397" s="124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ht="18.75" customHeight="1" x14ac:dyDescent="0.35">
      <c r="C1398" s="124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ht="18.75" customHeight="1" x14ac:dyDescent="0.35">
      <c r="C1399" s="124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ht="18.75" customHeight="1" x14ac:dyDescent="0.35">
      <c r="C1400" s="124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ht="18.75" customHeight="1" x14ac:dyDescent="0.35">
      <c r="C1401" s="124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ht="18.75" customHeight="1" x14ac:dyDescent="0.35">
      <c r="C1402" s="124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ht="18.75" customHeight="1" x14ac:dyDescent="0.35">
      <c r="C1403" s="124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ht="18.75" customHeight="1" x14ac:dyDescent="0.35">
      <c r="C1404" s="124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ht="18.75" customHeight="1" x14ac:dyDescent="0.35">
      <c r="C1405" s="124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ht="18.75" customHeight="1" x14ac:dyDescent="0.35">
      <c r="C1406" s="124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ht="18.75" customHeight="1" x14ac:dyDescent="0.35">
      <c r="C1407" s="124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ht="18.75" customHeight="1" x14ac:dyDescent="0.35">
      <c r="C1408" s="124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ht="18.75" customHeight="1" x14ac:dyDescent="0.35">
      <c r="C1409" s="124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ht="18.75" customHeight="1" x14ac:dyDescent="0.35">
      <c r="C1410" s="124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ht="18.75" customHeight="1" x14ac:dyDescent="0.35">
      <c r="C1411" s="124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ht="18.75" customHeight="1" x14ac:dyDescent="0.35">
      <c r="C1412" s="124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ht="18.75" customHeight="1" x14ac:dyDescent="0.35">
      <c r="C1413" s="124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ht="18.75" customHeight="1" x14ac:dyDescent="0.35">
      <c r="C1414" s="124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ht="18.75" customHeight="1" x14ac:dyDescent="0.35">
      <c r="C1415" s="124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ht="18.75" customHeight="1" x14ac:dyDescent="0.35">
      <c r="C1416" s="124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ht="18.75" customHeight="1" x14ac:dyDescent="0.35">
      <c r="C1417" s="124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ht="18.75" customHeight="1" x14ac:dyDescent="0.35">
      <c r="C1418" s="124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ht="18.75" customHeight="1" x14ac:dyDescent="0.35">
      <c r="C1419" s="124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ht="18.75" customHeight="1" x14ac:dyDescent="0.35">
      <c r="C1420" s="124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ht="18.75" customHeight="1" x14ac:dyDescent="0.35">
      <c r="C1421" s="124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ht="18.75" customHeight="1" x14ac:dyDescent="0.35">
      <c r="C1422" s="124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ht="18.75" customHeight="1" x14ac:dyDescent="0.35">
      <c r="C1423" s="124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ht="18.75" customHeight="1" x14ac:dyDescent="0.35">
      <c r="C1424" s="124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ht="18.75" customHeight="1" x14ac:dyDescent="0.35">
      <c r="C1425" s="124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ht="18.75" customHeight="1" x14ac:dyDescent="0.35">
      <c r="C1426" s="124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ht="18.75" customHeight="1" x14ac:dyDescent="0.35">
      <c r="C1427" s="124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ht="18.75" customHeight="1" x14ac:dyDescent="0.35">
      <c r="C1428" s="124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ht="18.75" customHeight="1" x14ac:dyDescent="0.35">
      <c r="C1429" s="124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ht="18.75" customHeight="1" x14ac:dyDescent="0.35">
      <c r="C1430" s="124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ht="18.75" customHeight="1" x14ac:dyDescent="0.35">
      <c r="C1431" s="124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ht="18.75" customHeight="1" x14ac:dyDescent="0.35">
      <c r="C1432" s="124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ht="18.75" customHeight="1" x14ac:dyDescent="0.35">
      <c r="C1433" s="124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ht="18.75" customHeight="1" x14ac:dyDescent="0.35">
      <c r="C1434" s="124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ht="18.75" customHeight="1" x14ac:dyDescent="0.35">
      <c r="C1435" s="124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ht="18.75" customHeight="1" x14ac:dyDescent="0.35">
      <c r="C1436" s="124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ht="18.75" customHeight="1" x14ac:dyDescent="0.35">
      <c r="C1437" s="124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ht="18.75" customHeight="1" x14ac:dyDescent="0.35">
      <c r="C1438" s="124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ht="18.75" customHeight="1" x14ac:dyDescent="0.35">
      <c r="C1439" s="124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ht="18.75" customHeight="1" x14ac:dyDescent="0.35">
      <c r="C1440" s="124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ht="18.75" customHeight="1" x14ac:dyDescent="0.35">
      <c r="C1441" s="124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ht="18.75" customHeight="1" x14ac:dyDescent="0.35">
      <c r="C1442" s="124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ht="18.75" customHeight="1" x14ac:dyDescent="0.35">
      <c r="C1443" s="124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ht="18.75" customHeight="1" x14ac:dyDescent="0.35">
      <c r="C1444" s="124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ht="18.75" customHeight="1" x14ac:dyDescent="0.35">
      <c r="C1445" s="124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ht="18.75" customHeight="1" x14ac:dyDescent="0.35">
      <c r="C1446" s="124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ht="18.75" customHeight="1" x14ac:dyDescent="0.35">
      <c r="C1447" s="124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ht="18.75" customHeight="1" x14ac:dyDescent="0.35">
      <c r="C1448" s="124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ht="18.75" customHeight="1" x14ac:dyDescent="0.35">
      <c r="C1449" s="124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ht="18.75" customHeight="1" x14ac:dyDescent="0.35">
      <c r="C1450" s="124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ht="18.75" customHeight="1" x14ac:dyDescent="0.35">
      <c r="C1451" s="124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ht="18.75" customHeight="1" x14ac:dyDescent="0.35">
      <c r="C1452" s="124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ht="18.75" customHeight="1" x14ac:dyDescent="0.35">
      <c r="C1453" s="124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ht="18.75" customHeight="1" x14ac:dyDescent="0.35">
      <c r="C1454" s="124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ht="18.75" customHeight="1" x14ac:dyDescent="0.35">
      <c r="C1455" s="124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ht="18.75" customHeight="1" x14ac:dyDescent="0.35">
      <c r="C1456" s="124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ht="18.75" customHeight="1" x14ac:dyDescent="0.35">
      <c r="C1457" s="124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ht="18.75" customHeight="1" x14ac:dyDescent="0.35">
      <c r="C1458" s="124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ht="18.75" customHeight="1" x14ac:dyDescent="0.35">
      <c r="C1459" s="124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ht="18.75" customHeight="1" x14ac:dyDescent="0.35">
      <c r="C1460" s="124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ht="18.75" customHeight="1" x14ac:dyDescent="0.35">
      <c r="C1461" s="124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ht="18.75" customHeight="1" x14ac:dyDescent="0.35">
      <c r="C1462" s="124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ht="18.75" customHeight="1" x14ac:dyDescent="0.35">
      <c r="C1463" s="124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ht="18.75" customHeight="1" x14ac:dyDescent="0.35">
      <c r="C1464" s="124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ht="18.75" customHeight="1" x14ac:dyDescent="0.35">
      <c r="C1465" s="124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ht="18.75" customHeight="1" x14ac:dyDescent="0.35">
      <c r="C1466" s="124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ht="18.75" customHeight="1" x14ac:dyDescent="0.35">
      <c r="C1467" s="124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ht="18.75" customHeight="1" x14ac:dyDescent="0.35">
      <c r="C1468" s="124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ht="18.75" customHeight="1" x14ac:dyDescent="0.35">
      <c r="C1469" s="124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ht="18.75" customHeight="1" x14ac:dyDescent="0.35">
      <c r="C1470" s="124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ht="18.75" customHeight="1" x14ac:dyDescent="0.35">
      <c r="C1471" s="124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ht="18.75" customHeight="1" x14ac:dyDescent="0.35">
      <c r="C1472" s="124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ht="18.75" customHeight="1" x14ac:dyDescent="0.35">
      <c r="C1473" s="124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ht="18.75" customHeight="1" x14ac:dyDescent="0.35">
      <c r="C1474" s="124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ht="18.75" customHeight="1" x14ac:dyDescent="0.35">
      <c r="C1475" s="124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ht="18.75" customHeight="1" x14ac:dyDescent="0.35">
      <c r="C1476" s="124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ht="18.75" customHeight="1" x14ac:dyDescent="0.35">
      <c r="C1477" s="124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ht="18.75" customHeight="1" x14ac:dyDescent="0.35">
      <c r="C1478" s="124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ht="18.75" customHeight="1" x14ac:dyDescent="0.35">
      <c r="C1479" s="124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ht="18.75" customHeight="1" x14ac:dyDescent="0.35">
      <c r="C1480" s="124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ht="18.75" customHeight="1" x14ac:dyDescent="0.35">
      <c r="C1481" s="124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ht="18.75" customHeight="1" x14ac:dyDescent="0.35">
      <c r="C1482" s="124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ht="18.75" customHeight="1" x14ac:dyDescent="0.35">
      <c r="C1483" s="124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ht="18.75" customHeight="1" x14ac:dyDescent="0.35">
      <c r="C1484" s="124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ht="18.75" customHeight="1" x14ac:dyDescent="0.35">
      <c r="C1485" s="124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ht="18.75" customHeight="1" x14ac:dyDescent="0.35">
      <c r="C1486" s="124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ht="18.75" customHeight="1" x14ac:dyDescent="0.35">
      <c r="C1487" s="124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ht="18.75" customHeight="1" x14ac:dyDescent="0.35">
      <c r="C1488" s="124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ht="18.75" customHeight="1" x14ac:dyDescent="0.35">
      <c r="C1489" s="124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ht="18.75" customHeight="1" x14ac:dyDescent="0.35">
      <c r="C1490" s="124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ht="18.75" customHeight="1" x14ac:dyDescent="0.35">
      <c r="C1491" s="124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ht="18.75" customHeight="1" x14ac:dyDescent="0.35">
      <c r="C1492" s="124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ht="18.75" customHeight="1" x14ac:dyDescent="0.35">
      <c r="C1493" s="124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ht="18.75" customHeight="1" x14ac:dyDescent="0.35">
      <c r="C1494" s="124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ht="18.75" customHeight="1" x14ac:dyDescent="0.35">
      <c r="C1495" s="124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ht="18.75" customHeight="1" x14ac:dyDescent="0.35">
      <c r="C1496" s="124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ht="18.75" customHeight="1" x14ac:dyDescent="0.35">
      <c r="C1497" s="124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ht="18.75" customHeight="1" x14ac:dyDescent="0.35">
      <c r="C1498" s="124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ht="18.75" customHeight="1" x14ac:dyDescent="0.35">
      <c r="C1499" s="124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ht="18.75" customHeight="1" x14ac:dyDescent="0.35">
      <c r="C1500" s="124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ht="18.75" customHeight="1" x14ac:dyDescent="0.35">
      <c r="C1501" s="124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ht="18.75" customHeight="1" x14ac:dyDescent="0.35">
      <c r="C1502" s="124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ht="18.75" customHeight="1" x14ac:dyDescent="0.35">
      <c r="C1503" s="124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ht="18.75" customHeight="1" x14ac:dyDescent="0.35">
      <c r="C1504" s="124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ht="18.75" customHeight="1" x14ac:dyDescent="0.35">
      <c r="C1505" s="124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ht="18.75" customHeight="1" x14ac:dyDescent="0.35">
      <c r="C1506" s="124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ht="18.75" customHeight="1" x14ac:dyDescent="0.35">
      <c r="C1507" s="124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ht="18.75" customHeight="1" x14ac:dyDescent="0.35">
      <c r="C1508" s="124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ht="18.75" customHeight="1" x14ac:dyDescent="0.35">
      <c r="C1509" s="124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ht="18.75" customHeight="1" x14ac:dyDescent="0.35">
      <c r="C1510" s="124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ht="18.75" customHeight="1" x14ac:dyDescent="0.35">
      <c r="C1511" s="124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ht="18.75" customHeight="1" x14ac:dyDescent="0.35">
      <c r="C1512" s="124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ht="18.75" customHeight="1" x14ac:dyDescent="0.35">
      <c r="C1513" s="124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ht="18.75" customHeight="1" x14ac:dyDescent="0.35">
      <c r="C1514" s="124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ht="18.75" customHeight="1" x14ac:dyDescent="0.35">
      <c r="C1515" s="124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ht="18.75" customHeight="1" x14ac:dyDescent="0.35">
      <c r="C1516" s="124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ht="18.75" customHeight="1" x14ac:dyDescent="0.35">
      <c r="C1517" s="124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ht="18.75" customHeight="1" x14ac:dyDescent="0.35">
      <c r="C1518" s="124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ht="18.75" customHeight="1" x14ac:dyDescent="0.35">
      <c r="C1519" s="124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ht="18.75" customHeight="1" x14ac:dyDescent="0.35">
      <c r="C1520" s="124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ht="18.75" customHeight="1" x14ac:dyDescent="0.35">
      <c r="C1521" s="124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ht="18.75" customHeight="1" x14ac:dyDescent="0.35">
      <c r="C1522" s="124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ht="18.75" customHeight="1" x14ac:dyDescent="0.35">
      <c r="C1523" s="124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ht="18.75" customHeight="1" x14ac:dyDescent="0.35">
      <c r="C1524" s="124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ht="18.75" customHeight="1" x14ac:dyDescent="0.35">
      <c r="C1525" s="124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ht="18.75" customHeight="1" x14ac:dyDescent="0.35">
      <c r="C1526" s="124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ht="18.75" customHeight="1" x14ac:dyDescent="0.35">
      <c r="C1527" s="124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ht="18.75" customHeight="1" x14ac:dyDescent="0.35">
      <c r="C1528" s="124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ht="18.75" customHeight="1" x14ac:dyDescent="0.35">
      <c r="C1529" s="124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ht="18.75" customHeight="1" x14ac:dyDescent="0.35">
      <c r="C1530" s="124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ht="18.75" customHeight="1" x14ac:dyDescent="0.35">
      <c r="C1531" s="124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ht="18.75" customHeight="1" x14ac:dyDescent="0.35">
      <c r="C1532" s="124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ht="18.75" customHeight="1" x14ac:dyDescent="0.35">
      <c r="C1533" s="124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ht="18.75" customHeight="1" x14ac:dyDescent="0.35">
      <c r="C1534" s="124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ht="18.75" customHeight="1" x14ac:dyDescent="0.35">
      <c r="C1535" s="124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ht="18.75" customHeight="1" x14ac:dyDescent="0.35">
      <c r="C1536" s="124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ht="18.75" customHeight="1" x14ac:dyDescent="0.35">
      <c r="C1537" s="124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ht="18.75" customHeight="1" x14ac:dyDescent="0.35">
      <c r="C1538" s="124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ht="18.75" customHeight="1" x14ac:dyDescent="0.35">
      <c r="C1539" s="124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ht="18.75" customHeight="1" x14ac:dyDescent="0.35">
      <c r="C1540" s="124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ht="18.75" customHeight="1" x14ac:dyDescent="0.35">
      <c r="C1541" s="124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ht="18.75" customHeight="1" x14ac:dyDescent="0.35">
      <c r="C1542" s="124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ht="18.75" customHeight="1" x14ac:dyDescent="0.35">
      <c r="C1543" s="124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ht="18.75" customHeight="1" x14ac:dyDescent="0.35">
      <c r="C1544" s="124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ht="18.75" customHeight="1" x14ac:dyDescent="0.35">
      <c r="C1545" s="124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ht="18.75" customHeight="1" x14ac:dyDescent="0.35">
      <c r="C1546" s="124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ht="18.75" customHeight="1" x14ac:dyDescent="0.35">
      <c r="C1547" s="124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ht="18.75" customHeight="1" x14ac:dyDescent="0.35">
      <c r="C1548" s="124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ht="18.75" customHeight="1" x14ac:dyDescent="0.35">
      <c r="C1549" s="124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ht="18.75" customHeight="1" x14ac:dyDescent="0.35">
      <c r="C1550" s="124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ht="18.75" customHeight="1" x14ac:dyDescent="0.35">
      <c r="C1551" s="124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ht="18.75" customHeight="1" x14ac:dyDescent="0.35">
      <c r="C1552" s="124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ht="18.75" customHeight="1" x14ac:dyDescent="0.35">
      <c r="C1553" s="124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ht="18.75" customHeight="1" x14ac:dyDescent="0.35">
      <c r="C1554" s="124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ht="18.75" customHeight="1" x14ac:dyDescent="0.35">
      <c r="C1555" s="124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ht="18.75" customHeight="1" x14ac:dyDescent="0.35">
      <c r="C1556" s="124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ht="18.75" customHeight="1" x14ac:dyDescent="0.35">
      <c r="C1557" s="124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ht="18.75" customHeight="1" x14ac:dyDescent="0.35">
      <c r="C1558" s="124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ht="18.75" customHeight="1" x14ac:dyDescent="0.35">
      <c r="C1559" s="124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ht="18.75" customHeight="1" x14ac:dyDescent="0.35">
      <c r="C1560" s="124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ht="18.75" customHeight="1" x14ac:dyDescent="0.35">
      <c r="C1561" s="124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ht="18.75" customHeight="1" x14ac:dyDescent="0.35">
      <c r="C1562" s="124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ht="18.75" customHeight="1" x14ac:dyDescent="0.35">
      <c r="C1563" s="124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ht="18.75" customHeight="1" x14ac:dyDescent="0.35">
      <c r="C1564" s="124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ht="18.75" customHeight="1" x14ac:dyDescent="0.35">
      <c r="C1565" s="124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ht="18.75" customHeight="1" x14ac:dyDescent="0.35">
      <c r="C1566" s="124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ht="18.75" customHeight="1" x14ac:dyDescent="0.35">
      <c r="C1567" s="124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ht="18.75" customHeight="1" x14ac:dyDescent="0.35">
      <c r="C1568" s="124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ht="18.75" customHeight="1" x14ac:dyDescent="0.35">
      <c r="C1569" s="124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ht="18.75" customHeight="1" x14ac:dyDescent="0.35">
      <c r="C1570" s="124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ht="18.75" customHeight="1" x14ac:dyDescent="0.35">
      <c r="C1571" s="124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ht="18.75" customHeight="1" x14ac:dyDescent="0.35">
      <c r="C1572" s="124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ht="18.75" customHeight="1" x14ac:dyDescent="0.35">
      <c r="C1573" s="124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ht="18.75" customHeight="1" x14ac:dyDescent="0.35">
      <c r="C1574" s="124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ht="18.75" customHeight="1" x14ac:dyDescent="0.35">
      <c r="C1575" s="124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ht="18.75" customHeight="1" x14ac:dyDescent="0.35">
      <c r="C1576" s="124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ht="18.75" customHeight="1" x14ac:dyDescent="0.35">
      <c r="C1577" s="124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ht="18.75" customHeight="1" x14ac:dyDescent="0.35">
      <c r="C1578" s="124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ht="18.75" customHeight="1" x14ac:dyDescent="0.35">
      <c r="C1579" s="124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ht="18.75" customHeight="1" x14ac:dyDescent="0.35">
      <c r="C1580" s="124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ht="18.75" customHeight="1" x14ac:dyDescent="0.35">
      <c r="C1581" s="124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ht="18.75" customHeight="1" x14ac:dyDescent="0.35">
      <c r="C1582" s="124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ht="18.75" customHeight="1" x14ac:dyDescent="0.35">
      <c r="C1583" s="124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ht="18.75" customHeight="1" x14ac:dyDescent="0.35">
      <c r="C1584" s="124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ht="18.75" customHeight="1" x14ac:dyDescent="0.35">
      <c r="C1585" s="124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ht="18.75" customHeight="1" x14ac:dyDescent="0.35">
      <c r="C1586" s="124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ht="18.75" customHeight="1" x14ac:dyDescent="0.35">
      <c r="C1587" s="124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ht="18.75" customHeight="1" x14ac:dyDescent="0.35">
      <c r="C1588" s="124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ht="18.75" customHeight="1" x14ac:dyDescent="0.35">
      <c r="C1589" s="124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ht="18.75" customHeight="1" x14ac:dyDescent="0.35">
      <c r="C1590" s="124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ht="18.75" customHeight="1" x14ac:dyDescent="0.35">
      <c r="C1591" s="124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ht="18.75" customHeight="1" x14ac:dyDescent="0.35">
      <c r="C1592" s="124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ht="18.75" customHeight="1" x14ac:dyDescent="0.35">
      <c r="C1593" s="124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ht="18.75" customHeight="1" x14ac:dyDescent="0.35">
      <c r="C1594" s="124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ht="18.75" customHeight="1" x14ac:dyDescent="0.35">
      <c r="C1595" s="124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ht="18.75" customHeight="1" x14ac:dyDescent="0.35">
      <c r="C1596" s="124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ht="18.75" customHeight="1" x14ac:dyDescent="0.35">
      <c r="C1597" s="124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ht="18.75" customHeight="1" x14ac:dyDescent="0.35">
      <c r="C1598" s="124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ht="18.75" customHeight="1" x14ac:dyDescent="0.35">
      <c r="C1599" s="124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ht="18.75" customHeight="1" x14ac:dyDescent="0.35">
      <c r="C1600" s="124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ht="18.75" customHeight="1" x14ac:dyDescent="0.35">
      <c r="C1601" s="124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ht="18.75" customHeight="1" x14ac:dyDescent="0.35">
      <c r="C1602" s="124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ht="18.75" customHeight="1" x14ac:dyDescent="0.35">
      <c r="C1603" s="124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ht="18.75" customHeight="1" x14ac:dyDescent="0.35">
      <c r="C1604" s="124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ht="18.75" customHeight="1" x14ac:dyDescent="0.35">
      <c r="C1605" s="124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ht="18.75" customHeight="1" x14ac:dyDescent="0.35">
      <c r="C1606" s="124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ht="18.75" customHeight="1" x14ac:dyDescent="0.35">
      <c r="C1607" s="124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ht="18.75" customHeight="1" x14ac:dyDescent="0.35">
      <c r="C1608" s="124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ht="18.75" customHeight="1" x14ac:dyDescent="0.35">
      <c r="C1609" s="124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ht="18.75" customHeight="1" x14ac:dyDescent="0.35">
      <c r="C1610" s="124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ht="18.75" customHeight="1" x14ac:dyDescent="0.35">
      <c r="C1611" s="124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ht="18.75" customHeight="1" x14ac:dyDescent="0.35">
      <c r="C1612" s="124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ht="18.75" customHeight="1" x14ac:dyDescent="0.35">
      <c r="C1613" s="124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ht="18.75" customHeight="1" x14ac:dyDescent="0.35">
      <c r="C1614" s="124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ht="18.75" customHeight="1" x14ac:dyDescent="0.35">
      <c r="C1615" s="124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ht="18.75" customHeight="1" x14ac:dyDescent="0.35">
      <c r="C1616" s="124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ht="18.75" customHeight="1" x14ac:dyDescent="0.35">
      <c r="C1617" s="124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ht="18.75" customHeight="1" x14ac:dyDescent="0.35">
      <c r="C1618" s="124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ht="18.75" customHeight="1" x14ac:dyDescent="0.35">
      <c r="C1619" s="124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ht="18.75" customHeight="1" x14ac:dyDescent="0.35">
      <c r="C1620" s="124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ht="18.75" customHeight="1" x14ac:dyDescent="0.35">
      <c r="C1621" s="124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ht="18.75" customHeight="1" x14ac:dyDescent="0.35">
      <c r="C1622" s="124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ht="18.75" customHeight="1" x14ac:dyDescent="0.35">
      <c r="C1623" s="124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ht="18.75" customHeight="1" x14ac:dyDescent="0.35">
      <c r="C1624" s="124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ht="18.75" customHeight="1" x14ac:dyDescent="0.35">
      <c r="C1625" s="124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ht="18.75" customHeight="1" x14ac:dyDescent="0.35">
      <c r="C1626" s="124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ht="18.75" customHeight="1" x14ac:dyDescent="0.35">
      <c r="C1627" s="124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ht="18.75" customHeight="1" x14ac:dyDescent="0.35">
      <c r="C1628" s="124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ht="18.75" customHeight="1" x14ac:dyDescent="0.35">
      <c r="C1629" s="124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ht="18.75" customHeight="1" x14ac:dyDescent="0.35">
      <c r="C1630" s="124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ht="18.75" customHeight="1" x14ac:dyDescent="0.35">
      <c r="C1631" s="124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ht="18.75" customHeight="1" x14ac:dyDescent="0.35">
      <c r="C1632" s="124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ht="18.75" customHeight="1" x14ac:dyDescent="0.35">
      <c r="C1633" s="124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ht="18.75" customHeight="1" x14ac:dyDescent="0.35">
      <c r="C1634" s="124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ht="18.75" customHeight="1" x14ac:dyDescent="0.35">
      <c r="C1635" s="124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ht="18.75" customHeight="1" x14ac:dyDescent="0.35">
      <c r="C1636" s="124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ht="18.75" customHeight="1" x14ac:dyDescent="0.35">
      <c r="C1637" s="124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ht="18.75" customHeight="1" x14ac:dyDescent="0.35">
      <c r="C1638" s="124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ht="18.75" customHeight="1" x14ac:dyDescent="0.35">
      <c r="C1639" s="124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ht="18.75" customHeight="1" x14ac:dyDescent="0.35">
      <c r="C1640" s="124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ht="18.75" customHeight="1" x14ac:dyDescent="0.35">
      <c r="C1641" s="124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ht="18.75" customHeight="1" x14ac:dyDescent="0.35">
      <c r="C1642" s="124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ht="18.75" customHeight="1" x14ac:dyDescent="0.35">
      <c r="C1643" s="124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ht="18.75" customHeight="1" x14ac:dyDescent="0.35">
      <c r="C1644" s="124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ht="18.75" customHeight="1" x14ac:dyDescent="0.35">
      <c r="C1645" s="124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ht="18.75" customHeight="1" x14ac:dyDescent="0.35">
      <c r="C1646" s="124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ht="18.75" customHeight="1" x14ac:dyDescent="0.35">
      <c r="C1647" s="124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ht="18.75" customHeight="1" x14ac:dyDescent="0.35">
      <c r="C1648" s="124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ht="18.75" customHeight="1" x14ac:dyDescent="0.35">
      <c r="C1649" s="124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ht="18.75" customHeight="1" x14ac:dyDescent="0.35">
      <c r="C1650" s="124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ht="18.75" customHeight="1" x14ac:dyDescent="0.35">
      <c r="C1651" s="124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ht="18.75" customHeight="1" x14ac:dyDescent="0.35">
      <c r="C1652" s="124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ht="18.75" customHeight="1" x14ac:dyDescent="0.35">
      <c r="C1653" s="124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ht="18.75" customHeight="1" x14ac:dyDescent="0.35">
      <c r="C1654" s="124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ht="18.75" customHeight="1" x14ac:dyDescent="0.35">
      <c r="C1655" s="124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ht="18.75" customHeight="1" x14ac:dyDescent="0.35">
      <c r="C1656" s="124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ht="18.75" customHeight="1" x14ac:dyDescent="0.35">
      <c r="C1657" s="124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ht="18.75" customHeight="1" x14ac:dyDescent="0.35">
      <c r="C1658" s="124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ht="18.75" customHeight="1" x14ac:dyDescent="0.35">
      <c r="C1659" s="124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ht="18.75" customHeight="1" x14ac:dyDescent="0.35">
      <c r="C1660" s="124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ht="18.75" customHeight="1" x14ac:dyDescent="0.35">
      <c r="C1661" s="124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ht="18.75" customHeight="1" x14ac:dyDescent="0.35">
      <c r="C1662" s="124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ht="18.75" customHeight="1" x14ac:dyDescent="0.35">
      <c r="C1663" s="124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ht="18.75" customHeight="1" x14ac:dyDescent="0.35">
      <c r="C1664" s="124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ht="18.75" customHeight="1" x14ac:dyDescent="0.35">
      <c r="C1665" s="124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ht="18.75" customHeight="1" x14ac:dyDescent="0.35">
      <c r="C1666" s="124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ht="18.75" customHeight="1" x14ac:dyDescent="0.35">
      <c r="C1667" s="124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ht="18.75" customHeight="1" x14ac:dyDescent="0.35">
      <c r="C1668" s="124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ht="18.75" customHeight="1" x14ac:dyDescent="0.35">
      <c r="C1669" s="124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ht="18.75" customHeight="1" x14ac:dyDescent="0.35">
      <c r="C1670" s="124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ht="18.75" customHeight="1" x14ac:dyDescent="0.35">
      <c r="C1671" s="124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ht="18.75" customHeight="1" x14ac:dyDescent="0.35">
      <c r="C1672" s="124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ht="18.75" customHeight="1" x14ac:dyDescent="0.35">
      <c r="C1673" s="124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ht="18.75" customHeight="1" x14ac:dyDescent="0.35">
      <c r="C1674" s="124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ht="18.75" customHeight="1" x14ac:dyDescent="0.35">
      <c r="C1675" s="124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ht="18.75" customHeight="1" x14ac:dyDescent="0.35">
      <c r="C1676" s="124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ht="18.75" customHeight="1" x14ac:dyDescent="0.35">
      <c r="C1677" s="124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ht="18.75" customHeight="1" x14ac:dyDescent="0.35">
      <c r="C1678" s="124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ht="18.75" customHeight="1" x14ac:dyDescent="0.35">
      <c r="C1679" s="124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ht="18.75" customHeight="1" x14ac:dyDescent="0.35">
      <c r="C1680" s="124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ht="18.75" customHeight="1" x14ac:dyDescent="0.35">
      <c r="C1681" s="124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ht="18.75" customHeight="1" x14ac:dyDescent="0.35">
      <c r="C1682" s="124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ht="18.75" customHeight="1" x14ac:dyDescent="0.35">
      <c r="C1683" s="124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ht="18.75" customHeight="1" x14ac:dyDescent="0.35">
      <c r="C1684" s="124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ht="18.75" customHeight="1" x14ac:dyDescent="0.35">
      <c r="C1685" s="124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ht="18.75" customHeight="1" x14ac:dyDescent="0.35">
      <c r="C1686" s="124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ht="18.75" customHeight="1" x14ac:dyDescent="0.35">
      <c r="C1687" s="124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ht="18.75" customHeight="1" x14ac:dyDescent="0.35">
      <c r="C1688" s="124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ht="18.75" customHeight="1" x14ac:dyDescent="0.35">
      <c r="C1689" s="124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ht="18.75" customHeight="1" x14ac:dyDescent="0.35">
      <c r="C1690" s="124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ht="18.75" customHeight="1" x14ac:dyDescent="0.35">
      <c r="C1691" s="124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ht="18.75" customHeight="1" x14ac:dyDescent="0.35">
      <c r="C1692" s="124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ht="18.75" customHeight="1" x14ac:dyDescent="0.35">
      <c r="C1693" s="124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ht="18.75" customHeight="1" x14ac:dyDescent="0.35">
      <c r="C1694" s="124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ht="18.75" customHeight="1" x14ac:dyDescent="0.35">
      <c r="C1695" s="124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ht="18.75" customHeight="1" x14ac:dyDescent="0.35">
      <c r="C1696" s="124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ht="18.75" customHeight="1" x14ac:dyDescent="0.35">
      <c r="C1697" s="124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ht="18.75" customHeight="1" x14ac:dyDescent="0.35">
      <c r="C1698" s="124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ht="18.75" customHeight="1" x14ac:dyDescent="0.35">
      <c r="C1699" s="124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ht="18.75" customHeight="1" x14ac:dyDescent="0.35">
      <c r="C1700" s="124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ht="18.75" customHeight="1" x14ac:dyDescent="0.35">
      <c r="C1701" s="124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ht="18.75" customHeight="1" x14ac:dyDescent="0.35">
      <c r="C1702" s="124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ht="18.75" customHeight="1" x14ac:dyDescent="0.35">
      <c r="C1703" s="124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ht="18.75" customHeight="1" x14ac:dyDescent="0.35">
      <c r="C1704" s="124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ht="18.75" customHeight="1" x14ac:dyDescent="0.35">
      <c r="C1705" s="124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ht="18.75" customHeight="1" x14ac:dyDescent="0.35">
      <c r="C1706" s="124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ht="18.75" customHeight="1" x14ac:dyDescent="0.35">
      <c r="C1707" s="124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ht="18.75" customHeight="1" x14ac:dyDescent="0.35">
      <c r="C1708" s="124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ht="18.75" customHeight="1" x14ac:dyDescent="0.35">
      <c r="C1709" s="124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ht="18.75" customHeight="1" x14ac:dyDescent="0.35">
      <c r="C1710" s="124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ht="18.75" customHeight="1" x14ac:dyDescent="0.35">
      <c r="C1711" s="124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ht="18.75" customHeight="1" x14ac:dyDescent="0.35">
      <c r="C1712" s="124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ht="18.75" customHeight="1" x14ac:dyDescent="0.35">
      <c r="C1713" s="124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ht="18.75" customHeight="1" x14ac:dyDescent="0.35">
      <c r="C1714" s="124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ht="18.75" customHeight="1" x14ac:dyDescent="0.35">
      <c r="C1715" s="124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ht="18.75" customHeight="1" x14ac:dyDescent="0.35">
      <c r="C1716" s="124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ht="18.75" customHeight="1" x14ac:dyDescent="0.35">
      <c r="C1717" s="124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ht="18.75" customHeight="1" x14ac:dyDescent="0.35">
      <c r="C1718" s="124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ht="18.75" customHeight="1" x14ac:dyDescent="0.35">
      <c r="C1719" s="124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ht="18.75" customHeight="1" x14ac:dyDescent="0.35">
      <c r="C1720" s="124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ht="18.75" customHeight="1" x14ac:dyDescent="0.35">
      <c r="C1721" s="124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ht="18.75" customHeight="1" x14ac:dyDescent="0.35">
      <c r="C1722" s="124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ht="18.75" customHeight="1" x14ac:dyDescent="0.35">
      <c r="C1723" s="124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ht="18.75" customHeight="1" x14ac:dyDescent="0.35">
      <c r="C1724" s="124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ht="18.75" customHeight="1" x14ac:dyDescent="0.35">
      <c r="C1725" s="124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ht="18.75" customHeight="1" x14ac:dyDescent="0.35">
      <c r="C1726" s="124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ht="18.75" customHeight="1" x14ac:dyDescent="0.35">
      <c r="C1727" s="124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ht="18.75" customHeight="1" x14ac:dyDescent="0.35">
      <c r="C1728" s="124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ht="18.75" customHeight="1" x14ac:dyDescent="0.35">
      <c r="C1729" s="124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ht="18.75" customHeight="1" x14ac:dyDescent="0.35">
      <c r="C1730" s="124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ht="18.75" customHeight="1" x14ac:dyDescent="0.35">
      <c r="C1731" s="124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ht="18.75" customHeight="1" x14ac:dyDescent="0.35">
      <c r="C1732" s="124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ht="18.75" customHeight="1" x14ac:dyDescent="0.35">
      <c r="C1733" s="124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ht="18.75" customHeight="1" x14ac:dyDescent="0.35">
      <c r="C1734" s="124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ht="18.75" customHeight="1" x14ac:dyDescent="0.35">
      <c r="C1735" s="124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ht="18.75" customHeight="1" x14ac:dyDescent="0.35">
      <c r="C1736" s="124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ht="18.75" customHeight="1" x14ac:dyDescent="0.35">
      <c r="C1737" s="124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ht="18.75" customHeight="1" x14ac:dyDescent="0.35">
      <c r="C1738" s="124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ht="18.75" customHeight="1" x14ac:dyDescent="0.35">
      <c r="C1739" s="124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ht="18.75" customHeight="1" x14ac:dyDescent="0.35">
      <c r="C1740" s="124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ht="18.75" customHeight="1" x14ac:dyDescent="0.35">
      <c r="C1741" s="124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ht="18.75" customHeight="1" x14ac:dyDescent="0.35">
      <c r="C1742" s="124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ht="18.75" customHeight="1" x14ac:dyDescent="0.35">
      <c r="C1743" s="124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ht="18.75" customHeight="1" x14ac:dyDescent="0.35">
      <c r="C1744" s="124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ht="18.75" customHeight="1" x14ac:dyDescent="0.35">
      <c r="C1745" s="124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ht="18.75" customHeight="1" x14ac:dyDescent="0.35">
      <c r="C1746" s="124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ht="18.75" customHeight="1" x14ac:dyDescent="0.35">
      <c r="C1747" s="124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ht="18.75" customHeight="1" x14ac:dyDescent="0.35">
      <c r="C1748" s="124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ht="18.75" customHeight="1" x14ac:dyDescent="0.35">
      <c r="C1749" s="124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ht="18.75" customHeight="1" x14ac:dyDescent="0.35">
      <c r="C1750" s="124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ht="18.75" customHeight="1" x14ac:dyDescent="0.35">
      <c r="C1751" s="124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ht="18.75" customHeight="1" x14ac:dyDescent="0.35">
      <c r="C1752" s="124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ht="18.75" customHeight="1" x14ac:dyDescent="0.35">
      <c r="C1753" s="124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ht="18.75" customHeight="1" x14ac:dyDescent="0.35">
      <c r="C1754" s="124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ht="18.75" customHeight="1" x14ac:dyDescent="0.35">
      <c r="C1755" s="124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ht="18.75" customHeight="1" x14ac:dyDescent="0.35">
      <c r="C1756" s="124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ht="18.75" customHeight="1" x14ac:dyDescent="0.35">
      <c r="C1757" s="124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ht="18.75" customHeight="1" x14ac:dyDescent="0.35">
      <c r="C1758" s="124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ht="18.75" customHeight="1" x14ac:dyDescent="0.35">
      <c r="C1759" s="124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ht="18.75" customHeight="1" x14ac:dyDescent="0.35">
      <c r="C1760" s="124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ht="18.75" customHeight="1" x14ac:dyDescent="0.35">
      <c r="C1761" s="124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ht="18.75" customHeight="1" x14ac:dyDescent="0.35">
      <c r="C1762" s="124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ht="18.75" customHeight="1" x14ac:dyDescent="0.35">
      <c r="C1763" s="124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ht="18.75" customHeight="1" x14ac:dyDescent="0.35">
      <c r="C1764" s="124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ht="18.75" customHeight="1" x14ac:dyDescent="0.35">
      <c r="C1765" s="124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ht="18.75" customHeight="1" x14ac:dyDescent="0.35">
      <c r="C1766" s="124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ht="18.75" customHeight="1" x14ac:dyDescent="0.35">
      <c r="C1767" s="124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ht="18.75" customHeight="1" x14ac:dyDescent="0.35">
      <c r="C1768" s="124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ht="18.75" customHeight="1" x14ac:dyDescent="0.35">
      <c r="C1769" s="124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ht="18.75" customHeight="1" x14ac:dyDescent="0.35">
      <c r="C1770" s="124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ht="18.75" customHeight="1" x14ac:dyDescent="0.35">
      <c r="C1771" s="124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ht="18.75" customHeight="1" x14ac:dyDescent="0.35">
      <c r="C1772" s="124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ht="18.75" customHeight="1" x14ac:dyDescent="0.35">
      <c r="C1773" s="124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ht="18.75" customHeight="1" x14ac:dyDescent="0.35">
      <c r="C1774" s="124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ht="18.75" customHeight="1" x14ac:dyDescent="0.35">
      <c r="C1775" s="124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ht="18.75" customHeight="1" x14ac:dyDescent="0.35">
      <c r="C1776" s="124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ht="18.75" customHeight="1" x14ac:dyDescent="0.35">
      <c r="C1777" s="124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ht="18.75" customHeight="1" x14ac:dyDescent="0.35">
      <c r="C1778" s="124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ht="18.75" customHeight="1" x14ac:dyDescent="0.35">
      <c r="C1779" s="124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ht="18.75" customHeight="1" x14ac:dyDescent="0.35">
      <c r="C1780" s="124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ht="18.75" customHeight="1" x14ac:dyDescent="0.35">
      <c r="C1781" s="124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ht="18.75" customHeight="1" x14ac:dyDescent="0.35">
      <c r="C1782" s="124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ht="18.75" customHeight="1" x14ac:dyDescent="0.35">
      <c r="C1783" s="124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ht="18.75" customHeight="1" x14ac:dyDescent="0.35">
      <c r="C1784" s="124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ht="18.75" customHeight="1" x14ac:dyDescent="0.35">
      <c r="C1785" s="124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ht="18.75" customHeight="1" x14ac:dyDescent="0.35">
      <c r="C1786" s="124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ht="18.75" customHeight="1" x14ac:dyDescent="0.35">
      <c r="C1787" s="124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ht="18.75" customHeight="1" x14ac:dyDescent="0.35">
      <c r="C1788" s="124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ht="18.75" customHeight="1" x14ac:dyDescent="0.35">
      <c r="C1789" s="124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ht="18.75" customHeight="1" x14ac:dyDescent="0.35">
      <c r="C1790" s="124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ht="18.75" customHeight="1" x14ac:dyDescent="0.35">
      <c r="C1791" s="124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ht="18.75" customHeight="1" x14ac:dyDescent="0.35">
      <c r="C1792" s="124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ht="18.75" customHeight="1" x14ac:dyDescent="0.35">
      <c r="C1793" s="124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ht="18.75" customHeight="1" x14ac:dyDescent="0.35">
      <c r="C1794" s="124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ht="18.75" customHeight="1" x14ac:dyDescent="0.35">
      <c r="C1795" s="124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ht="18.75" customHeight="1" x14ac:dyDescent="0.35">
      <c r="C1796" s="124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ht="18.75" customHeight="1" x14ac:dyDescent="0.35">
      <c r="C1797" s="124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ht="18.75" customHeight="1" x14ac:dyDescent="0.35">
      <c r="C1798" s="124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ht="18.75" customHeight="1" x14ac:dyDescent="0.35">
      <c r="C1799" s="124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ht="18.75" customHeight="1" x14ac:dyDescent="0.35">
      <c r="C1800" s="124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ht="18.75" customHeight="1" x14ac:dyDescent="0.35">
      <c r="C1801" s="124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ht="18.75" customHeight="1" x14ac:dyDescent="0.35">
      <c r="C1802" s="124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ht="18.75" customHeight="1" x14ac:dyDescent="0.35">
      <c r="C1803" s="124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ht="18.75" customHeight="1" x14ac:dyDescent="0.35">
      <c r="C1804" s="124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ht="18.75" customHeight="1" x14ac:dyDescent="0.35">
      <c r="C1805" s="124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ht="18.75" customHeight="1" x14ac:dyDescent="0.35">
      <c r="C1806" s="124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ht="18.75" customHeight="1" x14ac:dyDescent="0.35">
      <c r="C1807" s="124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ht="18.75" customHeight="1" x14ac:dyDescent="0.35">
      <c r="C1808" s="124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ht="18.75" customHeight="1" x14ac:dyDescent="0.35">
      <c r="C1809" s="124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ht="18.75" customHeight="1" x14ac:dyDescent="0.35">
      <c r="C1810" s="124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ht="18.75" customHeight="1" x14ac:dyDescent="0.35">
      <c r="C1811" s="124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ht="18.75" customHeight="1" x14ac:dyDescent="0.35">
      <c r="C1812" s="124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ht="18.75" customHeight="1" x14ac:dyDescent="0.35">
      <c r="C1813" s="124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ht="18.75" customHeight="1" x14ac:dyDescent="0.35">
      <c r="C1814" s="124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ht="18.75" customHeight="1" x14ac:dyDescent="0.35">
      <c r="C1815" s="124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ht="18.75" customHeight="1" x14ac:dyDescent="0.35">
      <c r="C1816" s="124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ht="18.75" customHeight="1" x14ac:dyDescent="0.35">
      <c r="C1817" s="124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ht="18.75" customHeight="1" x14ac:dyDescent="0.35">
      <c r="C1818" s="124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ht="18.75" customHeight="1" x14ac:dyDescent="0.35">
      <c r="C1819" s="124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ht="18.75" customHeight="1" x14ac:dyDescent="0.35">
      <c r="C1820" s="124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ht="18.75" customHeight="1" x14ac:dyDescent="0.35">
      <c r="C1821" s="124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ht="18.75" customHeight="1" x14ac:dyDescent="0.35">
      <c r="C1822" s="124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ht="18.75" customHeight="1" x14ac:dyDescent="0.35">
      <c r="C1823" s="124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ht="18.75" customHeight="1" x14ac:dyDescent="0.35">
      <c r="C1824" s="124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ht="18.75" customHeight="1" x14ac:dyDescent="0.35">
      <c r="C1825" s="124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ht="18.75" customHeight="1" x14ac:dyDescent="0.35">
      <c r="C1826" s="124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ht="18.75" customHeight="1" x14ac:dyDescent="0.35">
      <c r="C1827" s="124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ht="18.75" customHeight="1" x14ac:dyDescent="0.35">
      <c r="C1828" s="124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ht="18.75" customHeight="1" x14ac:dyDescent="0.35">
      <c r="C1829" s="124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ht="18.75" customHeight="1" x14ac:dyDescent="0.35">
      <c r="C1830" s="124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ht="18.75" customHeight="1" x14ac:dyDescent="0.35">
      <c r="C1831" s="124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ht="18.75" customHeight="1" x14ac:dyDescent="0.35">
      <c r="C1832" s="124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ht="18.75" customHeight="1" x14ac:dyDescent="0.35">
      <c r="C1833" s="124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ht="18.75" customHeight="1" x14ac:dyDescent="0.35">
      <c r="C1834" s="124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ht="18.75" customHeight="1" x14ac:dyDescent="0.35">
      <c r="C1835" s="124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ht="18.75" customHeight="1" x14ac:dyDescent="0.35">
      <c r="C1836" s="124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ht="18.75" customHeight="1" x14ac:dyDescent="0.35">
      <c r="C1837" s="124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ht="18.75" customHeight="1" x14ac:dyDescent="0.35">
      <c r="C1838" s="124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ht="18.75" customHeight="1" x14ac:dyDescent="0.35">
      <c r="C1839" s="124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ht="18.75" customHeight="1" x14ac:dyDescent="0.35">
      <c r="C1840" s="124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ht="18.75" customHeight="1" x14ac:dyDescent="0.35">
      <c r="C1841" s="124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ht="18.75" customHeight="1" x14ac:dyDescent="0.35">
      <c r="C1842" s="124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ht="18.75" customHeight="1" x14ac:dyDescent="0.35">
      <c r="C1843" s="124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ht="18.75" customHeight="1" x14ac:dyDescent="0.35">
      <c r="C1844" s="124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ht="18.75" customHeight="1" x14ac:dyDescent="0.35">
      <c r="C1845" s="124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ht="18.75" customHeight="1" x14ac:dyDescent="0.35">
      <c r="C1846" s="124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ht="18.75" customHeight="1" x14ac:dyDescent="0.35">
      <c r="C1847" s="124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ht="18.75" customHeight="1" x14ac:dyDescent="0.35">
      <c r="C1848" s="124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ht="18.75" customHeight="1" x14ac:dyDescent="0.35">
      <c r="C1849" s="124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ht="18.75" customHeight="1" x14ac:dyDescent="0.35">
      <c r="C1850" s="124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ht="18.75" customHeight="1" x14ac:dyDescent="0.35">
      <c r="C1851" s="124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ht="18.75" customHeight="1" x14ac:dyDescent="0.35">
      <c r="C1852" s="124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ht="18.75" customHeight="1" x14ac:dyDescent="0.35">
      <c r="C1853" s="124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ht="18.75" customHeight="1" x14ac:dyDescent="0.35">
      <c r="C1854" s="124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ht="18.75" customHeight="1" x14ac:dyDescent="0.35">
      <c r="C1855" s="124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ht="18.75" customHeight="1" x14ac:dyDescent="0.35">
      <c r="C1856" s="124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ht="18.75" customHeight="1" x14ac:dyDescent="0.35">
      <c r="C1857" s="124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ht="18.75" customHeight="1" x14ac:dyDescent="0.35">
      <c r="C1858" s="124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ht="18.75" customHeight="1" x14ac:dyDescent="0.35">
      <c r="C1859" s="124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ht="18.75" customHeight="1" x14ac:dyDescent="0.35">
      <c r="C1860" s="124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ht="18.75" customHeight="1" x14ac:dyDescent="0.35">
      <c r="C1861" s="124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ht="18.75" customHeight="1" x14ac:dyDescent="0.35">
      <c r="C1862" s="124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ht="18.75" customHeight="1" x14ac:dyDescent="0.35">
      <c r="C1863" s="124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ht="18.75" customHeight="1" x14ac:dyDescent="0.35">
      <c r="C1864" s="124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ht="18.75" customHeight="1" x14ac:dyDescent="0.35">
      <c r="C1865" s="124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ht="18.75" customHeight="1" x14ac:dyDescent="0.35">
      <c r="C1866" s="124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ht="18.75" customHeight="1" x14ac:dyDescent="0.35">
      <c r="C1867" s="124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ht="18.75" customHeight="1" x14ac:dyDescent="0.35">
      <c r="C1868" s="124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ht="18.75" customHeight="1" x14ac:dyDescent="0.35">
      <c r="C1869" s="124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ht="18.75" customHeight="1" x14ac:dyDescent="0.35">
      <c r="C1870" s="124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ht="18.75" customHeight="1" x14ac:dyDescent="0.35">
      <c r="C1871" s="124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ht="18.75" customHeight="1" x14ac:dyDescent="0.35">
      <c r="C1872" s="124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ht="18.75" customHeight="1" x14ac:dyDescent="0.35">
      <c r="C1873" s="124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ht="18.75" customHeight="1" x14ac:dyDescent="0.35">
      <c r="C1874" s="124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ht="18.75" customHeight="1" x14ac:dyDescent="0.35">
      <c r="C1875" s="124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ht="18.75" customHeight="1" x14ac:dyDescent="0.35">
      <c r="C1876" s="124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ht="18.75" customHeight="1" x14ac:dyDescent="0.35">
      <c r="C1877" s="124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ht="18.75" customHeight="1" x14ac:dyDescent="0.35">
      <c r="C1878" s="124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ht="18.75" customHeight="1" x14ac:dyDescent="0.35">
      <c r="C1879" s="124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ht="18.75" customHeight="1" x14ac:dyDescent="0.35">
      <c r="C1880" s="124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ht="18.75" customHeight="1" x14ac:dyDescent="0.35">
      <c r="C1881" s="124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ht="18.75" customHeight="1" x14ac:dyDescent="0.35">
      <c r="C1882" s="124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ht="18.75" customHeight="1" x14ac:dyDescent="0.35">
      <c r="C1883" s="124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ht="18.75" customHeight="1" x14ac:dyDescent="0.35">
      <c r="C1884" s="124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ht="18.75" customHeight="1" x14ac:dyDescent="0.35">
      <c r="C1885" s="124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ht="18.75" customHeight="1" x14ac:dyDescent="0.35">
      <c r="C1886" s="124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ht="18.75" customHeight="1" x14ac:dyDescent="0.35">
      <c r="C1887" s="124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ht="18.75" customHeight="1" x14ac:dyDescent="0.35">
      <c r="C1888" s="124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ht="18.75" customHeight="1" x14ac:dyDescent="0.35">
      <c r="C1889" s="124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ht="18.75" customHeight="1" x14ac:dyDescent="0.35">
      <c r="C1890" s="124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ht="18.75" customHeight="1" x14ac:dyDescent="0.35">
      <c r="C1891" s="124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ht="18.75" customHeight="1" x14ac:dyDescent="0.35">
      <c r="C1892" s="124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ht="18.75" customHeight="1" x14ac:dyDescent="0.35">
      <c r="C1893" s="124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ht="18.75" customHeight="1" x14ac:dyDescent="0.35">
      <c r="C1894" s="124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ht="18.75" customHeight="1" x14ac:dyDescent="0.35">
      <c r="C1895" s="124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ht="18.75" customHeight="1" x14ac:dyDescent="0.35">
      <c r="C1896" s="124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ht="18.75" customHeight="1" x14ac:dyDescent="0.35">
      <c r="C1897" s="124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ht="18.75" customHeight="1" x14ac:dyDescent="0.35">
      <c r="C1898" s="124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ht="18.75" customHeight="1" x14ac:dyDescent="0.35">
      <c r="C1899" s="124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ht="18.75" customHeight="1" x14ac:dyDescent="0.35">
      <c r="C1900" s="124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ht="18.75" customHeight="1" x14ac:dyDescent="0.35">
      <c r="C1901" s="124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ht="18.75" customHeight="1" x14ac:dyDescent="0.35">
      <c r="C1902" s="124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ht="18.75" customHeight="1" x14ac:dyDescent="0.35">
      <c r="C1903" s="124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ht="18.75" customHeight="1" x14ac:dyDescent="0.35">
      <c r="C1904" s="124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ht="18.75" customHeight="1" x14ac:dyDescent="0.35">
      <c r="C1905" s="124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ht="18.75" customHeight="1" x14ac:dyDescent="0.35">
      <c r="C1906" s="124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ht="18.75" customHeight="1" x14ac:dyDescent="0.35">
      <c r="C1907" s="124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ht="18.75" customHeight="1" x14ac:dyDescent="0.35">
      <c r="C1908" s="124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ht="18.75" customHeight="1" x14ac:dyDescent="0.35">
      <c r="C1909" s="124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ht="18.75" customHeight="1" x14ac:dyDescent="0.35">
      <c r="C1910" s="124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ht="18.75" customHeight="1" x14ac:dyDescent="0.35">
      <c r="C1911" s="124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ht="18.75" customHeight="1" x14ac:dyDescent="0.35">
      <c r="C1912" s="124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ht="18.75" customHeight="1" x14ac:dyDescent="0.35">
      <c r="C1913" s="124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ht="18.75" customHeight="1" x14ac:dyDescent="0.35">
      <c r="C1914" s="124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ht="18.75" customHeight="1" x14ac:dyDescent="0.35">
      <c r="C1915" s="124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ht="18.75" customHeight="1" x14ac:dyDescent="0.35">
      <c r="C1916" s="124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ht="18.75" customHeight="1" x14ac:dyDescent="0.35">
      <c r="C1917" s="124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ht="18.75" customHeight="1" x14ac:dyDescent="0.35">
      <c r="C1918" s="124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ht="18.75" customHeight="1" x14ac:dyDescent="0.35">
      <c r="C1919" s="124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ht="18.75" customHeight="1" x14ac:dyDescent="0.35">
      <c r="C1920" s="124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ht="18.75" customHeight="1" x14ac:dyDescent="0.35">
      <c r="C1921" s="124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ht="18.75" customHeight="1" x14ac:dyDescent="0.35">
      <c r="C1922" s="124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ht="18.75" customHeight="1" x14ac:dyDescent="0.35">
      <c r="C1923" s="124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ht="18.75" customHeight="1" x14ac:dyDescent="0.35">
      <c r="C1924" s="124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ht="18.75" customHeight="1" x14ac:dyDescent="0.35">
      <c r="C1925" s="124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ht="18.75" customHeight="1" x14ac:dyDescent="0.35">
      <c r="C1926" s="124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ht="18.75" customHeight="1" x14ac:dyDescent="0.35">
      <c r="C1927" s="124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ht="18.75" customHeight="1" x14ac:dyDescent="0.35">
      <c r="C1928" s="124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ht="18.75" customHeight="1" x14ac:dyDescent="0.35">
      <c r="C1929" s="124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ht="18.75" customHeight="1" x14ac:dyDescent="0.35">
      <c r="C1930" s="124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ht="18.75" customHeight="1" x14ac:dyDescent="0.35">
      <c r="C1931" s="124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ht="18.75" customHeight="1" x14ac:dyDescent="0.35">
      <c r="C1932" s="124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ht="18.75" customHeight="1" x14ac:dyDescent="0.35">
      <c r="C1933" s="124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ht="18.75" customHeight="1" x14ac:dyDescent="0.35">
      <c r="C1934" s="124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ht="18.75" customHeight="1" x14ac:dyDescent="0.35">
      <c r="C1935" s="124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ht="18.75" customHeight="1" x14ac:dyDescent="0.35">
      <c r="C1936" s="124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ht="18.75" customHeight="1" x14ac:dyDescent="0.35">
      <c r="C1937" s="124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ht="18.75" customHeight="1" x14ac:dyDescent="0.35">
      <c r="C1938" s="124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ht="18.75" customHeight="1" x14ac:dyDescent="0.35">
      <c r="C1939" s="124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ht="18.75" customHeight="1" x14ac:dyDescent="0.35">
      <c r="C1940" s="124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ht="18.75" customHeight="1" x14ac:dyDescent="0.35">
      <c r="C1941" s="124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ht="18.75" customHeight="1" x14ac:dyDescent="0.35">
      <c r="C1942" s="124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ht="18.75" customHeight="1" x14ac:dyDescent="0.35">
      <c r="C1943" s="124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ht="18.75" customHeight="1" x14ac:dyDescent="0.35">
      <c r="C1944" s="124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ht="18.75" customHeight="1" x14ac:dyDescent="0.35">
      <c r="C1945" s="124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ht="18.75" customHeight="1" x14ac:dyDescent="0.35">
      <c r="C1946" s="124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ht="18.75" customHeight="1" x14ac:dyDescent="0.35">
      <c r="C1947" s="124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ht="18.75" customHeight="1" x14ac:dyDescent="0.35">
      <c r="C1948" s="124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ht="18.75" customHeight="1" x14ac:dyDescent="0.35">
      <c r="C1949" s="124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ht="18.75" customHeight="1" x14ac:dyDescent="0.35">
      <c r="C1950" s="124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ht="18.75" customHeight="1" x14ac:dyDescent="0.35">
      <c r="C1951" s="124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ht="18.75" customHeight="1" x14ac:dyDescent="0.35">
      <c r="C1952" s="124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ht="18.75" customHeight="1" x14ac:dyDescent="0.35">
      <c r="C1953" s="124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ht="18.75" customHeight="1" x14ac:dyDescent="0.35">
      <c r="C1954" s="124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ht="18.75" customHeight="1" x14ac:dyDescent="0.35">
      <c r="C1955" s="124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ht="18.75" customHeight="1" x14ac:dyDescent="0.35">
      <c r="C1956" s="124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ht="18.75" customHeight="1" x14ac:dyDescent="0.35">
      <c r="C1957" s="124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ht="18.75" customHeight="1" x14ac:dyDescent="0.35">
      <c r="C1958" s="124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ht="18.75" customHeight="1" x14ac:dyDescent="0.35">
      <c r="C1959" s="124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ht="18.75" customHeight="1" x14ac:dyDescent="0.35">
      <c r="C1960" s="124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ht="18.75" customHeight="1" x14ac:dyDescent="0.35">
      <c r="C1961" s="124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ht="18.75" customHeight="1" x14ac:dyDescent="0.35">
      <c r="C1962" s="124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ht="18.75" customHeight="1" x14ac:dyDescent="0.35">
      <c r="C1963" s="124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ht="18.75" customHeight="1" x14ac:dyDescent="0.35">
      <c r="C1964" s="124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ht="18.75" customHeight="1" x14ac:dyDescent="0.35">
      <c r="C1965" s="124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ht="18.75" customHeight="1" x14ac:dyDescent="0.35">
      <c r="C1966" s="124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ht="18.75" customHeight="1" x14ac:dyDescent="0.35">
      <c r="C1967" s="124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ht="18.75" customHeight="1" x14ac:dyDescent="0.35">
      <c r="C1968" s="124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ht="18.75" customHeight="1" x14ac:dyDescent="0.35">
      <c r="C1969" s="124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ht="18.75" customHeight="1" x14ac:dyDescent="0.35">
      <c r="C1970" s="124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ht="18.75" customHeight="1" x14ac:dyDescent="0.35">
      <c r="C1971" s="124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ht="18.75" customHeight="1" x14ac:dyDescent="0.35">
      <c r="C1972" s="124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ht="18.75" customHeight="1" x14ac:dyDescent="0.35">
      <c r="C1973" s="124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ht="18.75" customHeight="1" x14ac:dyDescent="0.35">
      <c r="C1974" s="124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ht="18.75" customHeight="1" x14ac:dyDescent="0.35">
      <c r="C1975" s="124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ht="18.75" customHeight="1" x14ac:dyDescent="0.35">
      <c r="C1976" s="124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ht="18.75" customHeight="1" x14ac:dyDescent="0.35">
      <c r="C1977" s="124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ht="18.75" customHeight="1" x14ac:dyDescent="0.35">
      <c r="C1978" s="124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ht="18.75" customHeight="1" x14ac:dyDescent="0.35">
      <c r="C1979" s="124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ht="18.75" customHeight="1" x14ac:dyDescent="0.35">
      <c r="C1980" s="124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ht="18.75" customHeight="1" x14ac:dyDescent="0.35">
      <c r="C1981" s="124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ht="18.75" customHeight="1" x14ac:dyDescent="0.35">
      <c r="C1982" s="124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ht="18.75" customHeight="1" x14ac:dyDescent="0.35">
      <c r="C1983" s="124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ht="18.75" customHeight="1" x14ac:dyDescent="0.35">
      <c r="C1984" s="124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ht="18.75" customHeight="1" x14ac:dyDescent="0.35">
      <c r="C1985" s="124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ht="18.75" customHeight="1" x14ac:dyDescent="0.35">
      <c r="C1986" s="124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ht="18.75" customHeight="1" x14ac:dyDescent="0.35">
      <c r="C1987" s="124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ht="18.75" customHeight="1" x14ac:dyDescent="0.35">
      <c r="C1988" s="124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ht="18.75" customHeight="1" x14ac:dyDescent="0.35">
      <c r="C1989" s="124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ht="18.75" customHeight="1" x14ac:dyDescent="0.35">
      <c r="C1990" s="124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ht="18.75" customHeight="1" x14ac:dyDescent="0.35">
      <c r="C1991" s="124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ht="18.75" customHeight="1" x14ac:dyDescent="0.35">
      <c r="C1992" s="124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ht="18.75" customHeight="1" x14ac:dyDescent="0.35">
      <c r="C1993" s="124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ht="18.75" customHeight="1" x14ac:dyDescent="0.35">
      <c r="C1994" s="124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ht="18.75" customHeight="1" x14ac:dyDescent="0.35">
      <c r="C1995" s="124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ht="18.75" customHeight="1" x14ac:dyDescent="0.35">
      <c r="C1996" s="124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ht="18.75" customHeight="1" x14ac:dyDescent="0.35">
      <c r="C1997" s="124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ht="18.75" customHeight="1" x14ac:dyDescent="0.35">
      <c r="C1998" s="124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ht="18.75" customHeight="1" x14ac:dyDescent="0.35">
      <c r="C1999" s="124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ht="18.75" customHeight="1" x14ac:dyDescent="0.35">
      <c r="C2000" s="124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ht="18.75" customHeight="1" x14ac:dyDescent="0.35">
      <c r="C2001" s="124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ht="18.75" customHeight="1" x14ac:dyDescent="0.35">
      <c r="C2002" s="124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ht="18.75" customHeight="1" x14ac:dyDescent="0.35">
      <c r="C2003" s="124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ht="18.75" customHeight="1" x14ac:dyDescent="0.35">
      <c r="C2004" s="124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ht="18.75" customHeight="1" x14ac:dyDescent="0.35">
      <c r="C2005" s="124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ht="18.75" customHeight="1" x14ac:dyDescent="0.35">
      <c r="C2006" s="124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ht="18.75" customHeight="1" x14ac:dyDescent="0.35">
      <c r="C2007" s="124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ht="18.75" customHeight="1" x14ac:dyDescent="0.35">
      <c r="C2008" s="124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ht="18.75" customHeight="1" x14ac:dyDescent="0.35">
      <c r="C2009" s="124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ht="18.75" customHeight="1" x14ac:dyDescent="0.35">
      <c r="C2010" s="124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ht="18.75" customHeight="1" x14ac:dyDescent="0.35">
      <c r="C2011" s="124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ht="18.75" customHeight="1" x14ac:dyDescent="0.35">
      <c r="C2012" s="124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ht="18.75" customHeight="1" x14ac:dyDescent="0.35">
      <c r="C2013" s="124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ht="18.75" customHeight="1" x14ac:dyDescent="0.35">
      <c r="C2014" s="124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ht="18.75" customHeight="1" x14ac:dyDescent="0.35">
      <c r="C2015" s="124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ht="18.75" customHeight="1" x14ac:dyDescent="0.35">
      <c r="C2016" s="124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ht="18.75" customHeight="1" x14ac:dyDescent="0.35">
      <c r="C2017" s="124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ht="18.75" customHeight="1" x14ac:dyDescent="0.35">
      <c r="C2018" s="124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ht="18.75" customHeight="1" x14ac:dyDescent="0.35">
      <c r="C2019" s="124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ht="18.75" customHeight="1" x14ac:dyDescent="0.35">
      <c r="C2020" s="124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ht="18.75" customHeight="1" x14ac:dyDescent="0.35">
      <c r="C2021" s="124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ht="18.75" customHeight="1" x14ac:dyDescent="0.35">
      <c r="C2022" s="124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ht="18.75" customHeight="1" x14ac:dyDescent="0.35">
      <c r="C2023" s="124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ht="18.75" customHeight="1" x14ac:dyDescent="0.35">
      <c r="C2024" s="124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ht="18.75" customHeight="1" x14ac:dyDescent="0.35">
      <c r="C2025" s="124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ht="18.75" customHeight="1" x14ac:dyDescent="0.35">
      <c r="C2026" s="124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ht="18.75" customHeight="1" x14ac:dyDescent="0.35">
      <c r="C2027" s="124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ht="18.75" customHeight="1" x14ac:dyDescent="0.35">
      <c r="C2028" s="124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ht="18.75" customHeight="1" x14ac:dyDescent="0.35">
      <c r="C2029" s="124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ht="18.75" customHeight="1" x14ac:dyDescent="0.35">
      <c r="C2030" s="124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ht="18.75" customHeight="1" x14ac:dyDescent="0.35">
      <c r="C2031" s="124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ht="18.75" customHeight="1" x14ac:dyDescent="0.35">
      <c r="C2032" s="124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ht="18.75" customHeight="1" x14ac:dyDescent="0.35">
      <c r="C2033" s="124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ht="18.75" customHeight="1" x14ac:dyDescent="0.35">
      <c r="C2034" s="124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ht="18.75" customHeight="1" x14ac:dyDescent="0.35">
      <c r="C2035" s="124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ht="18.75" customHeight="1" x14ac:dyDescent="0.35">
      <c r="C2036" s="124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ht="18.75" customHeight="1" x14ac:dyDescent="0.35">
      <c r="C2037" s="124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ht="18.75" customHeight="1" x14ac:dyDescent="0.35">
      <c r="C2038" s="124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ht="18.75" customHeight="1" x14ac:dyDescent="0.35">
      <c r="C2039" s="124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ht="18.75" customHeight="1" x14ac:dyDescent="0.35">
      <c r="C2040" s="124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ht="18.75" customHeight="1" x14ac:dyDescent="0.35">
      <c r="C2041" s="124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ht="18.75" customHeight="1" x14ac:dyDescent="0.35">
      <c r="C2042" s="124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ht="18.75" customHeight="1" x14ac:dyDescent="0.35">
      <c r="C2043" s="124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ht="18.75" customHeight="1" x14ac:dyDescent="0.35">
      <c r="C2044" s="124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ht="18.75" customHeight="1" x14ac:dyDescent="0.35">
      <c r="C2045" s="124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ht="18.75" customHeight="1" x14ac:dyDescent="0.35">
      <c r="C2046" s="124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ht="18.75" customHeight="1" x14ac:dyDescent="0.35">
      <c r="C2047" s="124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ht="18.75" customHeight="1" x14ac:dyDescent="0.35">
      <c r="C2048" s="124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ht="18.75" customHeight="1" x14ac:dyDescent="0.35">
      <c r="C2049" s="124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ht="18.75" customHeight="1" x14ac:dyDescent="0.35">
      <c r="C2050" s="124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ht="18.75" customHeight="1" x14ac:dyDescent="0.35">
      <c r="C2051" s="124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ht="18.75" customHeight="1" x14ac:dyDescent="0.35">
      <c r="C2052" s="124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ht="18.75" customHeight="1" x14ac:dyDescent="0.35">
      <c r="C2053" s="124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ht="18.75" customHeight="1" x14ac:dyDescent="0.35">
      <c r="C2054" s="124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ht="18.75" customHeight="1" x14ac:dyDescent="0.35">
      <c r="C2055" s="124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ht="18.75" customHeight="1" x14ac:dyDescent="0.35">
      <c r="C2056" s="124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ht="18.75" customHeight="1" x14ac:dyDescent="0.35">
      <c r="C2057" s="124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ht="18.75" customHeight="1" x14ac:dyDescent="0.35">
      <c r="C2058" s="124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ht="18.75" customHeight="1" x14ac:dyDescent="0.35">
      <c r="C2059" s="124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ht="18.75" customHeight="1" x14ac:dyDescent="0.35">
      <c r="C2060" s="124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ht="18.75" customHeight="1" x14ac:dyDescent="0.35">
      <c r="C2061" s="124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ht="18.75" customHeight="1" x14ac:dyDescent="0.35">
      <c r="C2062" s="124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ht="18.75" customHeight="1" x14ac:dyDescent="0.35">
      <c r="C2063" s="124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ht="18.75" customHeight="1" x14ac:dyDescent="0.35">
      <c r="C2064" s="124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ht="18.75" customHeight="1" x14ac:dyDescent="0.35">
      <c r="C2065" s="124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ht="18.75" customHeight="1" x14ac:dyDescent="0.35">
      <c r="C2066" s="124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ht="18.75" customHeight="1" x14ac:dyDescent="0.35">
      <c r="C2067" s="124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ht="18.75" customHeight="1" x14ac:dyDescent="0.35">
      <c r="C2068" s="124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ht="18.75" customHeight="1" x14ac:dyDescent="0.35">
      <c r="C2069" s="124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ht="18.75" customHeight="1" x14ac:dyDescent="0.35">
      <c r="C2070" s="124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ht="18.75" customHeight="1" x14ac:dyDescent="0.35">
      <c r="C2071" s="124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ht="18.75" customHeight="1" x14ac:dyDescent="0.35">
      <c r="C2072" s="124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ht="18.75" customHeight="1" x14ac:dyDescent="0.35">
      <c r="C2073" s="124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ht="18.75" customHeight="1" x14ac:dyDescent="0.35">
      <c r="C2074" s="124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ht="18.75" customHeight="1" x14ac:dyDescent="0.35">
      <c r="C2075" s="124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ht="18.75" customHeight="1" x14ac:dyDescent="0.35">
      <c r="C2076" s="124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ht="18.75" customHeight="1" x14ac:dyDescent="0.35">
      <c r="C2077" s="124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ht="18.75" customHeight="1" x14ac:dyDescent="0.35">
      <c r="C2078" s="124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ht="18.75" customHeight="1" x14ac:dyDescent="0.35">
      <c r="C2079" s="124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ht="18.75" customHeight="1" x14ac:dyDescent="0.35">
      <c r="C2080" s="124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ht="18.75" customHeight="1" x14ac:dyDescent="0.35">
      <c r="C2081" s="124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ht="18.75" customHeight="1" x14ac:dyDescent="0.35">
      <c r="C2082" s="124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ht="18.75" customHeight="1" x14ac:dyDescent="0.35">
      <c r="C2083" s="124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ht="18.75" customHeight="1" x14ac:dyDescent="0.35">
      <c r="C2084" s="124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ht="18.75" customHeight="1" x14ac:dyDescent="0.35">
      <c r="C2085" s="124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ht="18.75" customHeight="1" x14ac:dyDescent="0.35">
      <c r="C2086" s="124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ht="18.75" customHeight="1" x14ac:dyDescent="0.35">
      <c r="C2087" s="124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ht="18.75" customHeight="1" x14ac:dyDescent="0.35">
      <c r="C2088" s="124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ht="18.75" customHeight="1" x14ac:dyDescent="0.35">
      <c r="C2089" s="124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ht="18.75" customHeight="1" x14ac:dyDescent="0.35">
      <c r="C2090" s="124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ht="18.75" customHeight="1" x14ac:dyDescent="0.35">
      <c r="C2091" s="124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ht="18.75" customHeight="1" x14ac:dyDescent="0.35">
      <c r="C2092" s="124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ht="18.75" customHeight="1" x14ac:dyDescent="0.35">
      <c r="C2093" s="124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ht="18.75" customHeight="1" x14ac:dyDescent="0.35">
      <c r="C2094" s="124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ht="18.75" customHeight="1" x14ac:dyDescent="0.35">
      <c r="C2095" s="124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ht="18.75" customHeight="1" x14ac:dyDescent="0.35">
      <c r="C2096" s="124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ht="18.75" customHeight="1" x14ac:dyDescent="0.35">
      <c r="C2097" s="124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ht="18.75" customHeight="1" x14ac:dyDescent="0.35">
      <c r="C2098" s="124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ht="18.75" customHeight="1" x14ac:dyDescent="0.35">
      <c r="C2099" s="124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ht="18.75" customHeight="1" x14ac:dyDescent="0.35">
      <c r="C2100" s="124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ht="18.75" customHeight="1" x14ac:dyDescent="0.35">
      <c r="C2101" s="124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ht="18.75" customHeight="1" x14ac:dyDescent="0.35">
      <c r="C2102" s="124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ht="18.75" customHeight="1" x14ac:dyDescent="0.35">
      <c r="C2103" s="124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ht="18.75" customHeight="1" x14ac:dyDescent="0.35">
      <c r="C2104" s="124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ht="18.75" customHeight="1" x14ac:dyDescent="0.35">
      <c r="C2105" s="124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ht="18.75" customHeight="1" x14ac:dyDescent="0.35">
      <c r="C2106" s="124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ht="18.75" customHeight="1" x14ac:dyDescent="0.35">
      <c r="C2107" s="124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ht="18.75" customHeight="1" x14ac:dyDescent="0.35">
      <c r="C2108" s="124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ht="18.75" customHeight="1" x14ac:dyDescent="0.35">
      <c r="C2109" s="124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ht="18.75" customHeight="1" x14ac:dyDescent="0.35">
      <c r="C2110" s="124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ht="18.75" customHeight="1" x14ac:dyDescent="0.35">
      <c r="C2111" s="124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ht="18.75" customHeight="1" x14ac:dyDescent="0.35">
      <c r="C2112" s="124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ht="18.75" customHeight="1" x14ac:dyDescent="0.35">
      <c r="C2113" s="124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ht="18.75" customHeight="1" x14ac:dyDescent="0.35">
      <c r="C2114" s="124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ht="18.75" customHeight="1" x14ac:dyDescent="0.35">
      <c r="C2115" s="124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ht="18.75" customHeight="1" x14ac:dyDescent="0.35">
      <c r="C2116" s="124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ht="18.75" customHeight="1" x14ac:dyDescent="0.35">
      <c r="C2117" s="124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ht="18.75" customHeight="1" x14ac:dyDescent="0.35">
      <c r="C2118" s="124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ht="18.75" customHeight="1" x14ac:dyDescent="0.35">
      <c r="C2119" s="124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ht="18.75" customHeight="1" x14ac:dyDescent="0.35">
      <c r="C2120" s="124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ht="18.75" customHeight="1" x14ac:dyDescent="0.35">
      <c r="C2121" s="124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ht="18.75" customHeight="1" x14ac:dyDescent="0.35">
      <c r="C2122" s="124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ht="18.75" customHeight="1" x14ac:dyDescent="0.35">
      <c r="C2123" s="124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ht="18.75" customHeight="1" x14ac:dyDescent="0.35">
      <c r="C2124" s="124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ht="18.75" customHeight="1" x14ac:dyDescent="0.35">
      <c r="C2125" s="124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ht="18.75" customHeight="1" x14ac:dyDescent="0.35">
      <c r="C2126" s="124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ht="18.75" customHeight="1" x14ac:dyDescent="0.35">
      <c r="C2127" s="124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ht="18.75" customHeight="1" x14ac:dyDescent="0.35">
      <c r="C2128" s="124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ht="18.75" customHeight="1" x14ac:dyDescent="0.35">
      <c r="C2129" s="124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ht="18.75" customHeight="1" x14ac:dyDescent="0.35">
      <c r="C2130" s="124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ht="18.75" customHeight="1" x14ac:dyDescent="0.35">
      <c r="C2131" s="124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ht="18.75" customHeight="1" x14ac:dyDescent="0.35">
      <c r="C2132" s="124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ht="18.75" customHeight="1" x14ac:dyDescent="0.35">
      <c r="C2133" s="124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ht="18.75" customHeight="1" x14ac:dyDescent="0.35">
      <c r="C2134" s="124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ht="18.75" customHeight="1" x14ac:dyDescent="0.35">
      <c r="C2135" s="124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ht="18.75" customHeight="1" x14ac:dyDescent="0.35">
      <c r="C2136" s="124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ht="18.75" customHeight="1" x14ac:dyDescent="0.35">
      <c r="C2137" s="124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ht="18.75" customHeight="1" x14ac:dyDescent="0.35">
      <c r="C2138" s="124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ht="18.75" customHeight="1" x14ac:dyDescent="0.35">
      <c r="C2139" s="124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ht="18.75" customHeight="1" x14ac:dyDescent="0.35">
      <c r="C2140" s="124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ht="18.75" customHeight="1" x14ac:dyDescent="0.35">
      <c r="C2141" s="124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ht="18.75" customHeight="1" x14ac:dyDescent="0.35">
      <c r="C2142" s="124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ht="18.75" customHeight="1" x14ac:dyDescent="0.35">
      <c r="C2143" s="124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ht="18.75" customHeight="1" x14ac:dyDescent="0.35">
      <c r="C2144" s="124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ht="18.75" customHeight="1" x14ac:dyDescent="0.35">
      <c r="C2145" s="124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ht="18.75" customHeight="1" x14ac:dyDescent="0.35">
      <c r="C2146" s="124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ht="18.75" customHeight="1" x14ac:dyDescent="0.35">
      <c r="C2147" s="124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ht="18.75" customHeight="1" x14ac:dyDescent="0.35">
      <c r="C2148" s="124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ht="18.75" customHeight="1" x14ac:dyDescent="0.35">
      <c r="C2149" s="124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ht="18.75" customHeight="1" x14ac:dyDescent="0.35">
      <c r="C2150" s="124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ht="18.75" customHeight="1" x14ac:dyDescent="0.35">
      <c r="C2151" s="124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ht="18.75" customHeight="1" x14ac:dyDescent="0.35">
      <c r="C2152" s="124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ht="18.75" customHeight="1" x14ac:dyDescent="0.35">
      <c r="C2153" s="124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ht="18.75" customHeight="1" x14ac:dyDescent="0.35">
      <c r="C2154" s="124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ht="18.75" customHeight="1" x14ac:dyDescent="0.35">
      <c r="C2155" s="124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ht="18.75" customHeight="1" x14ac:dyDescent="0.35">
      <c r="C2156" s="124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ht="18.75" customHeight="1" x14ac:dyDescent="0.35">
      <c r="C2157" s="124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ht="18.75" customHeight="1" x14ac:dyDescent="0.35">
      <c r="C2158" s="124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ht="18.75" customHeight="1" x14ac:dyDescent="0.35">
      <c r="C2159" s="124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ht="18.75" customHeight="1" x14ac:dyDescent="0.35">
      <c r="C2160" s="124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ht="18.75" customHeight="1" x14ac:dyDescent="0.35">
      <c r="C2161" s="124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ht="18.75" customHeight="1" x14ac:dyDescent="0.35">
      <c r="C2162" s="124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ht="18.75" customHeight="1" x14ac:dyDescent="0.35">
      <c r="C2163" s="124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ht="18.75" customHeight="1" x14ac:dyDescent="0.35">
      <c r="C2164" s="124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ht="18.75" customHeight="1" x14ac:dyDescent="0.35">
      <c r="C2165" s="124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ht="18.75" customHeight="1" x14ac:dyDescent="0.35">
      <c r="C2166" s="124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ht="18.75" customHeight="1" x14ac:dyDescent="0.35">
      <c r="C2167" s="124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ht="18.75" customHeight="1" x14ac:dyDescent="0.35">
      <c r="C2168" s="124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ht="18.75" customHeight="1" x14ac:dyDescent="0.35">
      <c r="C2169" s="124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ht="18.75" customHeight="1" x14ac:dyDescent="0.35">
      <c r="C2170" s="124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ht="18.75" customHeight="1" x14ac:dyDescent="0.35">
      <c r="C2171" s="124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ht="18.75" customHeight="1" x14ac:dyDescent="0.35">
      <c r="C2172" s="124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ht="18.75" customHeight="1" x14ac:dyDescent="0.35">
      <c r="C2173" s="124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ht="18.75" customHeight="1" x14ac:dyDescent="0.35">
      <c r="C2174" s="124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ht="18.75" customHeight="1" x14ac:dyDescent="0.35">
      <c r="C2175" s="124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ht="18.75" customHeight="1" x14ac:dyDescent="0.35">
      <c r="C2176" s="124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ht="18.75" customHeight="1" x14ac:dyDescent="0.35">
      <c r="C2177" s="124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ht="18.75" customHeight="1" x14ac:dyDescent="0.35">
      <c r="C2178" s="124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ht="18.75" customHeight="1" x14ac:dyDescent="0.35">
      <c r="C2179" s="124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ht="18.75" customHeight="1" x14ac:dyDescent="0.35">
      <c r="C2180" s="124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ht="18.75" customHeight="1" x14ac:dyDescent="0.35">
      <c r="C2181" s="124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ht="18.75" customHeight="1" x14ac:dyDescent="0.35">
      <c r="C2182" s="124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ht="18.75" customHeight="1" x14ac:dyDescent="0.35">
      <c r="C2183" s="124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ht="18.75" customHeight="1" x14ac:dyDescent="0.35">
      <c r="C2184" s="124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ht="18.75" customHeight="1" x14ac:dyDescent="0.35">
      <c r="C2185" s="124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ht="18.75" customHeight="1" x14ac:dyDescent="0.35">
      <c r="C2186" s="124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ht="18.75" customHeight="1" x14ac:dyDescent="0.35">
      <c r="C2187" s="124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ht="18.75" customHeight="1" x14ac:dyDescent="0.35">
      <c r="C2188" s="124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ht="18.75" customHeight="1" x14ac:dyDescent="0.35">
      <c r="C2189" s="124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ht="18.75" customHeight="1" x14ac:dyDescent="0.35">
      <c r="C2190" s="124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ht="18.75" customHeight="1" x14ac:dyDescent="0.35">
      <c r="C2191" s="124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ht="18.75" customHeight="1" x14ac:dyDescent="0.35">
      <c r="C2192" s="124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ht="18.75" customHeight="1" x14ac:dyDescent="0.35">
      <c r="C2193" s="124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ht="18.75" customHeight="1" x14ac:dyDescent="0.35">
      <c r="C2194" s="124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ht="18.75" customHeight="1" x14ac:dyDescent="0.35">
      <c r="C2195" s="124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ht="18.75" customHeight="1" x14ac:dyDescent="0.35">
      <c r="C2196" s="124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ht="18.75" customHeight="1" x14ac:dyDescent="0.35">
      <c r="C2197" s="124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ht="18.75" customHeight="1" x14ac:dyDescent="0.35">
      <c r="C2198" s="124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ht="18.75" customHeight="1" x14ac:dyDescent="0.35">
      <c r="C2199" s="124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ht="18.75" customHeight="1" x14ac:dyDescent="0.35">
      <c r="C2200" s="124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ht="18.75" customHeight="1" x14ac:dyDescent="0.35">
      <c r="C2201" s="124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ht="18.75" customHeight="1" x14ac:dyDescent="0.35">
      <c r="C2202" s="124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ht="18.75" customHeight="1" x14ac:dyDescent="0.35">
      <c r="C2203" s="124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ht="18.75" customHeight="1" x14ac:dyDescent="0.35">
      <c r="C2204" s="124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ht="18.75" customHeight="1" x14ac:dyDescent="0.35">
      <c r="C2205" s="124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ht="18.75" customHeight="1" x14ac:dyDescent="0.35">
      <c r="C2206" s="124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ht="18.75" customHeight="1" x14ac:dyDescent="0.35">
      <c r="C2207" s="124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ht="18.75" customHeight="1" x14ac:dyDescent="0.35">
      <c r="C2208" s="124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ht="18.75" customHeight="1" x14ac:dyDescent="0.35">
      <c r="C2209" s="124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ht="18.75" customHeight="1" x14ac:dyDescent="0.35">
      <c r="C2210" s="124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ht="18.75" customHeight="1" x14ac:dyDescent="0.35">
      <c r="C2211" s="124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ht="18.75" customHeight="1" x14ac:dyDescent="0.35">
      <c r="C2212" s="124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ht="18.75" customHeight="1" x14ac:dyDescent="0.35">
      <c r="C2213" s="124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ht="18.75" customHeight="1" x14ac:dyDescent="0.35">
      <c r="C2214" s="124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ht="18.75" customHeight="1" x14ac:dyDescent="0.35">
      <c r="C2215" s="124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ht="18.75" customHeight="1" x14ac:dyDescent="0.35">
      <c r="C2216" s="124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ht="18.75" customHeight="1" x14ac:dyDescent="0.35">
      <c r="C2217" s="124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ht="18.75" customHeight="1" x14ac:dyDescent="0.35">
      <c r="C2218" s="124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ht="18.75" customHeight="1" x14ac:dyDescent="0.35">
      <c r="C2219" s="124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ht="18.75" customHeight="1" x14ac:dyDescent="0.35">
      <c r="C2220" s="124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ht="18.75" customHeight="1" x14ac:dyDescent="0.35">
      <c r="C2221" s="124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ht="18.75" customHeight="1" x14ac:dyDescent="0.35">
      <c r="C2222" s="124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ht="18.75" customHeight="1" x14ac:dyDescent="0.35">
      <c r="C2223" s="124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ht="18.75" customHeight="1" x14ac:dyDescent="0.35">
      <c r="C2224" s="124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ht="18.75" customHeight="1" x14ac:dyDescent="0.35">
      <c r="C2225" s="124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ht="18.75" customHeight="1" x14ac:dyDescent="0.35">
      <c r="C2226" s="124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ht="18.75" customHeight="1" x14ac:dyDescent="0.35">
      <c r="C2227" s="124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ht="18.75" customHeight="1" x14ac:dyDescent="0.35">
      <c r="C2228" s="124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ht="18.75" customHeight="1" x14ac:dyDescent="0.35">
      <c r="C2229" s="124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ht="18.75" customHeight="1" x14ac:dyDescent="0.35">
      <c r="C2230" s="124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ht="18.75" customHeight="1" x14ac:dyDescent="0.35">
      <c r="C2231" s="124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ht="18.75" customHeight="1" x14ac:dyDescent="0.35">
      <c r="C2232" s="124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ht="18.75" customHeight="1" x14ac:dyDescent="0.35">
      <c r="C2233" s="124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ht="18.75" customHeight="1" x14ac:dyDescent="0.35">
      <c r="C2234" s="124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ht="18.75" customHeight="1" x14ac:dyDescent="0.35">
      <c r="C2235" s="124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ht="18.75" customHeight="1" x14ac:dyDescent="0.35">
      <c r="C2236" s="124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ht="18.75" customHeight="1" x14ac:dyDescent="0.35">
      <c r="C2237" s="124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ht="18.75" customHeight="1" x14ac:dyDescent="0.35">
      <c r="C2238" s="124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ht="18.75" customHeight="1" x14ac:dyDescent="0.35">
      <c r="C2239" s="124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ht="18.75" customHeight="1" x14ac:dyDescent="0.35">
      <c r="C2240" s="124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ht="18.75" customHeight="1" x14ac:dyDescent="0.35">
      <c r="C2241" s="124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ht="18.75" customHeight="1" x14ac:dyDescent="0.35">
      <c r="C2242" s="124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ht="18.75" customHeight="1" x14ac:dyDescent="0.35">
      <c r="C2243" s="124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ht="18.75" customHeight="1" x14ac:dyDescent="0.35">
      <c r="C2244" s="124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ht="18.75" customHeight="1" x14ac:dyDescent="0.35">
      <c r="C2245" s="124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ht="18.75" customHeight="1" x14ac:dyDescent="0.35">
      <c r="C2246" s="124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ht="18.75" customHeight="1" x14ac:dyDescent="0.35">
      <c r="C2247" s="124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ht="18.75" customHeight="1" x14ac:dyDescent="0.35">
      <c r="C2248" s="124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ht="18.75" customHeight="1" x14ac:dyDescent="0.35">
      <c r="C2249" s="124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ht="18.75" customHeight="1" x14ac:dyDescent="0.35">
      <c r="C2250" s="124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ht="18.75" customHeight="1" x14ac:dyDescent="0.35">
      <c r="C2251" s="124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ht="18.75" customHeight="1" x14ac:dyDescent="0.35">
      <c r="C2252" s="124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ht="18.75" customHeight="1" x14ac:dyDescent="0.35">
      <c r="C2253" s="124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ht="18.75" customHeight="1" x14ac:dyDescent="0.35">
      <c r="C2254" s="124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ht="18.75" customHeight="1" x14ac:dyDescent="0.35">
      <c r="C2255" s="124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ht="18.75" customHeight="1" x14ac:dyDescent="0.35">
      <c r="C2256" s="124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ht="18.75" customHeight="1" x14ac:dyDescent="0.35">
      <c r="C2257" s="124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ht="18.75" customHeight="1" x14ac:dyDescent="0.35">
      <c r="C2258" s="124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ht="18.75" customHeight="1" x14ac:dyDescent="0.35">
      <c r="C2259" s="124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ht="18.75" customHeight="1" x14ac:dyDescent="0.35">
      <c r="C2260" s="124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ht="18.75" customHeight="1" x14ac:dyDescent="0.35">
      <c r="C2261" s="124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ht="18.75" customHeight="1" x14ac:dyDescent="0.35">
      <c r="C2262" s="124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ht="18.75" customHeight="1" x14ac:dyDescent="0.35">
      <c r="C2263" s="124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ht="18.75" customHeight="1" x14ac:dyDescent="0.35">
      <c r="C2264" s="124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ht="18.75" customHeight="1" x14ac:dyDescent="0.35">
      <c r="C2265" s="124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ht="18.75" customHeight="1" x14ac:dyDescent="0.35">
      <c r="C2266" s="124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ht="18.75" customHeight="1" x14ac:dyDescent="0.35">
      <c r="C2267" s="124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ht="18.75" customHeight="1" x14ac:dyDescent="0.35">
      <c r="C2268" s="124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ht="18.75" customHeight="1" x14ac:dyDescent="0.35">
      <c r="C2269" s="124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ht="18.75" customHeight="1" x14ac:dyDescent="0.35">
      <c r="C2270" s="124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ht="18.75" customHeight="1" x14ac:dyDescent="0.35">
      <c r="C2271" s="124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ht="18.75" customHeight="1" x14ac:dyDescent="0.35">
      <c r="C2272" s="124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ht="18.75" customHeight="1" x14ac:dyDescent="0.35">
      <c r="C2273" s="124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ht="18.75" customHeight="1" x14ac:dyDescent="0.35">
      <c r="C2274" s="124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ht="18.75" customHeight="1" x14ac:dyDescent="0.35">
      <c r="C2275" s="124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ht="18.75" customHeight="1" x14ac:dyDescent="0.35">
      <c r="C2276" s="124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ht="18.75" customHeight="1" x14ac:dyDescent="0.35">
      <c r="C2277" s="124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ht="18.75" customHeight="1" x14ac:dyDescent="0.35">
      <c r="C2278" s="124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ht="18.75" customHeight="1" x14ac:dyDescent="0.35">
      <c r="C2279" s="124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ht="18.75" customHeight="1" x14ac:dyDescent="0.35">
      <c r="C2280" s="124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ht="18.75" customHeight="1" x14ac:dyDescent="0.35">
      <c r="C2281" s="124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ht="18.75" customHeight="1" x14ac:dyDescent="0.35">
      <c r="C2282" s="124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ht="18.75" customHeight="1" x14ac:dyDescent="0.35">
      <c r="C2283" s="124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ht="18.75" customHeight="1" x14ac:dyDescent="0.35">
      <c r="C2284" s="124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ht="18.75" customHeight="1" x14ac:dyDescent="0.35">
      <c r="C2285" s="124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ht="18.75" customHeight="1" x14ac:dyDescent="0.35">
      <c r="C2286" s="124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ht="18.75" customHeight="1" x14ac:dyDescent="0.35">
      <c r="C2287" s="124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ht="18.75" customHeight="1" x14ac:dyDescent="0.35">
      <c r="C2288" s="124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ht="18.75" customHeight="1" x14ac:dyDescent="0.35">
      <c r="C2289" s="124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ht="18.75" customHeight="1" x14ac:dyDescent="0.35">
      <c r="C2290" s="124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ht="18.75" customHeight="1" x14ac:dyDescent="0.35">
      <c r="C2291" s="124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ht="18.75" customHeight="1" x14ac:dyDescent="0.35">
      <c r="C2292" s="124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ht="18.75" customHeight="1" x14ac:dyDescent="0.35">
      <c r="C2293" s="124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ht="18.75" customHeight="1" x14ac:dyDescent="0.35">
      <c r="C2294" s="124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ht="18.75" customHeight="1" x14ac:dyDescent="0.35">
      <c r="C2295" s="124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ht="18.75" customHeight="1" x14ac:dyDescent="0.35">
      <c r="C2296" s="124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ht="18.75" customHeight="1" x14ac:dyDescent="0.35">
      <c r="C2297" s="124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ht="18.75" customHeight="1" x14ac:dyDescent="0.35">
      <c r="C2298" s="124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ht="18.75" customHeight="1" x14ac:dyDescent="0.35">
      <c r="C2299" s="124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ht="18.75" customHeight="1" x14ac:dyDescent="0.35">
      <c r="C2300" s="124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ht="18.75" customHeight="1" x14ac:dyDescent="0.35">
      <c r="C2301" s="124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ht="18.75" customHeight="1" x14ac:dyDescent="0.35">
      <c r="C2302" s="124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ht="18.75" customHeight="1" x14ac:dyDescent="0.35">
      <c r="C2303" s="124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ht="18.75" customHeight="1" x14ac:dyDescent="0.35">
      <c r="C2304" s="124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ht="18.75" customHeight="1" x14ac:dyDescent="0.35">
      <c r="C2305" s="124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ht="18.75" customHeight="1" x14ac:dyDescent="0.35">
      <c r="C2306" s="124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ht="18.75" customHeight="1" x14ac:dyDescent="0.35">
      <c r="C2307" s="124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ht="18.75" customHeight="1" x14ac:dyDescent="0.35">
      <c r="C2308" s="124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ht="18.75" customHeight="1" x14ac:dyDescent="0.35">
      <c r="C2309" s="124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ht="18.75" customHeight="1" x14ac:dyDescent="0.35">
      <c r="C2310" s="124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ht="18.75" customHeight="1" x14ac:dyDescent="0.35">
      <c r="C2311" s="124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ht="18.75" customHeight="1" x14ac:dyDescent="0.35">
      <c r="C2312" s="124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ht="18.75" customHeight="1" x14ac:dyDescent="0.35">
      <c r="C2313" s="124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ht="18.75" customHeight="1" x14ac:dyDescent="0.35">
      <c r="C2314" s="124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ht="18.75" customHeight="1" x14ac:dyDescent="0.35">
      <c r="C2315" s="124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ht="18.75" customHeight="1" x14ac:dyDescent="0.35">
      <c r="C2316" s="124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ht="18.75" customHeight="1" x14ac:dyDescent="0.35">
      <c r="C2317" s="124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ht="18.75" customHeight="1" x14ac:dyDescent="0.35">
      <c r="C2318" s="124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ht="18.75" customHeight="1" x14ac:dyDescent="0.35">
      <c r="C2319" s="124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ht="18.75" customHeight="1" x14ac:dyDescent="0.35">
      <c r="C2320" s="124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ht="18.75" customHeight="1" x14ac:dyDescent="0.35">
      <c r="C2321" s="124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ht="18.75" customHeight="1" x14ac:dyDescent="0.35">
      <c r="C2322" s="124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ht="18.75" customHeight="1" x14ac:dyDescent="0.35">
      <c r="C2323" s="124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ht="18.75" customHeight="1" x14ac:dyDescent="0.35">
      <c r="C2324" s="124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ht="18.75" customHeight="1" x14ac:dyDescent="0.35">
      <c r="C2325" s="124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ht="18.75" customHeight="1" x14ac:dyDescent="0.35">
      <c r="C2326" s="124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ht="18.75" customHeight="1" x14ac:dyDescent="0.35">
      <c r="C2327" s="124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ht="18.75" customHeight="1" x14ac:dyDescent="0.35">
      <c r="C2328" s="124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ht="18.75" customHeight="1" x14ac:dyDescent="0.35">
      <c r="C2329" s="124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ht="18.75" customHeight="1" x14ac:dyDescent="0.35">
      <c r="C2330" s="124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ht="18.75" customHeight="1" x14ac:dyDescent="0.35">
      <c r="C2331" s="124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ht="18.75" customHeight="1" x14ac:dyDescent="0.35">
      <c r="C2332" s="124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ht="18.75" customHeight="1" x14ac:dyDescent="0.35">
      <c r="C2333" s="124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ht="18.75" customHeight="1" x14ac:dyDescent="0.35">
      <c r="C2334" s="124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ht="18.75" customHeight="1" x14ac:dyDescent="0.35">
      <c r="C2335" s="124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ht="18.75" customHeight="1" x14ac:dyDescent="0.35">
      <c r="C2336" s="124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ht="18.75" customHeight="1" x14ac:dyDescent="0.35">
      <c r="C2337" s="124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ht="18.75" customHeight="1" x14ac:dyDescent="0.35">
      <c r="C2338" s="124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ht="18.75" customHeight="1" x14ac:dyDescent="0.35">
      <c r="C2339" s="124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ht="18.75" customHeight="1" x14ac:dyDescent="0.35">
      <c r="C2340" s="124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ht="18.75" customHeight="1" x14ac:dyDescent="0.35">
      <c r="C2341" s="124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ht="18.75" customHeight="1" x14ac:dyDescent="0.35">
      <c r="C2342" s="124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ht="18.75" customHeight="1" x14ac:dyDescent="0.35">
      <c r="C2343" s="124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ht="18.75" customHeight="1" x14ac:dyDescent="0.35">
      <c r="C2344" s="124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ht="18.75" customHeight="1" x14ac:dyDescent="0.35">
      <c r="C2345" s="124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ht="18.75" customHeight="1" x14ac:dyDescent="0.35">
      <c r="C2346" s="124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ht="18.75" customHeight="1" x14ac:dyDescent="0.35">
      <c r="C2347" s="124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ht="18.75" customHeight="1" x14ac:dyDescent="0.35">
      <c r="C2348" s="124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ht="18.75" customHeight="1" x14ac:dyDescent="0.35">
      <c r="C2349" s="124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ht="18.75" customHeight="1" x14ac:dyDescent="0.35">
      <c r="C2350" s="124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ht="18.75" customHeight="1" x14ac:dyDescent="0.35">
      <c r="C2351" s="124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ht="18.75" customHeight="1" x14ac:dyDescent="0.35">
      <c r="C2352" s="124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ht="18.75" customHeight="1" x14ac:dyDescent="0.35">
      <c r="C2353" s="124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ht="18.75" customHeight="1" x14ac:dyDescent="0.35">
      <c r="C2354" s="124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ht="18.75" customHeight="1" x14ac:dyDescent="0.35">
      <c r="C2355" s="124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ht="18.75" customHeight="1" x14ac:dyDescent="0.35">
      <c r="C2356" s="124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ht="18.75" customHeight="1" x14ac:dyDescent="0.35">
      <c r="C2357" s="124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ht="18.75" customHeight="1" x14ac:dyDescent="0.35">
      <c r="C2358" s="124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ht="18.75" customHeight="1" x14ac:dyDescent="0.35">
      <c r="C2359" s="124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ht="18.75" customHeight="1" x14ac:dyDescent="0.35">
      <c r="C2360" s="124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ht="18.75" customHeight="1" x14ac:dyDescent="0.35">
      <c r="C2361" s="124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ht="18.75" customHeight="1" x14ac:dyDescent="0.35">
      <c r="C2362" s="124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ht="18.75" customHeight="1" x14ac:dyDescent="0.35">
      <c r="C2363" s="124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ht="18.75" customHeight="1" x14ac:dyDescent="0.35">
      <c r="C2364" s="124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ht="18.75" customHeight="1" x14ac:dyDescent="0.35">
      <c r="C2365" s="124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ht="18.75" customHeight="1" x14ac:dyDescent="0.35">
      <c r="C2366" s="124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ht="18.75" customHeight="1" x14ac:dyDescent="0.35">
      <c r="C2367" s="124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ht="18.75" customHeight="1" x14ac:dyDescent="0.35">
      <c r="C2368" s="124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ht="18.75" customHeight="1" x14ac:dyDescent="0.35">
      <c r="C2369" s="124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ht="18.75" customHeight="1" x14ac:dyDescent="0.35">
      <c r="C2370" s="124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ht="18.75" customHeight="1" x14ac:dyDescent="0.35">
      <c r="C2371" s="124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ht="18.75" customHeight="1" x14ac:dyDescent="0.35">
      <c r="C2372" s="124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ht="18.75" customHeight="1" x14ac:dyDescent="0.35">
      <c r="C2373" s="124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ht="18.75" customHeight="1" x14ac:dyDescent="0.35">
      <c r="C2374" s="124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ht="18.75" customHeight="1" x14ac:dyDescent="0.35">
      <c r="C2375" s="124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ht="18.75" customHeight="1" x14ac:dyDescent="0.35">
      <c r="C2376" s="124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ht="18.75" customHeight="1" x14ac:dyDescent="0.35">
      <c r="C2377" s="124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ht="18.75" customHeight="1" x14ac:dyDescent="0.35">
      <c r="C2378" s="124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ht="18.75" customHeight="1" x14ac:dyDescent="0.35">
      <c r="C2379" s="124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ht="18.75" customHeight="1" x14ac:dyDescent="0.35">
      <c r="C2380" s="124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ht="18.75" customHeight="1" x14ac:dyDescent="0.35">
      <c r="C2381" s="124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ht="18.75" customHeight="1" x14ac:dyDescent="0.35">
      <c r="C2382" s="124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ht="18.75" customHeight="1" x14ac:dyDescent="0.35">
      <c r="C2383" s="124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ht="18.75" customHeight="1" x14ac:dyDescent="0.35">
      <c r="C2384" s="124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ht="18.75" customHeight="1" x14ac:dyDescent="0.35">
      <c r="C2385" s="124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ht="18.75" customHeight="1" x14ac:dyDescent="0.35">
      <c r="C2386" s="124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ht="18.75" customHeight="1" x14ac:dyDescent="0.35">
      <c r="C2387" s="124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ht="18.75" customHeight="1" x14ac:dyDescent="0.35">
      <c r="C2388" s="124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ht="18.75" customHeight="1" x14ac:dyDescent="0.35">
      <c r="C2389" s="124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ht="18.75" customHeight="1" x14ac:dyDescent="0.35">
      <c r="C2390" s="124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ht="18.75" customHeight="1" x14ac:dyDescent="0.35">
      <c r="C2391" s="124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ht="18.75" customHeight="1" x14ac:dyDescent="0.35">
      <c r="C2392" s="124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ht="18.75" customHeight="1" x14ac:dyDescent="0.35">
      <c r="C2393" s="124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ht="18.75" customHeight="1" x14ac:dyDescent="0.35">
      <c r="C2394" s="124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ht="18.75" customHeight="1" x14ac:dyDescent="0.35">
      <c r="C2395" s="124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ht="18.75" customHeight="1" x14ac:dyDescent="0.35">
      <c r="C2396" s="124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ht="18.75" customHeight="1" x14ac:dyDescent="0.35">
      <c r="C2397" s="124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ht="18.75" customHeight="1" x14ac:dyDescent="0.35">
      <c r="C2398" s="124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ht="18.75" customHeight="1" x14ac:dyDescent="0.35">
      <c r="C2399" s="124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ht="18.75" customHeight="1" x14ac:dyDescent="0.35">
      <c r="C2400" s="124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ht="18.75" customHeight="1" x14ac:dyDescent="0.35">
      <c r="C2401" s="124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ht="18.75" customHeight="1" x14ac:dyDescent="0.35">
      <c r="C2402" s="124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ht="18.75" customHeight="1" x14ac:dyDescent="0.35">
      <c r="C2403" s="124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ht="18.75" customHeight="1" x14ac:dyDescent="0.35">
      <c r="C2404" s="124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ht="18.75" customHeight="1" x14ac:dyDescent="0.35">
      <c r="C2405" s="124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ht="18.75" customHeight="1" x14ac:dyDescent="0.35">
      <c r="C2406" s="124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ht="18.75" customHeight="1" x14ac:dyDescent="0.35">
      <c r="C2407" s="124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ht="18.75" customHeight="1" x14ac:dyDescent="0.35">
      <c r="C2408" s="124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ht="18.75" customHeight="1" x14ac:dyDescent="0.35">
      <c r="C2409" s="124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ht="18.75" customHeight="1" x14ac:dyDescent="0.35">
      <c r="C2410" s="124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ht="18.75" customHeight="1" x14ac:dyDescent="0.35">
      <c r="C2411" s="124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ht="18.75" customHeight="1" x14ac:dyDescent="0.35">
      <c r="C2412" s="124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ht="18.75" customHeight="1" x14ac:dyDescent="0.35">
      <c r="C2413" s="124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ht="18.75" customHeight="1" x14ac:dyDescent="0.35">
      <c r="C2414" s="124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ht="18.75" customHeight="1" x14ac:dyDescent="0.35">
      <c r="C2415" s="124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ht="18.75" customHeight="1" x14ac:dyDescent="0.35">
      <c r="C2416" s="124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ht="18.75" customHeight="1" x14ac:dyDescent="0.35">
      <c r="C2417" s="124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ht="18.75" customHeight="1" x14ac:dyDescent="0.35">
      <c r="C2418" s="124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ht="18.75" customHeight="1" x14ac:dyDescent="0.35">
      <c r="C2419" s="124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ht="18.75" customHeight="1" x14ac:dyDescent="0.35">
      <c r="C2420" s="124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ht="18.75" customHeight="1" x14ac:dyDescent="0.35">
      <c r="C2421" s="124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ht="18.75" customHeight="1" x14ac:dyDescent="0.35">
      <c r="C2422" s="124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ht="18.75" customHeight="1" x14ac:dyDescent="0.35">
      <c r="C2423" s="124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ht="18.75" customHeight="1" x14ac:dyDescent="0.35">
      <c r="C2424" s="124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ht="18.75" customHeight="1" x14ac:dyDescent="0.35">
      <c r="C2425" s="124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ht="18.75" customHeight="1" x14ac:dyDescent="0.35">
      <c r="C2426" s="124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ht="18.75" customHeight="1" x14ac:dyDescent="0.35">
      <c r="C2427" s="124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ht="18.75" customHeight="1" x14ac:dyDescent="0.35">
      <c r="C2428" s="124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ht="18.75" customHeight="1" x14ac:dyDescent="0.35">
      <c r="C2429" s="124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ht="18.75" customHeight="1" x14ac:dyDescent="0.35">
      <c r="C2430" s="124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ht="18.75" customHeight="1" x14ac:dyDescent="0.35">
      <c r="C2431" s="124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ht="18.75" customHeight="1" x14ac:dyDescent="0.35">
      <c r="C2432" s="124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ht="18.75" customHeight="1" x14ac:dyDescent="0.35">
      <c r="C2433" s="124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ht="18.75" customHeight="1" x14ac:dyDescent="0.35">
      <c r="C2434" s="124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ht="18.75" customHeight="1" x14ac:dyDescent="0.35">
      <c r="C2435" s="124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ht="18.75" customHeight="1" x14ac:dyDescent="0.35">
      <c r="C2436" s="124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ht="18.75" customHeight="1" x14ac:dyDescent="0.35">
      <c r="C2437" s="124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ht="18.75" customHeight="1" x14ac:dyDescent="0.35">
      <c r="C2438" s="124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ht="18.75" customHeight="1" x14ac:dyDescent="0.35">
      <c r="C2439" s="124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ht="18.75" customHeight="1" x14ac:dyDescent="0.35">
      <c r="C2440" s="124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ht="18.75" customHeight="1" x14ac:dyDescent="0.35">
      <c r="C2441" s="124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ht="18.75" customHeight="1" x14ac:dyDescent="0.35">
      <c r="C2442" s="124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ht="18.75" customHeight="1" x14ac:dyDescent="0.35">
      <c r="C2443" s="124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ht="18.75" customHeight="1" x14ac:dyDescent="0.35">
      <c r="C2444" s="124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ht="18.75" customHeight="1" x14ac:dyDescent="0.35">
      <c r="C2445" s="124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ht="18.75" customHeight="1" x14ac:dyDescent="0.35">
      <c r="C2446" s="124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ht="18.75" customHeight="1" x14ac:dyDescent="0.35">
      <c r="C2447" s="124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ht="18.75" customHeight="1" x14ac:dyDescent="0.35">
      <c r="C2448" s="124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ht="18.75" customHeight="1" x14ac:dyDescent="0.35">
      <c r="C2449" s="124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ht="18.75" customHeight="1" x14ac:dyDescent="0.35">
      <c r="C2450" s="124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ht="18.75" customHeight="1" x14ac:dyDescent="0.35">
      <c r="C2451" s="124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ht="18.75" customHeight="1" x14ac:dyDescent="0.35">
      <c r="C2452" s="124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ht="18.75" customHeight="1" x14ac:dyDescent="0.35">
      <c r="C2453" s="124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ht="18.75" customHeight="1" x14ac:dyDescent="0.35">
      <c r="C2454" s="124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ht="18.75" customHeight="1" x14ac:dyDescent="0.35">
      <c r="C2455" s="124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ht="18.75" customHeight="1" x14ac:dyDescent="0.35">
      <c r="C2456" s="124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ht="18.75" customHeight="1" x14ac:dyDescent="0.35">
      <c r="C2457" s="124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ht="18.75" customHeight="1" x14ac:dyDescent="0.35">
      <c r="C2458" s="124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ht="18.75" customHeight="1" x14ac:dyDescent="0.35">
      <c r="C2459" s="124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ht="18.75" customHeight="1" x14ac:dyDescent="0.35">
      <c r="C2460" s="124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ht="18.75" customHeight="1" x14ac:dyDescent="0.35">
      <c r="C2461" s="124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ht="18.75" customHeight="1" x14ac:dyDescent="0.35">
      <c r="C2462" s="124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ht="18.75" customHeight="1" x14ac:dyDescent="0.35">
      <c r="C2463" s="124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ht="18.75" customHeight="1" x14ac:dyDescent="0.35">
      <c r="C2464" s="124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ht="18.75" customHeight="1" x14ac:dyDescent="0.35">
      <c r="C2465" s="124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ht="18.75" customHeight="1" x14ac:dyDescent="0.35">
      <c r="C2466" s="124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ht="18.75" customHeight="1" x14ac:dyDescent="0.35">
      <c r="C2467" s="124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ht="18.75" customHeight="1" x14ac:dyDescent="0.35">
      <c r="C2468" s="124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ht="18.75" customHeight="1" x14ac:dyDescent="0.35">
      <c r="C2469" s="124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ht="18.75" customHeight="1" x14ac:dyDescent="0.35">
      <c r="C2470" s="124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ht="18.75" customHeight="1" x14ac:dyDescent="0.35">
      <c r="C2471" s="124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ht="18.75" customHeight="1" x14ac:dyDescent="0.35">
      <c r="C2472" s="124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ht="18.75" customHeight="1" x14ac:dyDescent="0.35">
      <c r="C2473" s="124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ht="18.75" customHeight="1" x14ac:dyDescent="0.35">
      <c r="C2474" s="124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ht="18.75" customHeight="1" x14ac:dyDescent="0.35">
      <c r="C2475" s="124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ht="18.75" customHeight="1" x14ac:dyDescent="0.35">
      <c r="C2476" s="124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ht="18.75" customHeight="1" x14ac:dyDescent="0.35">
      <c r="C2477" s="124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ht="18.75" customHeight="1" x14ac:dyDescent="0.35">
      <c r="C2478" s="124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ht="18.75" customHeight="1" x14ac:dyDescent="0.35">
      <c r="C2479" s="124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ht="18.75" customHeight="1" x14ac:dyDescent="0.35">
      <c r="C2480" s="124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ht="18.75" customHeight="1" x14ac:dyDescent="0.35">
      <c r="C2481" s="124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ht="18.75" customHeight="1" x14ac:dyDescent="0.35">
      <c r="C2482" s="124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ht="18.75" customHeight="1" x14ac:dyDescent="0.35">
      <c r="C2483" s="124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ht="18.75" customHeight="1" x14ac:dyDescent="0.35">
      <c r="C2484" s="124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ht="18.75" customHeight="1" x14ac:dyDescent="0.35">
      <c r="C2485" s="124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ht="18.75" customHeight="1" x14ac:dyDescent="0.35">
      <c r="C2486" s="124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ht="18.75" customHeight="1" x14ac:dyDescent="0.35">
      <c r="C2487" s="124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ht="18.75" customHeight="1" x14ac:dyDescent="0.35">
      <c r="C2488" s="124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ht="18.75" customHeight="1" x14ac:dyDescent="0.35">
      <c r="C2489" s="124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ht="18.75" customHeight="1" x14ac:dyDescent="0.35">
      <c r="C2490" s="124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ht="18.75" customHeight="1" x14ac:dyDescent="0.35">
      <c r="C2491" s="124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ht="18.75" customHeight="1" x14ac:dyDescent="0.35">
      <c r="C2492" s="124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ht="18.75" customHeight="1" x14ac:dyDescent="0.35">
      <c r="C2493" s="124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ht="18.75" customHeight="1" x14ac:dyDescent="0.35">
      <c r="C2494" s="124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ht="18.75" customHeight="1" x14ac:dyDescent="0.35">
      <c r="C2495" s="124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ht="18.75" customHeight="1" x14ac:dyDescent="0.35">
      <c r="C2496" s="124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ht="18.75" customHeight="1" x14ac:dyDescent="0.35">
      <c r="C2497" s="124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ht="18.75" customHeight="1" x14ac:dyDescent="0.35">
      <c r="C2498" s="124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ht="18.75" customHeight="1" x14ac:dyDescent="0.35">
      <c r="C2499" s="124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ht="18.75" customHeight="1" x14ac:dyDescent="0.35">
      <c r="C2500" s="124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ht="18.75" customHeight="1" x14ac:dyDescent="0.35">
      <c r="C2501" s="124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ht="18.75" customHeight="1" x14ac:dyDescent="0.35">
      <c r="C2502" s="124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ht="18.75" customHeight="1" x14ac:dyDescent="0.35">
      <c r="C2503" s="124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ht="18.75" customHeight="1" x14ac:dyDescent="0.35">
      <c r="C2504" s="124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ht="18.75" customHeight="1" x14ac:dyDescent="0.35">
      <c r="C2505" s="124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ht="18.75" customHeight="1" x14ac:dyDescent="0.35">
      <c r="C2506" s="124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ht="18.75" customHeight="1" x14ac:dyDescent="0.35">
      <c r="C2507" s="124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ht="18.75" customHeight="1" x14ac:dyDescent="0.35">
      <c r="C2508" s="124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ht="18.75" customHeight="1" x14ac:dyDescent="0.35">
      <c r="C2509" s="124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ht="18.75" customHeight="1" x14ac:dyDescent="0.35">
      <c r="C2510" s="124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ht="18.75" customHeight="1" x14ac:dyDescent="0.35">
      <c r="C2511" s="124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ht="18.75" customHeight="1" x14ac:dyDescent="0.35">
      <c r="C2512" s="124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ht="18.75" customHeight="1" x14ac:dyDescent="0.35">
      <c r="C2513" s="124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ht="18.75" customHeight="1" x14ac:dyDescent="0.35">
      <c r="C2514" s="124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ht="18.75" customHeight="1" x14ac:dyDescent="0.35">
      <c r="C2515" s="124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ht="18.75" customHeight="1" x14ac:dyDescent="0.35">
      <c r="C2516" s="124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ht="18.75" customHeight="1" x14ac:dyDescent="0.35">
      <c r="C2517" s="124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ht="18.75" customHeight="1" x14ac:dyDescent="0.35">
      <c r="C2518" s="124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ht="18.75" customHeight="1" x14ac:dyDescent="0.35">
      <c r="C2519" s="124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ht="18.75" customHeight="1" x14ac:dyDescent="0.35">
      <c r="C2520" s="124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ht="18.75" customHeight="1" x14ac:dyDescent="0.35">
      <c r="C2521" s="124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ht="18.75" customHeight="1" x14ac:dyDescent="0.35">
      <c r="C2522" s="124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ht="18.75" customHeight="1" x14ac:dyDescent="0.35">
      <c r="C2523" s="124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ht="18.75" customHeight="1" x14ac:dyDescent="0.35">
      <c r="C2524" s="124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ht="18.75" customHeight="1" x14ac:dyDescent="0.35">
      <c r="C2525" s="124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ht="18.75" customHeight="1" x14ac:dyDescent="0.35">
      <c r="C2526" s="124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ht="18.75" customHeight="1" x14ac:dyDescent="0.35">
      <c r="C2527" s="124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ht="18.75" customHeight="1" x14ac:dyDescent="0.35">
      <c r="C2528" s="124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ht="18.75" customHeight="1" x14ac:dyDescent="0.35">
      <c r="C2529" s="124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ht="18.75" customHeight="1" x14ac:dyDescent="0.35">
      <c r="C2530" s="124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ht="18.75" customHeight="1" x14ac:dyDescent="0.35">
      <c r="C2531" s="124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ht="18.75" customHeight="1" x14ac:dyDescent="0.35">
      <c r="C2532" s="124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ht="18.75" customHeight="1" x14ac:dyDescent="0.35">
      <c r="C2533" s="124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ht="18.75" customHeight="1" x14ac:dyDescent="0.35">
      <c r="C2534" s="124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ht="18.75" customHeight="1" x14ac:dyDescent="0.35">
      <c r="C2535" s="124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ht="18.75" customHeight="1" x14ac:dyDescent="0.35">
      <c r="C2536" s="124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ht="18.75" customHeight="1" x14ac:dyDescent="0.35">
      <c r="C2537" s="124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ht="18.75" customHeight="1" x14ac:dyDescent="0.35">
      <c r="C2538" s="124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ht="18.75" customHeight="1" x14ac:dyDescent="0.35">
      <c r="C2539" s="124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ht="18.75" customHeight="1" x14ac:dyDescent="0.35">
      <c r="C2540" s="124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ht="18.75" customHeight="1" x14ac:dyDescent="0.35">
      <c r="C2541" s="124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ht="18.75" customHeight="1" x14ac:dyDescent="0.35">
      <c r="C2542" s="124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ht="18.75" customHeight="1" x14ac:dyDescent="0.35">
      <c r="C2543" s="124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ht="18.75" customHeight="1" x14ac:dyDescent="0.35">
      <c r="C2544" s="124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ht="18.75" customHeight="1" x14ac:dyDescent="0.35">
      <c r="C2545" s="124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ht="18.75" customHeight="1" x14ac:dyDescent="0.35">
      <c r="C2546" s="124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ht="18.75" customHeight="1" x14ac:dyDescent="0.35">
      <c r="C2547" s="124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ht="18.75" customHeight="1" x14ac:dyDescent="0.35">
      <c r="C2548" s="124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ht="18.75" customHeight="1" x14ac:dyDescent="0.35">
      <c r="C2549" s="124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ht="18.75" customHeight="1" x14ac:dyDescent="0.35">
      <c r="C2550" s="124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ht="18.75" customHeight="1" x14ac:dyDescent="0.35">
      <c r="C2551" s="124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ht="18.75" customHeight="1" x14ac:dyDescent="0.35">
      <c r="C2552" s="124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ht="18.75" customHeight="1" x14ac:dyDescent="0.35">
      <c r="C2553" s="124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ht="18.75" customHeight="1" x14ac:dyDescent="0.35">
      <c r="C2554" s="124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ht="18.75" customHeight="1" x14ac:dyDescent="0.35">
      <c r="C2555" s="124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ht="18.75" customHeight="1" x14ac:dyDescent="0.35">
      <c r="C2556" s="124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ht="18.75" customHeight="1" x14ac:dyDescent="0.35">
      <c r="C2557" s="124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ht="18.75" customHeight="1" x14ac:dyDescent="0.35">
      <c r="C2558" s="124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ht="18.75" customHeight="1" x14ac:dyDescent="0.35">
      <c r="C2559" s="124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ht="18.75" customHeight="1" x14ac:dyDescent="0.35">
      <c r="C2560" s="124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ht="18.75" customHeight="1" x14ac:dyDescent="0.35">
      <c r="C2561" s="124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ht="18.75" customHeight="1" x14ac:dyDescent="0.35">
      <c r="C2562" s="124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ht="18.75" customHeight="1" x14ac:dyDescent="0.35">
      <c r="C2563" s="124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ht="18.75" customHeight="1" x14ac:dyDescent="0.35">
      <c r="C2564" s="124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ht="18.75" customHeight="1" x14ac:dyDescent="0.35">
      <c r="C2565" s="124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ht="18.75" customHeight="1" x14ac:dyDescent="0.35">
      <c r="C2566" s="124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ht="18.75" customHeight="1" x14ac:dyDescent="0.35">
      <c r="C2567" s="124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ht="18.75" customHeight="1" x14ac:dyDescent="0.35">
      <c r="C2568" s="124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ht="18.75" customHeight="1" x14ac:dyDescent="0.35">
      <c r="C2569" s="124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ht="18.75" customHeight="1" x14ac:dyDescent="0.35">
      <c r="C2570" s="124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ht="18.75" customHeight="1" x14ac:dyDescent="0.35">
      <c r="C2571" s="124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ht="18.75" customHeight="1" x14ac:dyDescent="0.35">
      <c r="C2572" s="124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ht="18.75" customHeight="1" x14ac:dyDescent="0.35">
      <c r="C2573" s="124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ht="18.75" customHeight="1" x14ac:dyDescent="0.35">
      <c r="C2574" s="124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ht="18.75" customHeight="1" x14ac:dyDescent="0.35">
      <c r="C2575" s="124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ht="18.75" customHeight="1" x14ac:dyDescent="0.35">
      <c r="C2576" s="124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ht="18.75" customHeight="1" x14ac:dyDescent="0.35">
      <c r="C2577" s="124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ht="18.75" customHeight="1" x14ac:dyDescent="0.35">
      <c r="C2578" s="124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ht="18.75" customHeight="1" x14ac:dyDescent="0.35">
      <c r="C2579" s="124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ht="18.75" customHeight="1" x14ac:dyDescent="0.35">
      <c r="C2580" s="124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ht="18.75" customHeight="1" x14ac:dyDescent="0.35">
      <c r="C2581" s="124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ht="18.75" customHeight="1" x14ac:dyDescent="0.35">
      <c r="C2582" s="124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ht="18.75" customHeight="1" x14ac:dyDescent="0.35">
      <c r="C2583" s="124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ht="18.75" customHeight="1" x14ac:dyDescent="0.35">
      <c r="C2584" s="124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ht="18.75" customHeight="1" x14ac:dyDescent="0.35">
      <c r="C2585" s="124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ht="18.75" customHeight="1" x14ac:dyDescent="0.35">
      <c r="C2586" s="124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ht="18.75" customHeight="1" x14ac:dyDescent="0.35">
      <c r="C2587" s="124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ht="18.75" customHeight="1" x14ac:dyDescent="0.35">
      <c r="C2588" s="124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ht="18.75" customHeight="1" x14ac:dyDescent="0.35">
      <c r="C2589" s="124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ht="18.75" customHeight="1" x14ac:dyDescent="0.35">
      <c r="C2590" s="124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ht="18.75" customHeight="1" x14ac:dyDescent="0.35">
      <c r="C2591" s="124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ht="18.75" customHeight="1" x14ac:dyDescent="0.35">
      <c r="C2592" s="124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ht="18.75" customHeight="1" x14ac:dyDescent="0.35">
      <c r="C2593" s="124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ht="18.75" customHeight="1" x14ac:dyDescent="0.35">
      <c r="C2594" s="124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ht="18.75" customHeight="1" x14ac:dyDescent="0.35">
      <c r="C2595" s="124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ht="18.75" customHeight="1" x14ac:dyDescent="0.35">
      <c r="C2596" s="124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ht="18.75" customHeight="1" x14ac:dyDescent="0.35">
      <c r="C2597" s="124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ht="18.75" customHeight="1" x14ac:dyDescent="0.35">
      <c r="C2598" s="124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ht="18.75" customHeight="1" x14ac:dyDescent="0.35">
      <c r="C2599" s="124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ht="18.75" customHeight="1" x14ac:dyDescent="0.35">
      <c r="C2600" s="124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ht="18.75" customHeight="1" x14ac:dyDescent="0.35">
      <c r="C2601" s="124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ht="18.75" customHeight="1" x14ac:dyDescent="0.35">
      <c r="C2602" s="124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ht="18.75" customHeight="1" x14ac:dyDescent="0.35">
      <c r="C2603" s="124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ht="18.75" customHeight="1" x14ac:dyDescent="0.35">
      <c r="C2604" s="124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ht="18.75" customHeight="1" x14ac:dyDescent="0.35">
      <c r="C2605" s="124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ht="18.75" customHeight="1" x14ac:dyDescent="0.35">
      <c r="C2606" s="124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ht="18.75" customHeight="1" x14ac:dyDescent="0.35">
      <c r="C2607" s="124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ht="18.75" customHeight="1" x14ac:dyDescent="0.35">
      <c r="C2608" s="124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ht="18.75" customHeight="1" x14ac:dyDescent="0.35">
      <c r="C2609" s="124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ht="18.75" customHeight="1" x14ac:dyDescent="0.35">
      <c r="C2610" s="124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ht="18.75" customHeight="1" x14ac:dyDescent="0.35">
      <c r="C2611" s="124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ht="18.75" customHeight="1" x14ac:dyDescent="0.35">
      <c r="C2612" s="124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ht="18.75" customHeight="1" x14ac:dyDescent="0.35">
      <c r="C2613" s="124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ht="18.75" customHeight="1" x14ac:dyDescent="0.35">
      <c r="C2614" s="124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ht="18.75" customHeight="1" x14ac:dyDescent="0.35">
      <c r="C2615" s="124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ht="18.75" customHeight="1" x14ac:dyDescent="0.35">
      <c r="C2616" s="124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ht="18.75" customHeight="1" x14ac:dyDescent="0.35">
      <c r="C2617" s="124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ht="18.75" customHeight="1" x14ac:dyDescent="0.35">
      <c r="C2618" s="124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ht="18.75" customHeight="1" x14ac:dyDescent="0.35">
      <c r="C2619" s="124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ht="18.75" customHeight="1" x14ac:dyDescent="0.35">
      <c r="C2620" s="124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ht="18.75" customHeight="1" x14ac:dyDescent="0.35">
      <c r="C2621" s="124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ht="18.75" customHeight="1" x14ac:dyDescent="0.35">
      <c r="C2622" s="124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ht="18.75" customHeight="1" x14ac:dyDescent="0.35">
      <c r="C2623" s="124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ht="18.75" customHeight="1" x14ac:dyDescent="0.35">
      <c r="C2624" s="124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ht="18.75" customHeight="1" x14ac:dyDescent="0.35">
      <c r="C2625" s="124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ht="18.75" customHeight="1" x14ac:dyDescent="0.35">
      <c r="C2626" s="124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ht="18.75" customHeight="1" x14ac:dyDescent="0.35">
      <c r="C2627" s="124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ht="18.75" customHeight="1" x14ac:dyDescent="0.35">
      <c r="C2628" s="124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ht="18.75" customHeight="1" x14ac:dyDescent="0.35">
      <c r="C2629" s="124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ht="18.75" customHeight="1" x14ac:dyDescent="0.35">
      <c r="C2630" s="124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ht="18.75" customHeight="1" x14ac:dyDescent="0.35">
      <c r="C2631" s="124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ht="18.75" customHeight="1" x14ac:dyDescent="0.35">
      <c r="C2632" s="124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ht="18.75" customHeight="1" x14ac:dyDescent="0.35">
      <c r="C2633" s="124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ht="18.75" customHeight="1" x14ac:dyDescent="0.35">
      <c r="C2634" s="124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ht="18.75" customHeight="1" x14ac:dyDescent="0.35">
      <c r="C2635" s="124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ht="18.75" customHeight="1" x14ac:dyDescent="0.35">
      <c r="C2636" s="124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ht="18.75" customHeight="1" x14ac:dyDescent="0.35">
      <c r="C2637" s="124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ht="18.75" customHeight="1" x14ac:dyDescent="0.35">
      <c r="C2638" s="124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ht="18.75" customHeight="1" x14ac:dyDescent="0.35">
      <c r="C2639" s="124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ht="18.75" customHeight="1" x14ac:dyDescent="0.35">
      <c r="C2640" s="124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ht="18.75" customHeight="1" x14ac:dyDescent="0.35">
      <c r="C2641" s="124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ht="18.75" customHeight="1" x14ac:dyDescent="0.35">
      <c r="C2642" s="124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ht="18.75" customHeight="1" x14ac:dyDescent="0.35">
      <c r="C2643" s="124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ht="18.75" customHeight="1" x14ac:dyDescent="0.35">
      <c r="C2644" s="124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ht="18.75" customHeight="1" x14ac:dyDescent="0.35">
      <c r="C2645" s="124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ht="18.75" customHeight="1" x14ac:dyDescent="0.35">
      <c r="C2646" s="124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ht="18.75" customHeight="1" x14ac:dyDescent="0.35">
      <c r="C2647" s="124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ht="18.75" customHeight="1" x14ac:dyDescent="0.35">
      <c r="C2648" s="124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ht="18.75" customHeight="1" x14ac:dyDescent="0.35">
      <c r="C2649" s="124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ht="18.75" customHeight="1" x14ac:dyDescent="0.35">
      <c r="C2650" s="124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ht="18.75" customHeight="1" x14ac:dyDescent="0.35">
      <c r="C2651" s="124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ht="18.75" customHeight="1" x14ac:dyDescent="0.35">
      <c r="C2652" s="124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ht="18.75" customHeight="1" x14ac:dyDescent="0.35">
      <c r="C2653" s="124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ht="18.75" customHeight="1" x14ac:dyDescent="0.35">
      <c r="C2654" s="124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ht="18.75" customHeight="1" x14ac:dyDescent="0.35">
      <c r="C2655" s="124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ht="18.75" customHeight="1" x14ac:dyDescent="0.35">
      <c r="C2656" s="124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ht="18.75" customHeight="1" x14ac:dyDescent="0.35">
      <c r="C2657" s="124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ht="18.75" customHeight="1" x14ac:dyDescent="0.35">
      <c r="C2658" s="124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ht="18.75" customHeight="1" x14ac:dyDescent="0.35">
      <c r="C2659" s="124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ht="18.75" customHeight="1" x14ac:dyDescent="0.35">
      <c r="C2660" s="124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ht="18.75" customHeight="1" x14ac:dyDescent="0.35">
      <c r="C2661" s="124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ht="18.75" customHeight="1" x14ac:dyDescent="0.35">
      <c r="C2662" s="124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ht="18.75" customHeight="1" x14ac:dyDescent="0.35">
      <c r="C2663" s="124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ht="18.75" customHeight="1" x14ac:dyDescent="0.35">
      <c r="C2664" s="124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ht="18.75" customHeight="1" x14ac:dyDescent="0.35">
      <c r="C2665" s="124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ht="18.75" customHeight="1" x14ac:dyDescent="0.35">
      <c r="C2666" s="124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ht="18.75" customHeight="1" x14ac:dyDescent="0.35">
      <c r="C2667" s="124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ht="18.75" customHeight="1" x14ac:dyDescent="0.35">
      <c r="C2668" s="124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ht="18.75" customHeight="1" x14ac:dyDescent="0.35">
      <c r="C2669" s="124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ht="18.75" customHeight="1" x14ac:dyDescent="0.35">
      <c r="C2670" s="124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ht="18.75" customHeight="1" x14ac:dyDescent="0.35">
      <c r="C2671" s="124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ht="18.75" customHeight="1" x14ac:dyDescent="0.35">
      <c r="C2672" s="124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ht="18.75" customHeight="1" x14ac:dyDescent="0.35">
      <c r="C2673" s="124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ht="18.75" customHeight="1" x14ac:dyDescent="0.35">
      <c r="C2674" s="124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ht="18.75" customHeight="1" x14ac:dyDescent="0.35">
      <c r="C2675" s="124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ht="18.75" customHeight="1" x14ac:dyDescent="0.35">
      <c r="C2676" s="124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ht="18.75" customHeight="1" x14ac:dyDescent="0.35">
      <c r="C2677" s="124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ht="18.75" customHeight="1" x14ac:dyDescent="0.35">
      <c r="C2678" s="124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ht="18.75" customHeight="1" x14ac:dyDescent="0.35">
      <c r="C2679" s="124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ht="18.75" customHeight="1" x14ac:dyDescent="0.35">
      <c r="C2680" s="124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ht="18.75" customHeight="1" x14ac:dyDescent="0.35">
      <c r="C2681" s="124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ht="18.75" customHeight="1" x14ac:dyDescent="0.35">
      <c r="C2682" s="124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ht="18.75" customHeight="1" x14ac:dyDescent="0.35">
      <c r="C2683" s="124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ht="18.75" customHeight="1" x14ac:dyDescent="0.35">
      <c r="C2684" s="124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ht="18.75" customHeight="1" x14ac:dyDescent="0.35">
      <c r="C2685" s="124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ht="18.75" customHeight="1" x14ac:dyDescent="0.35">
      <c r="C2686" s="124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ht="18.75" customHeight="1" x14ac:dyDescent="0.35">
      <c r="C2687" s="124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ht="18.75" customHeight="1" x14ac:dyDescent="0.35">
      <c r="C2688" s="124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ht="18.75" customHeight="1" x14ac:dyDescent="0.35">
      <c r="C2689" s="124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ht="18.75" customHeight="1" x14ac:dyDescent="0.35">
      <c r="C2690" s="124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ht="18.75" customHeight="1" x14ac:dyDescent="0.35">
      <c r="C2691" s="124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ht="18.75" customHeight="1" x14ac:dyDescent="0.35">
      <c r="C2692" s="124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ht="18.75" customHeight="1" x14ac:dyDescent="0.35">
      <c r="C2693" s="124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ht="18.75" customHeight="1" x14ac:dyDescent="0.35">
      <c r="C2694" s="124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ht="18.75" customHeight="1" x14ac:dyDescent="0.35">
      <c r="C2695" s="124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ht="18.75" customHeight="1" x14ac:dyDescent="0.35">
      <c r="C2696" s="124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ht="18.75" customHeight="1" x14ac:dyDescent="0.35">
      <c r="C2697" s="124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ht="18.75" customHeight="1" x14ac:dyDescent="0.35">
      <c r="C2698" s="124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ht="18.75" customHeight="1" x14ac:dyDescent="0.35">
      <c r="C2699" s="124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ht="18.75" customHeight="1" x14ac:dyDescent="0.35">
      <c r="C2700" s="124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ht="18.75" customHeight="1" x14ac:dyDescent="0.35">
      <c r="C2701" s="124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ht="18.75" customHeight="1" x14ac:dyDescent="0.35">
      <c r="C2702" s="124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ht="18.75" customHeight="1" x14ac:dyDescent="0.35">
      <c r="C2703" s="124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ht="18.75" customHeight="1" x14ac:dyDescent="0.35">
      <c r="C2704" s="124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ht="18.75" customHeight="1" x14ac:dyDescent="0.35">
      <c r="C2705" s="124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ht="18.75" customHeight="1" x14ac:dyDescent="0.35">
      <c r="C2706" s="124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ht="18.75" customHeight="1" x14ac:dyDescent="0.35">
      <c r="C2707" s="124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ht="18.75" customHeight="1" x14ac:dyDescent="0.35">
      <c r="C2708" s="124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ht="18.75" customHeight="1" x14ac:dyDescent="0.35">
      <c r="C2709" s="124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ht="18.75" customHeight="1" x14ac:dyDescent="0.35">
      <c r="C2710" s="124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ht="18.75" customHeight="1" x14ac:dyDescent="0.35">
      <c r="C2711" s="124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ht="18.75" customHeight="1" x14ac:dyDescent="0.35">
      <c r="C2712" s="124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ht="18.75" customHeight="1" x14ac:dyDescent="0.35">
      <c r="C2713" s="124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ht="18.75" customHeight="1" x14ac:dyDescent="0.35">
      <c r="C2714" s="124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ht="18.75" customHeight="1" x14ac:dyDescent="0.35">
      <c r="C2715" s="124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ht="18.75" customHeight="1" x14ac:dyDescent="0.35">
      <c r="C2716" s="124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ht="18.75" customHeight="1" x14ac:dyDescent="0.35">
      <c r="C2717" s="124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ht="18.75" customHeight="1" x14ac:dyDescent="0.35">
      <c r="C2718" s="124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ht="18.75" customHeight="1" x14ac:dyDescent="0.35">
      <c r="C2719" s="124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ht="18.75" customHeight="1" x14ac:dyDescent="0.35">
      <c r="C2720" s="124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ht="18.75" customHeight="1" x14ac:dyDescent="0.35">
      <c r="C2721" s="124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ht="18.75" customHeight="1" x14ac:dyDescent="0.35">
      <c r="C2722" s="124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ht="18.75" customHeight="1" x14ac:dyDescent="0.35">
      <c r="C2723" s="124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ht="18.75" customHeight="1" x14ac:dyDescent="0.35">
      <c r="C2724" s="124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ht="18.75" customHeight="1" x14ac:dyDescent="0.35">
      <c r="C2725" s="124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ht="18.75" customHeight="1" x14ac:dyDescent="0.35">
      <c r="C2726" s="124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ht="18.75" customHeight="1" x14ac:dyDescent="0.35">
      <c r="C2727" s="124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ht="18.75" customHeight="1" x14ac:dyDescent="0.35">
      <c r="C2728" s="124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ht="18.75" customHeight="1" x14ac:dyDescent="0.35">
      <c r="C2729" s="124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ht="18.75" customHeight="1" x14ac:dyDescent="0.35">
      <c r="C2730" s="124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ht="18.75" customHeight="1" x14ac:dyDescent="0.35">
      <c r="C2731" s="124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ht="18.75" customHeight="1" x14ac:dyDescent="0.35">
      <c r="C2732" s="124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ht="18.75" customHeight="1" x14ac:dyDescent="0.35">
      <c r="C2733" s="124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ht="18.75" customHeight="1" x14ac:dyDescent="0.35">
      <c r="C2734" s="124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ht="18.75" customHeight="1" x14ac:dyDescent="0.35">
      <c r="C2735" s="124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ht="18.75" customHeight="1" x14ac:dyDescent="0.35">
      <c r="C2736" s="124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ht="18.75" customHeight="1" x14ac:dyDescent="0.35">
      <c r="C2737" s="124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ht="18.75" customHeight="1" x14ac:dyDescent="0.35">
      <c r="C2738" s="124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ht="18.75" customHeight="1" x14ac:dyDescent="0.35">
      <c r="C2739" s="124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ht="18.75" customHeight="1" x14ac:dyDescent="0.35">
      <c r="C2740" s="124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ht="18.75" customHeight="1" x14ac:dyDescent="0.35">
      <c r="C2741" s="124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ht="18.75" customHeight="1" x14ac:dyDescent="0.35">
      <c r="C2742" s="124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ht="18.75" customHeight="1" x14ac:dyDescent="0.35">
      <c r="C2743" s="124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ht="18.75" customHeight="1" x14ac:dyDescent="0.35">
      <c r="C2744" s="124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ht="18.75" customHeight="1" x14ac:dyDescent="0.35">
      <c r="C2745" s="124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ht="18.75" customHeight="1" x14ac:dyDescent="0.35">
      <c r="C2746" s="124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ht="18.75" customHeight="1" x14ac:dyDescent="0.35">
      <c r="C2747" s="124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ht="18.75" customHeight="1" x14ac:dyDescent="0.35">
      <c r="C2748" s="124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ht="18.75" customHeight="1" x14ac:dyDescent="0.35">
      <c r="C2749" s="124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ht="18.75" customHeight="1" x14ac:dyDescent="0.35">
      <c r="C2750" s="124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ht="18.75" customHeight="1" x14ac:dyDescent="0.35">
      <c r="C2751" s="124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ht="18.75" customHeight="1" x14ac:dyDescent="0.35">
      <c r="C2752" s="124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ht="18.75" customHeight="1" x14ac:dyDescent="0.35">
      <c r="C2753" s="124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ht="18.75" customHeight="1" x14ac:dyDescent="0.35">
      <c r="C2754" s="124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ht="18.75" customHeight="1" x14ac:dyDescent="0.35">
      <c r="C2755" s="124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ht="18.75" customHeight="1" x14ac:dyDescent="0.35">
      <c r="C2756" s="124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ht="18.75" customHeight="1" x14ac:dyDescent="0.35">
      <c r="C2757" s="124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ht="18.75" customHeight="1" x14ac:dyDescent="0.35">
      <c r="C2758" s="124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ht="18.75" customHeight="1" x14ac:dyDescent="0.35">
      <c r="C2759" s="124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ht="18.75" customHeight="1" x14ac:dyDescent="0.35">
      <c r="C2760" s="124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ht="18.75" customHeight="1" x14ac:dyDescent="0.35">
      <c r="C2761" s="124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ht="18.75" customHeight="1" x14ac:dyDescent="0.35">
      <c r="C2762" s="124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ht="18.75" customHeight="1" x14ac:dyDescent="0.35">
      <c r="C2763" s="124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ht="18.75" customHeight="1" x14ac:dyDescent="0.35">
      <c r="C2764" s="124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ht="18.75" customHeight="1" x14ac:dyDescent="0.35">
      <c r="C2765" s="124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ht="18.75" customHeight="1" x14ac:dyDescent="0.35">
      <c r="C2766" s="124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ht="18.75" customHeight="1" x14ac:dyDescent="0.35">
      <c r="C2767" s="124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ht="18.75" customHeight="1" x14ac:dyDescent="0.35">
      <c r="C2768" s="124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ht="18.75" customHeight="1" x14ac:dyDescent="0.35">
      <c r="C2769" s="124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ht="18.75" customHeight="1" x14ac:dyDescent="0.35">
      <c r="C2770" s="124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ht="18.75" customHeight="1" x14ac:dyDescent="0.35">
      <c r="C2771" s="124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ht="18.75" customHeight="1" x14ac:dyDescent="0.35">
      <c r="C2772" s="124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ht="18.75" customHeight="1" x14ac:dyDescent="0.35">
      <c r="C2773" s="124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ht="18.75" customHeight="1" x14ac:dyDescent="0.35">
      <c r="C2774" s="124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ht="18.75" customHeight="1" x14ac:dyDescent="0.35">
      <c r="C2775" s="124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ht="18.75" customHeight="1" x14ac:dyDescent="0.35">
      <c r="C2776" s="124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ht="18.75" customHeight="1" x14ac:dyDescent="0.35">
      <c r="C2777" s="124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ht="18.75" customHeight="1" x14ac:dyDescent="0.35">
      <c r="C2778" s="124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ht="18.75" customHeight="1" x14ac:dyDescent="0.35">
      <c r="C2779" s="124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ht="18.75" customHeight="1" x14ac:dyDescent="0.35">
      <c r="C2780" s="124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ht="18.75" customHeight="1" x14ac:dyDescent="0.35">
      <c r="C2781" s="124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ht="18.75" customHeight="1" x14ac:dyDescent="0.35">
      <c r="C2782" s="124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ht="18.75" customHeight="1" x14ac:dyDescent="0.35">
      <c r="C2783" s="124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ht="18.75" customHeight="1" x14ac:dyDescent="0.35">
      <c r="C2784" s="124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ht="18.75" customHeight="1" x14ac:dyDescent="0.35">
      <c r="C2785" s="124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ht="18.75" customHeight="1" x14ac:dyDescent="0.35">
      <c r="C2786" s="124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ht="18.75" customHeight="1" x14ac:dyDescent="0.35">
      <c r="C2787" s="124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ht="18.75" customHeight="1" x14ac:dyDescent="0.35">
      <c r="C2788" s="124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ht="18.75" customHeight="1" x14ac:dyDescent="0.35">
      <c r="C2789" s="124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ht="18.75" customHeight="1" x14ac:dyDescent="0.35">
      <c r="C2790" s="124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ht="18.75" customHeight="1" x14ac:dyDescent="0.35">
      <c r="C2791" s="124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ht="18.75" customHeight="1" x14ac:dyDescent="0.35">
      <c r="C2792" s="124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ht="18.75" customHeight="1" x14ac:dyDescent="0.35">
      <c r="C2793" s="124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ht="18.75" customHeight="1" x14ac:dyDescent="0.35">
      <c r="C2794" s="124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ht="18.75" customHeight="1" x14ac:dyDescent="0.35">
      <c r="C2795" s="124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ht="18.75" customHeight="1" x14ac:dyDescent="0.35">
      <c r="C2796" s="124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ht="18.75" customHeight="1" x14ac:dyDescent="0.35">
      <c r="C2797" s="124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ht="18.75" customHeight="1" x14ac:dyDescent="0.35">
      <c r="C2798" s="124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ht="18.75" customHeight="1" x14ac:dyDescent="0.35">
      <c r="C2799" s="124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ht="18.75" customHeight="1" x14ac:dyDescent="0.35">
      <c r="C2800" s="124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ht="18.75" customHeight="1" x14ac:dyDescent="0.35">
      <c r="C2801" s="124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ht="18.75" customHeight="1" x14ac:dyDescent="0.35">
      <c r="C2802" s="124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ht="18.75" customHeight="1" x14ac:dyDescent="0.35">
      <c r="C2803" s="124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ht="18.75" customHeight="1" x14ac:dyDescent="0.35">
      <c r="C2804" s="124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ht="18.75" customHeight="1" x14ac:dyDescent="0.35">
      <c r="C2805" s="124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ht="18.75" customHeight="1" x14ac:dyDescent="0.35">
      <c r="C2806" s="124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ht="18.75" customHeight="1" x14ac:dyDescent="0.35">
      <c r="C2807" s="124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ht="18.75" customHeight="1" x14ac:dyDescent="0.35">
      <c r="C2808" s="124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ht="18.75" customHeight="1" x14ac:dyDescent="0.35">
      <c r="C2809" s="124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ht="18.75" customHeight="1" x14ac:dyDescent="0.35">
      <c r="C2810" s="124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ht="18.75" customHeight="1" x14ac:dyDescent="0.35">
      <c r="C2811" s="124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ht="18.75" customHeight="1" x14ac:dyDescent="0.35">
      <c r="C2812" s="124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ht="18.75" customHeight="1" x14ac:dyDescent="0.35">
      <c r="C2813" s="124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ht="18.75" customHeight="1" x14ac:dyDescent="0.35">
      <c r="C2814" s="124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ht="18.75" customHeight="1" x14ac:dyDescent="0.35">
      <c r="C2815" s="124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ht="18.75" customHeight="1" x14ac:dyDescent="0.35">
      <c r="C2816" s="124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ht="18.75" customHeight="1" x14ac:dyDescent="0.35">
      <c r="C2817" s="124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ht="18.75" customHeight="1" x14ac:dyDescent="0.35">
      <c r="C2818" s="124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ht="18.75" customHeight="1" x14ac:dyDescent="0.35">
      <c r="C2819" s="124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ht="18.75" customHeight="1" x14ac:dyDescent="0.35">
      <c r="C2820" s="124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ht="18.75" customHeight="1" x14ac:dyDescent="0.35">
      <c r="C2821" s="124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ht="18.75" customHeight="1" x14ac:dyDescent="0.35">
      <c r="C2822" s="124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ht="18.75" customHeight="1" x14ac:dyDescent="0.35">
      <c r="C2823" s="124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ht="18.75" customHeight="1" x14ac:dyDescent="0.35">
      <c r="C2824" s="124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ht="18.75" customHeight="1" x14ac:dyDescent="0.35">
      <c r="C2825" s="124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ht="18.75" customHeight="1" x14ac:dyDescent="0.35">
      <c r="C2826" s="124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ht="18.75" customHeight="1" x14ac:dyDescent="0.35">
      <c r="C2827" s="124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ht="18.75" customHeight="1" x14ac:dyDescent="0.35">
      <c r="C2828" s="124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ht="18.75" customHeight="1" x14ac:dyDescent="0.35">
      <c r="C2829" s="124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ht="18.75" customHeight="1" x14ac:dyDescent="0.35">
      <c r="C2830" s="124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ht="18.75" customHeight="1" x14ac:dyDescent="0.35">
      <c r="C2831" s="124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ht="18.75" customHeight="1" x14ac:dyDescent="0.35">
      <c r="C2832" s="124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ht="18.75" customHeight="1" x14ac:dyDescent="0.35">
      <c r="C2833" s="124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ht="18.75" customHeight="1" x14ac:dyDescent="0.35">
      <c r="C2834" s="124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ht="18.75" customHeight="1" x14ac:dyDescent="0.35">
      <c r="C2835" s="124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ht="18.75" customHeight="1" x14ac:dyDescent="0.35">
      <c r="C2836" s="124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ht="18.75" customHeight="1" x14ac:dyDescent="0.35">
      <c r="C2837" s="124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ht="18.75" customHeight="1" x14ac:dyDescent="0.35">
      <c r="C2838" s="124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ht="18.75" customHeight="1" x14ac:dyDescent="0.35">
      <c r="C2839" s="124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ht="18.75" customHeight="1" x14ac:dyDescent="0.35">
      <c r="C2840" s="124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ht="18.75" customHeight="1" x14ac:dyDescent="0.35">
      <c r="C2841" s="124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ht="18.75" customHeight="1" x14ac:dyDescent="0.35">
      <c r="C2842" s="124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ht="18.75" customHeight="1" x14ac:dyDescent="0.35">
      <c r="C2843" s="124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ht="18.75" customHeight="1" x14ac:dyDescent="0.35">
      <c r="C2844" s="124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ht="18.75" customHeight="1" x14ac:dyDescent="0.35">
      <c r="C2845" s="124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ht="18.75" customHeight="1" x14ac:dyDescent="0.35">
      <c r="C2846" s="124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ht="18.75" customHeight="1" x14ac:dyDescent="0.35">
      <c r="C2847" s="124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ht="18.75" customHeight="1" x14ac:dyDescent="0.35">
      <c r="C2848" s="124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ht="18.75" customHeight="1" x14ac:dyDescent="0.35">
      <c r="C2849" s="124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ht="18.75" customHeight="1" x14ac:dyDescent="0.35">
      <c r="C2850" s="124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ht="18.75" customHeight="1" x14ac:dyDescent="0.35">
      <c r="C2851" s="124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ht="18.75" customHeight="1" x14ac:dyDescent="0.35">
      <c r="C2852" s="124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ht="18.75" customHeight="1" x14ac:dyDescent="0.35">
      <c r="C2853" s="124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ht="18.75" customHeight="1" x14ac:dyDescent="0.35">
      <c r="C2854" s="124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ht="18.75" customHeight="1" x14ac:dyDescent="0.35">
      <c r="C2855" s="124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ht="18.75" customHeight="1" x14ac:dyDescent="0.35">
      <c r="C2856" s="124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ht="18.75" customHeight="1" x14ac:dyDescent="0.35">
      <c r="C2857" s="124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ht="18.75" customHeight="1" x14ac:dyDescent="0.35">
      <c r="C2858" s="124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ht="18.75" customHeight="1" x14ac:dyDescent="0.35">
      <c r="C2859" s="124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ht="18.75" customHeight="1" x14ac:dyDescent="0.35">
      <c r="C2860" s="124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ht="18.75" customHeight="1" x14ac:dyDescent="0.35">
      <c r="C2861" s="124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ht="18.75" customHeight="1" x14ac:dyDescent="0.35">
      <c r="C2862" s="124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ht="18.75" customHeight="1" x14ac:dyDescent="0.35">
      <c r="C2863" s="124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ht="18.75" customHeight="1" x14ac:dyDescent="0.35">
      <c r="C2864" s="124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ht="18.75" customHeight="1" x14ac:dyDescent="0.35">
      <c r="C2865" s="124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ht="18.75" customHeight="1" x14ac:dyDescent="0.35">
      <c r="C2866" s="124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ht="18.75" customHeight="1" x14ac:dyDescent="0.35">
      <c r="C2867" s="124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ht="18.75" customHeight="1" x14ac:dyDescent="0.35">
      <c r="C2868" s="124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ht="18.75" customHeight="1" x14ac:dyDescent="0.35">
      <c r="C2869" s="124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ht="18.75" customHeight="1" x14ac:dyDescent="0.35">
      <c r="C2870" s="124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ht="18.75" customHeight="1" x14ac:dyDescent="0.35">
      <c r="C2871" s="124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ht="18.75" customHeight="1" x14ac:dyDescent="0.35">
      <c r="C2872" s="124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ht="18.75" customHeight="1" x14ac:dyDescent="0.35">
      <c r="C2873" s="124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ht="18.75" customHeight="1" x14ac:dyDescent="0.35">
      <c r="C2874" s="124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ht="18.75" customHeight="1" x14ac:dyDescent="0.35">
      <c r="C2875" s="124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ht="18.75" customHeight="1" x14ac:dyDescent="0.35">
      <c r="C2876" s="124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ht="18.75" customHeight="1" x14ac:dyDescent="0.35">
      <c r="C2877" s="124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ht="18.75" customHeight="1" x14ac:dyDescent="0.35">
      <c r="C2878" s="124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ht="18.75" customHeight="1" x14ac:dyDescent="0.35">
      <c r="C2879" s="124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ht="18.75" customHeight="1" x14ac:dyDescent="0.35">
      <c r="C2880" s="124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ht="18.75" customHeight="1" x14ac:dyDescent="0.35">
      <c r="C2881" s="124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ht="18.75" customHeight="1" x14ac:dyDescent="0.35">
      <c r="C2882" s="124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ht="18.75" customHeight="1" x14ac:dyDescent="0.35">
      <c r="C2883" s="124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ht="18.75" customHeight="1" x14ac:dyDescent="0.35">
      <c r="C2884" s="124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ht="18.75" customHeight="1" x14ac:dyDescent="0.35">
      <c r="C2885" s="124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ht="18.75" customHeight="1" x14ac:dyDescent="0.35">
      <c r="C2886" s="124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ht="18.75" customHeight="1" x14ac:dyDescent="0.35">
      <c r="C2887" s="124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ht="18.75" customHeight="1" x14ac:dyDescent="0.35">
      <c r="C2888" s="124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ht="18.75" customHeight="1" x14ac:dyDescent="0.35">
      <c r="C2889" s="124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ht="18.75" customHeight="1" x14ac:dyDescent="0.35">
      <c r="C2890" s="124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ht="18.75" customHeight="1" x14ac:dyDescent="0.35">
      <c r="C2891" s="124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ht="18.75" customHeight="1" x14ac:dyDescent="0.35">
      <c r="C2892" s="124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ht="18.75" customHeight="1" x14ac:dyDescent="0.35">
      <c r="C2893" s="124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ht="18.75" customHeight="1" x14ac:dyDescent="0.35">
      <c r="C2894" s="124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ht="18.75" customHeight="1" x14ac:dyDescent="0.35">
      <c r="C2895" s="124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ht="18.75" customHeight="1" x14ac:dyDescent="0.35">
      <c r="C2896" s="124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ht="18.75" customHeight="1" x14ac:dyDescent="0.35">
      <c r="C2897" s="124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ht="18.75" customHeight="1" x14ac:dyDescent="0.35">
      <c r="C2898" s="124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ht="18.75" customHeight="1" x14ac:dyDescent="0.35">
      <c r="C2899" s="124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ht="18.75" customHeight="1" x14ac:dyDescent="0.35">
      <c r="C2900" s="124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ht="18.75" customHeight="1" x14ac:dyDescent="0.35">
      <c r="C2901" s="124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ht="18.75" customHeight="1" x14ac:dyDescent="0.35">
      <c r="C2902" s="124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ht="18.75" customHeight="1" x14ac:dyDescent="0.35">
      <c r="C2903" s="124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ht="18.75" customHeight="1" x14ac:dyDescent="0.35">
      <c r="C2904" s="124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ht="18.75" customHeight="1" x14ac:dyDescent="0.35">
      <c r="C2905" s="124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ht="18.75" customHeight="1" x14ac:dyDescent="0.35">
      <c r="C2906" s="124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ht="18.75" customHeight="1" x14ac:dyDescent="0.35">
      <c r="C2907" s="124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ht="18.75" customHeight="1" x14ac:dyDescent="0.35">
      <c r="C2908" s="124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ht="18.75" customHeight="1" x14ac:dyDescent="0.35">
      <c r="C2909" s="124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ht="18.75" customHeight="1" x14ac:dyDescent="0.35">
      <c r="C2910" s="124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ht="18.75" customHeight="1" x14ac:dyDescent="0.35">
      <c r="C2911" s="124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ht="18.75" customHeight="1" x14ac:dyDescent="0.35">
      <c r="C2912" s="124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ht="18.75" customHeight="1" x14ac:dyDescent="0.35">
      <c r="C2913" s="124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ht="18.75" customHeight="1" x14ac:dyDescent="0.35">
      <c r="C2914" s="124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ht="18.75" customHeight="1" x14ac:dyDescent="0.35">
      <c r="C2915" s="124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ht="18.75" customHeight="1" x14ac:dyDescent="0.35">
      <c r="C2916" s="124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ht="18.75" customHeight="1" x14ac:dyDescent="0.35">
      <c r="C2917" s="124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ht="18.75" customHeight="1" x14ac:dyDescent="0.35">
      <c r="C2918" s="124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ht="18.75" customHeight="1" x14ac:dyDescent="0.35">
      <c r="C2919" s="124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ht="18.75" customHeight="1" x14ac:dyDescent="0.35">
      <c r="C2920" s="124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ht="18.75" customHeight="1" x14ac:dyDescent="0.35">
      <c r="C2921" s="124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ht="18.75" customHeight="1" x14ac:dyDescent="0.35">
      <c r="C2922" s="124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ht="18.75" customHeight="1" x14ac:dyDescent="0.35">
      <c r="C2923" s="124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ht="18.75" customHeight="1" x14ac:dyDescent="0.35">
      <c r="C2924" s="124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ht="18.75" customHeight="1" x14ac:dyDescent="0.35">
      <c r="C2925" s="124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ht="18.75" customHeight="1" x14ac:dyDescent="0.35">
      <c r="C2926" s="124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ht="18.75" customHeight="1" x14ac:dyDescent="0.35">
      <c r="C2927" s="124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ht="18.75" customHeight="1" x14ac:dyDescent="0.35">
      <c r="C2928" s="124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ht="18.75" customHeight="1" x14ac:dyDescent="0.35">
      <c r="C2929" s="124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ht="18.75" customHeight="1" x14ac:dyDescent="0.35">
      <c r="C2930" s="124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ht="18.75" customHeight="1" x14ac:dyDescent="0.35">
      <c r="C2931" s="124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ht="18.75" customHeight="1" x14ac:dyDescent="0.35">
      <c r="C2932" s="124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ht="18.75" customHeight="1" x14ac:dyDescent="0.35">
      <c r="C2933" s="124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ht="18.75" customHeight="1" x14ac:dyDescent="0.35">
      <c r="C2934" s="124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ht="18.75" customHeight="1" x14ac:dyDescent="0.35">
      <c r="C2935" s="124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ht="18.75" customHeight="1" x14ac:dyDescent="0.35">
      <c r="C2936" s="124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ht="18.75" customHeight="1" x14ac:dyDescent="0.35">
      <c r="C2937" s="124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ht="18.75" customHeight="1" x14ac:dyDescent="0.35">
      <c r="C2938" s="124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ht="18.75" customHeight="1" x14ac:dyDescent="0.35">
      <c r="C2939" s="124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ht="18.75" customHeight="1" x14ac:dyDescent="0.35">
      <c r="C2940" s="124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ht="18.75" customHeight="1" x14ac:dyDescent="0.35">
      <c r="C2941" s="124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ht="18.75" customHeight="1" x14ac:dyDescent="0.35">
      <c r="C2942" s="124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ht="18.75" customHeight="1" x14ac:dyDescent="0.35">
      <c r="C2943" s="124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ht="18.75" customHeight="1" x14ac:dyDescent="0.35">
      <c r="C2944" s="124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ht="18.75" customHeight="1" x14ac:dyDescent="0.35">
      <c r="C2945" s="124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ht="18.75" customHeight="1" x14ac:dyDescent="0.35">
      <c r="C2946" s="124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ht="18.75" customHeight="1" x14ac:dyDescent="0.35">
      <c r="C2947" s="124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ht="18.75" customHeight="1" x14ac:dyDescent="0.35">
      <c r="C2948" s="124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ht="18.75" customHeight="1" x14ac:dyDescent="0.35">
      <c r="C2949" s="124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ht="18.75" customHeight="1" x14ac:dyDescent="0.35">
      <c r="C2950" s="124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ht="18.75" customHeight="1" x14ac:dyDescent="0.35">
      <c r="C2951" s="124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ht="18.75" customHeight="1" x14ac:dyDescent="0.35">
      <c r="C2952" s="124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ht="18.75" customHeight="1" x14ac:dyDescent="0.35">
      <c r="C2953" s="124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ht="18.75" customHeight="1" x14ac:dyDescent="0.35">
      <c r="C2954" s="124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ht="18.75" customHeight="1" x14ac:dyDescent="0.35">
      <c r="C2955" s="124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ht="18.75" customHeight="1" x14ac:dyDescent="0.35">
      <c r="C2956" s="124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ht="18.75" customHeight="1" x14ac:dyDescent="0.35">
      <c r="C2957" s="124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ht="18.75" customHeight="1" x14ac:dyDescent="0.35">
      <c r="C2958" s="124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ht="18.75" customHeight="1" x14ac:dyDescent="0.35">
      <c r="C2959" s="124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ht="18.75" customHeight="1" x14ac:dyDescent="0.35">
      <c r="C2960" s="124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ht="18.75" customHeight="1" x14ac:dyDescent="0.35">
      <c r="C2961" s="124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ht="18.75" customHeight="1" x14ac:dyDescent="0.35">
      <c r="C2962" s="124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ht="18.75" customHeight="1" x14ac:dyDescent="0.35">
      <c r="C2963" s="124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ht="18.75" customHeight="1" x14ac:dyDescent="0.35">
      <c r="C2964" s="124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ht="18.75" customHeight="1" x14ac:dyDescent="0.35">
      <c r="C2965" s="124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ht="18.75" customHeight="1" x14ac:dyDescent="0.35">
      <c r="C2966" s="124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ht="18.75" customHeight="1" x14ac:dyDescent="0.35">
      <c r="C2967" s="124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ht="18.75" customHeight="1" x14ac:dyDescent="0.35">
      <c r="C2968" s="124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ht="18.75" customHeight="1" x14ac:dyDescent="0.35">
      <c r="C2969" s="124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ht="18.75" customHeight="1" x14ac:dyDescent="0.35">
      <c r="C2970" s="124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ht="18.75" customHeight="1" x14ac:dyDescent="0.35">
      <c r="C2971" s="124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ht="18.75" customHeight="1" x14ac:dyDescent="0.35">
      <c r="C2972" s="124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ht="18.75" customHeight="1" x14ac:dyDescent="0.35">
      <c r="C2973" s="124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ht="18.75" customHeight="1" x14ac:dyDescent="0.35">
      <c r="C2974" s="124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ht="18.75" customHeight="1" x14ac:dyDescent="0.35">
      <c r="C2975" s="124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ht="18.75" customHeight="1" x14ac:dyDescent="0.35">
      <c r="C2976" s="124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ht="18.75" customHeight="1" x14ac:dyDescent="0.35">
      <c r="C2977" s="124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ht="18.75" customHeight="1" x14ac:dyDescent="0.35">
      <c r="C2978" s="124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ht="18.75" customHeight="1" x14ac:dyDescent="0.35">
      <c r="C2979" s="124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ht="18.75" customHeight="1" x14ac:dyDescent="0.35">
      <c r="C2980" s="124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ht="18.75" customHeight="1" x14ac:dyDescent="0.35">
      <c r="C2981" s="124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ht="18.75" customHeight="1" x14ac:dyDescent="0.35">
      <c r="C2982" s="124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ht="18.75" customHeight="1" x14ac:dyDescent="0.35">
      <c r="C2983" s="124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ht="18.75" customHeight="1" x14ac:dyDescent="0.35">
      <c r="C2984" s="124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ht="18.75" customHeight="1" x14ac:dyDescent="0.35">
      <c r="C2985" s="124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ht="18.75" customHeight="1" x14ac:dyDescent="0.35">
      <c r="C2986" s="124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ht="18.75" customHeight="1" x14ac:dyDescent="0.35">
      <c r="C2987" s="124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ht="18.75" customHeight="1" x14ac:dyDescent="0.35">
      <c r="C2988" s="124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ht="18.75" customHeight="1" x14ac:dyDescent="0.35">
      <c r="C2989" s="124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ht="18.75" customHeight="1" x14ac:dyDescent="0.35">
      <c r="C2990" s="124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ht="18.75" customHeight="1" x14ac:dyDescent="0.35">
      <c r="C2991" s="124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ht="18.75" customHeight="1" x14ac:dyDescent="0.35">
      <c r="C2992" s="124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ht="18.75" customHeight="1" x14ac:dyDescent="0.35">
      <c r="C2993" s="124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ht="18.75" customHeight="1" x14ac:dyDescent="0.35">
      <c r="C2994" s="124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ht="18.75" customHeight="1" x14ac:dyDescent="0.35">
      <c r="C2995" s="124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ht="18.75" customHeight="1" x14ac:dyDescent="0.35">
      <c r="C2996" s="124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ht="18.75" customHeight="1" x14ac:dyDescent="0.35">
      <c r="C2997" s="124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ht="18.75" customHeight="1" x14ac:dyDescent="0.35">
      <c r="C2998" s="124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ht="18.75" customHeight="1" x14ac:dyDescent="0.35">
      <c r="C2999" s="124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ht="18.75" customHeight="1" x14ac:dyDescent="0.35">
      <c r="C3000" s="124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112" bestFit="1" customWidth="1"/>
    <col min="2" max="2" width="10.81640625" bestFit="1" customWidth="1"/>
    <col min="3" max="3" width="15.453125" style="125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10" width="13.54296875" bestFit="1" customWidth="1"/>
    <col min="11" max="11" width="11.816406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t="s">
        <v>171</v>
      </c>
      <c r="C2" s="124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92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172</v>
      </c>
      <c r="H2" t="s">
        <v>172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16">
        <v>1</v>
      </c>
    </row>
    <row r="3" spans="1:11" ht="18.75" customHeight="1" x14ac:dyDescent="0.35">
      <c r="A3" s="116">
        <v>2024</v>
      </c>
      <c r="B3" t="s">
        <v>171</v>
      </c>
      <c r="C3" s="124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99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172</v>
      </c>
      <c r="H3" t="s">
        <v>172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16">
        <v>1</v>
      </c>
    </row>
    <row r="4" spans="1:11" ht="18.75" customHeight="1" x14ac:dyDescent="0.35">
      <c r="A4" s="116">
        <v>2024</v>
      </c>
      <c r="B4" t="s">
        <v>171</v>
      </c>
      <c r="C4" s="124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95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172</v>
      </c>
      <c r="H4" t="s">
        <v>172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16">
        <v>77</v>
      </c>
    </row>
    <row r="5" spans="1:11" ht="18.75" customHeight="1" x14ac:dyDescent="0.35">
      <c r="A5" s="116">
        <v>2024</v>
      </c>
      <c r="B5" t="s">
        <v>171</v>
      </c>
      <c r="C5" s="124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96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172</v>
      </c>
      <c r="H5" t="s">
        <v>172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16">
        <v>77</v>
      </c>
    </row>
    <row r="6" spans="1:11" ht="18.75" customHeight="1" x14ac:dyDescent="0.35">
      <c r="A6" s="116">
        <v>2024</v>
      </c>
      <c r="B6" t="s">
        <v>171</v>
      </c>
      <c r="C6" s="124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185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172</v>
      </c>
      <c r="H6" t="s">
        <v>172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16">
        <v>0</v>
      </c>
    </row>
    <row r="7" spans="1:11" ht="18.75" customHeight="1" x14ac:dyDescent="0.35">
      <c r="A7" s="116">
        <v>2024</v>
      </c>
      <c r="B7" t="s">
        <v>171</v>
      </c>
      <c r="C7" s="124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98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172</v>
      </c>
      <c r="H7" t="s">
        <v>172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16">
        <v>0</v>
      </c>
    </row>
    <row r="8" spans="1:11" ht="18.75" customHeight="1" x14ac:dyDescent="0.35">
      <c r="A8" s="116">
        <v>2024</v>
      </c>
      <c r="B8" t="s">
        <v>171</v>
      </c>
      <c r="C8" s="124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77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172</v>
      </c>
      <c r="H8" t="s">
        <v>172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16">
        <v>0</v>
      </c>
    </row>
    <row r="9" spans="1:11" ht="18.75" customHeight="1" x14ac:dyDescent="0.35">
      <c r="A9" s="116">
        <v>2024</v>
      </c>
      <c r="B9" t="s">
        <v>171</v>
      </c>
      <c r="C9" s="124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100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172</v>
      </c>
      <c r="H9" t="s">
        <v>172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16">
        <v>0</v>
      </c>
    </row>
    <row r="10" spans="1:11" ht="18.75" customHeight="1" x14ac:dyDescent="0.35">
      <c r="A10" s="116">
        <v>2024</v>
      </c>
      <c r="B10" t="s">
        <v>171</v>
      </c>
      <c r="C10" s="124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94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172</v>
      </c>
      <c r="H10" t="s">
        <v>172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16">
        <v>146</v>
      </c>
    </row>
    <row r="11" spans="1:11" ht="18.75" customHeight="1" x14ac:dyDescent="0.35">
      <c r="A11" s="116">
        <v>2024</v>
      </c>
      <c r="B11" t="s">
        <v>171</v>
      </c>
      <c r="C11" s="124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144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172</v>
      </c>
      <c r="H11" t="s">
        <v>172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16">
        <v>2</v>
      </c>
    </row>
    <row r="12" spans="1:11" ht="18.75" customHeight="1" x14ac:dyDescent="0.35">
      <c r="A12" s="116">
        <v>2024</v>
      </c>
      <c r="B12" t="s">
        <v>174</v>
      </c>
      <c r="C12" s="124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92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172</v>
      </c>
      <c r="H12" t="s">
        <v>172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16">
        <v>1</v>
      </c>
    </row>
    <row r="13" spans="1:11" ht="18.75" customHeight="1" x14ac:dyDescent="0.35">
      <c r="A13" s="116">
        <v>2024</v>
      </c>
      <c r="B13" t="s">
        <v>174</v>
      </c>
      <c r="C13" s="124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99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172</v>
      </c>
      <c r="H13" t="s">
        <v>172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16">
        <v>0</v>
      </c>
    </row>
    <row r="14" spans="1:11" ht="18.75" customHeight="1" x14ac:dyDescent="0.35">
      <c r="A14" s="116">
        <v>2024</v>
      </c>
      <c r="B14" t="s">
        <v>174</v>
      </c>
      <c r="C14" s="124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95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172</v>
      </c>
      <c r="H14" t="s">
        <v>172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16">
        <v>34</v>
      </c>
    </row>
    <row r="15" spans="1:11" ht="18.75" customHeight="1" x14ac:dyDescent="0.35">
      <c r="A15" s="116">
        <v>2024</v>
      </c>
      <c r="B15" t="s">
        <v>174</v>
      </c>
      <c r="C15" s="124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96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172</v>
      </c>
      <c r="H15" t="s">
        <v>172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16">
        <v>3</v>
      </c>
    </row>
    <row r="16" spans="1:11" ht="18.75" customHeight="1" x14ac:dyDescent="0.35">
      <c r="A16" s="116">
        <v>2024</v>
      </c>
      <c r="B16" t="s">
        <v>174</v>
      </c>
      <c r="C16" s="124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185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172</v>
      </c>
      <c r="H16" t="s">
        <v>172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16">
        <v>0</v>
      </c>
    </row>
    <row r="17" spans="1:11" ht="18.75" customHeight="1" x14ac:dyDescent="0.35">
      <c r="A17" s="116">
        <v>2024</v>
      </c>
      <c r="B17" t="s">
        <v>174</v>
      </c>
      <c r="C17" s="124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98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172</v>
      </c>
      <c r="H17" t="s">
        <v>172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16">
        <v>0</v>
      </c>
    </row>
    <row r="18" spans="1:11" ht="18.75" customHeight="1" x14ac:dyDescent="0.35">
      <c r="A18" s="116">
        <v>2024</v>
      </c>
      <c r="B18" t="s">
        <v>174</v>
      </c>
      <c r="C18" s="124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77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172</v>
      </c>
      <c r="H18" t="s">
        <v>172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16">
        <v>1</v>
      </c>
    </row>
    <row r="19" spans="1:11" ht="18.75" customHeight="1" x14ac:dyDescent="0.35">
      <c r="A19" s="116">
        <v>2024</v>
      </c>
      <c r="B19" t="s">
        <v>174</v>
      </c>
      <c r="C19" s="124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100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172</v>
      </c>
      <c r="H19" t="s">
        <v>172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16">
        <v>0</v>
      </c>
    </row>
    <row r="20" spans="1:11" ht="18.75" customHeight="1" x14ac:dyDescent="0.35">
      <c r="A20" s="116">
        <v>2024</v>
      </c>
      <c r="B20" t="s">
        <v>174</v>
      </c>
      <c r="C20" s="124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94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172</v>
      </c>
      <c r="H20" t="s">
        <v>172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16">
        <v>50</v>
      </c>
    </row>
    <row r="21" spans="1:11" ht="18.75" customHeight="1" x14ac:dyDescent="0.35">
      <c r="A21" s="116">
        <v>2024</v>
      </c>
      <c r="B21" t="s">
        <v>174</v>
      </c>
      <c r="C21" s="124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144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172</v>
      </c>
      <c r="H21" t="s">
        <v>172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16">
        <v>2</v>
      </c>
    </row>
    <row r="22" spans="1:11" ht="18.75" customHeight="1" x14ac:dyDescent="0.35">
      <c r="A22" s="116">
        <v>2024</v>
      </c>
      <c r="B22" t="s">
        <v>175</v>
      </c>
      <c r="C22" s="124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92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172</v>
      </c>
      <c r="H22" t="s">
        <v>172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16">
        <v>1</v>
      </c>
    </row>
    <row r="23" spans="1:11" ht="18.75" customHeight="1" x14ac:dyDescent="0.35">
      <c r="A23" s="116">
        <v>2024</v>
      </c>
      <c r="B23" t="s">
        <v>175</v>
      </c>
      <c r="C23" s="124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99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172</v>
      </c>
      <c r="H23" t="s">
        <v>172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16">
        <v>0</v>
      </c>
    </row>
    <row r="24" spans="1:11" ht="18.75" customHeight="1" x14ac:dyDescent="0.35">
      <c r="A24" s="116">
        <v>2024</v>
      </c>
      <c r="B24" t="s">
        <v>175</v>
      </c>
      <c r="C24" s="124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95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172</v>
      </c>
      <c r="H24" t="s">
        <v>172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16">
        <v>104</v>
      </c>
    </row>
    <row r="25" spans="1:11" ht="18.75" customHeight="1" x14ac:dyDescent="0.35">
      <c r="A25" s="116">
        <v>2024</v>
      </c>
      <c r="B25" t="s">
        <v>175</v>
      </c>
      <c r="C25" s="124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96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172</v>
      </c>
      <c r="H25" t="s">
        <v>172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16">
        <v>1</v>
      </c>
    </row>
    <row r="26" spans="1:11" ht="18.75" customHeight="1" x14ac:dyDescent="0.35">
      <c r="A26" s="116">
        <v>2024</v>
      </c>
      <c r="B26" t="s">
        <v>175</v>
      </c>
      <c r="C26" s="124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185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172</v>
      </c>
      <c r="H26" t="s">
        <v>172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16">
        <v>0</v>
      </c>
    </row>
    <row r="27" spans="1:11" ht="18.75" customHeight="1" x14ac:dyDescent="0.35">
      <c r="A27" s="116">
        <v>2024</v>
      </c>
      <c r="B27" t="s">
        <v>175</v>
      </c>
      <c r="C27" s="124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98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172</v>
      </c>
      <c r="H27" t="s">
        <v>172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16">
        <v>0</v>
      </c>
    </row>
    <row r="28" spans="1:11" ht="18.75" customHeight="1" x14ac:dyDescent="0.35">
      <c r="A28" s="116">
        <v>2024</v>
      </c>
      <c r="B28" t="s">
        <v>175</v>
      </c>
      <c r="C28" s="124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77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172</v>
      </c>
      <c r="H28" t="s">
        <v>172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16">
        <v>0</v>
      </c>
    </row>
    <row r="29" spans="1:11" ht="18.75" customHeight="1" x14ac:dyDescent="0.35">
      <c r="A29" s="116">
        <v>2024</v>
      </c>
      <c r="B29" t="s">
        <v>175</v>
      </c>
      <c r="C29" s="124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100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172</v>
      </c>
      <c r="H29" t="s">
        <v>172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16">
        <v>0</v>
      </c>
    </row>
    <row r="30" spans="1:11" ht="18.75" customHeight="1" x14ac:dyDescent="0.35">
      <c r="A30" s="116">
        <v>2024</v>
      </c>
      <c r="B30" t="s">
        <v>175</v>
      </c>
      <c r="C30" s="124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94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172</v>
      </c>
      <c r="H30" t="s">
        <v>172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16">
        <v>35</v>
      </c>
    </row>
    <row r="31" spans="1:11" ht="18.75" customHeight="1" x14ac:dyDescent="0.35">
      <c r="A31" s="116">
        <v>2024</v>
      </c>
      <c r="B31" t="s">
        <v>175</v>
      </c>
      <c r="C31" s="124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144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172</v>
      </c>
      <c r="H31" t="s">
        <v>172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16">
        <v>376</v>
      </c>
    </row>
    <row r="32" spans="1:11" ht="18.75" customHeight="1" x14ac:dyDescent="0.35">
      <c r="A32" s="116">
        <v>2024</v>
      </c>
      <c r="B32" t="s">
        <v>176</v>
      </c>
      <c r="C32" s="124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92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172</v>
      </c>
      <c r="H32" t="s">
        <v>172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16">
        <v>6</v>
      </c>
    </row>
    <row r="33" spans="1:11" ht="18.75" customHeight="1" x14ac:dyDescent="0.35">
      <c r="A33" s="116">
        <v>2024</v>
      </c>
      <c r="B33" t="s">
        <v>176</v>
      </c>
      <c r="C33" s="124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99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172</v>
      </c>
      <c r="H33" t="s">
        <v>172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16">
        <v>0</v>
      </c>
    </row>
    <row r="34" spans="1:11" ht="18.75" customHeight="1" x14ac:dyDescent="0.35">
      <c r="A34" s="116">
        <v>2024</v>
      </c>
      <c r="B34" t="s">
        <v>176</v>
      </c>
      <c r="C34" s="124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95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172</v>
      </c>
      <c r="H34" t="s">
        <v>172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16">
        <v>88</v>
      </c>
    </row>
    <row r="35" spans="1:11" ht="18.75" customHeight="1" x14ac:dyDescent="0.35">
      <c r="A35" s="116">
        <v>2024</v>
      </c>
      <c r="B35" t="s">
        <v>176</v>
      </c>
      <c r="C35" s="124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96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172</v>
      </c>
      <c r="H35" t="s">
        <v>172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16">
        <v>43</v>
      </c>
    </row>
    <row r="36" spans="1:11" ht="18.75" customHeight="1" x14ac:dyDescent="0.35">
      <c r="A36" s="116">
        <v>2024</v>
      </c>
      <c r="B36" t="s">
        <v>176</v>
      </c>
      <c r="C36" s="124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185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172</v>
      </c>
      <c r="H36" t="s">
        <v>172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16">
        <v>0</v>
      </c>
    </row>
    <row r="37" spans="1:11" ht="18.75" customHeight="1" x14ac:dyDescent="0.35">
      <c r="A37" s="116">
        <v>2024</v>
      </c>
      <c r="B37" t="s">
        <v>176</v>
      </c>
      <c r="C37" s="124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98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172</v>
      </c>
      <c r="H37" t="s">
        <v>172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16">
        <v>0</v>
      </c>
    </row>
    <row r="38" spans="1:11" ht="18.75" customHeight="1" x14ac:dyDescent="0.35">
      <c r="A38" s="116">
        <v>2024</v>
      </c>
      <c r="B38" t="s">
        <v>176</v>
      </c>
      <c r="C38" s="124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77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172</v>
      </c>
      <c r="H38" t="s">
        <v>172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16">
        <v>0</v>
      </c>
    </row>
    <row r="39" spans="1:11" ht="18.75" customHeight="1" x14ac:dyDescent="0.35">
      <c r="A39" s="116">
        <v>2024</v>
      </c>
      <c r="B39" t="s">
        <v>176</v>
      </c>
      <c r="C39" s="124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100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172</v>
      </c>
      <c r="H39" t="s">
        <v>172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16">
        <v>0</v>
      </c>
    </row>
    <row r="40" spans="1:11" ht="18.75" customHeight="1" x14ac:dyDescent="0.35">
      <c r="A40" s="116">
        <v>2024</v>
      </c>
      <c r="B40" t="s">
        <v>176</v>
      </c>
      <c r="C40" s="124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94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172</v>
      </c>
      <c r="H40" t="s">
        <v>172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16">
        <v>50</v>
      </c>
    </row>
    <row r="41" spans="1:11" ht="18.75" customHeight="1" x14ac:dyDescent="0.35">
      <c r="A41" s="116">
        <v>2024</v>
      </c>
      <c r="B41" t="s">
        <v>176</v>
      </c>
      <c r="C41" s="124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144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172</v>
      </c>
      <c r="H41" t="s">
        <v>172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16">
        <v>1</v>
      </c>
    </row>
    <row r="42" spans="1:11" ht="18.75" customHeight="1" x14ac:dyDescent="0.35">
      <c r="A42" s="116">
        <v>2024</v>
      </c>
      <c r="B42" t="s">
        <v>177</v>
      </c>
      <c r="C42" s="124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92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172</v>
      </c>
      <c r="H42" t="s">
        <v>172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16">
        <v>2</v>
      </c>
    </row>
    <row r="43" spans="1:11" ht="18.75" customHeight="1" x14ac:dyDescent="0.35">
      <c r="A43" s="116">
        <v>2024</v>
      </c>
      <c r="B43" t="s">
        <v>177</v>
      </c>
      <c r="C43" s="124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99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172</v>
      </c>
      <c r="H43" t="s">
        <v>172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16">
        <v>0</v>
      </c>
    </row>
    <row r="44" spans="1:11" ht="18.75" customHeight="1" x14ac:dyDescent="0.35">
      <c r="A44" s="116">
        <v>2024</v>
      </c>
      <c r="B44" t="s">
        <v>177</v>
      </c>
      <c r="C44" s="124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95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172</v>
      </c>
      <c r="H44" t="s">
        <v>172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16">
        <v>93</v>
      </c>
    </row>
    <row r="45" spans="1:11" ht="18.75" customHeight="1" x14ac:dyDescent="0.35">
      <c r="A45" s="116">
        <v>2024</v>
      </c>
      <c r="B45" t="s">
        <v>177</v>
      </c>
      <c r="C45" s="124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96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172</v>
      </c>
      <c r="H45" t="s">
        <v>172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16">
        <v>119</v>
      </c>
    </row>
    <row r="46" spans="1:11" ht="18.75" customHeight="1" x14ac:dyDescent="0.35">
      <c r="A46" s="116">
        <v>2024</v>
      </c>
      <c r="B46" t="s">
        <v>177</v>
      </c>
      <c r="C46" s="124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185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172</v>
      </c>
      <c r="H46" t="s">
        <v>172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16">
        <v>0</v>
      </c>
    </row>
    <row r="47" spans="1:11" ht="18.75" customHeight="1" x14ac:dyDescent="0.35">
      <c r="A47" s="116">
        <v>2024</v>
      </c>
      <c r="B47" t="s">
        <v>177</v>
      </c>
      <c r="C47" s="124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98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172</v>
      </c>
      <c r="H47" t="s">
        <v>172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16">
        <v>0</v>
      </c>
    </row>
    <row r="48" spans="1:11" ht="18.75" customHeight="1" x14ac:dyDescent="0.35">
      <c r="A48" s="116">
        <v>2024</v>
      </c>
      <c r="B48" t="s">
        <v>177</v>
      </c>
      <c r="C48" s="124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77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172</v>
      </c>
      <c r="H48" t="s">
        <v>172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16">
        <v>0</v>
      </c>
    </row>
    <row r="49" spans="1:11" ht="18.75" customHeight="1" x14ac:dyDescent="0.35">
      <c r="A49" s="116">
        <v>2024</v>
      </c>
      <c r="B49" t="s">
        <v>177</v>
      </c>
      <c r="C49" s="124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100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172</v>
      </c>
      <c r="H49" t="s">
        <v>172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16">
        <v>284000000</v>
      </c>
    </row>
    <row r="50" spans="1:11" ht="18.75" customHeight="1" x14ac:dyDescent="0.35">
      <c r="A50" s="116">
        <v>2024</v>
      </c>
      <c r="B50" t="s">
        <v>177</v>
      </c>
      <c r="C50" s="124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94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172</v>
      </c>
      <c r="H50" t="s">
        <v>172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16">
        <v>17</v>
      </c>
    </row>
    <row r="51" spans="1:11" ht="18.75" customHeight="1" x14ac:dyDescent="0.35">
      <c r="A51" s="116">
        <v>2024</v>
      </c>
      <c r="B51" t="s">
        <v>177</v>
      </c>
      <c r="C51" s="124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144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172</v>
      </c>
      <c r="H51" t="s">
        <v>172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16">
        <v>1</v>
      </c>
    </row>
    <row r="52" spans="1:11" ht="18.75" customHeight="1" x14ac:dyDescent="0.35">
      <c r="A52" s="116">
        <v>2024</v>
      </c>
      <c r="B52" t="s">
        <v>178</v>
      </c>
      <c r="C52" s="124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92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172</v>
      </c>
      <c r="H52" t="s">
        <v>172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16">
        <v>3</v>
      </c>
    </row>
    <row r="53" spans="1:11" ht="18.75" customHeight="1" x14ac:dyDescent="0.35">
      <c r="A53" s="116">
        <v>2024</v>
      </c>
      <c r="B53" t="s">
        <v>178</v>
      </c>
      <c r="C53" s="124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99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172</v>
      </c>
      <c r="H53" t="s">
        <v>172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16">
        <v>0</v>
      </c>
    </row>
    <row r="54" spans="1:11" ht="18.75" customHeight="1" x14ac:dyDescent="0.35">
      <c r="A54" s="116">
        <v>2024</v>
      </c>
      <c r="B54" t="s">
        <v>178</v>
      </c>
      <c r="C54" s="124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95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172</v>
      </c>
      <c r="H54" t="s">
        <v>172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16">
        <v>21</v>
      </c>
    </row>
    <row r="55" spans="1:11" ht="18.75" customHeight="1" x14ac:dyDescent="0.35">
      <c r="A55" s="116">
        <v>2024</v>
      </c>
      <c r="B55" t="s">
        <v>178</v>
      </c>
      <c r="C55" s="124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96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172</v>
      </c>
      <c r="H55" t="s">
        <v>172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16">
        <v>37</v>
      </c>
    </row>
    <row r="56" spans="1:11" ht="18.75" customHeight="1" x14ac:dyDescent="0.35">
      <c r="A56" s="116">
        <v>2024</v>
      </c>
      <c r="B56" t="s">
        <v>178</v>
      </c>
      <c r="C56" s="124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185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172</v>
      </c>
      <c r="H56" t="s">
        <v>172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16">
        <v>0</v>
      </c>
    </row>
    <row r="57" spans="1:11" ht="18.75" customHeight="1" x14ac:dyDescent="0.35">
      <c r="A57" s="116">
        <v>2024</v>
      </c>
      <c r="B57" t="s">
        <v>178</v>
      </c>
      <c r="C57" s="124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98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172</v>
      </c>
      <c r="H57" t="s">
        <v>172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16">
        <v>0</v>
      </c>
    </row>
    <row r="58" spans="1:11" ht="18.75" customHeight="1" x14ac:dyDescent="0.35">
      <c r="A58" s="116">
        <v>2024</v>
      </c>
      <c r="B58" t="s">
        <v>178</v>
      </c>
      <c r="C58" s="124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77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172</v>
      </c>
      <c r="H58" t="s">
        <v>172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16">
        <v>0</v>
      </c>
    </row>
    <row r="59" spans="1:11" ht="18.75" customHeight="1" x14ac:dyDescent="0.35">
      <c r="A59" s="116">
        <v>2024</v>
      </c>
      <c r="B59" t="s">
        <v>178</v>
      </c>
      <c r="C59" s="124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100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172</v>
      </c>
      <c r="H59" t="s">
        <v>172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16">
        <v>0</v>
      </c>
    </row>
    <row r="60" spans="1:11" ht="18.75" customHeight="1" x14ac:dyDescent="0.35">
      <c r="A60" s="116">
        <v>2024</v>
      </c>
      <c r="B60" t="s">
        <v>178</v>
      </c>
      <c r="C60" s="124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94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172</v>
      </c>
      <c r="H60" t="s">
        <v>172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16">
        <v>15</v>
      </c>
    </row>
    <row r="61" spans="1:11" ht="18.75" customHeight="1" x14ac:dyDescent="0.35">
      <c r="A61" s="116">
        <v>2024</v>
      </c>
      <c r="B61" t="s">
        <v>178</v>
      </c>
      <c r="C61" s="124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144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172</v>
      </c>
      <c r="H61" t="s">
        <v>172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16">
        <v>1</v>
      </c>
    </row>
    <row r="62" spans="1:11" ht="18.75" customHeight="1" x14ac:dyDescent="0.35">
      <c r="A62" s="116">
        <v>2024</v>
      </c>
      <c r="B62" t="s">
        <v>179</v>
      </c>
      <c r="C62" s="124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92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172</v>
      </c>
      <c r="H62" t="s">
        <v>172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16">
        <v>10</v>
      </c>
    </row>
    <row r="63" spans="1:11" ht="18.75" customHeight="1" x14ac:dyDescent="0.35">
      <c r="A63" s="116">
        <v>2024</v>
      </c>
      <c r="B63" t="s">
        <v>179</v>
      </c>
      <c r="C63" s="124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99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172</v>
      </c>
      <c r="H63" t="s">
        <v>172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16">
        <v>0</v>
      </c>
    </row>
    <row r="64" spans="1:11" ht="18.75" customHeight="1" x14ac:dyDescent="0.35">
      <c r="A64" s="116">
        <v>2024</v>
      </c>
      <c r="B64" t="s">
        <v>179</v>
      </c>
      <c r="C64" s="124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95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172</v>
      </c>
      <c r="H64" t="s">
        <v>172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16">
        <v>80</v>
      </c>
    </row>
    <row r="65" spans="1:11" ht="18.75" customHeight="1" x14ac:dyDescent="0.35">
      <c r="A65" s="116">
        <v>2024</v>
      </c>
      <c r="B65" t="s">
        <v>179</v>
      </c>
      <c r="C65" s="124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96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172</v>
      </c>
      <c r="H65" t="s">
        <v>172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16">
        <v>5</v>
      </c>
    </row>
    <row r="66" spans="1:11" ht="18.75" customHeight="1" x14ac:dyDescent="0.35">
      <c r="A66" s="116">
        <v>2024</v>
      </c>
      <c r="B66" t="s">
        <v>179</v>
      </c>
      <c r="C66" s="124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185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172</v>
      </c>
      <c r="H66" t="s">
        <v>172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16">
        <v>6006000000</v>
      </c>
    </row>
    <row r="67" spans="1:11" ht="18.75" customHeight="1" x14ac:dyDescent="0.35">
      <c r="A67" s="116">
        <v>2024</v>
      </c>
      <c r="B67" t="s">
        <v>179</v>
      </c>
      <c r="C67" s="124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98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172</v>
      </c>
      <c r="H67" t="s">
        <v>172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16">
        <v>1167000000</v>
      </c>
    </row>
    <row r="68" spans="1:11" ht="18.75" customHeight="1" x14ac:dyDescent="0.35">
      <c r="A68" s="116">
        <v>2024</v>
      </c>
      <c r="B68" t="s">
        <v>179</v>
      </c>
      <c r="C68" s="124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77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172</v>
      </c>
      <c r="H68" t="s">
        <v>172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16">
        <v>0</v>
      </c>
    </row>
    <row r="69" spans="1:11" ht="18.75" customHeight="1" x14ac:dyDescent="0.35">
      <c r="A69" s="116">
        <v>2024</v>
      </c>
      <c r="B69" t="s">
        <v>179</v>
      </c>
      <c r="C69" s="124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100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172</v>
      </c>
      <c r="H69" t="s">
        <v>172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16">
        <v>0</v>
      </c>
    </row>
    <row r="70" spans="1:11" ht="18.75" customHeight="1" x14ac:dyDescent="0.35">
      <c r="A70" s="116">
        <v>2024</v>
      </c>
      <c r="B70" t="s">
        <v>179</v>
      </c>
      <c r="C70" s="124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94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172</v>
      </c>
      <c r="H70" t="s">
        <v>172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16">
        <v>347</v>
      </c>
    </row>
    <row r="71" spans="1:11" ht="18.75" customHeight="1" x14ac:dyDescent="0.35">
      <c r="A71" s="116">
        <v>2024</v>
      </c>
      <c r="B71" t="s">
        <v>179</v>
      </c>
      <c r="C71" s="124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144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172</v>
      </c>
      <c r="H71" t="s">
        <v>172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16">
        <v>2</v>
      </c>
    </row>
    <row r="72" spans="1:11" ht="18.75" customHeight="1" x14ac:dyDescent="0.35">
      <c r="A72" s="116">
        <v>2024</v>
      </c>
      <c r="B72" t="s">
        <v>180</v>
      </c>
      <c r="C72" s="124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92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172</v>
      </c>
      <c r="H72" t="s">
        <v>172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16">
        <v>3</v>
      </c>
    </row>
    <row r="73" spans="1:11" ht="18.75" customHeight="1" x14ac:dyDescent="0.35">
      <c r="A73" s="116">
        <v>2024</v>
      </c>
      <c r="B73" t="s">
        <v>180</v>
      </c>
      <c r="C73" s="124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99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172</v>
      </c>
      <c r="H73" t="s">
        <v>172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16">
        <v>0</v>
      </c>
    </row>
    <row r="74" spans="1:11" ht="18.75" customHeight="1" x14ac:dyDescent="0.35">
      <c r="A74" s="116">
        <v>2024</v>
      </c>
      <c r="B74" t="s">
        <v>180</v>
      </c>
      <c r="C74" s="124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95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172</v>
      </c>
      <c r="H74" t="s">
        <v>172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16">
        <v>22</v>
      </c>
    </row>
    <row r="75" spans="1:11" ht="18.75" customHeight="1" x14ac:dyDescent="0.35">
      <c r="A75" s="116">
        <v>2024</v>
      </c>
      <c r="B75" t="s">
        <v>180</v>
      </c>
      <c r="C75" s="124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96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172</v>
      </c>
      <c r="H75" t="s">
        <v>172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16">
        <v>15</v>
      </c>
    </row>
    <row r="76" spans="1:11" ht="18.75" customHeight="1" x14ac:dyDescent="0.35">
      <c r="A76" s="116">
        <v>2024</v>
      </c>
      <c r="B76" t="s">
        <v>180</v>
      </c>
      <c r="C76" s="124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185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172</v>
      </c>
      <c r="H76" t="s">
        <v>172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16">
        <v>0</v>
      </c>
    </row>
    <row r="77" spans="1:11" ht="18.75" customHeight="1" x14ac:dyDescent="0.35">
      <c r="A77" s="116">
        <v>2024</v>
      </c>
      <c r="B77" t="s">
        <v>180</v>
      </c>
      <c r="C77" s="124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98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172</v>
      </c>
      <c r="H77" t="s">
        <v>172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16">
        <v>0</v>
      </c>
    </row>
    <row r="78" spans="1:11" ht="18.75" customHeight="1" x14ac:dyDescent="0.35">
      <c r="A78" s="116">
        <v>2024</v>
      </c>
      <c r="B78" t="s">
        <v>180</v>
      </c>
      <c r="C78" s="124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77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172</v>
      </c>
      <c r="H78" t="s">
        <v>172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16">
        <v>0</v>
      </c>
    </row>
    <row r="79" spans="1:11" ht="18.75" customHeight="1" x14ac:dyDescent="0.35">
      <c r="A79" s="116">
        <v>2024</v>
      </c>
      <c r="B79" t="s">
        <v>180</v>
      </c>
      <c r="C79" s="124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100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172</v>
      </c>
      <c r="H79" t="s">
        <v>172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16">
        <v>0</v>
      </c>
    </row>
    <row r="80" spans="1:11" ht="18.75" customHeight="1" x14ac:dyDescent="0.35">
      <c r="A80" s="116">
        <v>2024</v>
      </c>
      <c r="B80" t="s">
        <v>180</v>
      </c>
      <c r="C80" s="124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94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172</v>
      </c>
      <c r="H80" t="s">
        <v>172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16">
        <v>124</v>
      </c>
    </row>
    <row r="81" spans="1:11" ht="18.75" customHeight="1" x14ac:dyDescent="0.35">
      <c r="A81" s="116">
        <v>2024</v>
      </c>
      <c r="B81" t="s">
        <v>180</v>
      </c>
      <c r="C81" s="124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144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172</v>
      </c>
      <c r="H81" t="s">
        <v>172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16">
        <v>1</v>
      </c>
    </row>
    <row r="82" spans="1:11" ht="18.75" customHeight="1" x14ac:dyDescent="0.35">
      <c r="A82" s="116">
        <v>2024</v>
      </c>
      <c r="B82" t="s">
        <v>181</v>
      </c>
      <c r="C82" s="124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92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172</v>
      </c>
      <c r="H82" t="s">
        <v>172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16">
        <v>5</v>
      </c>
    </row>
    <row r="83" spans="1:11" ht="18.75" customHeight="1" x14ac:dyDescent="0.35">
      <c r="A83" s="116">
        <v>2024</v>
      </c>
      <c r="B83" t="s">
        <v>181</v>
      </c>
      <c r="C83" s="124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99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172</v>
      </c>
      <c r="H83" t="s">
        <v>172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16">
        <v>1</v>
      </c>
    </row>
    <row r="84" spans="1:11" ht="18.75" customHeight="1" x14ac:dyDescent="0.35">
      <c r="A84" s="116">
        <v>2024</v>
      </c>
      <c r="B84" t="s">
        <v>181</v>
      </c>
      <c r="C84" s="124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95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172</v>
      </c>
      <c r="H84" t="s">
        <v>172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16">
        <v>73</v>
      </c>
    </row>
    <row r="85" spans="1:11" ht="18.75" customHeight="1" x14ac:dyDescent="0.35">
      <c r="A85" s="116">
        <v>2024</v>
      </c>
      <c r="B85" t="s">
        <v>181</v>
      </c>
      <c r="C85" s="124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96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172</v>
      </c>
      <c r="H85" t="s">
        <v>172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16">
        <v>2</v>
      </c>
    </row>
    <row r="86" spans="1:11" ht="18.75" customHeight="1" x14ac:dyDescent="0.35">
      <c r="A86" s="116">
        <v>2024</v>
      </c>
      <c r="B86" t="s">
        <v>181</v>
      </c>
      <c r="C86" s="124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185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172</v>
      </c>
      <c r="H86" t="s">
        <v>172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16">
        <v>0</v>
      </c>
    </row>
    <row r="87" spans="1:11" ht="18.75" customHeight="1" x14ac:dyDescent="0.35">
      <c r="A87" s="116">
        <v>2024</v>
      </c>
      <c r="B87" t="s">
        <v>181</v>
      </c>
      <c r="C87" s="124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98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172</v>
      </c>
      <c r="H87" t="s">
        <v>172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16">
        <v>0</v>
      </c>
    </row>
    <row r="88" spans="1:11" ht="18.75" customHeight="1" x14ac:dyDescent="0.35">
      <c r="A88" s="116">
        <v>2024</v>
      </c>
      <c r="B88" t="s">
        <v>181</v>
      </c>
      <c r="C88" s="124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77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172</v>
      </c>
      <c r="H88" t="s">
        <v>172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16">
        <v>0</v>
      </c>
    </row>
    <row r="89" spans="1:11" ht="18.75" customHeight="1" x14ac:dyDescent="0.35">
      <c r="A89" s="116">
        <v>2024</v>
      </c>
      <c r="B89" t="s">
        <v>181</v>
      </c>
      <c r="C89" s="124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100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172</v>
      </c>
      <c r="H89" t="s">
        <v>172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16">
        <v>0</v>
      </c>
    </row>
    <row r="90" spans="1:11" ht="18.75" customHeight="1" x14ac:dyDescent="0.35">
      <c r="A90" s="116">
        <v>2024</v>
      </c>
      <c r="B90" t="s">
        <v>181</v>
      </c>
      <c r="C90" s="124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94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172</v>
      </c>
      <c r="H90" t="s">
        <v>172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16">
        <v>47</v>
      </c>
    </row>
    <row r="91" spans="1:11" ht="18.75" customHeight="1" x14ac:dyDescent="0.35">
      <c r="A91" s="116">
        <v>2024</v>
      </c>
      <c r="B91" t="s">
        <v>181</v>
      </c>
      <c r="C91" s="124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144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172</v>
      </c>
      <c r="H91" t="s">
        <v>172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16">
        <v>2</v>
      </c>
    </row>
    <row r="92" spans="1:11" ht="18.75" customHeight="1" x14ac:dyDescent="0.35">
      <c r="A92" s="116">
        <v>2024</v>
      </c>
      <c r="B92" t="s">
        <v>182</v>
      </c>
      <c r="C92" s="124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92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172</v>
      </c>
      <c r="H92" t="s">
        <v>172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16">
        <v>9</v>
      </c>
    </row>
    <row r="93" spans="1:11" ht="18.75" customHeight="1" x14ac:dyDescent="0.35">
      <c r="A93" s="116">
        <v>2024</v>
      </c>
      <c r="B93" t="s">
        <v>182</v>
      </c>
      <c r="C93" s="124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99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172</v>
      </c>
      <c r="H93" t="s">
        <v>172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16">
        <v>0</v>
      </c>
    </row>
    <row r="94" spans="1:11" ht="18.75" customHeight="1" x14ac:dyDescent="0.35">
      <c r="A94" s="116">
        <v>2024</v>
      </c>
      <c r="B94" t="s">
        <v>182</v>
      </c>
      <c r="C94" s="124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95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172</v>
      </c>
      <c r="H94" t="s">
        <v>172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16">
        <v>22</v>
      </c>
    </row>
    <row r="95" spans="1:11" ht="18.75" customHeight="1" x14ac:dyDescent="0.35">
      <c r="A95" s="116">
        <v>2024</v>
      </c>
      <c r="B95" t="s">
        <v>182</v>
      </c>
      <c r="C95" s="124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96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172</v>
      </c>
      <c r="H95" t="s">
        <v>172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16">
        <v>0</v>
      </c>
    </row>
    <row r="96" spans="1:11" ht="18.75" customHeight="1" x14ac:dyDescent="0.35">
      <c r="A96" s="116">
        <v>2024</v>
      </c>
      <c r="B96" t="s">
        <v>182</v>
      </c>
      <c r="C96" s="124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185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172</v>
      </c>
      <c r="H96" t="s">
        <v>172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16">
        <v>1227000000</v>
      </c>
    </row>
    <row r="97" spans="1:11" ht="18.75" customHeight="1" x14ac:dyDescent="0.35">
      <c r="A97" s="116">
        <v>2024</v>
      </c>
      <c r="B97" t="s">
        <v>182</v>
      </c>
      <c r="C97" s="124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98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172</v>
      </c>
      <c r="H97" t="s">
        <v>172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16">
        <v>0</v>
      </c>
    </row>
    <row r="98" spans="1:11" ht="18.75" customHeight="1" x14ac:dyDescent="0.35">
      <c r="A98" s="116">
        <v>2024</v>
      </c>
      <c r="B98" t="s">
        <v>182</v>
      </c>
      <c r="C98" s="124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77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172</v>
      </c>
      <c r="H98" t="s">
        <v>172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16">
        <v>0</v>
      </c>
    </row>
    <row r="99" spans="1:11" ht="18.75" customHeight="1" x14ac:dyDescent="0.35">
      <c r="A99" s="116">
        <v>2024</v>
      </c>
      <c r="B99" t="s">
        <v>182</v>
      </c>
      <c r="C99" s="124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100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172</v>
      </c>
      <c r="H99" t="s">
        <v>172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16">
        <v>0</v>
      </c>
    </row>
    <row r="100" spans="1:11" ht="18.75" customHeight="1" x14ac:dyDescent="0.35">
      <c r="A100" s="116">
        <v>2024</v>
      </c>
      <c r="B100" t="s">
        <v>182</v>
      </c>
      <c r="C100" s="124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94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172</v>
      </c>
      <c r="H100" t="s">
        <v>172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16">
        <v>121</v>
      </c>
    </row>
    <row r="101" spans="1:11" ht="18.75" customHeight="1" x14ac:dyDescent="0.35">
      <c r="A101" s="116">
        <v>2024</v>
      </c>
      <c r="B101" t="s">
        <v>182</v>
      </c>
      <c r="C101" s="124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144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172</v>
      </c>
      <c r="H101" t="s">
        <v>172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16">
        <v>18</v>
      </c>
    </row>
    <row r="102" spans="1:11" ht="18.75" customHeight="1" x14ac:dyDescent="0.35">
      <c r="A102" s="116">
        <v>2024</v>
      </c>
      <c r="B102" t="s">
        <v>183</v>
      </c>
      <c r="C102" s="124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92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172</v>
      </c>
      <c r="H102" t="s">
        <v>172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16">
        <v>6</v>
      </c>
    </row>
    <row r="103" spans="1:11" ht="18.75" customHeight="1" x14ac:dyDescent="0.35">
      <c r="A103" s="116">
        <v>2024</v>
      </c>
      <c r="B103" t="s">
        <v>183</v>
      </c>
      <c r="C103" s="124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99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172</v>
      </c>
      <c r="H103" t="s">
        <v>172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16">
        <v>1</v>
      </c>
    </row>
    <row r="104" spans="1:11" ht="18.75" customHeight="1" x14ac:dyDescent="0.35">
      <c r="A104" s="116">
        <v>2024</v>
      </c>
      <c r="B104" t="s">
        <v>183</v>
      </c>
      <c r="C104" s="124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95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172</v>
      </c>
      <c r="H104" t="s">
        <v>172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16">
        <v>66</v>
      </c>
    </row>
    <row r="105" spans="1:11" ht="18.75" customHeight="1" x14ac:dyDescent="0.35">
      <c r="A105" s="116">
        <v>2024</v>
      </c>
      <c r="B105" t="s">
        <v>183</v>
      </c>
      <c r="C105" s="124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96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172</v>
      </c>
      <c r="H105" t="s">
        <v>172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16">
        <v>0</v>
      </c>
    </row>
    <row r="106" spans="1:11" ht="18.75" customHeight="1" x14ac:dyDescent="0.35">
      <c r="A106" s="116">
        <v>2024</v>
      </c>
      <c r="B106" t="s">
        <v>183</v>
      </c>
      <c r="C106" s="124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185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172</v>
      </c>
      <c r="H106" t="s">
        <v>172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16">
        <v>0</v>
      </c>
    </row>
    <row r="107" spans="1:11" ht="18.75" customHeight="1" x14ac:dyDescent="0.35">
      <c r="A107" s="116">
        <v>2024</v>
      </c>
      <c r="B107" t="s">
        <v>183</v>
      </c>
      <c r="C107" s="124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98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172</v>
      </c>
      <c r="H107" t="s">
        <v>172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16">
        <v>0</v>
      </c>
    </row>
    <row r="108" spans="1:11" ht="18.75" customHeight="1" x14ac:dyDescent="0.35">
      <c r="A108" s="116">
        <v>2024</v>
      </c>
      <c r="B108" t="s">
        <v>183</v>
      </c>
      <c r="C108" s="124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77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172</v>
      </c>
      <c r="H108" t="s">
        <v>172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16">
        <v>0</v>
      </c>
    </row>
    <row r="109" spans="1:11" ht="18.75" customHeight="1" x14ac:dyDescent="0.35">
      <c r="A109" s="116">
        <v>2024</v>
      </c>
      <c r="B109" t="s">
        <v>183</v>
      </c>
      <c r="C109" s="124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100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172</v>
      </c>
      <c r="H109" t="s">
        <v>172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16">
        <v>0</v>
      </c>
    </row>
    <row r="110" spans="1:11" ht="18.75" customHeight="1" x14ac:dyDescent="0.35">
      <c r="A110" s="116">
        <v>2024</v>
      </c>
      <c r="B110" t="s">
        <v>183</v>
      </c>
      <c r="C110" s="124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94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172</v>
      </c>
      <c r="H110" t="s">
        <v>172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16">
        <v>64</v>
      </c>
    </row>
    <row r="111" spans="1:11" ht="18.75" customHeight="1" x14ac:dyDescent="0.35">
      <c r="A111" s="116">
        <v>2024</v>
      </c>
      <c r="B111" t="s">
        <v>183</v>
      </c>
      <c r="C111" s="124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144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172</v>
      </c>
      <c r="H111" t="s">
        <v>172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16">
        <v>16</v>
      </c>
    </row>
    <row r="112" spans="1:11" ht="18.75" customHeight="1" x14ac:dyDescent="0.35">
      <c r="A112" s="116">
        <v>2024</v>
      </c>
      <c r="B112" t="s">
        <v>184</v>
      </c>
      <c r="C112" s="124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92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172</v>
      </c>
      <c r="H112" t="s">
        <v>172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16">
        <v>7</v>
      </c>
    </row>
    <row r="113" spans="1:11" ht="18.75" customHeight="1" x14ac:dyDescent="0.35">
      <c r="A113" s="116">
        <v>2024</v>
      </c>
      <c r="B113" t="s">
        <v>184</v>
      </c>
      <c r="C113" s="124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99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172</v>
      </c>
      <c r="H113" t="s">
        <v>172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16">
        <v>1</v>
      </c>
    </row>
    <row r="114" spans="1:11" ht="18.75" customHeight="1" x14ac:dyDescent="0.35">
      <c r="A114" s="116">
        <v>2024</v>
      </c>
      <c r="B114" t="s">
        <v>184</v>
      </c>
      <c r="C114" s="124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95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172</v>
      </c>
      <c r="H114" t="s">
        <v>172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16">
        <v>28</v>
      </c>
    </row>
    <row r="115" spans="1:11" ht="18.75" customHeight="1" x14ac:dyDescent="0.35">
      <c r="A115" s="116">
        <v>2024</v>
      </c>
      <c r="B115" t="s">
        <v>184</v>
      </c>
      <c r="C115" s="124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96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172</v>
      </c>
      <c r="H115" t="s">
        <v>172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16">
        <v>0</v>
      </c>
    </row>
    <row r="116" spans="1:11" ht="18.75" customHeight="1" x14ac:dyDescent="0.35">
      <c r="A116" s="116">
        <v>2024</v>
      </c>
      <c r="B116" t="s">
        <v>184</v>
      </c>
      <c r="C116" s="124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185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172</v>
      </c>
      <c r="H116" t="s">
        <v>172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16">
        <v>0</v>
      </c>
    </row>
    <row r="117" spans="1:11" ht="18.75" customHeight="1" x14ac:dyDescent="0.35">
      <c r="A117" s="116">
        <v>2024</v>
      </c>
      <c r="B117" t="s">
        <v>184</v>
      </c>
      <c r="C117" s="124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98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172</v>
      </c>
      <c r="H117" t="s">
        <v>172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16">
        <v>0</v>
      </c>
    </row>
    <row r="118" spans="1:11" ht="18.75" customHeight="1" x14ac:dyDescent="0.35">
      <c r="A118" s="116">
        <v>2024</v>
      </c>
      <c r="B118" t="s">
        <v>184</v>
      </c>
      <c r="C118" s="124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77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172</v>
      </c>
      <c r="H118" t="s">
        <v>172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16">
        <v>0</v>
      </c>
    </row>
    <row r="119" spans="1:11" ht="18.75" customHeight="1" x14ac:dyDescent="0.35">
      <c r="A119" s="116">
        <v>2024</v>
      </c>
      <c r="B119" t="s">
        <v>184</v>
      </c>
      <c r="C119" s="124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100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172</v>
      </c>
      <c r="H119" t="s">
        <v>172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16">
        <v>0</v>
      </c>
    </row>
    <row r="120" spans="1:11" ht="18.75" customHeight="1" x14ac:dyDescent="0.35">
      <c r="A120" s="116">
        <v>2024</v>
      </c>
      <c r="B120" t="s">
        <v>184</v>
      </c>
      <c r="C120" s="124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94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172</v>
      </c>
      <c r="H120" t="s">
        <v>172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16">
        <v>405</v>
      </c>
    </row>
    <row r="121" spans="1:11" ht="18.75" customHeight="1" x14ac:dyDescent="0.35">
      <c r="A121" s="116">
        <v>2024</v>
      </c>
      <c r="B121" t="s">
        <v>184</v>
      </c>
      <c r="C121" s="124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144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172</v>
      </c>
      <c r="H121" t="s">
        <v>172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16">
        <v>1</v>
      </c>
    </row>
    <row r="122" spans="1:11" ht="18.75" customHeight="1" x14ac:dyDescent="0.35">
      <c r="A122" s="116">
        <v>2025</v>
      </c>
      <c r="B122" t="s">
        <v>171</v>
      </c>
      <c r="C122" s="124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92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172</v>
      </c>
      <c r="H122" t="s">
        <v>172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16">
        <v>0</v>
      </c>
    </row>
    <row r="123" spans="1:11" ht="18.75" customHeight="1" x14ac:dyDescent="0.35">
      <c r="A123" s="116">
        <v>2025</v>
      </c>
      <c r="B123" t="s">
        <v>171</v>
      </c>
      <c r="C123" s="124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99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172</v>
      </c>
      <c r="H123" t="s">
        <v>172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16">
        <v>0</v>
      </c>
    </row>
    <row r="124" spans="1:11" ht="18.75" customHeight="1" x14ac:dyDescent="0.35">
      <c r="A124" s="116">
        <v>2025</v>
      </c>
      <c r="B124" t="s">
        <v>171</v>
      </c>
      <c r="C124" s="124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95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172</v>
      </c>
      <c r="H124" t="s">
        <v>172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16">
        <v>68</v>
      </c>
    </row>
    <row r="125" spans="1:11" ht="18.75" customHeight="1" x14ac:dyDescent="0.35">
      <c r="A125" s="116">
        <v>2025</v>
      </c>
      <c r="B125" t="s">
        <v>171</v>
      </c>
      <c r="C125" s="124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96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172</v>
      </c>
      <c r="H125" t="s">
        <v>172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16">
        <v>1</v>
      </c>
    </row>
    <row r="126" spans="1:11" ht="18.75" customHeight="1" x14ac:dyDescent="0.35">
      <c r="A126" s="116">
        <v>2025</v>
      </c>
      <c r="B126" t="s">
        <v>171</v>
      </c>
      <c r="C126" s="124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143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172</v>
      </c>
      <c r="H126" t="s">
        <v>172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16">
        <v>25</v>
      </c>
    </row>
    <row r="127" spans="1:11" ht="18.75" customHeight="1" x14ac:dyDescent="0.35">
      <c r="A127" s="116">
        <v>2025</v>
      </c>
      <c r="B127" t="s">
        <v>171</v>
      </c>
      <c r="C127" s="124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185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172</v>
      </c>
      <c r="H127" t="s">
        <v>172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16">
        <v>17149988000</v>
      </c>
    </row>
    <row r="128" spans="1:11" ht="18.75" customHeight="1" x14ac:dyDescent="0.35">
      <c r="A128" s="116">
        <v>2025</v>
      </c>
      <c r="B128" t="s">
        <v>171</v>
      </c>
      <c r="C128" s="124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94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172</v>
      </c>
      <c r="H128" t="s">
        <v>172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16">
        <v>4</v>
      </c>
    </row>
    <row r="129" spans="1:11" ht="18.75" customHeight="1" x14ac:dyDescent="0.35">
      <c r="A129" s="116">
        <v>2025</v>
      </c>
      <c r="B129" t="s">
        <v>171</v>
      </c>
      <c r="C129" s="124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102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172</v>
      </c>
      <c r="H129" t="s">
        <v>172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16">
        <v>24</v>
      </c>
    </row>
    <row r="130" spans="1:11" ht="18.75" customHeight="1" x14ac:dyDescent="0.35">
      <c r="A130" s="116">
        <v>2025</v>
      </c>
      <c r="B130" t="s">
        <v>171</v>
      </c>
      <c r="C130" s="124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144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172</v>
      </c>
      <c r="H130" t="s">
        <v>172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16">
        <v>5</v>
      </c>
    </row>
    <row r="131" spans="1:11" ht="18.75" customHeight="1" x14ac:dyDescent="0.35">
      <c r="A131" s="116">
        <v>2025</v>
      </c>
      <c r="B131" t="s">
        <v>174</v>
      </c>
      <c r="C131" s="124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92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172</v>
      </c>
      <c r="H131" t="s">
        <v>172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16">
        <v>8</v>
      </c>
    </row>
    <row r="132" spans="1:11" ht="18.75" customHeight="1" x14ac:dyDescent="0.35">
      <c r="A132" s="116">
        <v>2025</v>
      </c>
      <c r="B132" t="s">
        <v>174</v>
      </c>
      <c r="C132" s="124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99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172</v>
      </c>
      <c r="H132" t="s">
        <v>172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16">
        <v>0</v>
      </c>
    </row>
    <row r="133" spans="1:11" ht="18.75" customHeight="1" x14ac:dyDescent="0.35">
      <c r="A133" s="116">
        <v>2025</v>
      </c>
      <c r="B133" t="s">
        <v>174</v>
      </c>
      <c r="C133" s="124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95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172</v>
      </c>
      <c r="H133" t="s">
        <v>172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16">
        <v>31</v>
      </c>
    </row>
    <row r="134" spans="1:11" ht="18.75" customHeight="1" x14ac:dyDescent="0.35">
      <c r="A134" s="116">
        <v>2025</v>
      </c>
      <c r="B134" t="s">
        <v>174</v>
      </c>
      <c r="C134" s="124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96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172</v>
      </c>
      <c r="H134" t="s">
        <v>172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16">
        <v>0</v>
      </c>
    </row>
    <row r="135" spans="1:11" ht="18.75" customHeight="1" x14ac:dyDescent="0.35">
      <c r="A135" s="116">
        <v>2025</v>
      </c>
      <c r="B135" t="s">
        <v>174</v>
      </c>
      <c r="C135" s="124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143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172</v>
      </c>
      <c r="H135" t="s">
        <v>172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16">
        <v>25</v>
      </c>
    </row>
    <row r="136" spans="1:11" ht="18.75" customHeight="1" x14ac:dyDescent="0.35">
      <c r="A136" s="116">
        <v>2025</v>
      </c>
      <c r="B136" t="s">
        <v>174</v>
      </c>
      <c r="C136" s="124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185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172</v>
      </c>
      <c r="H136" t="s">
        <v>172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16">
        <v>0</v>
      </c>
    </row>
    <row r="137" spans="1:11" ht="18.75" customHeight="1" x14ac:dyDescent="0.35">
      <c r="A137" s="116">
        <v>2025</v>
      </c>
      <c r="B137" t="s">
        <v>174</v>
      </c>
      <c r="C137" s="124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94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172</v>
      </c>
      <c r="H137" t="s">
        <v>172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16">
        <v>45</v>
      </c>
    </row>
    <row r="138" spans="1:11" ht="18.75" customHeight="1" x14ac:dyDescent="0.35">
      <c r="A138" s="116">
        <v>2025</v>
      </c>
      <c r="B138" t="s">
        <v>174</v>
      </c>
      <c r="C138" s="124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102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172</v>
      </c>
      <c r="H138" t="s">
        <v>172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16">
        <v>24</v>
      </c>
    </row>
    <row r="139" spans="1:11" ht="18.75" customHeight="1" x14ac:dyDescent="0.35">
      <c r="A139" s="116">
        <v>2025</v>
      </c>
      <c r="B139" t="s">
        <v>174</v>
      </c>
      <c r="C139" s="124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144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172</v>
      </c>
      <c r="H139" t="s">
        <v>172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16">
        <v>2</v>
      </c>
    </row>
    <row r="140" spans="1:11" ht="18.75" customHeight="1" x14ac:dyDescent="0.35">
      <c r="A140" s="116">
        <v>2025</v>
      </c>
      <c r="B140" t="s">
        <v>175</v>
      </c>
      <c r="C140" s="124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92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172</v>
      </c>
      <c r="H140" t="s">
        <v>172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16">
        <v>4</v>
      </c>
    </row>
    <row r="141" spans="1:11" ht="18.75" customHeight="1" x14ac:dyDescent="0.35">
      <c r="A141" s="116">
        <v>2025</v>
      </c>
      <c r="B141" t="s">
        <v>175</v>
      </c>
      <c r="C141" s="124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99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172</v>
      </c>
      <c r="H141" t="s">
        <v>172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16">
        <v>0</v>
      </c>
    </row>
    <row r="142" spans="1:11" ht="18.75" customHeight="1" x14ac:dyDescent="0.35">
      <c r="A142" s="116">
        <v>2025</v>
      </c>
      <c r="B142" t="s">
        <v>175</v>
      </c>
      <c r="C142" s="124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95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172</v>
      </c>
      <c r="H142" t="s">
        <v>172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16">
        <v>92</v>
      </c>
    </row>
    <row r="143" spans="1:11" ht="18.75" customHeight="1" x14ac:dyDescent="0.35">
      <c r="A143" s="116">
        <v>2025</v>
      </c>
      <c r="B143" t="s">
        <v>175</v>
      </c>
      <c r="C143" s="124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96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172</v>
      </c>
      <c r="H143" t="s">
        <v>172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16">
        <v>6</v>
      </c>
    </row>
    <row r="144" spans="1:11" ht="18.75" customHeight="1" x14ac:dyDescent="0.35">
      <c r="A144" s="116">
        <v>2025</v>
      </c>
      <c r="B144" t="s">
        <v>175</v>
      </c>
      <c r="C144" s="124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143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172</v>
      </c>
      <c r="H144" t="s">
        <v>172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16">
        <v>25</v>
      </c>
    </row>
    <row r="145" spans="1:11" ht="18.75" customHeight="1" x14ac:dyDescent="0.35">
      <c r="A145" s="116">
        <v>2025</v>
      </c>
      <c r="B145" t="s">
        <v>175</v>
      </c>
      <c r="C145" s="124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185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172</v>
      </c>
      <c r="H145" t="s">
        <v>172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16">
        <v>0</v>
      </c>
    </row>
    <row r="146" spans="1:11" ht="18.75" customHeight="1" x14ac:dyDescent="0.35">
      <c r="A146" s="116">
        <v>2025</v>
      </c>
      <c r="B146" t="s">
        <v>175</v>
      </c>
      <c r="C146" s="124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94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172</v>
      </c>
      <c r="H146" t="s">
        <v>172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16">
        <v>24</v>
      </c>
    </row>
    <row r="147" spans="1:11" ht="18.75" customHeight="1" x14ac:dyDescent="0.35">
      <c r="A147" s="116">
        <v>2025</v>
      </c>
      <c r="B147" t="s">
        <v>175</v>
      </c>
      <c r="C147" s="124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102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172</v>
      </c>
      <c r="H147" t="s">
        <v>172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16">
        <v>24</v>
      </c>
    </row>
    <row r="148" spans="1:11" ht="18.75" customHeight="1" x14ac:dyDescent="0.35">
      <c r="A148" s="116">
        <v>2025</v>
      </c>
      <c r="B148" t="s">
        <v>175</v>
      </c>
      <c r="C148" s="124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144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172</v>
      </c>
      <c r="H148" t="s">
        <v>172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16">
        <v>389</v>
      </c>
    </row>
    <row r="149" spans="1:11" ht="18.75" customHeight="1" x14ac:dyDescent="0.35">
      <c r="A149" s="116">
        <v>2025</v>
      </c>
      <c r="B149" t="s">
        <v>176</v>
      </c>
      <c r="C149" s="124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92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172</v>
      </c>
      <c r="H149" t="s">
        <v>172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16">
        <v>10</v>
      </c>
    </row>
    <row r="150" spans="1:11" ht="18.75" customHeight="1" x14ac:dyDescent="0.35">
      <c r="A150" s="116">
        <v>2025</v>
      </c>
      <c r="B150" t="s">
        <v>176</v>
      </c>
      <c r="C150" s="124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99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172</v>
      </c>
      <c r="H150" t="s">
        <v>172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16">
        <v>0</v>
      </c>
    </row>
    <row r="151" spans="1:11" ht="18.75" customHeight="1" x14ac:dyDescent="0.35">
      <c r="A151" s="116">
        <v>2025</v>
      </c>
      <c r="B151" t="s">
        <v>176</v>
      </c>
      <c r="C151" s="124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95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172</v>
      </c>
      <c r="H151" t="s">
        <v>172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16">
        <v>55</v>
      </c>
    </row>
    <row r="152" spans="1:11" ht="18.75" customHeight="1" x14ac:dyDescent="0.35">
      <c r="A152" s="116">
        <v>2025</v>
      </c>
      <c r="B152" t="s">
        <v>176</v>
      </c>
      <c r="C152" s="124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96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172</v>
      </c>
      <c r="H152" t="s">
        <v>172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16">
        <v>26</v>
      </c>
    </row>
    <row r="153" spans="1:11" ht="18.75" customHeight="1" x14ac:dyDescent="0.35">
      <c r="A153" s="116">
        <v>2025</v>
      </c>
      <c r="B153" t="s">
        <v>176</v>
      </c>
      <c r="C153" s="124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143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172</v>
      </c>
      <c r="H153" t="s">
        <v>172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16">
        <v>25</v>
      </c>
    </row>
    <row r="154" spans="1:11" ht="18.75" customHeight="1" x14ac:dyDescent="0.35">
      <c r="A154" s="116">
        <v>2025</v>
      </c>
      <c r="B154" t="s">
        <v>176</v>
      </c>
      <c r="C154" s="124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185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172</v>
      </c>
      <c r="H154" t="s">
        <v>172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16">
        <v>0</v>
      </c>
    </row>
    <row r="155" spans="1:11" ht="18.75" customHeight="1" x14ac:dyDescent="0.35">
      <c r="A155" s="116">
        <v>2025</v>
      </c>
      <c r="B155" t="s">
        <v>176</v>
      </c>
      <c r="C155" s="124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94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172</v>
      </c>
      <c r="H155" t="s">
        <v>172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16">
        <v>60</v>
      </c>
    </row>
    <row r="156" spans="1:11" ht="18.75" customHeight="1" x14ac:dyDescent="0.35">
      <c r="A156" s="116">
        <v>2025</v>
      </c>
      <c r="B156" t="s">
        <v>176</v>
      </c>
      <c r="C156" s="124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102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172</v>
      </c>
      <c r="H156" t="s">
        <v>172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16">
        <v>24</v>
      </c>
    </row>
    <row r="157" spans="1:11" ht="18.75" customHeight="1" x14ac:dyDescent="0.35">
      <c r="A157" s="116">
        <v>2025</v>
      </c>
      <c r="B157" t="s">
        <v>176</v>
      </c>
      <c r="C157" s="124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144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172</v>
      </c>
      <c r="H157" t="s">
        <v>172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16">
        <v>13</v>
      </c>
    </row>
    <row r="158" spans="1:11" ht="18.75" customHeight="1" x14ac:dyDescent="0.35">
      <c r="A158" s="116">
        <v>2025</v>
      </c>
      <c r="B158" t="s">
        <v>177</v>
      </c>
      <c r="C158" s="124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92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172</v>
      </c>
      <c r="H158" t="s">
        <v>172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16">
        <v>5</v>
      </c>
    </row>
    <row r="159" spans="1:11" ht="18.75" customHeight="1" x14ac:dyDescent="0.35">
      <c r="A159" s="116">
        <v>2025</v>
      </c>
      <c r="B159" t="s">
        <v>177</v>
      </c>
      <c r="C159" s="124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99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172</v>
      </c>
      <c r="H159" t="s">
        <v>172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16">
        <v>0</v>
      </c>
    </row>
    <row r="160" spans="1:11" ht="18.75" customHeight="1" x14ac:dyDescent="0.35">
      <c r="A160" s="116">
        <v>2025</v>
      </c>
      <c r="B160" t="s">
        <v>177</v>
      </c>
      <c r="C160" s="124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95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172</v>
      </c>
      <c r="H160" t="s">
        <v>172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16">
        <v>87</v>
      </c>
    </row>
    <row r="161" spans="1:11" ht="18.75" customHeight="1" x14ac:dyDescent="0.35">
      <c r="A161" s="116">
        <v>2025</v>
      </c>
      <c r="B161" t="s">
        <v>177</v>
      </c>
      <c r="C161" s="124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96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172</v>
      </c>
      <c r="H161" t="s">
        <v>172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16">
        <v>122</v>
      </c>
    </row>
    <row r="162" spans="1:11" ht="18.75" customHeight="1" x14ac:dyDescent="0.35">
      <c r="A162" s="116">
        <v>2025</v>
      </c>
      <c r="B162" t="s">
        <v>177</v>
      </c>
      <c r="C162" s="124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143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172</v>
      </c>
      <c r="H162" t="s">
        <v>172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16">
        <v>25</v>
      </c>
    </row>
    <row r="163" spans="1:11" ht="18.75" customHeight="1" x14ac:dyDescent="0.35">
      <c r="A163" s="116">
        <v>2025</v>
      </c>
      <c r="B163" t="s">
        <v>177</v>
      </c>
      <c r="C163" s="124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185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172</v>
      </c>
      <c r="H163" t="s">
        <v>172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16">
        <v>0</v>
      </c>
    </row>
    <row r="164" spans="1:11" ht="18.75" customHeight="1" x14ac:dyDescent="0.35">
      <c r="A164" s="116">
        <v>2025</v>
      </c>
      <c r="B164" t="s">
        <v>177</v>
      </c>
      <c r="C164" s="124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94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172</v>
      </c>
      <c r="H164" t="s">
        <v>172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16">
        <v>37</v>
      </c>
    </row>
    <row r="165" spans="1:11" ht="18.75" customHeight="1" x14ac:dyDescent="0.35">
      <c r="A165" s="116">
        <v>2025</v>
      </c>
      <c r="B165" t="s">
        <v>177</v>
      </c>
      <c r="C165" s="124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102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172</v>
      </c>
      <c r="H165" t="s">
        <v>172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16">
        <v>24</v>
      </c>
    </row>
    <row r="166" spans="1:11" ht="18.75" customHeight="1" x14ac:dyDescent="0.35">
      <c r="A166" s="116">
        <v>2025</v>
      </c>
      <c r="B166" t="s">
        <v>177</v>
      </c>
      <c r="C166" s="124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144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172</v>
      </c>
      <c r="H166" t="s">
        <v>172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16">
        <v>6</v>
      </c>
    </row>
    <row r="167" spans="1:11" ht="18.75" customHeight="1" x14ac:dyDescent="0.35">
      <c r="A167" s="116">
        <v>2025</v>
      </c>
      <c r="B167" t="s">
        <v>178</v>
      </c>
      <c r="C167" s="124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92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172</v>
      </c>
      <c r="H167" t="s">
        <v>172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16">
        <v>10</v>
      </c>
    </row>
    <row r="168" spans="1:11" ht="18.75" customHeight="1" x14ac:dyDescent="0.35">
      <c r="A168" s="116">
        <v>2025</v>
      </c>
      <c r="B168" t="s">
        <v>178</v>
      </c>
      <c r="C168" s="124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99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172</v>
      </c>
      <c r="H168" t="s">
        <v>172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16">
        <v>0</v>
      </c>
    </row>
    <row r="169" spans="1:11" ht="18.75" customHeight="1" x14ac:dyDescent="0.35">
      <c r="A169" s="116">
        <v>2025</v>
      </c>
      <c r="B169" t="s">
        <v>178</v>
      </c>
      <c r="C169" s="124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95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172</v>
      </c>
      <c r="H169" t="s">
        <v>172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16">
        <v>39</v>
      </c>
    </row>
    <row r="170" spans="1:11" ht="18.75" customHeight="1" x14ac:dyDescent="0.35">
      <c r="A170" s="116">
        <v>2025</v>
      </c>
      <c r="B170" t="s">
        <v>178</v>
      </c>
      <c r="C170" s="124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96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172</v>
      </c>
      <c r="H170" t="s">
        <v>172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16">
        <v>47</v>
      </c>
    </row>
    <row r="171" spans="1:11" ht="18.75" customHeight="1" x14ac:dyDescent="0.35">
      <c r="A171" s="116">
        <v>2025</v>
      </c>
      <c r="B171" t="s">
        <v>178</v>
      </c>
      <c r="C171" s="124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143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172</v>
      </c>
      <c r="H171" t="s">
        <v>172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16">
        <v>25</v>
      </c>
    </row>
    <row r="172" spans="1:11" ht="18.75" customHeight="1" x14ac:dyDescent="0.35">
      <c r="A172" s="116">
        <v>2025</v>
      </c>
      <c r="B172" t="s">
        <v>178</v>
      </c>
      <c r="C172" s="124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185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172</v>
      </c>
      <c r="H172" t="s">
        <v>172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16">
        <v>0</v>
      </c>
    </row>
    <row r="173" spans="1:11" ht="18.75" customHeight="1" x14ac:dyDescent="0.35">
      <c r="A173" s="116">
        <v>2025</v>
      </c>
      <c r="B173" t="s">
        <v>178</v>
      </c>
      <c r="C173" s="124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94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172</v>
      </c>
      <c r="H173" t="s">
        <v>172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16">
        <v>22</v>
      </c>
    </row>
    <row r="174" spans="1:11" ht="18.75" customHeight="1" x14ac:dyDescent="0.35">
      <c r="A174" s="116">
        <v>2025</v>
      </c>
      <c r="B174" t="s">
        <v>178</v>
      </c>
      <c r="C174" s="124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102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172</v>
      </c>
      <c r="H174" t="s">
        <v>172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16">
        <v>24</v>
      </c>
    </row>
    <row r="175" spans="1:11" ht="18.75" customHeight="1" x14ac:dyDescent="0.35">
      <c r="A175" s="116">
        <v>2025</v>
      </c>
      <c r="B175" t="s">
        <v>178</v>
      </c>
      <c r="C175" s="124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144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172</v>
      </c>
      <c r="H175" t="s">
        <v>172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16">
        <v>2</v>
      </c>
    </row>
    <row r="176" spans="1:11" ht="18.75" customHeight="1" x14ac:dyDescent="0.35">
      <c r="A176" s="116">
        <v>2025</v>
      </c>
      <c r="B176" t="s">
        <v>179</v>
      </c>
      <c r="C176" s="124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92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172</v>
      </c>
      <c r="H176" t="s">
        <v>172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16">
        <v>3</v>
      </c>
    </row>
    <row r="177" spans="1:11" ht="18.75" customHeight="1" x14ac:dyDescent="0.35">
      <c r="A177" s="116">
        <v>2025</v>
      </c>
      <c r="B177" t="s">
        <v>179</v>
      </c>
      <c r="C177" s="124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99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172</v>
      </c>
      <c r="H177" t="s">
        <v>172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16">
        <v>0</v>
      </c>
    </row>
    <row r="178" spans="1:11" ht="18.75" customHeight="1" x14ac:dyDescent="0.35">
      <c r="A178" s="116">
        <v>2025</v>
      </c>
      <c r="B178" t="s">
        <v>179</v>
      </c>
      <c r="C178" s="124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95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172</v>
      </c>
      <c r="H178" t="s">
        <v>172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16">
        <v>70</v>
      </c>
    </row>
    <row r="179" spans="1:11" ht="18.75" customHeight="1" x14ac:dyDescent="0.35">
      <c r="A179" s="116">
        <v>2025</v>
      </c>
      <c r="B179" t="s">
        <v>179</v>
      </c>
      <c r="C179" s="124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96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172</v>
      </c>
      <c r="H179" t="s">
        <v>172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16">
        <v>9</v>
      </c>
    </row>
    <row r="180" spans="1:11" ht="18.75" customHeight="1" x14ac:dyDescent="0.35">
      <c r="A180" s="116">
        <v>2025</v>
      </c>
      <c r="B180" t="s">
        <v>179</v>
      </c>
      <c r="C180" s="124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143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172</v>
      </c>
      <c r="H180" t="s">
        <v>172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16">
        <v>25</v>
      </c>
    </row>
    <row r="181" spans="1:11" ht="18.75" customHeight="1" x14ac:dyDescent="0.35">
      <c r="A181" s="116">
        <v>2025</v>
      </c>
      <c r="B181" t="s">
        <v>179</v>
      </c>
      <c r="C181" s="124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185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172</v>
      </c>
      <c r="H181" t="s">
        <v>172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16">
        <v>0</v>
      </c>
    </row>
    <row r="182" spans="1:11" ht="18.75" customHeight="1" x14ac:dyDescent="0.35">
      <c r="A182" s="116">
        <v>2025</v>
      </c>
      <c r="B182" t="s">
        <v>179</v>
      </c>
      <c r="C182" s="124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94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172</v>
      </c>
      <c r="H182" t="s">
        <v>172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16">
        <v>551</v>
      </c>
    </row>
    <row r="183" spans="1:11" ht="18.75" customHeight="1" x14ac:dyDescent="0.35">
      <c r="A183" s="116">
        <v>2025</v>
      </c>
      <c r="B183" t="s">
        <v>179</v>
      </c>
      <c r="C183" s="124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102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172</v>
      </c>
      <c r="H183" t="s">
        <v>172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16">
        <v>24</v>
      </c>
    </row>
    <row r="184" spans="1:11" ht="18.75" customHeight="1" x14ac:dyDescent="0.35">
      <c r="A184" s="116">
        <v>2025</v>
      </c>
      <c r="B184" t="s">
        <v>179</v>
      </c>
      <c r="C184" s="124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144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172</v>
      </c>
      <c r="H184" t="s">
        <v>172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16">
        <v>13</v>
      </c>
    </row>
    <row r="185" spans="1:11" ht="18.75" customHeight="1" x14ac:dyDescent="0.35">
      <c r="A185" s="116">
        <v>2025</v>
      </c>
      <c r="B185" t="s">
        <v>180</v>
      </c>
      <c r="C185" s="124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92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172</v>
      </c>
      <c r="H185" t="s">
        <v>172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16">
        <v>10</v>
      </c>
    </row>
    <row r="186" spans="1:11" ht="18.75" customHeight="1" x14ac:dyDescent="0.35">
      <c r="A186" s="116">
        <v>2025</v>
      </c>
      <c r="B186" t="s">
        <v>180</v>
      </c>
      <c r="C186" s="124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99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172</v>
      </c>
      <c r="H186" t="s">
        <v>172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16">
        <v>0</v>
      </c>
    </row>
    <row r="187" spans="1:11" ht="18.75" customHeight="1" x14ac:dyDescent="0.35">
      <c r="A187" s="116">
        <v>2025</v>
      </c>
      <c r="B187" t="s">
        <v>180</v>
      </c>
      <c r="C187" s="124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95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172</v>
      </c>
      <c r="H187" t="s">
        <v>172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16">
        <v>650</v>
      </c>
    </row>
    <row r="188" spans="1:11" ht="18.75" customHeight="1" x14ac:dyDescent="0.35">
      <c r="A188" s="116">
        <v>2025</v>
      </c>
      <c r="B188" t="s">
        <v>180</v>
      </c>
      <c r="C188" s="124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96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172</v>
      </c>
      <c r="H188" t="s">
        <v>172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16">
        <v>6</v>
      </c>
    </row>
    <row r="189" spans="1:11" ht="18.75" customHeight="1" x14ac:dyDescent="0.35">
      <c r="A189" s="116">
        <v>2025</v>
      </c>
      <c r="B189" t="s">
        <v>180</v>
      </c>
      <c r="C189" s="124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143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172</v>
      </c>
      <c r="H189" t="s">
        <v>172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16">
        <v>25</v>
      </c>
    </row>
    <row r="190" spans="1:11" ht="18.75" customHeight="1" x14ac:dyDescent="0.35">
      <c r="A190" s="116">
        <v>2025</v>
      </c>
      <c r="B190" t="s">
        <v>180</v>
      </c>
      <c r="C190" s="124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185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172</v>
      </c>
      <c r="H190" t="s">
        <v>172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16">
        <v>0</v>
      </c>
    </row>
    <row r="191" spans="1:11" ht="18.75" customHeight="1" x14ac:dyDescent="0.35">
      <c r="A191" s="116">
        <v>2025</v>
      </c>
      <c r="B191" t="s">
        <v>180</v>
      </c>
      <c r="C191" s="124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94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172</v>
      </c>
      <c r="H191" t="s">
        <v>172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16">
        <v>94</v>
      </c>
    </row>
    <row r="192" spans="1:11" ht="18.75" customHeight="1" x14ac:dyDescent="0.35">
      <c r="A192" s="116">
        <v>2025</v>
      </c>
      <c r="B192" t="s">
        <v>180</v>
      </c>
      <c r="C192" s="124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102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172</v>
      </c>
      <c r="H192" t="s">
        <v>172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16">
        <v>24</v>
      </c>
    </row>
    <row r="193" spans="1:11" ht="18.75" customHeight="1" x14ac:dyDescent="0.35">
      <c r="A193" s="116">
        <v>2025</v>
      </c>
      <c r="B193" t="s">
        <v>180</v>
      </c>
      <c r="C193" s="124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144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172</v>
      </c>
      <c r="H193" t="s">
        <v>172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16">
        <v>2</v>
      </c>
    </row>
    <row r="194" spans="1:11" ht="18.75" customHeight="1" x14ac:dyDescent="0.35">
      <c r="A194" s="116">
        <v>2025</v>
      </c>
      <c r="B194" t="s">
        <v>181</v>
      </c>
      <c r="C194" s="124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92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172</v>
      </c>
      <c r="H194" t="s">
        <v>172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16">
        <v>6</v>
      </c>
    </row>
    <row r="195" spans="1:11" ht="18.75" customHeight="1" x14ac:dyDescent="0.35">
      <c r="A195" s="116">
        <v>2025</v>
      </c>
      <c r="B195" t="s">
        <v>181</v>
      </c>
      <c r="C195" s="124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99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172</v>
      </c>
      <c r="H195" t="s">
        <v>172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16">
        <v>0</v>
      </c>
    </row>
    <row r="196" spans="1:11" ht="18.75" customHeight="1" x14ac:dyDescent="0.35">
      <c r="A196" s="116">
        <v>2025</v>
      </c>
      <c r="B196" t="s">
        <v>181</v>
      </c>
      <c r="C196" s="124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95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172</v>
      </c>
      <c r="H196" t="s">
        <v>172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16">
        <v>751</v>
      </c>
    </row>
    <row r="197" spans="1:11" ht="18.75" customHeight="1" x14ac:dyDescent="0.35">
      <c r="A197" s="116">
        <v>2025</v>
      </c>
      <c r="B197" t="s">
        <v>181</v>
      </c>
      <c r="C197" s="124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96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172</v>
      </c>
      <c r="H197" t="s">
        <v>172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16">
        <v>0</v>
      </c>
    </row>
    <row r="198" spans="1:11" ht="18.75" customHeight="1" x14ac:dyDescent="0.35">
      <c r="A198" s="116">
        <v>2025</v>
      </c>
      <c r="B198" t="s">
        <v>181</v>
      </c>
      <c r="C198" s="124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143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172</v>
      </c>
      <c r="H198" t="s">
        <v>172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16">
        <v>25</v>
      </c>
    </row>
    <row r="199" spans="1:11" ht="18.75" customHeight="1" x14ac:dyDescent="0.35">
      <c r="A199" s="116">
        <v>2025</v>
      </c>
      <c r="B199" t="s">
        <v>181</v>
      </c>
      <c r="C199" s="124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185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172</v>
      </c>
      <c r="H199" t="s">
        <v>172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16">
        <v>7691000000</v>
      </c>
    </row>
    <row r="200" spans="1:11" ht="18.75" customHeight="1" x14ac:dyDescent="0.35">
      <c r="A200" s="116">
        <v>2025</v>
      </c>
      <c r="B200" t="s">
        <v>181</v>
      </c>
      <c r="C200" s="124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94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172</v>
      </c>
      <c r="H200" t="s">
        <v>172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16">
        <v>61</v>
      </c>
    </row>
    <row r="201" spans="1:11" ht="18.75" customHeight="1" x14ac:dyDescent="0.35">
      <c r="A201" s="116">
        <v>2025</v>
      </c>
      <c r="B201" t="s">
        <v>181</v>
      </c>
      <c r="C201" s="124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102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172</v>
      </c>
      <c r="H201" t="s">
        <v>172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16">
        <v>24</v>
      </c>
    </row>
    <row r="202" spans="1:11" ht="18.75" customHeight="1" x14ac:dyDescent="0.35">
      <c r="A202" s="116">
        <v>2025</v>
      </c>
      <c r="B202" t="s">
        <v>181</v>
      </c>
      <c r="C202" s="124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144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172</v>
      </c>
      <c r="H202" t="s">
        <v>172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16">
        <v>2</v>
      </c>
    </row>
    <row r="203" spans="1:11" ht="18.75" customHeight="1" x14ac:dyDescent="0.35">
      <c r="C203" s="124" t="str">
        <f>IF(OR(Fact_Impuestos[[#This Row], [Año]]="",Fact_Impuestos[[#This Row], [Mes]]=""),"",DATE(A203,MATCH(B203,{"enero","febrero","marzo","abril","mayo","junio","julio","agosto","septiembre","octubre","noviembre","diciembre"},0)+1,0))</f>
        <v/>
      </c>
      <c r="E203" t="str">
        <f>+IFERROR(VLOOKUP(Fact_Impuestos[[#This Row], [Concepto Anterior]],Conceptos_Impuestos[#All],5,0),"")</f>
        <v/>
      </c>
      <c r="F203" t="str">
        <f>+IFERROR(VLOOKUP(Fact_Impuestos[[#This Row], 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ht="18.75" customHeight="1" x14ac:dyDescent="0.35">
      <c r="C204" s="124" t="str">
        <f>IF(OR(Fact_Impuestos[[#This Row], [Año]]="",Fact_Impuestos[[#This Row], [Mes]]=""),"",DATE(A204,MATCH(B204,{"enero","febrero","marzo","abril","mayo","junio","julio","agosto","septiembre","octubre","noviembre","diciembre"},0)+1,0))</f>
        <v/>
      </c>
      <c r="E204" t="str">
        <f>+IFERROR(VLOOKUP(Fact_Impuestos[[#This Row], [Concepto Anterior]],Conceptos_Impuestos[#All],5,0),"")</f>
        <v/>
      </c>
      <c r="F204" t="str">
        <f>+IFERROR(VLOOKUP(Fact_Impuestos[[#This Row], 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ht="18.75" customHeight="1" x14ac:dyDescent="0.35">
      <c r="C205" s="124" t="str">
        <f>IF(OR(Fact_Impuestos[[#This Row], [Año]]="",Fact_Impuestos[[#This Row], [Mes]]=""),"",DATE(A205,MATCH(B205,{"enero","febrero","marzo","abril","mayo","junio","julio","agosto","septiembre","octubre","noviembre","diciembre"},0)+1,0))</f>
        <v/>
      </c>
      <c r="E205" t="str">
        <f>+IFERROR(VLOOKUP(Fact_Impuestos[[#This Row], [Concepto Anterior]],Conceptos_Impuestos[#All],5,0),"")</f>
        <v/>
      </c>
      <c r="F205" t="str">
        <f>+IFERROR(VLOOKUP(Fact_Impuestos[[#This Row], 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ht="18.75" customHeight="1" x14ac:dyDescent="0.35">
      <c r="C206" s="124" t="str">
        <f>IF(OR(Fact_Impuestos[[#This Row], [Año]]="",Fact_Impuestos[[#This Row], [Mes]]=""),"",DATE(A206,MATCH(B206,{"enero","febrero","marzo","abril","mayo","junio","julio","agosto","septiembre","octubre","noviembre","diciembre"},0)+1,0))</f>
        <v/>
      </c>
      <c r="E206" t="str">
        <f>+IFERROR(VLOOKUP(Fact_Impuestos[[#This Row], [Concepto Anterior]],Conceptos_Impuestos[#All],5,0),"")</f>
        <v/>
      </c>
      <c r="F206" t="str">
        <f>+IFERROR(VLOOKUP(Fact_Impuestos[[#This Row], 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ht="18.75" customHeight="1" x14ac:dyDescent="0.35">
      <c r="C207" s="124" t="str">
        <f>IF(OR(Fact_Impuestos[[#This Row], [Año]]="",Fact_Impuestos[[#This Row], [Mes]]=""),"",DATE(A207,MATCH(B207,{"enero","febrero","marzo","abril","mayo","junio","julio","agosto","septiembre","octubre","noviembre","diciembre"},0)+1,0))</f>
        <v/>
      </c>
      <c r="E207" t="str">
        <f>+IFERROR(VLOOKUP(Fact_Impuestos[[#This Row], [Concepto Anterior]],Conceptos_Impuestos[#All],5,0),"")</f>
        <v/>
      </c>
      <c r="F207" t="str">
        <f>+IFERROR(VLOOKUP(Fact_Impuestos[[#This Row], 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ht="18.75" customHeight="1" x14ac:dyDescent="0.35">
      <c r="C208" s="124" t="str">
        <f>IF(OR(Fact_Impuestos[[#This Row], [Año]]="",Fact_Impuestos[[#This Row], [Mes]]=""),"",DATE(A208,MATCH(B208,{"enero","febrero","marzo","abril","mayo","junio","julio","agosto","septiembre","octubre","noviembre","diciembre"},0)+1,0))</f>
        <v/>
      </c>
      <c r="E208" t="str">
        <f>+IFERROR(VLOOKUP(Fact_Impuestos[[#This Row], [Concepto Anterior]],Conceptos_Impuestos[#All],5,0),"")</f>
        <v/>
      </c>
      <c r="F208" t="str">
        <f>+IFERROR(VLOOKUP(Fact_Impuestos[[#This Row], 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ht="18.75" customHeight="1" x14ac:dyDescent="0.35">
      <c r="C209" s="124" t="str">
        <f>IF(OR(Fact_Impuestos[[#This Row], [Año]]="",Fact_Impuestos[[#This Row], [Mes]]=""),"",DATE(A209,MATCH(B209,{"enero","febrero","marzo","abril","mayo","junio","julio","agosto","septiembre","octubre","noviembre","diciembre"},0)+1,0))</f>
        <v/>
      </c>
      <c r="E209" t="str">
        <f>+IFERROR(VLOOKUP(Fact_Impuestos[[#This Row], [Concepto Anterior]],Conceptos_Impuestos[#All],5,0),"")</f>
        <v/>
      </c>
      <c r="F209" t="str">
        <f>+IFERROR(VLOOKUP(Fact_Impuestos[[#This Row], 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ht="18.75" customHeight="1" x14ac:dyDescent="0.35">
      <c r="C210" s="124" t="str">
        <f>IF(OR(Fact_Impuestos[[#This Row], [Año]]="",Fact_Impuestos[[#This Row], [Mes]]=""),"",DATE(A210,MATCH(B210,{"enero","febrero","marzo","abril","mayo","junio","julio","agosto","septiembre","octubre","noviembre","diciembre"},0)+1,0))</f>
        <v/>
      </c>
      <c r="E210" t="str">
        <f>+IFERROR(VLOOKUP(Fact_Impuestos[[#This Row], [Concepto Anterior]],Conceptos_Impuestos[#All],5,0),"")</f>
        <v/>
      </c>
      <c r="F210" t="str">
        <f>+IFERROR(VLOOKUP(Fact_Impuestos[[#This Row], 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ht="18.75" customHeight="1" x14ac:dyDescent="0.35">
      <c r="C211" s="124" t="str">
        <f>IF(OR(Fact_Impuestos[[#This Row], [Año]]="",Fact_Impuestos[[#This Row], [Mes]]=""),"",DATE(A211,MATCH(B211,{"enero","febrero","marzo","abril","mayo","junio","julio","agosto","septiembre","octubre","noviembre","diciembre"},0)+1,0))</f>
        <v/>
      </c>
      <c r="E211" t="str">
        <f>+IFERROR(VLOOKUP(Fact_Impuestos[[#This Row], [Concepto Anterior]],Conceptos_Impuestos[#All],5,0),"")</f>
        <v/>
      </c>
      <c r="F211" t="str">
        <f>+IFERROR(VLOOKUP(Fact_Impuestos[[#This Row], 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ht="18.75" customHeight="1" x14ac:dyDescent="0.35">
      <c r="C212" s="124" t="str">
        <f>IF(OR(Fact_Impuestos[[#This Row], [Año]]="",Fact_Impuestos[[#This Row], [Mes]]=""),"",DATE(A212,MATCH(B212,{"enero","febrero","marzo","abril","mayo","junio","julio","agosto","septiembre","octubre","noviembre","diciembre"},0)+1,0))</f>
        <v/>
      </c>
      <c r="E212" t="str">
        <f>+IFERROR(VLOOKUP(Fact_Impuestos[[#This Row], [Concepto Anterior]],Conceptos_Impuestos[#All],5,0),"")</f>
        <v/>
      </c>
      <c r="F212" t="str">
        <f>+IFERROR(VLOOKUP(Fact_Impuestos[[#This Row], 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ht="18.75" customHeight="1" x14ac:dyDescent="0.35">
      <c r="C213" s="124" t="str">
        <f>IF(OR(Fact_Impuestos[[#This Row], [Año]]="",Fact_Impuestos[[#This Row], [Mes]]=""),"",DATE(A213,MATCH(B213,{"enero","febrero","marzo","abril","mayo","junio","julio","agosto","septiembre","octubre","noviembre","diciembre"},0)+1,0))</f>
        <v/>
      </c>
      <c r="E213" t="str">
        <f>+IFERROR(VLOOKUP(Fact_Impuestos[[#This Row], [Concepto Anterior]],Conceptos_Impuestos[#All],5,0),"")</f>
        <v/>
      </c>
      <c r="F213" t="str">
        <f>+IFERROR(VLOOKUP(Fact_Impuestos[[#This Row], 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ht="18.75" customHeight="1" x14ac:dyDescent="0.35">
      <c r="C214" s="124" t="str">
        <f>IF(OR(Fact_Impuestos[[#This Row], [Año]]="",Fact_Impuestos[[#This Row], [Mes]]=""),"",DATE(A214,MATCH(B214,{"enero","febrero","marzo","abril","mayo","junio","julio","agosto","septiembre","octubre","noviembre","diciembre"},0)+1,0))</f>
        <v/>
      </c>
      <c r="E214" t="str">
        <f>+IFERROR(VLOOKUP(Fact_Impuestos[[#This Row], [Concepto Anterior]],Conceptos_Impuestos[#All],5,0),"")</f>
        <v/>
      </c>
      <c r="F214" t="str">
        <f>+IFERROR(VLOOKUP(Fact_Impuestos[[#This Row], 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ht="18.75" customHeight="1" x14ac:dyDescent="0.35">
      <c r="C215" s="124" t="str">
        <f>IF(OR(Fact_Impuestos[[#This Row], [Año]]="",Fact_Impuestos[[#This Row], [Mes]]=""),"",DATE(A215,MATCH(B215,{"enero","febrero","marzo","abril","mayo","junio","julio","agosto","septiembre","octubre","noviembre","diciembre"},0)+1,0))</f>
        <v/>
      </c>
      <c r="E215" t="str">
        <f>+IFERROR(VLOOKUP(Fact_Impuestos[[#This Row], [Concepto Anterior]],Conceptos_Impuestos[#All],5,0),"")</f>
        <v/>
      </c>
      <c r="F215" t="str">
        <f>+IFERROR(VLOOKUP(Fact_Impuestos[[#This Row], 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ht="18.75" customHeight="1" x14ac:dyDescent="0.35">
      <c r="C216" s="124" t="str">
        <f>IF(OR(Fact_Impuestos[[#This Row], [Año]]="",Fact_Impuestos[[#This Row], [Mes]]=""),"",DATE(A216,MATCH(B216,{"enero","febrero","marzo","abril","mayo","junio","julio","agosto","septiembre","octubre","noviembre","diciembre"},0)+1,0))</f>
        <v/>
      </c>
      <c r="E216" t="str">
        <f>+IFERROR(VLOOKUP(Fact_Impuestos[[#This Row], [Concepto Anterior]],Conceptos_Impuestos[#All],5,0),"")</f>
        <v/>
      </c>
      <c r="F216" t="str">
        <f>+IFERROR(VLOOKUP(Fact_Impuestos[[#This Row], 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ht="18.75" customHeight="1" x14ac:dyDescent="0.35">
      <c r="C217" s="124" t="str">
        <f>IF(OR(Fact_Impuestos[[#This Row], [Año]]="",Fact_Impuestos[[#This Row], [Mes]]=""),"",DATE(A217,MATCH(B217,{"enero","febrero","marzo","abril","mayo","junio","julio","agosto","septiembre","octubre","noviembre","diciembre"},0)+1,0))</f>
        <v/>
      </c>
      <c r="E217" t="str">
        <f>+IFERROR(VLOOKUP(Fact_Impuestos[[#This Row], [Concepto Anterior]],Conceptos_Impuestos[#All],5,0),"")</f>
        <v/>
      </c>
      <c r="F217" t="str">
        <f>+IFERROR(VLOOKUP(Fact_Impuestos[[#This Row], 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ht="18.75" customHeight="1" x14ac:dyDescent="0.35">
      <c r="C218" s="124" t="str">
        <f>IF(OR(Fact_Impuestos[[#This Row], [Año]]="",Fact_Impuestos[[#This Row], [Mes]]=""),"",DATE(A218,MATCH(B218,{"enero","febrero","marzo","abril","mayo","junio","julio","agosto","septiembre","octubre","noviembre","diciembre"},0)+1,0))</f>
        <v/>
      </c>
      <c r="E218" t="str">
        <f>+IFERROR(VLOOKUP(Fact_Impuestos[[#This Row], [Concepto Anterior]],Conceptos_Impuestos[#All],5,0),"")</f>
        <v/>
      </c>
      <c r="F218" t="str">
        <f>+IFERROR(VLOOKUP(Fact_Impuestos[[#This Row], 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ht="18.75" customHeight="1" x14ac:dyDescent="0.35">
      <c r="C219" s="124" t="str">
        <f>IF(OR(Fact_Impuestos[[#This Row], [Año]]="",Fact_Impuestos[[#This Row], [Mes]]=""),"",DATE(A219,MATCH(B219,{"enero","febrero","marzo","abril","mayo","junio","julio","agosto","septiembre","octubre","noviembre","diciembre"},0)+1,0))</f>
        <v/>
      </c>
      <c r="E219" t="str">
        <f>+IFERROR(VLOOKUP(Fact_Impuestos[[#This Row], [Concepto Anterior]],Conceptos_Impuestos[#All],5,0),"")</f>
        <v/>
      </c>
      <c r="F219" t="str">
        <f>+IFERROR(VLOOKUP(Fact_Impuestos[[#This Row], 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ht="18.75" customHeight="1" x14ac:dyDescent="0.35">
      <c r="C220" s="124" t="str">
        <f>IF(OR(Fact_Impuestos[[#This Row], [Año]]="",Fact_Impuestos[[#This Row], [Mes]]=""),"",DATE(A220,MATCH(B220,{"enero","febrero","marzo","abril","mayo","junio","julio","agosto","septiembre","octubre","noviembre","diciembre"},0)+1,0))</f>
        <v/>
      </c>
      <c r="E220" t="str">
        <f>+IFERROR(VLOOKUP(Fact_Impuestos[[#This Row], [Concepto Anterior]],Conceptos_Impuestos[#All],5,0),"")</f>
        <v/>
      </c>
      <c r="F220" t="str">
        <f>+IFERROR(VLOOKUP(Fact_Impuestos[[#This Row], 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ht="18.75" customHeight="1" x14ac:dyDescent="0.35">
      <c r="C221" s="124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ht="18.75" customHeight="1" x14ac:dyDescent="0.35">
      <c r="C222" s="124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ht="18.75" customHeight="1" x14ac:dyDescent="0.35">
      <c r="C223" s="124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ht="18.75" customHeight="1" x14ac:dyDescent="0.35">
      <c r="C224" s="124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ht="18.75" customHeight="1" x14ac:dyDescent="0.35">
      <c r="C225" s="124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ht="18.75" customHeight="1" x14ac:dyDescent="0.35">
      <c r="C226" s="124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ht="18.75" customHeight="1" x14ac:dyDescent="0.35">
      <c r="C227" s="124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ht="18.75" customHeight="1" x14ac:dyDescent="0.35">
      <c r="C228" s="124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ht="18.75" customHeight="1" x14ac:dyDescent="0.35">
      <c r="C229" s="124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ht="18.75" customHeight="1" x14ac:dyDescent="0.35">
      <c r="C230" s="124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ht="18.75" customHeight="1" x14ac:dyDescent="0.35">
      <c r="C231" s="124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ht="18.75" customHeight="1" x14ac:dyDescent="0.35">
      <c r="C232" s="124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ht="18.75" customHeight="1" x14ac:dyDescent="0.35">
      <c r="C233" s="124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ht="18.75" customHeight="1" x14ac:dyDescent="0.35">
      <c r="C234" s="124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ht="18.75" customHeight="1" x14ac:dyDescent="0.35">
      <c r="C235" s="124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ht="18.75" customHeight="1" x14ac:dyDescent="0.35">
      <c r="C236" s="124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ht="18.75" customHeight="1" x14ac:dyDescent="0.35">
      <c r="C237" s="124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ht="18.75" customHeight="1" x14ac:dyDescent="0.35">
      <c r="C238" s="124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ht="18.75" customHeight="1" x14ac:dyDescent="0.35">
      <c r="C239" s="124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ht="18.75" customHeight="1" x14ac:dyDescent="0.35">
      <c r="C240" s="124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ht="18.75" customHeight="1" x14ac:dyDescent="0.35">
      <c r="C241" s="124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ht="18.75" customHeight="1" x14ac:dyDescent="0.35">
      <c r="C242" s="124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ht="18.75" customHeight="1" x14ac:dyDescent="0.35">
      <c r="C243" s="124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ht="18.75" customHeight="1" x14ac:dyDescent="0.35">
      <c r="C244" s="124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ht="18.75" customHeight="1" x14ac:dyDescent="0.35">
      <c r="C245" s="124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ht="18.75" customHeight="1" x14ac:dyDescent="0.35">
      <c r="C246" s="124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ht="18.75" customHeight="1" x14ac:dyDescent="0.35">
      <c r="C247" s="124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ht="18.75" customHeight="1" x14ac:dyDescent="0.35">
      <c r="C248" s="124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ht="18.75" customHeight="1" x14ac:dyDescent="0.35">
      <c r="C249" s="124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ht="18.75" customHeight="1" x14ac:dyDescent="0.35">
      <c r="C250" s="124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ht="18.75" customHeight="1" x14ac:dyDescent="0.35">
      <c r="C251" s="124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ht="18.75" customHeight="1" x14ac:dyDescent="0.35">
      <c r="C252" s="124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ht="18.75" customHeight="1" x14ac:dyDescent="0.35">
      <c r="C253" s="124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ht="18.75" customHeight="1" x14ac:dyDescent="0.35">
      <c r="C254" s="124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ht="18.75" customHeight="1" x14ac:dyDescent="0.35">
      <c r="C255" s="124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ht="18.75" customHeight="1" x14ac:dyDescent="0.35">
      <c r="C256" s="124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ht="18.75" customHeight="1" x14ac:dyDescent="0.35">
      <c r="C257" s="124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ht="18.75" customHeight="1" x14ac:dyDescent="0.35">
      <c r="C258" s="124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ht="18.75" customHeight="1" x14ac:dyDescent="0.35">
      <c r="C259" s="124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ht="18.75" customHeight="1" x14ac:dyDescent="0.35">
      <c r="C260" s="124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ht="18.75" customHeight="1" x14ac:dyDescent="0.35">
      <c r="C261" s="124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ht="18.75" customHeight="1" x14ac:dyDescent="0.35">
      <c r="C262" s="124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ht="18.75" customHeight="1" x14ac:dyDescent="0.35">
      <c r="C263" s="124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ht="18.75" customHeight="1" x14ac:dyDescent="0.35">
      <c r="C264" s="124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ht="18.75" customHeight="1" x14ac:dyDescent="0.35">
      <c r="C265" s="124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ht="18.75" customHeight="1" x14ac:dyDescent="0.35">
      <c r="C266" s="124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ht="18.75" customHeight="1" x14ac:dyDescent="0.35">
      <c r="C267" s="124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ht="18.75" customHeight="1" x14ac:dyDescent="0.35">
      <c r="C268" s="124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ht="18.75" customHeight="1" x14ac:dyDescent="0.35">
      <c r="C269" s="124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ht="18.75" customHeight="1" x14ac:dyDescent="0.35">
      <c r="C270" s="124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ht="18.75" customHeight="1" x14ac:dyDescent="0.35">
      <c r="C271" s="124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ht="18.75" customHeight="1" x14ac:dyDescent="0.35">
      <c r="C272" s="124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ht="18.75" customHeight="1" x14ac:dyDescent="0.35">
      <c r="C273" s="124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ht="18.75" customHeight="1" x14ac:dyDescent="0.35">
      <c r="C274" s="124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ht="18.75" customHeight="1" x14ac:dyDescent="0.35">
      <c r="C275" s="124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ht="18.75" customHeight="1" x14ac:dyDescent="0.35">
      <c r="C276" s="124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ht="18.75" customHeight="1" x14ac:dyDescent="0.35">
      <c r="C277" s="124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ht="18.75" customHeight="1" x14ac:dyDescent="0.35">
      <c r="C278" s="124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ht="18.75" customHeight="1" x14ac:dyDescent="0.35">
      <c r="C279" s="124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ht="18.75" customHeight="1" x14ac:dyDescent="0.35">
      <c r="C280" s="124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ht="18.75" customHeight="1" x14ac:dyDescent="0.35">
      <c r="C281" s="124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ht="18.75" customHeight="1" x14ac:dyDescent="0.35">
      <c r="C282" s="124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ht="18.75" customHeight="1" x14ac:dyDescent="0.35">
      <c r="C283" s="124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ht="18.75" customHeight="1" x14ac:dyDescent="0.35">
      <c r="C284" s="124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ht="18.75" customHeight="1" x14ac:dyDescent="0.35">
      <c r="C285" s="124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ht="18.75" customHeight="1" x14ac:dyDescent="0.35">
      <c r="C286" s="124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ht="18.75" customHeight="1" x14ac:dyDescent="0.35">
      <c r="C287" s="124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ht="18.75" customHeight="1" x14ac:dyDescent="0.35">
      <c r="C288" s="124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ht="18.75" customHeight="1" x14ac:dyDescent="0.35">
      <c r="C289" s="124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ht="18.75" customHeight="1" x14ac:dyDescent="0.35">
      <c r="C290" s="124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ht="18.75" customHeight="1" x14ac:dyDescent="0.35">
      <c r="C291" s="124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ht="18.75" customHeight="1" x14ac:dyDescent="0.35">
      <c r="C292" s="124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ht="18.75" customHeight="1" x14ac:dyDescent="0.35">
      <c r="C293" s="124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ht="18.75" customHeight="1" x14ac:dyDescent="0.35">
      <c r="C294" s="124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ht="18.75" customHeight="1" x14ac:dyDescent="0.35">
      <c r="C295" s="124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ht="18.75" customHeight="1" x14ac:dyDescent="0.35">
      <c r="C296" s="124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ht="18.75" customHeight="1" x14ac:dyDescent="0.35">
      <c r="C297" s="124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ht="18.75" customHeight="1" x14ac:dyDescent="0.35">
      <c r="C298" s="124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ht="18.75" customHeight="1" x14ac:dyDescent="0.35">
      <c r="C299" s="124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ht="18.75" customHeight="1" x14ac:dyDescent="0.35">
      <c r="C300" s="124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ht="18.75" customHeight="1" x14ac:dyDescent="0.35">
      <c r="C301" s="124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ht="18.75" customHeight="1" x14ac:dyDescent="0.35">
      <c r="C302" s="124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ht="18.75" customHeight="1" x14ac:dyDescent="0.35">
      <c r="C303" s="124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ht="18.75" customHeight="1" x14ac:dyDescent="0.35">
      <c r="C304" s="124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ht="18.75" customHeight="1" x14ac:dyDescent="0.35">
      <c r="C305" s="124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ht="18.75" customHeight="1" x14ac:dyDescent="0.35">
      <c r="C306" s="124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ht="18.75" customHeight="1" x14ac:dyDescent="0.35">
      <c r="C307" s="124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ht="18.75" customHeight="1" x14ac:dyDescent="0.35">
      <c r="C308" s="124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ht="18.75" customHeight="1" x14ac:dyDescent="0.35">
      <c r="C309" s="124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ht="18.75" customHeight="1" x14ac:dyDescent="0.35">
      <c r="C310" s="124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ht="18.75" customHeight="1" x14ac:dyDescent="0.35">
      <c r="C311" s="124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ht="18.75" customHeight="1" x14ac:dyDescent="0.35">
      <c r="C312" s="124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ht="18.75" customHeight="1" x14ac:dyDescent="0.35">
      <c r="C313" s="124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ht="18.75" customHeight="1" x14ac:dyDescent="0.35">
      <c r="C314" s="124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ht="18.75" customHeight="1" x14ac:dyDescent="0.35">
      <c r="C315" s="124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ht="18.75" customHeight="1" x14ac:dyDescent="0.35">
      <c r="C316" s="124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ht="18.75" customHeight="1" x14ac:dyDescent="0.35">
      <c r="C317" s="124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ht="18.75" customHeight="1" x14ac:dyDescent="0.35">
      <c r="C318" s="124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ht="18.75" customHeight="1" x14ac:dyDescent="0.35">
      <c r="C319" s="124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ht="18.75" customHeight="1" x14ac:dyDescent="0.35">
      <c r="C320" s="124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ht="18.75" customHeight="1" x14ac:dyDescent="0.35">
      <c r="C321" s="124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ht="18.75" customHeight="1" x14ac:dyDescent="0.35">
      <c r="C322" s="124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ht="18.75" customHeight="1" x14ac:dyDescent="0.35">
      <c r="C323" s="124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ht="18.75" customHeight="1" x14ac:dyDescent="0.35">
      <c r="C324" s="124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ht="18.75" customHeight="1" x14ac:dyDescent="0.35">
      <c r="C325" s="124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ht="18.75" customHeight="1" x14ac:dyDescent="0.35">
      <c r="C326" s="124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ht="18.75" customHeight="1" x14ac:dyDescent="0.35">
      <c r="C327" s="124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ht="18.75" customHeight="1" x14ac:dyDescent="0.35">
      <c r="C328" s="124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ht="18.75" customHeight="1" x14ac:dyDescent="0.35">
      <c r="C329" s="124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ht="18.75" customHeight="1" x14ac:dyDescent="0.35">
      <c r="C330" s="124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ht="18.75" customHeight="1" x14ac:dyDescent="0.35">
      <c r="C331" s="124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ht="18.75" customHeight="1" x14ac:dyDescent="0.35">
      <c r="C332" s="124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ht="18.75" customHeight="1" x14ac:dyDescent="0.35">
      <c r="C333" s="124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ht="18.75" customHeight="1" x14ac:dyDescent="0.35">
      <c r="C334" s="124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ht="18.75" customHeight="1" x14ac:dyDescent="0.35">
      <c r="C335" s="124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ht="18.75" customHeight="1" x14ac:dyDescent="0.35">
      <c r="C336" s="124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ht="18.75" customHeight="1" x14ac:dyDescent="0.35">
      <c r="C337" s="124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ht="18.75" customHeight="1" x14ac:dyDescent="0.35">
      <c r="C338" s="124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ht="18.75" customHeight="1" x14ac:dyDescent="0.35">
      <c r="C339" s="124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ht="18.75" customHeight="1" x14ac:dyDescent="0.35">
      <c r="C340" s="124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ht="18.75" customHeight="1" x14ac:dyDescent="0.35">
      <c r="C341" s="124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ht="18.75" customHeight="1" x14ac:dyDescent="0.35">
      <c r="C342" s="124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ht="18.75" customHeight="1" x14ac:dyDescent="0.35">
      <c r="C343" s="124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ht="18.75" customHeight="1" x14ac:dyDescent="0.35">
      <c r="C344" s="124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ht="18.75" customHeight="1" x14ac:dyDescent="0.35">
      <c r="C345" s="124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ht="18.75" customHeight="1" x14ac:dyDescent="0.35">
      <c r="C346" s="124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ht="18.75" customHeight="1" x14ac:dyDescent="0.35">
      <c r="C347" s="124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ht="18.75" customHeight="1" x14ac:dyDescent="0.35">
      <c r="C348" s="124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ht="18.75" customHeight="1" x14ac:dyDescent="0.35">
      <c r="C349" s="124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ht="18.75" customHeight="1" x14ac:dyDescent="0.35">
      <c r="C350" s="124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ht="18.75" customHeight="1" x14ac:dyDescent="0.35">
      <c r="C351" s="124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ht="18.75" customHeight="1" x14ac:dyDescent="0.35">
      <c r="C352" s="124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ht="18.75" customHeight="1" x14ac:dyDescent="0.35">
      <c r="C353" s="124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ht="18.75" customHeight="1" x14ac:dyDescent="0.35">
      <c r="C354" s="124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ht="18.75" customHeight="1" x14ac:dyDescent="0.35">
      <c r="C355" s="124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ht="18.75" customHeight="1" x14ac:dyDescent="0.35">
      <c r="C356" s="124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ht="18.75" customHeight="1" x14ac:dyDescent="0.35">
      <c r="C357" s="124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ht="18.75" customHeight="1" x14ac:dyDescent="0.35">
      <c r="C358" s="124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ht="18.75" customHeight="1" x14ac:dyDescent="0.35">
      <c r="C359" s="124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ht="18.75" customHeight="1" x14ac:dyDescent="0.35">
      <c r="C360" s="124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ht="18.75" customHeight="1" x14ac:dyDescent="0.35">
      <c r="C361" s="124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ht="18.75" customHeight="1" x14ac:dyDescent="0.35">
      <c r="C362" s="124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ht="18.75" customHeight="1" x14ac:dyDescent="0.35">
      <c r="C363" s="124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ht="18.75" customHeight="1" x14ac:dyDescent="0.35">
      <c r="C364" s="124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ht="18.75" customHeight="1" x14ac:dyDescent="0.35">
      <c r="C365" s="124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ht="18.75" customHeight="1" x14ac:dyDescent="0.35">
      <c r="C366" s="124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ht="18.75" customHeight="1" x14ac:dyDescent="0.35">
      <c r="C367" s="124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ht="18.75" customHeight="1" x14ac:dyDescent="0.35">
      <c r="C368" s="124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ht="18.75" customHeight="1" x14ac:dyDescent="0.35">
      <c r="C369" s="124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ht="18.75" customHeight="1" x14ac:dyDescent="0.35">
      <c r="C370" s="124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ht="18.75" customHeight="1" x14ac:dyDescent="0.35">
      <c r="C371" s="124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ht="18.75" customHeight="1" x14ac:dyDescent="0.35">
      <c r="C372" s="124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ht="18.75" customHeight="1" x14ac:dyDescent="0.35">
      <c r="C373" s="124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ht="18.75" customHeight="1" x14ac:dyDescent="0.35">
      <c r="C374" s="124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ht="18.75" customHeight="1" x14ac:dyDescent="0.35">
      <c r="C375" s="124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ht="18.75" customHeight="1" x14ac:dyDescent="0.35">
      <c r="C376" s="124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ht="18.75" customHeight="1" x14ac:dyDescent="0.35">
      <c r="C377" s="124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ht="18.75" customHeight="1" x14ac:dyDescent="0.35">
      <c r="C378" s="124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ht="18.75" customHeight="1" x14ac:dyDescent="0.35">
      <c r="C379" s="124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ht="18.75" customHeight="1" x14ac:dyDescent="0.35">
      <c r="C380" s="124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ht="18.75" customHeight="1" x14ac:dyDescent="0.35">
      <c r="C381" s="124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ht="18.75" customHeight="1" x14ac:dyDescent="0.35">
      <c r="C382" s="124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ht="18.75" customHeight="1" x14ac:dyDescent="0.35">
      <c r="C383" s="124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ht="18.75" customHeight="1" x14ac:dyDescent="0.35">
      <c r="C384" s="124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ht="18.75" customHeight="1" x14ac:dyDescent="0.35">
      <c r="C385" s="124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ht="18.75" customHeight="1" x14ac:dyDescent="0.35">
      <c r="C386" s="124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ht="18.75" customHeight="1" x14ac:dyDescent="0.35">
      <c r="C387" s="124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ht="18.75" customHeight="1" x14ac:dyDescent="0.35">
      <c r="C388" s="124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ht="18.75" customHeight="1" x14ac:dyDescent="0.35">
      <c r="C389" s="124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ht="18.75" customHeight="1" x14ac:dyDescent="0.35">
      <c r="C390" s="124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ht="18.75" customHeight="1" x14ac:dyDescent="0.35">
      <c r="C391" s="124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ht="18.75" customHeight="1" x14ac:dyDescent="0.35">
      <c r="C392" s="124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ht="18.75" customHeight="1" x14ac:dyDescent="0.35">
      <c r="C393" s="124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ht="18.75" customHeight="1" x14ac:dyDescent="0.35">
      <c r="C394" s="124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ht="18.75" customHeight="1" x14ac:dyDescent="0.35">
      <c r="C395" s="124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ht="18.75" customHeight="1" x14ac:dyDescent="0.35">
      <c r="C396" s="124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ht="18.75" customHeight="1" x14ac:dyDescent="0.35">
      <c r="C397" s="124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ht="18.75" customHeight="1" x14ac:dyDescent="0.35">
      <c r="C398" s="124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ht="18.75" customHeight="1" x14ac:dyDescent="0.35">
      <c r="C399" s="124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ht="18.75" customHeight="1" x14ac:dyDescent="0.35">
      <c r="C400" s="124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ht="18.75" customHeight="1" x14ac:dyDescent="0.35">
      <c r="C401" s="124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ht="18.75" customHeight="1" x14ac:dyDescent="0.35">
      <c r="C402" s="124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ht="18.75" customHeight="1" x14ac:dyDescent="0.35">
      <c r="C403" s="124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ht="18.75" customHeight="1" x14ac:dyDescent="0.35">
      <c r="C404" s="124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ht="18.75" customHeight="1" x14ac:dyDescent="0.35">
      <c r="C405" s="124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ht="18.75" customHeight="1" x14ac:dyDescent="0.35">
      <c r="C406" s="124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ht="18.75" customHeight="1" x14ac:dyDescent="0.35">
      <c r="C407" s="124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ht="18.75" customHeight="1" x14ac:dyDescent="0.35">
      <c r="C408" s="124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ht="18.75" customHeight="1" x14ac:dyDescent="0.35">
      <c r="C409" s="124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ht="18.75" customHeight="1" x14ac:dyDescent="0.35">
      <c r="C410" s="124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ht="18.75" customHeight="1" x14ac:dyDescent="0.35">
      <c r="C411" s="124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ht="18.75" customHeight="1" x14ac:dyDescent="0.35">
      <c r="C412" s="124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ht="18.75" customHeight="1" x14ac:dyDescent="0.35">
      <c r="C413" s="124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ht="18.75" customHeight="1" x14ac:dyDescent="0.35">
      <c r="C414" s="124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ht="18.75" customHeight="1" x14ac:dyDescent="0.35">
      <c r="C415" s="124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ht="18.75" customHeight="1" x14ac:dyDescent="0.35">
      <c r="C416" s="124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ht="18.75" customHeight="1" x14ac:dyDescent="0.35">
      <c r="C417" s="124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ht="18.75" customHeight="1" x14ac:dyDescent="0.35">
      <c r="C418" s="124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ht="18.75" customHeight="1" x14ac:dyDescent="0.35">
      <c r="C419" s="124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ht="18.75" customHeight="1" x14ac:dyDescent="0.35">
      <c r="C420" s="124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ht="18.75" customHeight="1" x14ac:dyDescent="0.35">
      <c r="C421" s="124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ht="18.75" customHeight="1" x14ac:dyDescent="0.35">
      <c r="C422" s="124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ht="18.75" customHeight="1" x14ac:dyDescent="0.35">
      <c r="C423" s="124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ht="18.75" customHeight="1" x14ac:dyDescent="0.35">
      <c r="C424" s="124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ht="18.75" customHeight="1" x14ac:dyDescent="0.35">
      <c r="C425" s="124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ht="18.75" customHeight="1" x14ac:dyDescent="0.35">
      <c r="C426" s="124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ht="18.75" customHeight="1" x14ac:dyDescent="0.35">
      <c r="C427" s="124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ht="18.75" customHeight="1" x14ac:dyDescent="0.35">
      <c r="C428" s="124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ht="18.75" customHeight="1" x14ac:dyDescent="0.35">
      <c r="C429" s="124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ht="18.75" customHeight="1" x14ac:dyDescent="0.35">
      <c r="C430" s="124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ht="18.75" customHeight="1" x14ac:dyDescent="0.35">
      <c r="C431" s="124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ht="18.75" customHeight="1" x14ac:dyDescent="0.35">
      <c r="C432" s="124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ht="18.75" customHeight="1" x14ac:dyDescent="0.35">
      <c r="C433" s="124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ht="18.75" customHeight="1" x14ac:dyDescent="0.35">
      <c r="C434" s="124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ht="18.75" customHeight="1" x14ac:dyDescent="0.35">
      <c r="C435" s="124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ht="18.75" customHeight="1" x14ac:dyDescent="0.35">
      <c r="C436" s="124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ht="18.75" customHeight="1" x14ac:dyDescent="0.35">
      <c r="C437" s="124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ht="18.75" customHeight="1" x14ac:dyDescent="0.35">
      <c r="C438" s="124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ht="18.75" customHeight="1" x14ac:dyDescent="0.35">
      <c r="C439" s="124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ht="18.75" customHeight="1" x14ac:dyDescent="0.35">
      <c r="C440" s="124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ht="18.75" customHeight="1" x14ac:dyDescent="0.35">
      <c r="C441" s="124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ht="18.75" customHeight="1" x14ac:dyDescent="0.35">
      <c r="C442" s="124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ht="18.75" customHeight="1" x14ac:dyDescent="0.35">
      <c r="C443" s="124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ht="18.75" customHeight="1" x14ac:dyDescent="0.35">
      <c r="C444" s="124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ht="18.75" customHeight="1" x14ac:dyDescent="0.35">
      <c r="C445" s="124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ht="18.75" customHeight="1" x14ac:dyDescent="0.35">
      <c r="C446" s="124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ht="18.75" customHeight="1" x14ac:dyDescent="0.35">
      <c r="C447" s="124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ht="18.75" customHeight="1" x14ac:dyDescent="0.35">
      <c r="C448" s="124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ht="18.75" customHeight="1" x14ac:dyDescent="0.35">
      <c r="C449" s="124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ht="18.75" customHeight="1" x14ac:dyDescent="0.35">
      <c r="C450" s="124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ht="18.75" customHeight="1" x14ac:dyDescent="0.35">
      <c r="C451" s="124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ht="18.75" customHeight="1" x14ac:dyDescent="0.35">
      <c r="C452" s="124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ht="18.75" customHeight="1" x14ac:dyDescent="0.35">
      <c r="C453" s="124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ht="18.75" customHeight="1" x14ac:dyDescent="0.35">
      <c r="C454" s="124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ht="18.75" customHeight="1" x14ac:dyDescent="0.35">
      <c r="C455" s="124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ht="18.75" customHeight="1" x14ac:dyDescent="0.35">
      <c r="C456" s="124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ht="18.75" customHeight="1" x14ac:dyDescent="0.35">
      <c r="C457" s="124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ht="18.75" customHeight="1" x14ac:dyDescent="0.35">
      <c r="C458" s="124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ht="18.75" customHeight="1" x14ac:dyDescent="0.35">
      <c r="C459" s="124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ht="18.75" customHeight="1" x14ac:dyDescent="0.35">
      <c r="C460" s="124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ht="18.75" customHeight="1" x14ac:dyDescent="0.35">
      <c r="C461" s="124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ht="18.75" customHeight="1" x14ac:dyDescent="0.35">
      <c r="C462" s="124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ht="18.75" customHeight="1" x14ac:dyDescent="0.35">
      <c r="C463" s="124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ht="18.75" customHeight="1" x14ac:dyDescent="0.35">
      <c r="C464" s="124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ht="18.75" customHeight="1" x14ac:dyDescent="0.35">
      <c r="C465" s="124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ht="18.75" customHeight="1" x14ac:dyDescent="0.35">
      <c r="C466" s="124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ht="18.75" customHeight="1" x14ac:dyDescent="0.35">
      <c r="C467" s="124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ht="18.75" customHeight="1" x14ac:dyDescent="0.35">
      <c r="C468" s="124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ht="18.75" customHeight="1" x14ac:dyDescent="0.35">
      <c r="C469" s="124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ht="18.75" customHeight="1" x14ac:dyDescent="0.35">
      <c r="C470" s="124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ht="18.75" customHeight="1" x14ac:dyDescent="0.35">
      <c r="C471" s="124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ht="18.75" customHeight="1" x14ac:dyDescent="0.35">
      <c r="C472" s="124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ht="18.75" customHeight="1" x14ac:dyDescent="0.35">
      <c r="C473" s="124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ht="18.75" customHeight="1" x14ac:dyDescent="0.35">
      <c r="C474" s="124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ht="18.75" customHeight="1" x14ac:dyDescent="0.35">
      <c r="C475" s="124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ht="18.75" customHeight="1" x14ac:dyDescent="0.35">
      <c r="C476" s="124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ht="18.75" customHeight="1" x14ac:dyDescent="0.35">
      <c r="C477" s="124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ht="18.75" customHeight="1" x14ac:dyDescent="0.35">
      <c r="C478" s="124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ht="18.75" customHeight="1" x14ac:dyDescent="0.35">
      <c r="C479" s="124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ht="18.75" customHeight="1" x14ac:dyDescent="0.35">
      <c r="C480" s="124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ht="18.75" customHeight="1" x14ac:dyDescent="0.35">
      <c r="C481" s="124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ht="18.75" customHeight="1" x14ac:dyDescent="0.35">
      <c r="C482" s="124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ht="18.75" customHeight="1" x14ac:dyDescent="0.35">
      <c r="C483" s="124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ht="18.75" customHeight="1" x14ac:dyDescent="0.35">
      <c r="C484" s="124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ht="18.75" customHeight="1" x14ac:dyDescent="0.35">
      <c r="C485" s="124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ht="18.75" customHeight="1" x14ac:dyDescent="0.35">
      <c r="C486" s="124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ht="18.75" customHeight="1" x14ac:dyDescent="0.35">
      <c r="C487" s="124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ht="18.75" customHeight="1" x14ac:dyDescent="0.35">
      <c r="C488" s="124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ht="18.75" customHeight="1" x14ac:dyDescent="0.35">
      <c r="C489" s="124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ht="18.75" customHeight="1" x14ac:dyDescent="0.35">
      <c r="C490" s="124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ht="18.75" customHeight="1" x14ac:dyDescent="0.35">
      <c r="C491" s="124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ht="18.75" customHeight="1" x14ac:dyDescent="0.35">
      <c r="C492" s="124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ht="18.75" customHeight="1" x14ac:dyDescent="0.35">
      <c r="C493" s="124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ht="18.75" customHeight="1" x14ac:dyDescent="0.35">
      <c r="C494" s="124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ht="18.75" customHeight="1" x14ac:dyDescent="0.35">
      <c r="C495" s="124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ht="18.75" customHeight="1" x14ac:dyDescent="0.35">
      <c r="C496" s="124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ht="18.75" customHeight="1" x14ac:dyDescent="0.35">
      <c r="C497" s="124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ht="18.75" customHeight="1" x14ac:dyDescent="0.35">
      <c r="C498" s="124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ht="18.75" customHeight="1" x14ac:dyDescent="0.35">
      <c r="C499" s="124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ht="18.75" customHeight="1" x14ac:dyDescent="0.35">
      <c r="C500" s="124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ht="18.75" customHeight="1" x14ac:dyDescent="0.35">
      <c r="C501" s="124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ht="18.75" customHeight="1" x14ac:dyDescent="0.35">
      <c r="C502" s="124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ht="18.75" customHeight="1" x14ac:dyDescent="0.35">
      <c r="C503" s="124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ht="18.75" customHeight="1" x14ac:dyDescent="0.35">
      <c r="C504" s="124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ht="18.75" customHeight="1" x14ac:dyDescent="0.35">
      <c r="C505" s="124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ht="18.75" customHeight="1" x14ac:dyDescent="0.35">
      <c r="C506" s="124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ht="18.75" customHeight="1" x14ac:dyDescent="0.35">
      <c r="C507" s="124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ht="18.75" customHeight="1" x14ac:dyDescent="0.35">
      <c r="C508" s="124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ht="18.75" customHeight="1" x14ac:dyDescent="0.35">
      <c r="C509" s="124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ht="18.75" customHeight="1" x14ac:dyDescent="0.35">
      <c r="C510" s="124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ht="18.75" customHeight="1" x14ac:dyDescent="0.35">
      <c r="C511" s="124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ht="18.75" customHeight="1" x14ac:dyDescent="0.35">
      <c r="C512" s="124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ht="18.75" customHeight="1" x14ac:dyDescent="0.35">
      <c r="C513" s="124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ht="18.75" customHeight="1" x14ac:dyDescent="0.35">
      <c r="C514" s="124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ht="18.75" customHeight="1" x14ac:dyDescent="0.35">
      <c r="C515" s="124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ht="18.75" customHeight="1" x14ac:dyDescent="0.35">
      <c r="C516" s="124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ht="18.75" customHeight="1" x14ac:dyDescent="0.35">
      <c r="C517" s="124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ht="18.75" customHeight="1" x14ac:dyDescent="0.35">
      <c r="C518" s="124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ht="18.75" customHeight="1" x14ac:dyDescent="0.35">
      <c r="C519" s="124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ht="18.75" customHeight="1" x14ac:dyDescent="0.35">
      <c r="C520" s="124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ht="18.75" customHeight="1" x14ac:dyDescent="0.35">
      <c r="C521" s="124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ht="18.75" customHeight="1" x14ac:dyDescent="0.35">
      <c r="C522" s="124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ht="18.75" customHeight="1" x14ac:dyDescent="0.35">
      <c r="C523" s="124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ht="18.75" customHeight="1" x14ac:dyDescent="0.35">
      <c r="C524" s="124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ht="18.75" customHeight="1" x14ac:dyDescent="0.35">
      <c r="C525" s="124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ht="18.75" customHeight="1" x14ac:dyDescent="0.35">
      <c r="C526" s="124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ht="18.75" customHeight="1" x14ac:dyDescent="0.35">
      <c r="C527" s="124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ht="18.75" customHeight="1" x14ac:dyDescent="0.35">
      <c r="C528" s="124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ht="18.75" customHeight="1" x14ac:dyDescent="0.35">
      <c r="C529" s="124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ht="18.75" customHeight="1" x14ac:dyDescent="0.35">
      <c r="C530" s="124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ht="18.75" customHeight="1" x14ac:dyDescent="0.35">
      <c r="C531" s="124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ht="18.75" customHeight="1" x14ac:dyDescent="0.35">
      <c r="C532" s="124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ht="18.75" customHeight="1" x14ac:dyDescent="0.35">
      <c r="C533" s="124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ht="18.75" customHeight="1" x14ac:dyDescent="0.35">
      <c r="C534" s="124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ht="18.75" customHeight="1" x14ac:dyDescent="0.35">
      <c r="C535" s="124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ht="18.75" customHeight="1" x14ac:dyDescent="0.35">
      <c r="C536" s="124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ht="18.75" customHeight="1" x14ac:dyDescent="0.35">
      <c r="C537" s="124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ht="18.75" customHeight="1" x14ac:dyDescent="0.35">
      <c r="C538" s="124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ht="18.75" customHeight="1" x14ac:dyDescent="0.35">
      <c r="C539" s="124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ht="18.75" customHeight="1" x14ac:dyDescent="0.35">
      <c r="C540" s="124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ht="18.75" customHeight="1" x14ac:dyDescent="0.35">
      <c r="C541" s="124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ht="18.75" customHeight="1" x14ac:dyDescent="0.35">
      <c r="C542" s="124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ht="18.75" customHeight="1" x14ac:dyDescent="0.35">
      <c r="C543" s="124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ht="18.75" customHeight="1" x14ac:dyDescent="0.35">
      <c r="C544" s="124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ht="18.75" customHeight="1" x14ac:dyDescent="0.35">
      <c r="C545" s="124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ht="18.75" customHeight="1" x14ac:dyDescent="0.35">
      <c r="C546" s="124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ht="18.75" customHeight="1" x14ac:dyDescent="0.35">
      <c r="C547" s="124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ht="18.75" customHeight="1" x14ac:dyDescent="0.35">
      <c r="C548" s="124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ht="18.75" customHeight="1" x14ac:dyDescent="0.35">
      <c r="C549" s="124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ht="18.75" customHeight="1" x14ac:dyDescent="0.35">
      <c r="C550" s="124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ht="18.75" customHeight="1" x14ac:dyDescent="0.35">
      <c r="C551" s="124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ht="18.75" customHeight="1" x14ac:dyDescent="0.35">
      <c r="C552" s="124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ht="18.75" customHeight="1" x14ac:dyDescent="0.35">
      <c r="C553" s="124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ht="18.75" customHeight="1" x14ac:dyDescent="0.35">
      <c r="C554" s="124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ht="18.75" customHeight="1" x14ac:dyDescent="0.35">
      <c r="C555" s="124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ht="18.75" customHeight="1" x14ac:dyDescent="0.35">
      <c r="C556" s="124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ht="18.75" customHeight="1" x14ac:dyDescent="0.35">
      <c r="C557" s="124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ht="18.75" customHeight="1" x14ac:dyDescent="0.35">
      <c r="C558" s="124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ht="18.75" customHeight="1" x14ac:dyDescent="0.35">
      <c r="C559" s="124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ht="18.75" customHeight="1" x14ac:dyDescent="0.35">
      <c r="C560" s="124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ht="18.75" customHeight="1" x14ac:dyDescent="0.35">
      <c r="C561" s="124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ht="18.75" customHeight="1" x14ac:dyDescent="0.35">
      <c r="C562" s="124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ht="18.75" customHeight="1" x14ac:dyDescent="0.35">
      <c r="C563" s="124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ht="18.75" customHeight="1" x14ac:dyDescent="0.35">
      <c r="C564" s="124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ht="18.75" customHeight="1" x14ac:dyDescent="0.35">
      <c r="C565" s="124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ht="18.75" customHeight="1" x14ac:dyDescent="0.35">
      <c r="C566" s="124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ht="18.75" customHeight="1" x14ac:dyDescent="0.35">
      <c r="C567" s="124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ht="18.75" customHeight="1" x14ac:dyDescent="0.35">
      <c r="C568" s="124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ht="18.75" customHeight="1" x14ac:dyDescent="0.35">
      <c r="C569" s="124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ht="18.75" customHeight="1" x14ac:dyDescent="0.35">
      <c r="C570" s="124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ht="18.75" customHeight="1" x14ac:dyDescent="0.35">
      <c r="C571" s="124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ht="18.75" customHeight="1" x14ac:dyDescent="0.35">
      <c r="C572" s="124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ht="18.75" customHeight="1" x14ac:dyDescent="0.35">
      <c r="C573" s="124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ht="18.75" customHeight="1" x14ac:dyDescent="0.35">
      <c r="C574" s="124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ht="18.75" customHeight="1" x14ac:dyDescent="0.35">
      <c r="C575" s="124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ht="18.75" customHeight="1" x14ac:dyDescent="0.35">
      <c r="C576" s="124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ht="18.75" customHeight="1" x14ac:dyDescent="0.35">
      <c r="C577" s="124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ht="18.75" customHeight="1" x14ac:dyDescent="0.35">
      <c r="C578" s="124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ht="18.75" customHeight="1" x14ac:dyDescent="0.35">
      <c r="C579" s="124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ht="18.75" customHeight="1" x14ac:dyDescent="0.35">
      <c r="C580" s="124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ht="18.75" customHeight="1" x14ac:dyDescent="0.35">
      <c r="C581" s="124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ht="18.75" customHeight="1" x14ac:dyDescent="0.35">
      <c r="C582" s="124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ht="18.75" customHeight="1" x14ac:dyDescent="0.35">
      <c r="C583" s="124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ht="18.75" customHeight="1" x14ac:dyDescent="0.35">
      <c r="C584" s="124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ht="18.75" customHeight="1" x14ac:dyDescent="0.35">
      <c r="C585" s="124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ht="18.75" customHeight="1" x14ac:dyDescent="0.35">
      <c r="C586" s="124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ht="18.75" customHeight="1" x14ac:dyDescent="0.35">
      <c r="C587" s="124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ht="18.75" customHeight="1" x14ac:dyDescent="0.35">
      <c r="C588" s="124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ht="18.75" customHeight="1" x14ac:dyDescent="0.35">
      <c r="C589" s="124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ht="18.75" customHeight="1" x14ac:dyDescent="0.35">
      <c r="C590" s="124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ht="18.75" customHeight="1" x14ac:dyDescent="0.35">
      <c r="C591" s="124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ht="18.75" customHeight="1" x14ac:dyDescent="0.35">
      <c r="C592" s="124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ht="18.75" customHeight="1" x14ac:dyDescent="0.35">
      <c r="C593" s="124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ht="18.75" customHeight="1" x14ac:dyDescent="0.35">
      <c r="C594" s="124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ht="18.75" customHeight="1" x14ac:dyDescent="0.35">
      <c r="C595" s="124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ht="18.75" customHeight="1" x14ac:dyDescent="0.35">
      <c r="C596" s="124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ht="18.75" customHeight="1" x14ac:dyDescent="0.35">
      <c r="C597" s="124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ht="18.75" customHeight="1" x14ac:dyDescent="0.35">
      <c r="C598" s="124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ht="18.75" customHeight="1" x14ac:dyDescent="0.35">
      <c r="C599" s="124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ht="18.75" customHeight="1" x14ac:dyDescent="0.35">
      <c r="C600" s="124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ht="18.75" customHeight="1" x14ac:dyDescent="0.35">
      <c r="C601" s="124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ht="18.75" customHeight="1" x14ac:dyDescent="0.35">
      <c r="C602" s="124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ht="18.75" customHeight="1" x14ac:dyDescent="0.35">
      <c r="C603" s="124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ht="18.75" customHeight="1" x14ac:dyDescent="0.35">
      <c r="C604" s="124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ht="18.75" customHeight="1" x14ac:dyDescent="0.35">
      <c r="C605" s="124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ht="18.75" customHeight="1" x14ac:dyDescent="0.35">
      <c r="C606" s="124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ht="18.75" customHeight="1" x14ac:dyDescent="0.35">
      <c r="C607" s="124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ht="18.75" customHeight="1" x14ac:dyDescent="0.35">
      <c r="C608" s="124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ht="18.75" customHeight="1" x14ac:dyDescent="0.35">
      <c r="C609" s="124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ht="18.75" customHeight="1" x14ac:dyDescent="0.35">
      <c r="C610" s="124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ht="18.75" customHeight="1" x14ac:dyDescent="0.35">
      <c r="C611" s="124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ht="18.75" customHeight="1" x14ac:dyDescent="0.35">
      <c r="C612" s="124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ht="18.75" customHeight="1" x14ac:dyDescent="0.35">
      <c r="C613" s="124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ht="18.75" customHeight="1" x14ac:dyDescent="0.35">
      <c r="C614" s="124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ht="18.75" customHeight="1" x14ac:dyDescent="0.35">
      <c r="C615" s="124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ht="18.75" customHeight="1" x14ac:dyDescent="0.35">
      <c r="C616" s="124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ht="18.75" customHeight="1" x14ac:dyDescent="0.35">
      <c r="C617" s="124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ht="18.75" customHeight="1" x14ac:dyDescent="0.35">
      <c r="C618" s="124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ht="18.75" customHeight="1" x14ac:dyDescent="0.35">
      <c r="C619" s="124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ht="18.75" customHeight="1" x14ac:dyDescent="0.35">
      <c r="C620" s="124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ht="18.75" customHeight="1" x14ac:dyDescent="0.35">
      <c r="C621" s="124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ht="18.75" customHeight="1" x14ac:dyDescent="0.35">
      <c r="C622" s="124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ht="18.75" customHeight="1" x14ac:dyDescent="0.35">
      <c r="C623" s="124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ht="18.75" customHeight="1" x14ac:dyDescent="0.35">
      <c r="C624" s="124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ht="18.75" customHeight="1" x14ac:dyDescent="0.35">
      <c r="C625" s="124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ht="18.75" customHeight="1" x14ac:dyDescent="0.35">
      <c r="C626" s="124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ht="18.75" customHeight="1" x14ac:dyDescent="0.35">
      <c r="C627" s="124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ht="18.75" customHeight="1" x14ac:dyDescent="0.35">
      <c r="C628" s="124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ht="18.75" customHeight="1" x14ac:dyDescent="0.35">
      <c r="C629" s="124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ht="18.75" customHeight="1" x14ac:dyDescent="0.35">
      <c r="C630" s="124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ht="18.75" customHeight="1" x14ac:dyDescent="0.35">
      <c r="C631" s="124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ht="18.75" customHeight="1" x14ac:dyDescent="0.35">
      <c r="C632" s="124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ht="18.75" customHeight="1" x14ac:dyDescent="0.35">
      <c r="C633" s="124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ht="18.75" customHeight="1" x14ac:dyDescent="0.35">
      <c r="C634" s="124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ht="18.75" customHeight="1" x14ac:dyDescent="0.35">
      <c r="C635" s="124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ht="18.75" customHeight="1" x14ac:dyDescent="0.35">
      <c r="C636" s="124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ht="18.75" customHeight="1" x14ac:dyDescent="0.35">
      <c r="C637" s="124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ht="18.75" customHeight="1" x14ac:dyDescent="0.35">
      <c r="C638" s="124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ht="18.75" customHeight="1" x14ac:dyDescent="0.35">
      <c r="C639" s="124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ht="18.75" customHeight="1" x14ac:dyDescent="0.35">
      <c r="C640" s="124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ht="18.75" customHeight="1" x14ac:dyDescent="0.35">
      <c r="C641" s="124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ht="18.75" customHeight="1" x14ac:dyDescent="0.35">
      <c r="C642" s="124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ht="18.75" customHeight="1" x14ac:dyDescent="0.35">
      <c r="C643" s="124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ht="18.75" customHeight="1" x14ac:dyDescent="0.35">
      <c r="C644" s="124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ht="18.75" customHeight="1" x14ac:dyDescent="0.35">
      <c r="C645" s="124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ht="18.75" customHeight="1" x14ac:dyDescent="0.35">
      <c r="C646" s="124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ht="18.75" customHeight="1" x14ac:dyDescent="0.35">
      <c r="C647" s="124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ht="18.75" customHeight="1" x14ac:dyDescent="0.35">
      <c r="C648" s="124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ht="18.75" customHeight="1" x14ac:dyDescent="0.35">
      <c r="C649" s="124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ht="18.75" customHeight="1" x14ac:dyDescent="0.35">
      <c r="C650" s="124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ht="18.75" customHeight="1" x14ac:dyDescent="0.35">
      <c r="C651" s="124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ht="18.75" customHeight="1" x14ac:dyDescent="0.35">
      <c r="C652" s="124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ht="18.75" customHeight="1" x14ac:dyDescent="0.35">
      <c r="C653" s="124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ht="18.75" customHeight="1" x14ac:dyDescent="0.35">
      <c r="C654" s="124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ht="18.75" customHeight="1" x14ac:dyDescent="0.35">
      <c r="C655" s="124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ht="18.75" customHeight="1" x14ac:dyDescent="0.35">
      <c r="C656" s="124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ht="18.75" customHeight="1" x14ac:dyDescent="0.35">
      <c r="C657" s="124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ht="18.75" customHeight="1" x14ac:dyDescent="0.35">
      <c r="C658" s="124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ht="18.75" customHeight="1" x14ac:dyDescent="0.35">
      <c r="C659" s="124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ht="18.75" customHeight="1" x14ac:dyDescent="0.35">
      <c r="C660" s="124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ht="18.75" customHeight="1" x14ac:dyDescent="0.35">
      <c r="C661" s="124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ht="18.75" customHeight="1" x14ac:dyDescent="0.35">
      <c r="C662" s="124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ht="18.75" customHeight="1" x14ac:dyDescent="0.35">
      <c r="C663" s="124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ht="18.75" customHeight="1" x14ac:dyDescent="0.35">
      <c r="C664" s="124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ht="18.75" customHeight="1" x14ac:dyDescent="0.35">
      <c r="C665" s="124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ht="18.75" customHeight="1" x14ac:dyDescent="0.35">
      <c r="C666" s="124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ht="18.75" customHeight="1" x14ac:dyDescent="0.35">
      <c r="C667" s="124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ht="18.75" customHeight="1" x14ac:dyDescent="0.35">
      <c r="C668" s="124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ht="18.75" customHeight="1" x14ac:dyDescent="0.35">
      <c r="C669" s="124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ht="18.75" customHeight="1" x14ac:dyDescent="0.35">
      <c r="C670" s="124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ht="18.75" customHeight="1" x14ac:dyDescent="0.35">
      <c r="C671" s="124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ht="18.75" customHeight="1" x14ac:dyDescent="0.35">
      <c r="C672" s="124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ht="18.75" customHeight="1" x14ac:dyDescent="0.35">
      <c r="C673" s="124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ht="18.75" customHeight="1" x14ac:dyDescent="0.35">
      <c r="C674" s="124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ht="18.75" customHeight="1" x14ac:dyDescent="0.35">
      <c r="C675" s="124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ht="18.75" customHeight="1" x14ac:dyDescent="0.35">
      <c r="C676" s="124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ht="18.75" customHeight="1" x14ac:dyDescent="0.35">
      <c r="C677" s="124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ht="18.75" customHeight="1" x14ac:dyDescent="0.35">
      <c r="C678" s="124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ht="18.75" customHeight="1" x14ac:dyDescent="0.35">
      <c r="C679" s="124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ht="18.75" customHeight="1" x14ac:dyDescent="0.35">
      <c r="C680" s="124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ht="18.75" customHeight="1" x14ac:dyDescent="0.35">
      <c r="C681" s="124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ht="18.75" customHeight="1" x14ac:dyDescent="0.35">
      <c r="C682" s="124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ht="18.75" customHeight="1" x14ac:dyDescent="0.35">
      <c r="C683" s="124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ht="18.75" customHeight="1" x14ac:dyDescent="0.35">
      <c r="C684" s="124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ht="18.75" customHeight="1" x14ac:dyDescent="0.35">
      <c r="C685" s="124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ht="18.75" customHeight="1" x14ac:dyDescent="0.35">
      <c r="C686" s="124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ht="18.75" customHeight="1" x14ac:dyDescent="0.35">
      <c r="C687" s="124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ht="18.75" customHeight="1" x14ac:dyDescent="0.35">
      <c r="C688" s="124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ht="18.75" customHeight="1" x14ac:dyDescent="0.35">
      <c r="C689" s="124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ht="18.75" customHeight="1" x14ac:dyDescent="0.35">
      <c r="C690" s="124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ht="18.75" customHeight="1" x14ac:dyDescent="0.35">
      <c r="C691" s="124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ht="18.75" customHeight="1" x14ac:dyDescent="0.35">
      <c r="C692" s="124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ht="18.75" customHeight="1" x14ac:dyDescent="0.35">
      <c r="C693" s="124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ht="18.75" customHeight="1" x14ac:dyDescent="0.35">
      <c r="C694" s="124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ht="18.75" customHeight="1" x14ac:dyDescent="0.35">
      <c r="C695" s="124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ht="18.75" customHeight="1" x14ac:dyDescent="0.35">
      <c r="C696" s="124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ht="18.75" customHeight="1" x14ac:dyDescent="0.35">
      <c r="C697" s="124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ht="18.75" customHeight="1" x14ac:dyDescent="0.35">
      <c r="C698" s="124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ht="18.75" customHeight="1" x14ac:dyDescent="0.35">
      <c r="C699" s="124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ht="18.75" customHeight="1" x14ac:dyDescent="0.35">
      <c r="C700" s="124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ht="18.75" customHeight="1" x14ac:dyDescent="0.35">
      <c r="C701" s="124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ht="18.75" customHeight="1" x14ac:dyDescent="0.35">
      <c r="C702" s="124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ht="18.75" customHeight="1" x14ac:dyDescent="0.35">
      <c r="C703" s="124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ht="18.75" customHeight="1" x14ac:dyDescent="0.35">
      <c r="C704" s="124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ht="18.75" customHeight="1" x14ac:dyDescent="0.35">
      <c r="C705" s="124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ht="18.75" customHeight="1" x14ac:dyDescent="0.35">
      <c r="C706" s="124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ht="18.75" customHeight="1" x14ac:dyDescent="0.35">
      <c r="C707" s="124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ht="18.75" customHeight="1" x14ac:dyDescent="0.35">
      <c r="C708" s="124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ht="18.75" customHeight="1" x14ac:dyDescent="0.35">
      <c r="C709" s="124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ht="18.75" customHeight="1" x14ac:dyDescent="0.35">
      <c r="C710" s="124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ht="18.75" customHeight="1" x14ac:dyDescent="0.35">
      <c r="C711" s="124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ht="18.75" customHeight="1" x14ac:dyDescent="0.35">
      <c r="C712" s="124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ht="18.75" customHeight="1" x14ac:dyDescent="0.35">
      <c r="C713" s="124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ht="18.75" customHeight="1" x14ac:dyDescent="0.35">
      <c r="C714" s="124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ht="18.75" customHeight="1" x14ac:dyDescent="0.35">
      <c r="C715" s="124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ht="18.75" customHeight="1" x14ac:dyDescent="0.35">
      <c r="C716" s="124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ht="18.75" customHeight="1" x14ac:dyDescent="0.35">
      <c r="C717" s="124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ht="18.75" customHeight="1" x14ac:dyDescent="0.35">
      <c r="C718" s="124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ht="18.75" customHeight="1" x14ac:dyDescent="0.35">
      <c r="C719" s="124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ht="18.75" customHeight="1" x14ac:dyDescent="0.35">
      <c r="C720" s="124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ht="18.75" customHeight="1" x14ac:dyDescent="0.35">
      <c r="C721" s="124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ht="18.75" customHeight="1" x14ac:dyDescent="0.35">
      <c r="C722" s="124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ht="18.75" customHeight="1" x14ac:dyDescent="0.35">
      <c r="C723" s="124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ht="18.75" customHeight="1" x14ac:dyDescent="0.35">
      <c r="C724" s="124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ht="18.75" customHeight="1" x14ac:dyDescent="0.35">
      <c r="C725" s="124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ht="18.75" customHeight="1" x14ac:dyDescent="0.35">
      <c r="C726" s="124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ht="18.75" customHeight="1" x14ac:dyDescent="0.35">
      <c r="C727" s="124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ht="18.75" customHeight="1" x14ac:dyDescent="0.35">
      <c r="C728" s="124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ht="18.75" customHeight="1" x14ac:dyDescent="0.35">
      <c r="C729" s="124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ht="18.75" customHeight="1" x14ac:dyDescent="0.35">
      <c r="C730" s="124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ht="18.75" customHeight="1" x14ac:dyDescent="0.35">
      <c r="C731" s="124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ht="18.75" customHeight="1" x14ac:dyDescent="0.35">
      <c r="C732" s="124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ht="18.75" customHeight="1" x14ac:dyDescent="0.35">
      <c r="C733" s="124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ht="18.75" customHeight="1" x14ac:dyDescent="0.35">
      <c r="C734" s="124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ht="18.75" customHeight="1" x14ac:dyDescent="0.35">
      <c r="C735" s="124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ht="18.75" customHeight="1" x14ac:dyDescent="0.35">
      <c r="C736" s="124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ht="18.75" customHeight="1" x14ac:dyDescent="0.35">
      <c r="C737" s="124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ht="18.75" customHeight="1" x14ac:dyDescent="0.35">
      <c r="C738" s="124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ht="18.75" customHeight="1" x14ac:dyDescent="0.35">
      <c r="C739" s="124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ht="18.75" customHeight="1" x14ac:dyDescent="0.35">
      <c r="C740" s="124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ht="18.75" customHeight="1" x14ac:dyDescent="0.35">
      <c r="C741" s="124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ht="18.75" customHeight="1" x14ac:dyDescent="0.35">
      <c r="C742" s="124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ht="18.75" customHeight="1" x14ac:dyDescent="0.35">
      <c r="C743" s="124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ht="18.75" customHeight="1" x14ac:dyDescent="0.35">
      <c r="C744" s="124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ht="18.75" customHeight="1" x14ac:dyDescent="0.35">
      <c r="C745" s="124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ht="18.75" customHeight="1" x14ac:dyDescent="0.35">
      <c r="C746" s="124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ht="18.75" customHeight="1" x14ac:dyDescent="0.35">
      <c r="C747" s="124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ht="18.75" customHeight="1" x14ac:dyDescent="0.35">
      <c r="C748" s="124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ht="18.75" customHeight="1" x14ac:dyDescent="0.35">
      <c r="C749" s="124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ht="18.75" customHeight="1" x14ac:dyDescent="0.35">
      <c r="C750" s="124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ht="18.75" customHeight="1" x14ac:dyDescent="0.35">
      <c r="C751" s="124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ht="18.75" customHeight="1" x14ac:dyDescent="0.35">
      <c r="C752" s="124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ht="18.75" customHeight="1" x14ac:dyDescent="0.35">
      <c r="C753" s="124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ht="18.75" customHeight="1" x14ac:dyDescent="0.35">
      <c r="C754" s="124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ht="18.75" customHeight="1" x14ac:dyDescent="0.35">
      <c r="C755" s="124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ht="18.75" customHeight="1" x14ac:dyDescent="0.35">
      <c r="C756" s="124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ht="18.75" customHeight="1" x14ac:dyDescent="0.35">
      <c r="C757" s="124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ht="18.75" customHeight="1" x14ac:dyDescent="0.35">
      <c r="C758" s="124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ht="18.75" customHeight="1" x14ac:dyDescent="0.35">
      <c r="C759" s="124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ht="18.75" customHeight="1" x14ac:dyDescent="0.35">
      <c r="C760" s="124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ht="18.75" customHeight="1" x14ac:dyDescent="0.35">
      <c r="C761" s="124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ht="18.75" customHeight="1" x14ac:dyDescent="0.35">
      <c r="C762" s="124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ht="18.75" customHeight="1" x14ac:dyDescent="0.35">
      <c r="C763" s="124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ht="18.75" customHeight="1" x14ac:dyDescent="0.35">
      <c r="C764" s="124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ht="18.75" customHeight="1" x14ac:dyDescent="0.35">
      <c r="C765" s="124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ht="18.75" customHeight="1" x14ac:dyDescent="0.35">
      <c r="C766" s="124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ht="18.75" customHeight="1" x14ac:dyDescent="0.35">
      <c r="C767" s="124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ht="18.75" customHeight="1" x14ac:dyDescent="0.35">
      <c r="C768" s="124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ht="18.75" customHeight="1" x14ac:dyDescent="0.35">
      <c r="C769" s="124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ht="18.75" customHeight="1" x14ac:dyDescent="0.35">
      <c r="C770" s="124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ht="18.75" customHeight="1" x14ac:dyDescent="0.35">
      <c r="C771" s="124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ht="18.75" customHeight="1" x14ac:dyDescent="0.35">
      <c r="C772" s="124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ht="18.75" customHeight="1" x14ac:dyDescent="0.35">
      <c r="C773" s="124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ht="18.75" customHeight="1" x14ac:dyDescent="0.35">
      <c r="C774" s="124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ht="18.75" customHeight="1" x14ac:dyDescent="0.35">
      <c r="C775" s="124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ht="18.75" customHeight="1" x14ac:dyDescent="0.35">
      <c r="C776" s="124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ht="18.75" customHeight="1" x14ac:dyDescent="0.35">
      <c r="C777" s="124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ht="18.75" customHeight="1" x14ac:dyDescent="0.35">
      <c r="C778" s="124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ht="18.75" customHeight="1" x14ac:dyDescent="0.35">
      <c r="C779" s="124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ht="18.75" customHeight="1" x14ac:dyDescent="0.35">
      <c r="C780" s="124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ht="18.75" customHeight="1" x14ac:dyDescent="0.35">
      <c r="C781" s="124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ht="18.75" customHeight="1" x14ac:dyDescent="0.35">
      <c r="C782" s="124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ht="18.75" customHeight="1" x14ac:dyDescent="0.35">
      <c r="C783" s="124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ht="18.75" customHeight="1" x14ac:dyDescent="0.35">
      <c r="C784" s="124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ht="18.75" customHeight="1" x14ac:dyDescent="0.35">
      <c r="C785" s="124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ht="18.75" customHeight="1" x14ac:dyDescent="0.35">
      <c r="C786" s="124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ht="18.75" customHeight="1" x14ac:dyDescent="0.35">
      <c r="C787" s="124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ht="18.75" customHeight="1" x14ac:dyDescent="0.35">
      <c r="C788" s="124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ht="18.75" customHeight="1" x14ac:dyDescent="0.35">
      <c r="C789" s="124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ht="18.75" customHeight="1" x14ac:dyDescent="0.35">
      <c r="C790" s="124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ht="18.75" customHeight="1" x14ac:dyDescent="0.35">
      <c r="C791" s="124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ht="18.75" customHeight="1" x14ac:dyDescent="0.35">
      <c r="C792" s="124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ht="18.75" customHeight="1" x14ac:dyDescent="0.35">
      <c r="C793" s="124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ht="18.75" customHeight="1" x14ac:dyDescent="0.35">
      <c r="C794" s="124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ht="18.75" customHeight="1" x14ac:dyDescent="0.35">
      <c r="C795" s="124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ht="18.75" customHeight="1" x14ac:dyDescent="0.35">
      <c r="C796" s="124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ht="18.75" customHeight="1" x14ac:dyDescent="0.35">
      <c r="C797" s="124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ht="18.75" customHeight="1" x14ac:dyDescent="0.35">
      <c r="C798" s="124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ht="18.75" customHeight="1" x14ac:dyDescent="0.35">
      <c r="C799" s="124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ht="18.75" customHeight="1" x14ac:dyDescent="0.35">
      <c r="C800" s="124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ht="18.75" customHeight="1" x14ac:dyDescent="0.35">
      <c r="C801" s="124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ht="18.75" customHeight="1" x14ac:dyDescent="0.35">
      <c r="C802" s="124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ht="18.75" customHeight="1" x14ac:dyDescent="0.35">
      <c r="C803" s="124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ht="18.75" customHeight="1" x14ac:dyDescent="0.35">
      <c r="C804" s="124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ht="18.75" customHeight="1" x14ac:dyDescent="0.35">
      <c r="C805" s="124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ht="18.75" customHeight="1" x14ac:dyDescent="0.35">
      <c r="C806" s="124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ht="18.75" customHeight="1" x14ac:dyDescent="0.35">
      <c r="C807" s="124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ht="18.75" customHeight="1" x14ac:dyDescent="0.35">
      <c r="C808" s="124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ht="18.75" customHeight="1" x14ac:dyDescent="0.35">
      <c r="C809" s="124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ht="18.75" customHeight="1" x14ac:dyDescent="0.35">
      <c r="C810" s="124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ht="18.75" customHeight="1" x14ac:dyDescent="0.35">
      <c r="C811" s="124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ht="18.75" customHeight="1" x14ac:dyDescent="0.35">
      <c r="C812" s="124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ht="18.75" customHeight="1" x14ac:dyDescent="0.35">
      <c r="C813" s="124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ht="18.75" customHeight="1" x14ac:dyDescent="0.35">
      <c r="C814" s="124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ht="18.75" customHeight="1" x14ac:dyDescent="0.35">
      <c r="C815" s="124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ht="18.75" customHeight="1" x14ac:dyDescent="0.35">
      <c r="C816" s="124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ht="18.75" customHeight="1" x14ac:dyDescent="0.35">
      <c r="C817" s="124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ht="18.75" customHeight="1" x14ac:dyDescent="0.35">
      <c r="C818" s="124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ht="18.75" customHeight="1" x14ac:dyDescent="0.35">
      <c r="C819" s="124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ht="18.75" customHeight="1" x14ac:dyDescent="0.35">
      <c r="C820" s="124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ht="18.75" customHeight="1" x14ac:dyDescent="0.35">
      <c r="C821" s="124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ht="18.75" customHeight="1" x14ac:dyDescent="0.35">
      <c r="C822" s="124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ht="18.75" customHeight="1" x14ac:dyDescent="0.35">
      <c r="C823" s="124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ht="18.75" customHeight="1" x14ac:dyDescent="0.35">
      <c r="C824" s="124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ht="18.75" customHeight="1" x14ac:dyDescent="0.35">
      <c r="C825" s="124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ht="18.75" customHeight="1" x14ac:dyDescent="0.35">
      <c r="C826" s="124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ht="18.75" customHeight="1" x14ac:dyDescent="0.35">
      <c r="C827" s="124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ht="18.75" customHeight="1" x14ac:dyDescent="0.35">
      <c r="C828" s="124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ht="18.75" customHeight="1" x14ac:dyDescent="0.35">
      <c r="C829" s="124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ht="18.75" customHeight="1" x14ac:dyDescent="0.35">
      <c r="C830" s="124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ht="18.75" customHeight="1" x14ac:dyDescent="0.35">
      <c r="C831" s="124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ht="18.75" customHeight="1" x14ac:dyDescent="0.35">
      <c r="C832" s="124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ht="18.75" customHeight="1" x14ac:dyDescent="0.35">
      <c r="C833" s="124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ht="18.75" customHeight="1" x14ac:dyDescent="0.35">
      <c r="C834" s="124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ht="18.75" customHeight="1" x14ac:dyDescent="0.35">
      <c r="C835" s="124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ht="18.75" customHeight="1" x14ac:dyDescent="0.35">
      <c r="C836" s="124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ht="18.75" customHeight="1" x14ac:dyDescent="0.35">
      <c r="C837" s="124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ht="18.75" customHeight="1" x14ac:dyDescent="0.35">
      <c r="C838" s="124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ht="18.75" customHeight="1" x14ac:dyDescent="0.35">
      <c r="C839" s="124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ht="18.75" customHeight="1" x14ac:dyDescent="0.35">
      <c r="C840" s="124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ht="18.75" customHeight="1" x14ac:dyDescent="0.35">
      <c r="C841" s="124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ht="18.75" customHeight="1" x14ac:dyDescent="0.35">
      <c r="C842" s="124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ht="18.75" customHeight="1" x14ac:dyDescent="0.35">
      <c r="C843" s="124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ht="18.75" customHeight="1" x14ac:dyDescent="0.35">
      <c r="C844" s="124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ht="18.75" customHeight="1" x14ac:dyDescent="0.35">
      <c r="C845" s="124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ht="18.75" customHeight="1" x14ac:dyDescent="0.35">
      <c r="C846" s="124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ht="18.75" customHeight="1" x14ac:dyDescent="0.35">
      <c r="C847" s="124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ht="18.75" customHeight="1" x14ac:dyDescent="0.35">
      <c r="C848" s="124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ht="18.75" customHeight="1" x14ac:dyDescent="0.35">
      <c r="C849" s="124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ht="18.75" customHeight="1" x14ac:dyDescent="0.35">
      <c r="C850" s="124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ht="18.75" customHeight="1" x14ac:dyDescent="0.35">
      <c r="C851" s="124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ht="18.75" customHeight="1" x14ac:dyDescent="0.35">
      <c r="C852" s="124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ht="18.75" customHeight="1" x14ac:dyDescent="0.35">
      <c r="C853" s="124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ht="18.75" customHeight="1" x14ac:dyDescent="0.35">
      <c r="C854" s="124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ht="18.75" customHeight="1" x14ac:dyDescent="0.35">
      <c r="C855" s="124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ht="18.75" customHeight="1" x14ac:dyDescent="0.35">
      <c r="C856" s="124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ht="18.75" customHeight="1" x14ac:dyDescent="0.35">
      <c r="C857" s="124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ht="18.75" customHeight="1" x14ac:dyDescent="0.35">
      <c r="C858" s="124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ht="18.75" customHeight="1" x14ac:dyDescent="0.35">
      <c r="C859" s="124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ht="18.75" customHeight="1" x14ac:dyDescent="0.35">
      <c r="C860" s="124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ht="18.75" customHeight="1" x14ac:dyDescent="0.35">
      <c r="C861" s="124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ht="18.75" customHeight="1" x14ac:dyDescent="0.35">
      <c r="C862" s="124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ht="18.75" customHeight="1" x14ac:dyDescent="0.35">
      <c r="C863" s="124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ht="18.75" customHeight="1" x14ac:dyDescent="0.35">
      <c r="C864" s="124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ht="18.75" customHeight="1" x14ac:dyDescent="0.35">
      <c r="C865" s="124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ht="18.75" customHeight="1" x14ac:dyDescent="0.35">
      <c r="C866" s="124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ht="18.75" customHeight="1" x14ac:dyDescent="0.35">
      <c r="C867" s="124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ht="18.75" customHeight="1" x14ac:dyDescent="0.35">
      <c r="C868" s="124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ht="18.75" customHeight="1" x14ac:dyDescent="0.35">
      <c r="C869" s="124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ht="18.75" customHeight="1" x14ac:dyDescent="0.35">
      <c r="C870" s="124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ht="18.75" customHeight="1" x14ac:dyDescent="0.35">
      <c r="C871" s="124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ht="18.75" customHeight="1" x14ac:dyDescent="0.35">
      <c r="C872" s="124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ht="18.75" customHeight="1" x14ac:dyDescent="0.35">
      <c r="C873" s="124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ht="18.75" customHeight="1" x14ac:dyDescent="0.35">
      <c r="C874" s="124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ht="18.75" customHeight="1" x14ac:dyDescent="0.35">
      <c r="C875" s="124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ht="18.75" customHeight="1" x14ac:dyDescent="0.35">
      <c r="C876" s="124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ht="18.75" customHeight="1" x14ac:dyDescent="0.35">
      <c r="C877" s="124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ht="18.75" customHeight="1" x14ac:dyDescent="0.35">
      <c r="C878" s="124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ht="18.75" customHeight="1" x14ac:dyDescent="0.35">
      <c r="C879" s="124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ht="18.75" customHeight="1" x14ac:dyDescent="0.35">
      <c r="C880" s="124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ht="18.75" customHeight="1" x14ac:dyDescent="0.35">
      <c r="C881" s="124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ht="18.75" customHeight="1" x14ac:dyDescent="0.35">
      <c r="C882" s="124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ht="18.75" customHeight="1" x14ac:dyDescent="0.35">
      <c r="C883" s="124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ht="18.75" customHeight="1" x14ac:dyDescent="0.35">
      <c r="C884" s="124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ht="18.75" customHeight="1" x14ac:dyDescent="0.35">
      <c r="C885" s="124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ht="18.75" customHeight="1" x14ac:dyDescent="0.35">
      <c r="C886" s="124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ht="18.75" customHeight="1" x14ac:dyDescent="0.35">
      <c r="C887" s="124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ht="18.75" customHeight="1" x14ac:dyDescent="0.35">
      <c r="C888" s="124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ht="18.75" customHeight="1" x14ac:dyDescent="0.35">
      <c r="C889" s="124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ht="18.75" customHeight="1" x14ac:dyDescent="0.35">
      <c r="C890" s="124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ht="18.75" customHeight="1" x14ac:dyDescent="0.35">
      <c r="C891" s="124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ht="18.75" customHeight="1" x14ac:dyDescent="0.35">
      <c r="C892" s="124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ht="18.75" customHeight="1" x14ac:dyDescent="0.35">
      <c r="C893" s="124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ht="18.75" customHeight="1" x14ac:dyDescent="0.35">
      <c r="C894" s="124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ht="18.75" customHeight="1" x14ac:dyDescent="0.35">
      <c r="C895" s="124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ht="18.75" customHeight="1" x14ac:dyDescent="0.35">
      <c r="C896" s="124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ht="18.75" customHeight="1" x14ac:dyDescent="0.35">
      <c r="C897" s="124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ht="18.75" customHeight="1" x14ac:dyDescent="0.35">
      <c r="C898" s="124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ht="18.75" customHeight="1" x14ac:dyDescent="0.35">
      <c r="C899" s="124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ht="18.75" customHeight="1" x14ac:dyDescent="0.35">
      <c r="C900" s="124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ht="18.75" customHeight="1" x14ac:dyDescent="0.35">
      <c r="C901" s="124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ht="18.75" customHeight="1" x14ac:dyDescent="0.35">
      <c r="C902" s="124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ht="18.75" customHeight="1" x14ac:dyDescent="0.35">
      <c r="C903" s="124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ht="18.75" customHeight="1" x14ac:dyDescent="0.35">
      <c r="C904" s="124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ht="18.75" customHeight="1" x14ac:dyDescent="0.35">
      <c r="C905" s="124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ht="18.75" customHeight="1" x14ac:dyDescent="0.35">
      <c r="C906" s="124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ht="18.75" customHeight="1" x14ac:dyDescent="0.35">
      <c r="C907" s="124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ht="18.75" customHeight="1" x14ac:dyDescent="0.35">
      <c r="C908" s="124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ht="18.75" customHeight="1" x14ac:dyDescent="0.35">
      <c r="C909" s="124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ht="18.75" customHeight="1" x14ac:dyDescent="0.35">
      <c r="C910" s="124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ht="18.75" customHeight="1" x14ac:dyDescent="0.35">
      <c r="C911" s="124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ht="18.75" customHeight="1" x14ac:dyDescent="0.35">
      <c r="C912" s="124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ht="18.75" customHeight="1" x14ac:dyDescent="0.35">
      <c r="C913" s="124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ht="18.75" customHeight="1" x14ac:dyDescent="0.35">
      <c r="C914" s="124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ht="18.75" customHeight="1" x14ac:dyDescent="0.35">
      <c r="C915" s="124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ht="18.75" customHeight="1" x14ac:dyDescent="0.35">
      <c r="C916" s="124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ht="18.75" customHeight="1" x14ac:dyDescent="0.35">
      <c r="C917" s="124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ht="18.75" customHeight="1" x14ac:dyDescent="0.35">
      <c r="C918" s="124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ht="18.75" customHeight="1" x14ac:dyDescent="0.35">
      <c r="C919" s="124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ht="18.75" customHeight="1" x14ac:dyDescent="0.35">
      <c r="C920" s="124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ht="18.75" customHeight="1" x14ac:dyDescent="0.35">
      <c r="C921" s="124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ht="18.75" customHeight="1" x14ac:dyDescent="0.35">
      <c r="C922" s="124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ht="18.75" customHeight="1" x14ac:dyDescent="0.35">
      <c r="C923" s="124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ht="18.75" customHeight="1" x14ac:dyDescent="0.35">
      <c r="C924" s="124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ht="18.75" customHeight="1" x14ac:dyDescent="0.35">
      <c r="C925" s="124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ht="18.75" customHeight="1" x14ac:dyDescent="0.35">
      <c r="C926" s="124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ht="18.75" customHeight="1" x14ac:dyDescent="0.35">
      <c r="C927" s="124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ht="18.75" customHeight="1" x14ac:dyDescent="0.35">
      <c r="C928" s="124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ht="18.75" customHeight="1" x14ac:dyDescent="0.35">
      <c r="C929" s="124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ht="18.75" customHeight="1" x14ac:dyDescent="0.35">
      <c r="C930" s="124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ht="18.75" customHeight="1" x14ac:dyDescent="0.35">
      <c r="C931" s="124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ht="18.75" customHeight="1" x14ac:dyDescent="0.35">
      <c r="C932" s="124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ht="18.75" customHeight="1" x14ac:dyDescent="0.35">
      <c r="C933" s="124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ht="18.75" customHeight="1" x14ac:dyDescent="0.35">
      <c r="C934" s="124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ht="18.75" customHeight="1" x14ac:dyDescent="0.35">
      <c r="C935" s="124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ht="18.75" customHeight="1" x14ac:dyDescent="0.35">
      <c r="C936" s="124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ht="18.75" customHeight="1" x14ac:dyDescent="0.35">
      <c r="C937" s="124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ht="18.75" customHeight="1" x14ac:dyDescent="0.35">
      <c r="C938" s="124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ht="18.75" customHeight="1" x14ac:dyDescent="0.35">
      <c r="C939" s="124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ht="18.75" customHeight="1" x14ac:dyDescent="0.35">
      <c r="C940" s="124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ht="18.75" customHeight="1" x14ac:dyDescent="0.35">
      <c r="C941" s="124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ht="18.75" customHeight="1" x14ac:dyDescent="0.35">
      <c r="C942" s="124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ht="18.75" customHeight="1" x14ac:dyDescent="0.35">
      <c r="C943" s="124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ht="18.75" customHeight="1" x14ac:dyDescent="0.35">
      <c r="C944" s="124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ht="18.75" customHeight="1" x14ac:dyDescent="0.35">
      <c r="C945" s="124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ht="18.75" customHeight="1" x14ac:dyDescent="0.35">
      <c r="C946" s="124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ht="18.75" customHeight="1" x14ac:dyDescent="0.35">
      <c r="C947" s="124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ht="18.75" customHeight="1" x14ac:dyDescent="0.35">
      <c r="C948" s="124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ht="18.75" customHeight="1" x14ac:dyDescent="0.35">
      <c r="C949" s="124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ht="18.75" customHeight="1" x14ac:dyDescent="0.35">
      <c r="C950" s="124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ht="18.75" customHeight="1" x14ac:dyDescent="0.35">
      <c r="C951" s="124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ht="18.75" customHeight="1" x14ac:dyDescent="0.35">
      <c r="C952" s="124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ht="18.75" customHeight="1" x14ac:dyDescent="0.35">
      <c r="C953" s="124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ht="18.75" customHeight="1" x14ac:dyDescent="0.35">
      <c r="C954" s="124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ht="18.75" customHeight="1" x14ac:dyDescent="0.35">
      <c r="C955" s="124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ht="18.75" customHeight="1" x14ac:dyDescent="0.35">
      <c r="C956" s="124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ht="18.75" customHeight="1" x14ac:dyDescent="0.35">
      <c r="C957" s="124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ht="18.75" customHeight="1" x14ac:dyDescent="0.35">
      <c r="C958" s="124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ht="18.75" customHeight="1" x14ac:dyDescent="0.35">
      <c r="C959" s="124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ht="18.75" customHeight="1" x14ac:dyDescent="0.35">
      <c r="C960" s="124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ht="18.75" customHeight="1" x14ac:dyDescent="0.35">
      <c r="C961" s="124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ht="18.75" customHeight="1" x14ac:dyDescent="0.35">
      <c r="C962" s="124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ht="18.75" customHeight="1" x14ac:dyDescent="0.35">
      <c r="C963" s="124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ht="18.75" customHeight="1" x14ac:dyDescent="0.35">
      <c r="C964" s="124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ht="18.75" customHeight="1" x14ac:dyDescent="0.35">
      <c r="C965" s="124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ht="18.75" customHeight="1" x14ac:dyDescent="0.35">
      <c r="C966" s="124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ht="18.75" customHeight="1" x14ac:dyDescent="0.35">
      <c r="C967" s="124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ht="18.75" customHeight="1" x14ac:dyDescent="0.35">
      <c r="C968" s="124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ht="18.75" customHeight="1" x14ac:dyDescent="0.35">
      <c r="C969" s="124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ht="18.75" customHeight="1" x14ac:dyDescent="0.35">
      <c r="C970" s="124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ht="18.75" customHeight="1" x14ac:dyDescent="0.35">
      <c r="C971" s="124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ht="18.75" customHeight="1" x14ac:dyDescent="0.35">
      <c r="C972" s="124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ht="18.75" customHeight="1" x14ac:dyDescent="0.35">
      <c r="C973" s="124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ht="18.75" customHeight="1" x14ac:dyDescent="0.35">
      <c r="C974" s="124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ht="18.75" customHeight="1" x14ac:dyDescent="0.35">
      <c r="C975" s="124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ht="18.75" customHeight="1" x14ac:dyDescent="0.35">
      <c r="C976" s="124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ht="18.75" customHeight="1" x14ac:dyDescent="0.35">
      <c r="C977" s="124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ht="18.75" customHeight="1" x14ac:dyDescent="0.35">
      <c r="C978" s="124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ht="18.75" customHeight="1" x14ac:dyDescent="0.35">
      <c r="C979" s="124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ht="18.75" customHeight="1" x14ac:dyDescent="0.35">
      <c r="C980" s="124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ht="18.75" customHeight="1" x14ac:dyDescent="0.35">
      <c r="C981" s="124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ht="18.75" customHeight="1" x14ac:dyDescent="0.35">
      <c r="C982" s="124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ht="18.75" customHeight="1" x14ac:dyDescent="0.35">
      <c r="C983" s="124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ht="18.75" customHeight="1" x14ac:dyDescent="0.35">
      <c r="C984" s="124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ht="18.75" customHeight="1" x14ac:dyDescent="0.35">
      <c r="C985" s="124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ht="18.75" customHeight="1" x14ac:dyDescent="0.35">
      <c r="C986" s="124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ht="18.75" customHeight="1" x14ac:dyDescent="0.35">
      <c r="C987" s="124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ht="18.75" customHeight="1" x14ac:dyDescent="0.35">
      <c r="C988" s="124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ht="18.75" customHeight="1" x14ac:dyDescent="0.35">
      <c r="C989" s="124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ht="18.75" customHeight="1" x14ac:dyDescent="0.35">
      <c r="C990" s="124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ht="18.75" customHeight="1" x14ac:dyDescent="0.35">
      <c r="C991" s="124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ht="18.75" customHeight="1" x14ac:dyDescent="0.35">
      <c r="C992" s="124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ht="18.75" customHeight="1" x14ac:dyDescent="0.35">
      <c r="C993" s="124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ht="18.75" customHeight="1" x14ac:dyDescent="0.35">
      <c r="C994" s="124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ht="18.75" customHeight="1" x14ac:dyDescent="0.35">
      <c r="C995" s="124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ht="18.75" customHeight="1" x14ac:dyDescent="0.35">
      <c r="C996" s="124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ht="18.75" customHeight="1" x14ac:dyDescent="0.35">
      <c r="C997" s="124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ht="18.75" customHeight="1" x14ac:dyDescent="0.35">
      <c r="C998" s="124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ht="18.75" customHeight="1" x14ac:dyDescent="0.35">
      <c r="C999" s="124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ht="18.75" customHeight="1" x14ac:dyDescent="0.35">
      <c r="C1000" s="124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ht="18.75" customHeight="1" x14ac:dyDescent="0.35">
      <c r="C1001" s="124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ht="18.75" customHeight="1" x14ac:dyDescent="0.35">
      <c r="C1002" s="124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ht="18.75" customHeight="1" x14ac:dyDescent="0.35">
      <c r="C1003" s="124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ht="18.75" customHeight="1" x14ac:dyDescent="0.35">
      <c r="C1004" s="124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ht="18.75" customHeight="1" x14ac:dyDescent="0.35">
      <c r="C1005" s="124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ht="18.75" customHeight="1" x14ac:dyDescent="0.35">
      <c r="C1006" s="124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ht="18.75" customHeight="1" x14ac:dyDescent="0.35">
      <c r="C1007" s="124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ht="18.75" customHeight="1" x14ac:dyDescent="0.35">
      <c r="C1008" s="124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ht="18.75" customHeight="1" x14ac:dyDescent="0.35">
      <c r="C1009" s="124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ht="18.75" customHeight="1" x14ac:dyDescent="0.35">
      <c r="C1010" s="124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ht="18.75" customHeight="1" x14ac:dyDescent="0.35">
      <c r="C1011" s="124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ht="18.75" customHeight="1" x14ac:dyDescent="0.35">
      <c r="C1012" s="124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ht="18.75" customHeight="1" x14ac:dyDescent="0.35">
      <c r="C1013" s="124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ht="18.75" customHeight="1" x14ac:dyDescent="0.35">
      <c r="C1014" s="124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ht="18.75" customHeight="1" x14ac:dyDescent="0.35">
      <c r="C1015" s="124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ht="18.75" customHeight="1" x14ac:dyDescent="0.35">
      <c r="C1016" s="124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ht="18.75" customHeight="1" x14ac:dyDescent="0.35">
      <c r="C1017" s="124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ht="18.75" customHeight="1" x14ac:dyDescent="0.35">
      <c r="C1018" s="124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ht="18.75" customHeight="1" x14ac:dyDescent="0.35">
      <c r="C1019" s="124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ht="18.75" customHeight="1" x14ac:dyDescent="0.35">
      <c r="C1020" s="124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ht="18.75" customHeight="1" x14ac:dyDescent="0.35">
      <c r="C1021" s="124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ht="18.75" customHeight="1" x14ac:dyDescent="0.35">
      <c r="C1022" s="124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ht="18.75" customHeight="1" x14ac:dyDescent="0.35">
      <c r="C1023" s="124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ht="18.75" customHeight="1" x14ac:dyDescent="0.35">
      <c r="C1024" s="124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ht="18.75" customHeight="1" x14ac:dyDescent="0.35">
      <c r="C1025" s="124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ht="18.75" customHeight="1" x14ac:dyDescent="0.35">
      <c r="C1026" s="124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ht="18.75" customHeight="1" x14ac:dyDescent="0.35">
      <c r="C1027" s="124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ht="18.75" customHeight="1" x14ac:dyDescent="0.35">
      <c r="C1028" s="124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ht="18.75" customHeight="1" x14ac:dyDescent="0.35">
      <c r="C1029" s="124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ht="18.75" customHeight="1" x14ac:dyDescent="0.35">
      <c r="C1030" s="124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ht="18.75" customHeight="1" x14ac:dyDescent="0.35">
      <c r="C1031" s="124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ht="18.75" customHeight="1" x14ac:dyDescent="0.35">
      <c r="C1032" s="124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ht="18.75" customHeight="1" x14ac:dyDescent="0.35">
      <c r="C1033" s="124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ht="18.75" customHeight="1" x14ac:dyDescent="0.35">
      <c r="C1034" s="124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ht="18.75" customHeight="1" x14ac:dyDescent="0.35">
      <c r="C1035" s="124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ht="18.75" customHeight="1" x14ac:dyDescent="0.35">
      <c r="C1036" s="124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ht="18.75" customHeight="1" x14ac:dyDescent="0.35">
      <c r="C1037" s="124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ht="18.75" customHeight="1" x14ac:dyDescent="0.35">
      <c r="C1038" s="124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ht="18.75" customHeight="1" x14ac:dyDescent="0.35">
      <c r="C1039" s="124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ht="18.75" customHeight="1" x14ac:dyDescent="0.35">
      <c r="C1040" s="124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ht="18.75" customHeight="1" x14ac:dyDescent="0.35">
      <c r="C1041" s="124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ht="18.75" customHeight="1" x14ac:dyDescent="0.35">
      <c r="C1042" s="124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ht="18.75" customHeight="1" x14ac:dyDescent="0.35">
      <c r="C1043" s="124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ht="18.75" customHeight="1" x14ac:dyDescent="0.35">
      <c r="C1044" s="124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ht="18.75" customHeight="1" x14ac:dyDescent="0.35">
      <c r="C1045" s="124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ht="18.75" customHeight="1" x14ac:dyDescent="0.35">
      <c r="C1046" s="124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ht="18.75" customHeight="1" x14ac:dyDescent="0.35">
      <c r="C1047" s="124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ht="18.75" customHeight="1" x14ac:dyDescent="0.35">
      <c r="C1048" s="124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ht="18.75" customHeight="1" x14ac:dyDescent="0.35">
      <c r="C1049" s="124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ht="18.75" customHeight="1" x14ac:dyDescent="0.35">
      <c r="C1050" s="124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ht="18.75" customHeight="1" x14ac:dyDescent="0.35">
      <c r="C1051" s="124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ht="18.75" customHeight="1" x14ac:dyDescent="0.35">
      <c r="C1052" s="124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ht="18.75" customHeight="1" x14ac:dyDescent="0.35">
      <c r="C1053" s="124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ht="18.75" customHeight="1" x14ac:dyDescent="0.35">
      <c r="C1054" s="124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ht="18.75" customHeight="1" x14ac:dyDescent="0.35">
      <c r="C1055" s="124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ht="18.75" customHeight="1" x14ac:dyDescent="0.35">
      <c r="C1056" s="124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ht="18.75" customHeight="1" x14ac:dyDescent="0.35">
      <c r="C1057" s="124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ht="18.75" customHeight="1" x14ac:dyDescent="0.35">
      <c r="C1058" s="124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ht="18.75" customHeight="1" x14ac:dyDescent="0.35">
      <c r="C1059" s="124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ht="18.75" customHeight="1" x14ac:dyDescent="0.35">
      <c r="C1060" s="124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ht="18.75" customHeight="1" x14ac:dyDescent="0.35">
      <c r="C1061" s="124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ht="18.75" customHeight="1" x14ac:dyDescent="0.35">
      <c r="C1062" s="124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ht="18.75" customHeight="1" x14ac:dyDescent="0.35">
      <c r="C1063" s="124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ht="18.75" customHeight="1" x14ac:dyDescent="0.35">
      <c r="C1064" s="124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ht="18.75" customHeight="1" x14ac:dyDescent="0.35">
      <c r="C1065" s="124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ht="18.75" customHeight="1" x14ac:dyDescent="0.35">
      <c r="C1066" s="124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ht="18.75" customHeight="1" x14ac:dyDescent="0.35">
      <c r="C1067" s="124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ht="18.75" customHeight="1" x14ac:dyDescent="0.35">
      <c r="C1068" s="124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ht="18.75" customHeight="1" x14ac:dyDescent="0.35">
      <c r="C1069" s="124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ht="18.75" customHeight="1" x14ac:dyDescent="0.35">
      <c r="C1070" s="124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ht="18.75" customHeight="1" x14ac:dyDescent="0.35">
      <c r="C1071" s="124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ht="18.75" customHeight="1" x14ac:dyDescent="0.35">
      <c r="C1072" s="124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ht="18.75" customHeight="1" x14ac:dyDescent="0.35">
      <c r="C1073" s="124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ht="18.75" customHeight="1" x14ac:dyDescent="0.35">
      <c r="C1074" s="124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ht="18.75" customHeight="1" x14ac:dyDescent="0.35">
      <c r="C1075" s="124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ht="18.75" customHeight="1" x14ac:dyDescent="0.35">
      <c r="C1076" s="124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ht="18.75" customHeight="1" x14ac:dyDescent="0.35">
      <c r="C1077" s="124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ht="18.75" customHeight="1" x14ac:dyDescent="0.35">
      <c r="C1078" s="124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ht="18.75" customHeight="1" x14ac:dyDescent="0.35">
      <c r="C1079" s="124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ht="18.75" customHeight="1" x14ac:dyDescent="0.35">
      <c r="C1080" s="124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ht="18.75" customHeight="1" x14ac:dyDescent="0.35">
      <c r="C1081" s="124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ht="18.75" customHeight="1" x14ac:dyDescent="0.35">
      <c r="C1082" s="124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ht="18.75" customHeight="1" x14ac:dyDescent="0.35">
      <c r="C1083" s="124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ht="18.75" customHeight="1" x14ac:dyDescent="0.35">
      <c r="C1084" s="124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ht="18.75" customHeight="1" x14ac:dyDescent="0.35">
      <c r="C1085" s="124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ht="18.75" customHeight="1" x14ac:dyDescent="0.35">
      <c r="C1086" s="124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ht="18.75" customHeight="1" x14ac:dyDescent="0.35">
      <c r="C1087" s="124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ht="18.75" customHeight="1" x14ac:dyDescent="0.35">
      <c r="C1088" s="124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ht="18.75" customHeight="1" x14ac:dyDescent="0.35">
      <c r="C1089" s="124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ht="18.75" customHeight="1" x14ac:dyDescent="0.35">
      <c r="C1090" s="124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ht="18.75" customHeight="1" x14ac:dyDescent="0.35">
      <c r="C1091" s="124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ht="18.75" customHeight="1" x14ac:dyDescent="0.35">
      <c r="C1092" s="124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ht="18.75" customHeight="1" x14ac:dyDescent="0.35">
      <c r="C1093" s="124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ht="18.75" customHeight="1" x14ac:dyDescent="0.35">
      <c r="C1094" s="124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ht="18.75" customHeight="1" x14ac:dyDescent="0.35">
      <c r="C1095" s="124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ht="18.75" customHeight="1" x14ac:dyDescent="0.35">
      <c r="C1096" s="124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ht="18.75" customHeight="1" x14ac:dyDescent="0.35">
      <c r="C1097" s="124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ht="18.75" customHeight="1" x14ac:dyDescent="0.35">
      <c r="C1098" s="124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ht="18.75" customHeight="1" x14ac:dyDescent="0.35">
      <c r="C1099" s="124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ht="18.75" customHeight="1" x14ac:dyDescent="0.35">
      <c r="C1100" s="124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ht="18.75" customHeight="1" x14ac:dyDescent="0.35">
      <c r="C1101" s="124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ht="18.75" customHeight="1" x14ac:dyDescent="0.35">
      <c r="C1102" s="124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ht="18.75" customHeight="1" x14ac:dyDescent="0.35">
      <c r="C1103" s="124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ht="18.75" customHeight="1" x14ac:dyDescent="0.35">
      <c r="C1104" s="124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ht="18.75" customHeight="1" x14ac:dyDescent="0.35">
      <c r="C1105" s="124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ht="18.75" customHeight="1" x14ac:dyDescent="0.35">
      <c r="C1106" s="124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ht="18.75" customHeight="1" x14ac:dyDescent="0.35">
      <c r="C1107" s="124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ht="18.75" customHeight="1" x14ac:dyDescent="0.35">
      <c r="C1108" s="124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ht="18.75" customHeight="1" x14ac:dyDescent="0.35">
      <c r="C1109" s="124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ht="18.75" customHeight="1" x14ac:dyDescent="0.35">
      <c r="C1110" s="124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ht="18.75" customHeight="1" x14ac:dyDescent="0.35">
      <c r="C1111" s="124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ht="18.75" customHeight="1" x14ac:dyDescent="0.35">
      <c r="C1112" s="124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ht="18.75" customHeight="1" x14ac:dyDescent="0.35">
      <c r="C1113" s="124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ht="18.75" customHeight="1" x14ac:dyDescent="0.35">
      <c r="C1114" s="124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ht="18.75" customHeight="1" x14ac:dyDescent="0.35">
      <c r="C1115" s="124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ht="18.75" customHeight="1" x14ac:dyDescent="0.35">
      <c r="C1116" s="124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ht="18.75" customHeight="1" x14ac:dyDescent="0.35">
      <c r="C1117" s="124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ht="18.75" customHeight="1" x14ac:dyDescent="0.35">
      <c r="C1118" s="124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ht="18.75" customHeight="1" x14ac:dyDescent="0.35">
      <c r="C1119" s="124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ht="18.75" customHeight="1" x14ac:dyDescent="0.35">
      <c r="C1120" s="124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ht="18.75" customHeight="1" x14ac:dyDescent="0.35">
      <c r="C1121" s="124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ht="18.75" customHeight="1" x14ac:dyDescent="0.35">
      <c r="C1122" s="124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ht="18.75" customHeight="1" x14ac:dyDescent="0.35">
      <c r="C1123" s="124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ht="18.75" customHeight="1" x14ac:dyDescent="0.35">
      <c r="C1124" s="124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ht="18.75" customHeight="1" x14ac:dyDescent="0.35">
      <c r="C1125" s="124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ht="18.75" customHeight="1" x14ac:dyDescent="0.35">
      <c r="C1126" s="124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ht="18.75" customHeight="1" x14ac:dyDescent="0.35">
      <c r="C1127" s="124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ht="18.75" customHeight="1" x14ac:dyDescent="0.35">
      <c r="C1128" s="124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ht="18.75" customHeight="1" x14ac:dyDescent="0.35">
      <c r="C1129" s="124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ht="18.75" customHeight="1" x14ac:dyDescent="0.35">
      <c r="C1130" s="124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ht="18.75" customHeight="1" x14ac:dyDescent="0.35">
      <c r="C1131" s="124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ht="18.75" customHeight="1" x14ac:dyDescent="0.35">
      <c r="C1132" s="124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ht="18.75" customHeight="1" x14ac:dyDescent="0.35">
      <c r="C1133" s="124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ht="18.75" customHeight="1" x14ac:dyDescent="0.35">
      <c r="C1134" s="124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ht="18.75" customHeight="1" x14ac:dyDescent="0.35">
      <c r="C1135" s="124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ht="18.75" customHeight="1" x14ac:dyDescent="0.35">
      <c r="C1136" s="124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ht="18.75" customHeight="1" x14ac:dyDescent="0.35">
      <c r="C1137" s="124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ht="18.75" customHeight="1" x14ac:dyDescent="0.35">
      <c r="C1138" s="124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ht="18.75" customHeight="1" x14ac:dyDescent="0.35">
      <c r="C1139" s="124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ht="18.75" customHeight="1" x14ac:dyDescent="0.35">
      <c r="C1140" s="124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ht="18.75" customHeight="1" x14ac:dyDescent="0.35">
      <c r="C1141" s="124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ht="18.75" customHeight="1" x14ac:dyDescent="0.35">
      <c r="C1142" s="124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ht="18.75" customHeight="1" x14ac:dyDescent="0.35">
      <c r="C1143" s="124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ht="18.75" customHeight="1" x14ac:dyDescent="0.35">
      <c r="C1144" s="124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ht="18.75" customHeight="1" x14ac:dyDescent="0.35">
      <c r="C1145" s="124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ht="18.75" customHeight="1" x14ac:dyDescent="0.35">
      <c r="C1146" s="124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ht="18.75" customHeight="1" x14ac:dyDescent="0.35">
      <c r="C1147" s="124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ht="18.75" customHeight="1" x14ac:dyDescent="0.35">
      <c r="C1148" s="124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ht="18.75" customHeight="1" x14ac:dyDescent="0.35">
      <c r="C1149" s="124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ht="18.75" customHeight="1" x14ac:dyDescent="0.35">
      <c r="C1150" s="124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ht="18.75" customHeight="1" x14ac:dyDescent="0.35">
      <c r="C1151" s="124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ht="18.75" customHeight="1" x14ac:dyDescent="0.35">
      <c r="C1152" s="124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ht="18.75" customHeight="1" x14ac:dyDescent="0.35">
      <c r="C1153" s="124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ht="18.75" customHeight="1" x14ac:dyDescent="0.35">
      <c r="C1154" s="124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ht="18.75" customHeight="1" x14ac:dyDescent="0.35">
      <c r="C1155" s="124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ht="18.75" customHeight="1" x14ac:dyDescent="0.35">
      <c r="C1156" s="124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ht="18.75" customHeight="1" x14ac:dyDescent="0.35">
      <c r="C1157" s="124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ht="18.75" customHeight="1" x14ac:dyDescent="0.35">
      <c r="C1158" s="124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ht="18.75" customHeight="1" x14ac:dyDescent="0.35">
      <c r="C1159" s="124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ht="18.75" customHeight="1" x14ac:dyDescent="0.35">
      <c r="C1160" s="124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ht="18.75" customHeight="1" x14ac:dyDescent="0.35">
      <c r="C1161" s="124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ht="18.75" customHeight="1" x14ac:dyDescent="0.35">
      <c r="C1162" s="124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ht="18.75" customHeight="1" x14ac:dyDescent="0.35">
      <c r="C1163" s="124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ht="18.75" customHeight="1" x14ac:dyDescent="0.35">
      <c r="C1164" s="124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ht="18.75" customHeight="1" x14ac:dyDescent="0.35">
      <c r="C1165" s="124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ht="18.75" customHeight="1" x14ac:dyDescent="0.35">
      <c r="C1166" s="124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ht="18.75" customHeight="1" x14ac:dyDescent="0.35">
      <c r="C1167" s="124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ht="18.75" customHeight="1" x14ac:dyDescent="0.35">
      <c r="C1168" s="124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ht="18.75" customHeight="1" x14ac:dyDescent="0.35">
      <c r="C1169" s="124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ht="18.75" customHeight="1" x14ac:dyDescent="0.35">
      <c r="C1170" s="124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ht="18.75" customHeight="1" x14ac:dyDescent="0.35">
      <c r="C1171" s="124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ht="18.75" customHeight="1" x14ac:dyDescent="0.35">
      <c r="C1172" s="124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ht="18.75" customHeight="1" x14ac:dyDescent="0.35">
      <c r="C1173" s="124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ht="18.75" customHeight="1" x14ac:dyDescent="0.35">
      <c r="C1174" s="124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ht="18.75" customHeight="1" x14ac:dyDescent="0.35">
      <c r="C1175" s="124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ht="18.75" customHeight="1" x14ac:dyDescent="0.35">
      <c r="C1176" s="124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ht="18.75" customHeight="1" x14ac:dyDescent="0.35">
      <c r="C1177" s="124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ht="18.75" customHeight="1" x14ac:dyDescent="0.35">
      <c r="C1178" s="124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ht="18.75" customHeight="1" x14ac:dyDescent="0.35">
      <c r="C1179" s="124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ht="18.75" customHeight="1" x14ac:dyDescent="0.35">
      <c r="C1180" s="124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ht="18.75" customHeight="1" x14ac:dyDescent="0.35">
      <c r="C1181" s="124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ht="18.75" customHeight="1" x14ac:dyDescent="0.35">
      <c r="C1182" s="124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ht="18.75" customHeight="1" x14ac:dyDescent="0.35">
      <c r="C1183" s="124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ht="18.75" customHeight="1" x14ac:dyDescent="0.35">
      <c r="C1184" s="124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ht="18.75" customHeight="1" x14ac:dyDescent="0.35">
      <c r="C1185" s="124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ht="18.75" customHeight="1" x14ac:dyDescent="0.35">
      <c r="C1186" s="124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ht="18.75" customHeight="1" x14ac:dyDescent="0.35">
      <c r="C1187" s="124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ht="18.75" customHeight="1" x14ac:dyDescent="0.35">
      <c r="C1188" s="124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ht="18.75" customHeight="1" x14ac:dyDescent="0.35">
      <c r="C1189" s="124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ht="18.75" customHeight="1" x14ac:dyDescent="0.35">
      <c r="C1190" s="124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ht="18.75" customHeight="1" x14ac:dyDescent="0.35">
      <c r="C1191" s="124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ht="18.75" customHeight="1" x14ac:dyDescent="0.35">
      <c r="C1192" s="124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ht="18.75" customHeight="1" x14ac:dyDescent="0.35">
      <c r="C1193" s="124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ht="18.75" customHeight="1" x14ac:dyDescent="0.35">
      <c r="C1194" s="124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ht="18.75" customHeight="1" x14ac:dyDescent="0.35">
      <c r="C1195" s="124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ht="18.75" customHeight="1" x14ac:dyDescent="0.35">
      <c r="C1196" s="124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ht="18.75" customHeight="1" x14ac:dyDescent="0.35">
      <c r="C1197" s="124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ht="18.75" customHeight="1" x14ac:dyDescent="0.35">
      <c r="C1198" s="124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ht="18.75" customHeight="1" x14ac:dyDescent="0.35">
      <c r="C1199" s="124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ht="18.75" customHeight="1" x14ac:dyDescent="0.35">
      <c r="C1200" s="124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ht="18.75" customHeight="1" x14ac:dyDescent="0.35">
      <c r="C1201" s="124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ht="18.75" customHeight="1" x14ac:dyDescent="0.35">
      <c r="C1202" s="124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ht="18.75" customHeight="1" x14ac:dyDescent="0.35">
      <c r="C1203" s="124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ht="18.75" customHeight="1" x14ac:dyDescent="0.35">
      <c r="C1204" s="124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ht="18.75" customHeight="1" x14ac:dyDescent="0.35">
      <c r="C1205" s="124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ht="18.75" customHeight="1" x14ac:dyDescent="0.35">
      <c r="C1206" s="124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ht="18.75" customHeight="1" x14ac:dyDescent="0.35">
      <c r="C1207" s="124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ht="18.75" customHeight="1" x14ac:dyDescent="0.35">
      <c r="C1208" s="124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ht="18.75" customHeight="1" x14ac:dyDescent="0.35">
      <c r="C1209" s="124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ht="18.75" customHeight="1" x14ac:dyDescent="0.35">
      <c r="C1210" s="124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ht="18.75" customHeight="1" x14ac:dyDescent="0.35">
      <c r="C1211" s="124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ht="18.75" customHeight="1" x14ac:dyDescent="0.35">
      <c r="C1212" s="124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ht="18.75" customHeight="1" x14ac:dyDescent="0.35">
      <c r="C1213" s="124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ht="18.75" customHeight="1" x14ac:dyDescent="0.35">
      <c r="C1214" s="124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ht="18.75" customHeight="1" x14ac:dyDescent="0.35">
      <c r="C1215" s="124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ht="18.75" customHeight="1" x14ac:dyDescent="0.35">
      <c r="C1216" s="124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ht="18.75" customHeight="1" x14ac:dyDescent="0.35">
      <c r="C1217" s="124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ht="18.75" customHeight="1" x14ac:dyDescent="0.35">
      <c r="C1218" s="124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ht="18.75" customHeight="1" x14ac:dyDescent="0.35">
      <c r="C1219" s="124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ht="18.75" customHeight="1" x14ac:dyDescent="0.35">
      <c r="C1220" s="124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ht="18.75" customHeight="1" x14ac:dyDescent="0.35">
      <c r="C1221" s="124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ht="18.75" customHeight="1" x14ac:dyDescent="0.35">
      <c r="C1222" s="124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ht="18.75" customHeight="1" x14ac:dyDescent="0.35">
      <c r="C1223" s="124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ht="18.75" customHeight="1" x14ac:dyDescent="0.35">
      <c r="C1224" s="124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ht="18.75" customHeight="1" x14ac:dyDescent="0.35">
      <c r="C1225" s="124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ht="18.75" customHeight="1" x14ac:dyDescent="0.35">
      <c r="C1226" s="124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ht="18.75" customHeight="1" x14ac:dyDescent="0.35">
      <c r="C1227" s="124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ht="18.75" customHeight="1" x14ac:dyDescent="0.35">
      <c r="C1228" s="124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ht="18.75" customHeight="1" x14ac:dyDescent="0.35">
      <c r="C1229" s="124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ht="18.75" customHeight="1" x14ac:dyDescent="0.35">
      <c r="C1230" s="124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ht="18.75" customHeight="1" x14ac:dyDescent="0.35">
      <c r="C1231" s="124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ht="18.75" customHeight="1" x14ac:dyDescent="0.35">
      <c r="C1232" s="124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ht="18.75" customHeight="1" x14ac:dyDescent="0.35">
      <c r="C1233" s="124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ht="18.75" customHeight="1" x14ac:dyDescent="0.35">
      <c r="C1234" s="124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ht="18.75" customHeight="1" x14ac:dyDescent="0.35">
      <c r="C1235" s="124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ht="18.75" customHeight="1" x14ac:dyDescent="0.35">
      <c r="C1236" s="124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ht="18.75" customHeight="1" x14ac:dyDescent="0.35">
      <c r="C1237" s="124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ht="18.75" customHeight="1" x14ac:dyDescent="0.35">
      <c r="C1238" s="124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ht="18.75" customHeight="1" x14ac:dyDescent="0.35">
      <c r="C1239" s="124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ht="18.75" customHeight="1" x14ac:dyDescent="0.35">
      <c r="C1240" s="124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ht="18.75" customHeight="1" x14ac:dyDescent="0.35">
      <c r="C1241" s="124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ht="18.75" customHeight="1" x14ac:dyDescent="0.35">
      <c r="C1242" s="124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ht="18.75" customHeight="1" x14ac:dyDescent="0.35">
      <c r="C1243" s="124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ht="18.75" customHeight="1" x14ac:dyDescent="0.35">
      <c r="C1244" s="124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ht="18.75" customHeight="1" x14ac:dyDescent="0.35">
      <c r="C1245" s="124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ht="18.75" customHeight="1" x14ac:dyDescent="0.35">
      <c r="C1246" s="124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ht="18.75" customHeight="1" x14ac:dyDescent="0.35">
      <c r="C1247" s="124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ht="18.75" customHeight="1" x14ac:dyDescent="0.35">
      <c r="C1248" s="124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ht="18.75" customHeight="1" x14ac:dyDescent="0.35">
      <c r="C1249" s="124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ht="18.75" customHeight="1" x14ac:dyDescent="0.35">
      <c r="C1250" s="124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ht="18.75" customHeight="1" x14ac:dyDescent="0.35">
      <c r="C1251" s="124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ht="18.75" customHeight="1" x14ac:dyDescent="0.35">
      <c r="C1252" s="124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ht="18.75" customHeight="1" x14ac:dyDescent="0.35">
      <c r="C1253" s="124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ht="18.75" customHeight="1" x14ac:dyDescent="0.35">
      <c r="C1254" s="124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ht="18.75" customHeight="1" x14ac:dyDescent="0.35">
      <c r="C1255" s="124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ht="18.75" customHeight="1" x14ac:dyDescent="0.35">
      <c r="C1256" s="124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ht="18.75" customHeight="1" x14ac:dyDescent="0.35">
      <c r="C1257" s="124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ht="18.75" customHeight="1" x14ac:dyDescent="0.35">
      <c r="C1258" s="124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ht="18.75" customHeight="1" x14ac:dyDescent="0.35">
      <c r="C1259" s="124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ht="18.75" customHeight="1" x14ac:dyDescent="0.35">
      <c r="C1260" s="124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ht="18.75" customHeight="1" x14ac:dyDescent="0.35">
      <c r="C1261" s="124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ht="18.75" customHeight="1" x14ac:dyDescent="0.35">
      <c r="C1262" s="124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ht="18.75" customHeight="1" x14ac:dyDescent="0.35">
      <c r="C1263" s="124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ht="18.75" customHeight="1" x14ac:dyDescent="0.35">
      <c r="C1264" s="124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ht="18.75" customHeight="1" x14ac:dyDescent="0.35">
      <c r="C1265" s="124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ht="18.75" customHeight="1" x14ac:dyDescent="0.35">
      <c r="C1266" s="124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ht="18.75" customHeight="1" x14ac:dyDescent="0.35">
      <c r="C1267" s="124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ht="18.75" customHeight="1" x14ac:dyDescent="0.35">
      <c r="C1268" s="124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ht="18.75" customHeight="1" x14ac:dyDescent="0.35">
      <c r="C1269" s="124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ht="18.75" customHeight="1" x14ac:dyDescent="0.35">
      <c r="C1270" s="124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ht="18.75" customHeight="1" x14ac:dyDescent="0.35">
      <c r="C1271" s="124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ht="18.75" customHeight="1" x14ac:dyDescent="0.35">
      <c r="C1272" s="124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ht="18.75" customHeight="1" x14ac:dyDescent="0.35">
      <c r="C1273" s="124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ht="18.75" customHeight="1" x14ac:dyDescent="0.35">
      <c r="C1274" s="124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ht="18.75" customHeight="1" x14ac:dyDescent="0.35">
      <c r="C1275" s="124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ht="18.75" customHeight="1" x14ac:dyDescent="0.35">
      <c r="C1276" s="124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ht="18.75" customHeight="1" x14ac:dyDescent="0.35">
      <c r="C1277" s="124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ht="18.75" customHeight="1" x14ac:dyDescent="0.35">
      <c r="C1278" s="124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ht="18.75" customHeight="1" x14ac:dyDescent="0.35">
      <c r="C1279" s="124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ht="18.75" customHeight="1" x14ac:dyDescent="0.35">
      <c r="C1280" s="124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ht="18.75" customHeight="1" x14ac:dyDescent="0.35">
      <c r="C1281" s="124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ht="18.75" customHeight="1" x14ac:dyDescent="0.35">
      <c r="C1282" s="124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ht="18.75" customHeight="1" x14ac:dyDescent="0.35">
      <c r="C1283" s="124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ht="18.75" customHeight="1" x14ac:dyDescent="0.35">
      <c r="C1284" s="124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ht="18.75" customHeight="1" x14ac:dyDescent="0.35">
      <c r="C1285" s="124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ht="18.75" customHeight="1" x14ac:dyDescent="0.35">
      <c r="C1286" s="124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ht="18.75" customHeight="1" x14ac:dyDescent="0.35">
      <c r="C1287" s="124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ht="18.75" customHeight="1" x14ac:dyDescent="0.35">
      <c r="C1288" s="124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ht="18.75" customHeight="1" x14ac:dyDescent="0.35">
      <c r="C1289" s="124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ht="18.75" customHeight="1" x14ac:dyDescent="0.35">
      <c r="C1290" s="124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ht="18.75" customHeight="1" x14ac:dyDescent="0.35">
      <c r="C1291" s="124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ht="18.75" customHeight="1" x14ac:dyDescent="0.35">
      <c r="C1292" s="124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ht="18.75" customHeight="1" x14ac:dyDescent="0.35">
      <c r="C1293" s="124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ht="18.75" customHeight="1" x14ac:dyDescent="0.35">
      <c r="C1294" s="124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ht="18.75" customHeight="1" x14ac:dyDescent="0.35">
      <c r="C1295" s="124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ht="18.75" customHeight="1" x14ac:dyDescent="0.35">
      <c r="C1296" s="124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ht="18.75" customHeight="1" x14ac:dyDescent="0.35">
      <c r="C1297" s="124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ht="18.75" customHeight="1" x14ac:dyDescent="0.35">
      <c r="C1298" s="124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ht="18.75" customHeight="1" x14ac:dyDescent="0.35">
      <c r="C1299" s="124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ht="18.75" customHeight="1" x14ac:dyDescent="0.35">
      <c r="C1300" s="124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ht="18.75" customHeight="1" x14ac:dyDescent="0.35">
      <c r="C1301" s="124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ht="18.75" customHeight="1" x14ac:dyDescent="0.35">
      <c r="C1302" s="124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ht="18.75" customHeight="1" x14ac:dyDescent="0.35">
      <c r="C1303" s="124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ht="18.75" customHeight="1" x14ac:dyDescent="0.35">
      <c r="C1304" s="124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ht="18.75" customHeight="1" x14ac:dyDescent="0.35">
      <c r="C1305" s="124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ht="18.75" customHeight="1" x14ac:dyDescent="0.35">
      <c r="C1306" s="124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ht="18.75" customHeight="1" x14ac:dyDescent="0.35">
      <c r="C1307" s="124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ht="18.75" customHeight="1" x14ac:dyDescent="0.35">
      <c r="C1308" s="124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ht="18.75" customHeight="1" x14ac:dyDescent="0.35">
      <c r="C1309" s="124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ht="18.75" customHeight="1" x14ac:dyDescent="0.35">
      <c r="C1310" s="124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ht="18.75" customHeight="1" x14ac:dyDescent="0.35">
      <c r="C1311" s="124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ht="18.75" customHeight="1" x14ac:dyDescent="0.35">
      <c r="C1312" s="124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ht="18.75" customHeight="1" x14ac:dyDescent="0.35">
      <c r="C1313" s="124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ht="18.75" customHeight="1" x14ac:dyDescent="0.35">
      <c r="C1314" s="124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ht="18.75" customHeight="1" x14ac:dyDescent="0.35">
      <c r="C1315" s="124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ht="18.75" customHeight="1" x14ac:dyDescent="0.35">
      <c r="C1316" s="124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ht="18.75" customHeight="1" x14ac:dyDescent="0.35">
      <c r="C1317" s="124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ht="18.75" customHeight="1" x14ac:dyDescent="0.35">
      <c r="C1318" s="124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ht="18.75" customHeight="1" x14ac:dyDescent="0.35">
      <c r="C1319" s="124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ht="18.75" customHeight="1" x14ac:dyDescent="0.35">
      <c r="C1320" s="124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ht="18.75" customHeight="1" x14ac:dyDescent="0.35">
      <c r="C1321" s="124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ht="18.75" customHeight="1" x14ac:dyDescent="0.35">
      <c r="C1322" s="124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ht="18.75" customHeight="1" x14ac:dyDescent="0.35">
      <c r="C1323" s="124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ht="18.75" customHeight="1" x14ac:dyDescent="0.35">
      <c r="C1324" s="124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ht="18.75" customHeight="1" x14ac:dyDescent="0.35">
      <c r="C1325" s="124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ht="18.75" customHeight="1" x14ac:dyDescent="0.35">
      <c r="C1326" s="124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ht="18.75" customHeight="1" x14ac:dyDescent="0.35">
      <c r="C1327" s="124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ht="18.75" customHeight="1" x14ac:dyDescent="0.35">
      <c r="C1328" s="124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ht="18.75" customHeight="1" x14ac:dyDescent="0.35">
      <c r="C1329" s="124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ht="18.75" customHeight="1" x14ac:dyDescent="0.35">
      <c r="C1330" s="124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ht="18.75" customHeight="1" x14ac:dyDescent="0.35">
      <c r="C1331" s="124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ht="18.75" customHeight="1" x14ac:dyDescent="0.35">
      <c r="C1332" s="124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ht="18.75" customHeight="1" x14ac:dyDescent="0.35">
      <c r="C1333" s="124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ht="18.75" customHeight="1" x14ac:dyDescent="0.35">
      <c r="C1334" s="124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ht="18.75" customHeight="1" x14ac:dyDescent="0.35">
      <c r="C1335" s="124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ht="18.75" customHeight="1" x14ac:dyDescent="0.35">
      <c r="C1336" s="124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ht="18.75" customHeight="1" x14ac:dyDescent="0.35">
      <c r="C1337" s="124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ht="18.75" customHeight="1" x14ac:dyDescent="0.35">
      <c r="C1338" s="124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ht="18.75" customHeight="1" x14ac:dyDescent="0.35">
      <c r="C1339" s="124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ht="18.75" customHeight="1" x14ac:dyDescent="0.35">
      <c r="C1340" s="124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ht="18.75" customHeight="1" x14ac:dyDescent="0.35">
      <c r="C1341" s="124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ht="18.75" customHeight="1" x14ac:dyDescent="0.35">
      <c r="C1342" s="124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ht="18.75" customHeight="1" x14ac:dyDescent="0.35">
      <c r="C1343" s="124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ht="18.75" customHeight="1" x14ac:dyDescent="0.35">
      <c r="C1344" s="124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ht="18.75" customHeight="1" x14ac:dyDescent="0.35">
      <c r="C1345" s="124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ht="18.75" customHeight="1" x14ac:dyDescent="0.35">
      <c r="C1346" s="124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ht="18.75" customHeight="1" x14ac:dyDescent="0.35">
      <c r="C1347" s="124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ht="18.75" customHeight="1" x14ac:dyDescent="0.35">
      <c r="C1348" s="124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ht="18.75" customHeight="1" x14ac:dyDescent="0.35">
      <c r="C1349" s="124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ht="18.75" customHeight="1" x14ac:dyDescent="0.35">
      <c r="C1350" s="124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ht="18.75" customHeight="1" x14ac:dyDescent="0.35">
      <c r="C1351" s="124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ht="18.75" customHeight="1" x14ac:dyDescent="0.35">
      <c r="C1352" s="124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ht="18.75" customHeight="1" x14ac:dyDescent="0.35">
      <c r="C1353" s="124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ht="18.75" customHeight="1" x14ac:dyDescent="0.35">
      <c r="C1354" s="124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ht="18.75" customHeight="1" x14ac:dyDescent="0.35">
      <c r="C1355" s="124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ht="18.75" customHeight="1" x14ac:dyDescent="0.35">
      <c r="C1356" s="124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ht="18.75" customHeight="1" x14ac:dyDescent="0.35">
      <c r="C1357" s="124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ht="18.75" customHeight="1" x14ac:dyDescent="0.35">
      <c r="C1358" s="124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ht="18.75" customHeight="1" x14ac:dyDescent="0.35">
      <c r="C1359" s="124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ht="18.75" customHeight="1" x14ac:dyDescent="0.35">
      <c r="C1360" s="124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ht="18.75" customHeight="1" x14ac:dyDescent="0.35">
      <c r="C1361" s="124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ht="18.75" customHeight="1" x14ac:dyDescent="0.35">
      <c r="C1362" s="124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ht="18.75" customHeight="1" x14ac:dyDescent="0.35">
      <c r="C1363" s="124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ht="18.75" customHeight="1" x14ac:dyDescent="0.35">
      <c r="C1364" s="124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ht="18.75" customHeight="1" x14ac:dyDescent="0.35">
      <c r="C1365" s="124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ht="18.75" customHeight="1" x14ac:dyDescent="0.35">
      <c r="C1366" s="124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ht="18.75" customHeight="1" x14ac:dyDescent="0.35">
      <c r="C1367" s="124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ht="18.75" customHeight="1" x14ac:dyDescent="0.35">
      <c r="C1368" s="124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ht="18.75" customHeight="1" x14ac:dyDescent="0.35">
      <c r="C1369" s="124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ht="18.75" customHeight="1" x14ac:dyDescent="0.35">
      <c r="C1370" s="124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ht="18.75" customHeight="1" x14ac:dyDescent="0.35">
      <c r="C1371" s="124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ht="18.75" customHeight="1" x14ac:dyDescent="0.35">
      <c r="C1372" s="124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ht="18.75" customHeight="1" x14ac:dyDescent="0.35">
      <c r="C1373" s="124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ht="18.75" customHeight="1" x14ac:dyDescent="0.35">
      <c r="C1374" s="124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ht="18.75" customHeight="1" x14ac:dyDescent="0.35">
      <c r="C1375" s="124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ht="18.75" customHeight="1" x14ac:dyDescent="0.35">
      <c r="C1376" s="124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ht="18.75" customHeight="1" x14ac:dyDescent="0.35">
      <c r="C1377" s="124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ht="18.75" customHeight="1" x14ac:dyDescent="0.35">
      <c r="C1378" s="124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ht="18.75" customHeight="1" x14ac:dyDescent="0.35">
      <c r="C1379" s="124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ht="18.75" customHeight="1" x14ac:dyDescent="0.35">
      <c r="C1380" s="124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ht="18.75" customHeight="1" x14ac:dyDescent="0.35">
      <c r="C1381" s="124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ht="18.75" customHeight="1" x14ac:dyDescent="0.35">
      <c r="C1382" s="124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ht="18.75" customHeight="1" x14ac:dyDescent="0.35">
      <c r="C1383" s="124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ht="18.75" customHeight="1" x14ac:dyDescent="0.35">
      <c r="C1384" s="124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ht="18.75" customHeight="1" x14ac:dyDescent="0.35">
      <c r="C1385" s="124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ht="18.75" customHeight="1" x14ac:dyDescent="0.35">
      <c r="C1386" s="124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ht="18.75" customHeight="1" x14ac:dyDescent="0.35">
      <c r="C1387" s="124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ht="18.75" customHeight="1" x14ac:dyDescent="0.35">
      <c r="C1388" s="124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ht="18.75" customHeight="1" x14ac:dyDescent="0.35">
      <c r="C1389" s="124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ht="18.75" customHeight="1" x14ac:dyDescent="0.35">
      <c r="C1390" s="124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ht="18.75" customHeight="1" x14ac:dyDescent="0.35">
      <c r="C1391" s="124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ht="18.75" customHeight="1" x14ac:dyDescent="0.35">
      <c r="C1392" s="124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ht="18.75" customHeight="1" x14ac:dyDescent="0.35">
      <c r="C1393" s="124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ht="18.75" customHeight="1" x14ac:dyDescent="0.35">
      <c r="C1394" s="124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ht="18.75" customHeight="1" x14ac:dyDescent="0.35">
      <c r="C1395" s="124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ht="18.75" customHeight="1" x14ac:dyDescent="0.35">
      <c r="C1396" s="124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ht="18.75" customHeight="1" x14ac:dyDescent="0.35">
      <c r="C1397" s="124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ht="18.75" customHeight="1" x14ac:dyDescent="0.35">
      <c r="C1398" s="124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ht="18.75" customHeight="1" x14ac:dyDescent="0.35">
      <c r="C1399" s="124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ht="18.75" customHeight="1" x14ac:dyDescent="0.35">
      <c r="C1400" s="124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ht="18.75" customHeight="1" x14ac:dyDescent="0.35">
      <c r="C1401" s="124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ht="18.75" customHeight="1" x14ac:dyDescent="0.35">
      <c r="C1402" s="124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ht="18.75" customHeight="1" x14ac:dyDescent="0.35">
      <c r="C1403" s="124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ht="18.75" customHeight="1" x14ac:dyDescent="0.35">
      <c r="C1404" s="124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ht="18.75" customHeight="1" x14ac:dyDescent="0.35">
      <c r="C1405" s="124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ht="18.75" customHeight="1" x14ac:dyDescent="0.35">
      <c r="C1406" s="124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ht="18.75" customHeight="1" x14ac:dyDescent="0.35">
      <c r="C1407" s="124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ht="18.75" customHeight="1" x14ac:dyDescent="0.35">
      <c r="C1408" s="124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ht="18.75" customHeight="1" x14ac:dyDescent="0.35">
      <c r="C1409" s="124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ht="18.75" customHeight="1" x14ac:dyDescent="0.35">
      <c r="C1410" s="124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ht="18.75" customHeight="1" x14ac:dyDescent="0.35">
      <c r="C1411" s="124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ht="18.75" customHeight="1" x14ac:dyDescent="0.35">
      <c r="C1412" s="124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ht="18.75" customHeight="1" x14ac:dyDescent="0.35">
      <c r="C1413" s="124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ht="18.75" customHeight="1" x14ac:dyDescent="0.35">
      <c r="C1414" s="124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ht="18.75" customHeight="1" x14ac:dyDescent="0.35">
      <c r="C1415" s="124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ht="18.75" customHeight="1" x14ac:dyDescent="0.35">
      <c r="C1416" s="124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ht="18.75" customHeight="1" x14ac:dyDescent="0.35">
      <c r="C1417" s="124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ht="18.75" customHeight="1" x14ac:dyDescent="0.35">
      <c r="C1418" s="124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ht="18.75" customHeight="1" x14ac:dyDescent="0.35">
      <c r="C1419" s="124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ht="18.75" customHeight="1" x14ac:dyDescent="0.35">
      <c r="C1420" s="124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ht="18.75" customHeight="1" x14ac:dyDescent="0.35">
      <c r="C1421" s="124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ht="18.75" customHeight="1" x14ac:dyDescent="0.35">
      <c r="C1422" s="124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ht="18.75" customHeight="1" x14ac:dyDescent="0.35">
      <c r="C1423" s="124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ht="18.75" customHeight="1" x14ac:dyDescent="0.35">
      <c r="C1424" s="124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ht="18.75" customHeight="1" x14ac:dyDescent="0.35">
      <c r="C1425" s="124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ht="18.75" customHeight="1" x14ac:dyDescent="0.35">
      <c r="C1426" s="124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ht="18.75" customHeight="1" x14ac:dyDescent="0.35">
      <c r="C1427" s="124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ht="18.75" customHeight="1" x14ac:dyDescent="0.35">
      <c r="C1428" s="124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ht="18.75" customHeight="1" x14ac:dyDescent="0.35">
      <c r="C1429" s="124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ht="18.75" customHeight="1" x14ac:dyDescent="0.35">
      <c r="C1430" s="124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ht="18.75" customHeight="1" x14ac:dyDescent="0.35">
      <c r="C1431" s="124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ht="18.75" customHeight="1" x14ac:dyDescent="0.35">
      <c r="C1432" s="124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ht="18.75" customHeight="1" x14ac:dyDescent="0.35">
      <c r="C1433" s="124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ht="18.75" customHeight="1" x14ac:dyDescent="0.35">
      <c r="C1434" s="124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ht="18.75" customHeight="1" x14ac:dyDescent="0.35">
      <c r="C1435" s="124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ht="18.75" customHeight="1" x14ac:dyDescent="0.35">
      <c r="C1436" s="124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ht="18.75" customHeight="1" x14ac:dyDescent="0.35">
      <c r="C1437" s="124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ht="18.75" customHeight="1" x14ac:dyDescent="0.35">
      <c r="C1438" s="124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ht="18.75" customHeight="1" x14ac:dyDescent="0.35">
      <c r="C1439" s="124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ht="18.75" customHeight="1" x14ac:dyDescent="0.35">
      <c r="C1440" s="124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ht="18.75" customHeight="1" x14ac:dyDescent="0.35">
      <c r="C1441" s="124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ht="18.75" customHeight="1" x14ac:dyDescent="0.35">
      <c r="C1442" s="124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ht="18.75" customHeight="1" x14ac:dyDescent="0.35">
      <c r="C1443" s="124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ht="18.75" customHeight="1" x14ac:dyDescent="0.35">
      <c r="C1444" s="124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ht="18.75" customHeight="1" x14ac:dyDescent="0.35">
      <c r="C1445" s="124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ht="18.75" customHeight="1" x14ac:dyDescent="0.35">
      <c r="C1446" s="124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ht="18.75" customHeight="1" x14ac:dyDescent="0.35">
      <c r="C1447" s="124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ht="18.75" customHeight="1" x14ac:dyDescent="0.35">
      <c r="C1448" s="124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ht="18.75" customHeight="1" x14ac:dyDescent="0.35">
      <c r="C1449" s="124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ht="18.75" customHeight="1" x14ac:dyDescent="0.35">
      <c r="C1450" s="124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ht="18.75" customHeight="1" x14ac:dyDescent="0.35">
      <c r="C1451" s="124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ht="18.75" customHeight="1" x14ac:dyDescent="0.35">
      <c r="C1452" s="124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ht="18.75" customHeight="1" x14ac:dyDescent="0.35">
      <c r="C1453" s="124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ht="18.75" customHeight="1" x14ac:dyDescent="0.35">
      <c r="C1454" s="124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ht="18.75" customHeight="1" x14ac:dyDescent="0.35">
      <c r="C1455" s="124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ht="18.75" customHeight="1" x14ac:dyDescent="0.35">
      <c r="C1456" s="124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ht="18.75" customHeight="1" x14ac:dyDescent="0.35">
      <c r="C1457" s="124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ht="18.75" customHeight="1" x14ac:dyDescent="0.35">
      <c r="C1458" s="124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ht="18.75" customHeight="1" x14ac:dyDescent="0.35">
      <c r="C1459" s="124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ht="18.75" customHeight="1" x14ac:dyDescent="0.35">
      <c r="C1460" s="124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ht="18.75" customHeight="1" x14ac:dyDescent="0.35">
      <c r="C1461" s="124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ht="18.75" customHeight="1" x14ac:dyDescent="0.35">
      <c r="C1462" s="124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ht="18.75" customHeight="1" x14ac:dyDescent="0.35">
      <c r="C1463" s="124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ht="18.75" customHeight="1" x14ac:dyDescent="0.35">
      <c r="C1464" s="124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ht="18.75" customHeight="1" x14ac:dyDescent="0.35">
      <c r="C1465" s="124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ht="18.75" customHeight="1" x14ac:dyDescent="0.35">
      <c r="C1466" s="124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ht="18.75" customHeight="1" x14ac:dyDescent="0.35">
      <c r="C1467" s="124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ht="18.75" customHeight="1" x14ac:dyDescent="0.35">
      <c r="C1468" s="124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ht="18.75" customHeight="1" x14ac:dyDescent="0.35">
      <c r="C1469" s="124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ht="18.75" customHeight="1" x14ac:dyDescent="0.35">
      <c r="C1470" s="124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ht="18.75" customHeight="1" x14ac:dyDescent="0.35">
      <c r="C1471" s="124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ht="18.75" customHeight="1" x14ac:dyDescent="0.35">
      <c r="C1472" s="124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ht="18.75" customHeight="1" x14ac:dyDescent="0.35">
      <c r="C1473" s="124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ht="18.75" customHeight="1" x14ac:dyDescent="0.35">
      <c r="C1474" s="124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ht="18.75" customHeight="1" x14ac:dyDescent="0.35">
      <c r="C1475" s="124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ht="18.75" customHeight="1" x14ac:dyDescent="0.35">
      <c r="C1476" s="124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ht="18.75" customHeight="1" x14ac:dyDescent="0.35">
      <c r="C1477" s="124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ht="18.75" customHeight="1" x14ac:dyDescent="0.35">
      <c r="C1478" s="124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ht="18.75" customHeight="1" x14ac:dyDescent="0.35">
      <c r="C1479" s="124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ht="18.75" customHeight="1" x14ac:dyDescent="0.35">
      <c r="C1480" s="124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ht="18.75" customHeight="1" x14ac:dyDescent="0.35">
      <c r="C1481" s="124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ht="18.75" customHeight="1" x14ac:dyDescent="0.35">
      <c r="C1482" s="124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ht="18.75" customHeight="1" x14ac:dyDescent="0.35">
      <c r="C1483" s="124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ht="18.75" customHeight="1" x14ac:dyDescent="0.35">
      <c r="C1484" s="124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ht="18.75" customHeight="1" x14ac:dyDescent="0.35">
      <c r="C1485" s="124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ht="18.75" customHeight="1" x14ac:dyDescent="0.35">
      <c r="C1486" s="124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ht="18.75" customHeight="1" x14ac:dyDescent="0.35">
      <c r="C1487" s="124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ht="18.75" customHeight="1" x14ac:dyDescent="0.35">
      <c r="C1488" s="124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ht="18.75" customHeight="1" x14ac:dyDescent="0.35">
      <c r="C1489" s="124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ht="18.75" customHeight="1" x14ac:dyDescent="0.35">
      <c r="C1490" s="124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ht="18.75" customHeight="1" x14ac:dyDescent="0.35">
      <c r="C1491" s="124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ht="18.75" customHeight="1" x14ac:dyDescent="0.35">
      <c r="C1492" s="124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ht="18.75" customHeight="1" x14ac:dyDescent="0.35">
      <c r="C1493" s="124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ht="18.75" customHeight="1" x14ac:dyDescent="0.35">
      <c r="C1494" s="124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ht="18.75" customHeight="1" x14ac:dyDescent="0.35">
      <c r="C1495" s="124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ht="18.75" customHeight="1" x14ac:dyDescent="0.35">
      <c r="C1496" s="124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ht="18.75" customHeight="1" x14ac:dyDescent="0.35">
      <c r="C1497" s="124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ht="18.75" customHeight="1" x14ac:dyDescent="0.35">
      <c r="C1498" s="124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ht="18.75" customHeight="1" x14ac:dyDescent="0.35">
      <c r="C1499" s="124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ht="18.75" customHeight="1" x14ac:dyDescent="0.35">
      <c r="C1500" s="124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ht="18.75" customHeight="1" x14ac:dyDescent="0.35">
      <c r="C1501" s="124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ht="18.75" customHeight="1" x14ac:dyDescent="0.35">
      <c r="C1502" s="124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ht="18.75" customHeight="1" x14ac:dyDescent="0.35">
      <c r="C1503" s="124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ht="18.75" customHeight="1" x14ac:dyDescent="0.35">
      <c r="C1504" s="124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ht="18.75" customHeight="1" x14ac:dyDescent="0.35">
      <c r="C1505" s="124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ht="18.75" customHeight="1" x14ac:dyDescent="0.35">
      <c r="C1506" s="124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ht="18.75" customHeight="1" x14ac:dyDescent="0.35">
      <c r="C1507" s="124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ht="18.75" customHeight="1" x14ac:dyDescent="0.35">
      <c r="C1508" s="124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ht="18.75" customHeight="1" x14ac:dyDescent="0.35">
      <c r="C1509" s="124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ht="18.75" customHeight="1" x14ac:dyDescent="0.35">
      <c r="C1510" s="124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ht="18.75" customHeight="1" x14ac:dyDescent="0.35">
      <c r="C1511" s="124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ht="18.75" customHeight="1" x14ac:dyDescent="0.35">
      <c r="C1512" s="124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ht="18.75" customHeight="1" x14ac:dyDescent="0.35">
      <c r="C1513" s="124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ht="18.75" customHeight="1" x14ac:dyDescent="0.35">
      <c r="C1514" s="124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ht="18.75" customHeight="1" x14ac:dyDescent="0.35">
      <c r="C1515" s="124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ht="18.75" customHeight="1" x14ac:dyDescent="0.35">
      <c r="C1516" s="124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ht="18.75" customHeight="1" x14ac:dyDescent="0.35">
      <c r="C1517" s="124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ht="18.75" customHeight="1" x14ac:dyDescent="0.35">
      <c r="C1518" s="124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ht="18.75" customHeight="1" x14ac:dyDescent="0.35">
      <c r="C1519" s="124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ht="18.75" customHeight="1" x14ac:dyDescent="0.35">
      <c r="C1520" s="124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ht="18.75" customHeight="1" x14ac:dyDescent="0.35">
      <c r="C1521" s="124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ht="18.75" customHeight="1" x14ac:dyDescent="0.35">
      <c r="C1522" s="124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ht="18.75" customHeight="1" x14ac:dyDescent="0.35">
      <c r="C1523" s="124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ht="18.75" customHeight="1" x14ac:dyDescent="0.35">
      <c r="C1524" s="124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ht="18.75" customHeight="1" x14ac:dyDescent="0.35">
      <c r="C1525" s="124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ht="18.75" customHeight="1" x14ac:dyDescent="0.35">
      <c r="C1526" s="124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ht="18.75" customHeight="1" x14ac:dyDescent="0.35">
      <c r="C1527" s="124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ht="18.75" customHeight="1" x14ac:dyDescent="0.35">
      <c r="C1528" s="124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ht="18.75" customHeight="1" x14ac:dyDescent="0.35">
      <c r="C1529" s="124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ht="18.75" customHeight="1" x14ac:dyDescent="0.35">
      <c r="C1530" s="124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ht="18.75" customHeight="1" x14ac:dyDescent="0.35">
      <c r="C1531" s="124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ht="18.75" customHeight="1" x14ac:dyDescent="0.35">
      <c r="C1532" s="124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ht="18.75" customHeight="1" x14ac:dyDescent="0.35">
      <c r="C1533" s="124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ht="18.75" customHeight="1" x14ac:dyDescent="0.35">
      <c r="C1534" s="124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ht="18.75" customHeight="1" x14ac:dyDescent="0.35">
      <c r="C1535" s="124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ht="18.75" customHeight="1" x14ac:dyDescent="0.35">
      <c r="C1536" s="124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ht="18.75" customHeight="1" x14ac:dyDescent="0.35">
      <c r="C1537" s="124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ht="18.75" customHeight="1" x14ac:dyDescent="0.35">
      <c r="C1538" s="124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ht="18.75" customHeight="1" x14ac:dyDescent="0.35">
      <c r="C1539" s="124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ht="18.75" customHeight="1" x14ac:dyDescent="0.35">
      <c r="C1540" s="124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ht="18.75" customHeight="1" x14ac:dyDescent="0.35">
      <c r="C1541" s="124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ht="18.75" customHeight="1" x14ac:dyDescent="0.35">
      <c r="C1542" s="124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ht="18.75" customHeight="1" x14ac:dyDescent="0.35">
      <c r="C1543" s="124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ht="18.75" customHeight="1" x14ac:dyDescent="0.35">
      <c r="C1544" s="124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ht="18.75" customHeight="1" x14ac:dyDescent="0.35">
      <c r="C1545" s="124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ht="18.75" customHeight="1" x14ac:dyDescent="0.35">
      <c r="C1546" s="124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ht="18.75" customHeight="1" x14ac:dyDescent="0.35">
      <c r="C1547" s="124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ht="18.75" customHeight="1" x14ac:dyDescent="0.35">
      <c r="C1548" s="124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ht="18.75" customHeight="1" x14ac:dyDescent="0.35">
      <c r="C1549" s="124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ht="18.75" customHeight="1" x14ac:dyDescent="0.35">
      <c r="C1550" s="124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ht="18.75" customHeight="1" x14ac:dyDescent="0.35">
      <c r="C1551" s="124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ht="18.75" customHeight="1" x14ac:dyDescent="0.35">
      <c r="C1552" s="124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ht="18.75" customHeight="1" x14ac:dyDescent="0.35">
      <c r="C1553" s="124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ht="18.75" customHeight="1" x14ac:dyDescent="0.35">
      <c r="C1554" s="124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ht="18.75" customHeight="1" x14ac:dyDescent="0.35">
      <c r="C1555" s="124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ht="18.75" customHeight="1" x14ac:dyDescent="0.35">
      <c r="C1556" s="124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ht="18.75" customHeight="1" x14ac:dyDescent="0.35">
      <c r="C1557" s="124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ht="18.75" customHeight="1" x14ac:dyDescent="0.35">
      <c r="C1558" s="124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ht="18.75" customHeight="1" x14ac:dyDescent="0.35">
      <c r="C1559" s="124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ht="18.75" customHeight="1" x14ac:dyDescent="0.35">
      <c r="C1560" s="124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ht="18.75" customHeight="1" x14ac:dyDescent="0.35">
      <c r="C1561" s="124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ht="18.75" customHeight="1" x14ac:dyDescent="0.35">
      <c r="C1562" s="124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ht="18.75" customHeight="1" x14ac:dyDescent="0.35">
      <c r="C1563" s="124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ht="18.75" customHeight="1" x14ac:dyDescent="0.35">
      <c r="C1564" s="124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ht="18.75" customHeight="1" x14ac:dyDescent="0.35">
      <c r="C1565" s="124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ht="18.75" customHeight="1" x14ac:dyDescent="0.35">
      <c r="C1566" s="124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ht="18.75" customHeight="1" x14ac:dyDescent="0.35">
      <c r="C1567" s="124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ht="18.75" customHeight="1" x14ac:dyDescent="0.35">
      <c r="C1568" s="124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ht="18.75" customHeight="1" x14ac:dyDescent="0.35">
      <c r="C1569" s="124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ht="18.75" customHeight="1" x14ac:dyDescent="0.35">
      <c r="C1570" s="124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ht="18.75" customHeight="1" x14ac:dyDescent="0.35">
      <c r="C1571" s="124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ht="18.75" customHeight="1" x14ac:dyDescent="0.35">
      <c r="C1572" s="124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ht="18.75" customHeight="1" x14ac:dyDescent="0.35">
      <c r="C1573" s="124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ht="18.75" customHeight="1" x14ac:dyDescent="0.35">
      <c r="C1574" s="124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ht="18.75" customHeight="1" x14ac:dyDescent="0.35">
      <c r="C1575" s="124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ht="18.75" customHeight="1" x14ac:dyDescent="0.35">
      <c r="C1576" s="124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ht="18.75" customHeight="1" x14ac:dyDescent="0.35">
      <c r="C1577" s="124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ht="18.75" customHeight="1" x14ac:dyDescent="0.35">
      <c r="C1578" s="124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ht="18.75" customHeight="1" x14ac:dyDescent="0.35">
      <c r="C1579" s="124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ht="18.75" customHeight="1" x14ac:dyDescent="0.35">
      <c r="C1580" s="124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ht="18.75" customHeight="1" x14ac:dyDescent="0.35">
      <c r="C1581" s="124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ht="18.75" customHeight="1" x14ac:dyDescent="0.35">
      <c r="C1582" s="124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ht="18.75" customHeight="1" x14ac:dyDescent="0.35">
      <c r="C1583" s="124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ht="18.75" customHeight="1" x14ac:dyDescent="0.35">
      <c r="C1584" s="124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ht="18.75" customHeight="1" x14ac:dyDescent="0.35">
      <c r="C1585" s="124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ht="18.75" customHeight="1" x14ac:dyDescent="0.35">
      <c r="C1586" s="124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ht="18.75" customHeight="1" x14ac:dyDescent="0.35">
      <c r="C1587" s="124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ht="18.75" customHeight="1" x14ac:dyDescent="0.35">
      <c r="C1588" s="124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ht="18.75" customHeight="1" x14ac:dyDescent="0.35">
      <c r="C1589" s="124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ht="18.75" customHeight="1" x14ac:dyDescent="0.35">
      <c r="C1590" s="124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ht="18.75" customHeight="1" x14ac:dyDescent="0.35">
      <c r="C1591" s="124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ht="18.75" customHeight="1" x14ac:dyDescent="0.35">
      <c r="C1592" s="124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ht="18.75" customHeight="1" x14ac:dyDescent="0.35">
      <c r="C1593" s="124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ht="18.75" customHeight="1" x14ac:dyDescent="0.35">
      <c r="C1594" s="124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ht="18.75" customHeight="1" x14ac:dyDescent="0.35">
      <c r="C1595" s="124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ht="18.75" customHeight="1" x14ac:dyDescent="0.35">
      <c r="C1596" s="124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ht="18.75" customHeight="1" x14ac:dyDescent="0.35">
      <c r="C1597" s="124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ht="18.75" customHeight="1" x14ac:dyDescent="0.35">
      <c r="C1598" s="124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ht="18.75" customHeight="1" x14ac:dyDescent="0.35">
      <c r="C1599" s="124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ht="18.75" customHeight="1" x14ac:dyDescent="0.35">
      <c r="C1600" s="124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ht="18.75" customHeight="1" x14ac:dyDescent="0.35">
      <c r="C1601" s="124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ht="18.75" customHeight="1" x14ac:dyDescent="0.35">
      <c r="C1602" s="124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ht="18.75" customHeight="1" x14ac:dyDescent="0.35">
      <c r="C1603" s="124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ht="18.75" customHeight="1" x14ac:dyDescent="0.35">
      <c r="C1604" s="124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ht="18.75" customHeight="1" x14ac:dyDescent="0.35">
      <c r="C1605" s="124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ht="18.75" customHeight="1" x14ac:dyDescent="0.35">
      <c r="C1606" s="124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ht="18.75" customHeight="1" x14ac:dyDescent="0.35">
      <c r="C1607" s="124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ht="18.75" customHeight="1" x14ac:dyDescent="0.35">
      <c r="C1608" s="124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ht="18.75" customHeight="1" x14ac:dyDescent="0.35">
      <c r="C1609" s="124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ht="18.75" customHeight="1" x14ac:dyDescent="0.35">
      <c r="C1610" s="124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ht="18.75" customHeight="1" x14ac:dyDescent="0.35">
      <c r="C1611" s="124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ht="18.75" customHeight="1" x14ac:dyDescent="0.35">
      <c r="C1612" s="124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ht="18.75" customHeight="1" x14ac:dyDescent="0.35">
      <c r="C1613" s="124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ht="18.75" customHeight="1" x14ac:dyDescent="0.35">
      <c r="C1614" s="124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ht="18.75" customHeight="1" x14ac:dyDescent="0.35">
      <c r="C1615" s="124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ht="18.75" customHeight="1" x14ac:dyDescent="0.35">
      <c r="C1616" s="124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ht="18.75" customHeight="1" x14ac:dyDescent="0.35">
      <c r="C1617" s="124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ht="18.75" customHeight="1" x14ac:dyDescent="0.35">
      <c r="C1618" s="124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ht="18.75" customHeight="1" x14ac:dyDescent="0.35">
      <c r="C1619" s="124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ht="18.75" customHeight="1" x14ac:dyDescent="0.35">
      <c r="C1620" s="124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ht="18.75" customHeight="1" x14ac:dyDescent="0.35">
      <c r="C1621" s="124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ht="18.75" customHeight="1" x14ac:dyDescent="0.35">
      <c r="C1622" s="124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ht="18.75" customHeight="1" x14ac:dyDescent="0.35">
      <c r="C1623" s="124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ht="18.75" customHeight="1" x14ac:dyDescent="0.35">
      <c r="C1624" s="124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ht="18.75" customHeight="1" x14ac:dyDescent="0.35">
      <c r="C1625" s="124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ht="18.75" customHeight="1" x14ac:dyDescent="0.35">
      <c r="C1626" s="124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ht="18.75" customHeight="1" x14ac:dyDescent="0.35">
      <c r="C1627" s="124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ht="18.75" customHeight="1" x14ac:dyDescent="0.35">
      <c r="C1628" s="124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ht="18.75" customHeight="1" x14ac:dyDescent="0.35">
      <c r="C1629" s="124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ht="18.75" customHeight="1" x14ac:dyDescent="0.35">
      <c r="C1630" s="124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ht="18.75" customHeight="1" x14ac:dyDescent="0.35">
      <c r="C1631" s="124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ht="18.75" customHeight="1" x14ac:dyDescent="0.35">
      <c r="C1632" s="124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ht="18.75" customHeight="1" x14ac:dyDescent="0.35">
      <c r="C1633" s="124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ht="18.75" customHeight="1" x14ac:dyDescent="0.35">
      <c r="C1634" s="124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ht="18.75" customHeight="1" x14ac:dyDescent="0.35">
      <c r="C1635" s="124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ht="18.75" customHeight="1" x14ac:dyDescent="0.35">
      <c r="C1636" s="124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ht="18.75" customHeight="1" x14ac:dyDescent="0.35">
      <c r="C1637" s="124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ht="18.75" customHeight="1" x14ac:dyDescent="0.35">
      <c r="C1638" s="124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ht="18.75" customHeight="1" x14ac:dyDescent="0.35">
      <c r="C1639" s="124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ht="18.75" customHeight="1" x14ac:dyDescent="0.35">
      <c r="C1640" s="124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ht="18.75" customHeight="1" x14ac:dyDescent="0.35">
      <c r="C1641" s="124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ht="18.75" customHeight="1" x14ac:dyDescent="0.35">
      <c r="C1642" s="124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ht="18.75" customHeight="1" x14ac:dyDescent="0.35">
      <c r="C1643" s="124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ht="18.75" customHeight="1" x14ac:dyDescent="0.35">
      <c r="C1644" s="124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ht="18.75" customHeight="1" x14ac:dyDescent="0.35">
      <c r="C1645" s="124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ht="18.75" customHeight="1" x14ac:dyDescent="0.35">
      <c r="C1646" s="124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ht="18.75" customHeight="1" x14ac:dyDescent="0.35">
      <c r="C1647" s="124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ht="18.75" customHeight="1" x14ac:dyDescent="0.35">
      <c r="C1648" s="124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ht="18.75" customHeight="1" x14ac:dyDescent="0.35">
      <c r="C1649" s="124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ht="18.75" customHeight="1" x14ac:dyDescent="0.35">
      <c r="C1650" s="124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ht="18.75" customHeight="1" x14ac:dyDescent="0.35">
      <c r="C1651" s="124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ht="18.75" customHeight="1" x14ac:dyDescent="0.35">
      <c r="C1652" s="124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ht="18.75" customHeight="1" x14ac:dyDescent="0.35">
      <c r="C1653" s="124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ht="18.75" customHeight="1" x14ac:dyDescent="0.35">
      <c r="C1654" s="124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ht="18.75" customHeight="1" x14ac:dyDescent="0.35">
      <c r="C1655" s="124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ht="18.75" customHeight="1" x14ac:dyDescent="0.35">
      <c r="C1656" s="124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ht="18.75" customHeight="1" x14ac:dyDescent="0.35">
      <c r="C1657" s="124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ht="18.75" customHeight="1" x14ac:dyDescent="0.35">
      <c r="C1658" s="124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ht="18.75" customHeight="1" x14ac:dyDescent="0.35">
      <c r="C1659" s="124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ht="18.75" customHeight="1" x14ac:dyDescent="0.35">
      <c r="C1660" s="124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ht="18.75" customHeight="1" x14ac:dyDescent="0.35">
      <c r="C1661" s="124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ht="18.75" customHeight="1" x14ac:dyDescent="0.35">
      <c r="C1662" s="124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ht="18.75" customHeight="1" x14ac:dyDescent="0.35">
      <c r="C1663" s="124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ht="18.75" customHeight="1" x14ac:dyDescent="0.35">
      <c r="C1664" s="124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ht="18.75" customHeight="1" x14ac:dyDescent="0.35">
      <c r="C1665" s="124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ht="18.75" customHeight="1" x14ac:dyDescent="0.35">
      <c r="C1666" s="124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ht="18.75" customHeight="1" x14ac:dyDescent="0.35">
      <c r="C1667" s="124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ht="18.75" customHeight="1" x14ac:dyDescent="0.35">
      <c r="C1668" s="124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ht="18.75" customHeight="1" x14ac:dyDescent="0.35">
      <c r="C1669" s="124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ht="18.75" customHeight="1" x14ac:dyDescent="0.35">
      <c r="C1670" s="124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ht="18.75" customHeight="1" x14ac:dyDescent="0.35">
      <c r="C1671" s="124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ht="18.75" customHeight="1" x14ac:dyDescent="0.35">
      <c r="C1672" s="124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ht="18.75" customHeight="1" x14ac:dyDescent="0.35">
      <c r="C1673" s="124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ht="18.75" customHeight="1" x14ac:dyDescent="0.35">
      <c r="C1674" s="124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ht="18.75" customHeight="1" x14ac:dyDescent="0.35">
      <c r="C1675" s="124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ht="18.75" customHeight="1" x14ac:dyDescent="0.35">
      <c r="C1676" s="124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ht="18.75" customHeight="1" x14ac:dyDescent="0.35">
      <c r="C1677" s="124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ht="18.75" customHeight="1" x14ac:dyDescent="0.35">
      <c r="C1678" s="124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ht="18.75" customHeight="1" x14ac:dyDescent="0.35">
      <c r="C1679" s="124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ht="18.75" customHeight="1" x14ac:dyDescent="0.35">
      <c r="C1680" s="124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ht="18.75" customHeight="1" x14ac:dyDescent="0.35">
      <c r="C1681" s="124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ht="18.75" customHeight="1" x14ac:dyDescent="0.35">
      <c r="C1682" s="124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ht="18.75" customHeight="1" x14ac:dyDescent="0.35">
      <c r="C1683" s="124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ht="18.75" customHeight="1" x14ac:dyDescent="0.35">
      <c r="C1684" s="124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ht="18.75" customHeight="1" x14ac:dyDescent="0.35">
      <c r="C1685" s="124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ht="18.75" customHeight="1" x14ac:dyDescent="0.35">
      <c r="C1686" s="124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ht="18.75" customHeight="1" x14ac:dyDescent="0.35">
      <c r="C1687" s="124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ht="18.75" customHeight="1" x14ac:dyDescent="0.35">
      <c r="C1688" s="124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ht="18.75" customHeight="1" x14ac:dyDescent="0.35">
      <c r="C1689" s="124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ht="18.75" customHeight="1" x14ac:dyDescent="0.35">
      <c r="C1690" s="124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ht="18.75" customHeight="1" x14ac:dyDescent="0.35">
      <c r="C1691" s="124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ht="18.75" customHeight="1" x14ac:dyDescent="0.35">
      <c r="C1692" s="124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ht="18.75" customHeight="1" x14ac:dyDescent="0.35">
      <c r="C1693" s="124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ht="18.75" customHeight="1" x14ac:dyDescent="0.35">
      <c r="C1694" s="124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ht="18.75" customHeight="1" x14ac:dyDescent="0.35">
      <c r="C1695" s="124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ht="18.75" customHeight="1" x14ac:dyDescent="0.35">
      <c r="C1696" s="124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ht="18.75" customHeight="1" x14ac:dyDescent="0.35">
      <c r="C1697" s="124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ht="18.75" customHeight="1" x14ac:dyDescent="0.35">
      <c r="C1698" s="124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ht="18.75" customHeight="1" x14ac:dyDescent="0.35">
      <c r="C1699" s="124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ht="18.75" customHeight="1" x14ac:dyDescent="0.35">
      <c r="C1700" s="124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ht="18.75" customHeight="1" x14ac:dyDescent="0.35">
      <c r="C1701" s="124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ht="18.75" customHeight="1" x14ac:dyDescent="0.35">
      <c r="C1702" s="124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ht="18.75" customHeight="1" x14ac:dyDescent="0.35">
      <c r="C1703" s="124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ht="18.75" customHeight="1" x14ac:dyDescent="0.35">
      <c r="C1704" s="124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ht="18.75" customHeight="1" x14ac:dyDescent="0.35">
      <c r="C1705" s="124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ht="18.75" customHeight="1" x14ac:dyDescent="0.35">
      <c r="C1706" s="124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ht="18.75" customHeight="1" x14ac:dyDescent="0.35">
      <c r="C1707" s="124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ht="18.75" customHeight="1" x14ac:dyDescent="0.35">
      <c r="C1708" s="124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ht="18.75" customHeight="1" x14ac:dyDescent="0.35">
      <c r="C1709" s="124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ht="18.75" customHeight="1" x14ac:dyDescent="0.35">
      <c r="C1710" s="124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ht="18.75" customHeight="1" x14ac:dyDescent="0.35">
      <c r="C1711" s="124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ht="18.75" customHeight="1" x14ac:dyDescent="0.35">
      <c r="C1712" s="124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ht="18.75" customHeight="1" x14ac:dyDescent="0.35">
      <c r="C1713" s="124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ht="18.75" customHeight="1" x14ac:dyDescent="0.35">
      <c r="C1714" s="124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ht="18.75" customHeight="1" x14ac:dyDescent="0.35">
      <c r="C1715" s="124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ht="18.75" customHeight="1" x14ac:dyDescent="0.35">
      <c r="C1716" s="124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ht="18.75" customHeight="1" x14ac:dyDescent="0.35">
      <c r="C1717" s="124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ht="18.75" customHeight="1" x14ac:dyDescent="0.35">
      <c r="C1718" s="124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ht="18.75" customHeight="1" x14ac:dyDescent="0.35">
      <c r="C1719" s="124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ht="18.75" customHeight="1" x14ac:dyDescent="0.35">
      <c r="C1720" s="124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ht="18.75" customHeight="1" x14ac:dyDescent="0.35">
      <c r="C1721" s="124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ht="18.75" customHeight="1" x14ac:dyDescent="0.35">
      <c r="C1722" s="124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ht="18.75" customHeight="1" x14ac:dyDescent="0.35">
      <c r="C1723" s="124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ht="18.75" customHeight="1" x14ac:dyDescent="0.35">
      <c r="C1724" s="124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ht="18.75" customHeight="1" x14ac:dyDescent="0.35">
      <c r="C1725" s="124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ht="18.75" customHeight="1" x14ac:dyDescent="0.35">
      <c r="C1726" s="124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ht="18.75" customHeight="1" x14ac:dyDescent="0.35">
      <c r="C1727" s="124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ht="18.75" customHeight="1" x14ac:dyDescent="0.35">
      <c r="C1728" s="124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ht="18.75" customHeight="1" x14ac:dyDescent="0.35">
      <c r="C1729" s="124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ht="18.75" customHeight="1" x14ac:dyDescent="0.35">
      <c r="C1730" s="124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ht="18.75" customHeight="1" x14ac:dyDescent="0.35">
      <c r="C1731" s="124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ht="18.75" customHeight="1" x14ac:dyDescent="0.35">
      <c r="C1732" s="124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ht="18.75" customHeight="1" x14ac:dyDescent="0.35">
      <c r="C1733" s="124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ht="18.75" customHeight="1" x14ac:dyDescent="0.35">
      <c r="C1734" s="124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ht="18.75" customHeight="1" x14ac:dyDescent="0.35">
      <c r="C1735" s="124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ht="18.75" customHeight="1" x14ac:dyDescent="0.35">
      <c r="C1736" s="124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ht="18.75" customHeight="1" x14ac:dyDescent="0.35">
      <c r="C1737" s="124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ht="18.75" customHeight="1" x14ac:dyDescent="0.35">
      <c r="C1738" s="124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ht="18.75" customHeight="1" x14ac:dyDescent="0.35">
      <c r="C1739" s="124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ht="18.75" customHeight="1" x14ac:dyDescent="0.35">
      <c r="C1740" s="124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ht="18.75" customHeight="1" x14ac:dyDescent="0.35">
      <c r="C1741" s="124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ht="18.75" customHeight="1" x14ac:dyDescent="0.35">
      <c r="C1742" s="124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ht="18.75" customHeight="1" x14ac:dyDescent="0.35">
      <c r="C1743" s="124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ht="18.75" customHeight="1" x14ac:dyDescent="0.35">
      <c r="C1744" s="124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ht="18.75" customHeight="1" x14ac:dyDescent="0.35">
      <c r="C1745" s="124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ht="18.75" customHeight="1" x14ac:dyDescent="0.35">
      <c r="C1746" s="124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ht="18.75" customHeight="1" x14ac:dyDescent="0.35">
      <c r="C1747" s="124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ht="18.75" customHeight="1" x14ac:dyDescent="0.35">
      <c r="C1748" s="124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ht="18.75" customHeight="1" x14ac:dyDescent="0.35">
      <c r="C1749" s="124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ht="18.75" customHeight="1" x14ac:dyDescent="0.35">
      <c r="C1750" s="124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ht="18.75" customHeight="1" x14ac:dyDescent="0.35">
      <c r="C1751" s="124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ht="18.75" customHeight="1" x14ac:dyDescent="0.35">
      <c r="C1752" s="124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ht="18.75" customHeight="1" x14ac:dyDescent="0.35">
      <c r="C1753" s="124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ht="18.75" customHeight="1" x14ac:dyDescent="0.35">
      <c r="C1754" s="124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ht="18.75" customHeight="1" x14ac:dyDescent="0.35">
      <c r="C1755" s="124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ht="18.75" customHeight="1" x14ac:dyDescent="0.35">
      <c r="C1756" s="124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ht="18.75" customHeight="1" x14ac:dyDescent="0.35">
      <c r="C1757" s="124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ht="18.75" customHeight="1" x14ac:dyDescent="0.35">
      <c r="C1758" s="124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ht="18.75" customHeight="1" x14ac:dyDescent="0.35">
      <c r="C1759" s="124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ht="18.75" customHeight="1" x14ac:dyDescent="0.35">
      <c r="C1760" s="124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ht="18.75" customHeight="1" x14ac:dyDescent="0.35">
      <c r="C1761" s="124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ht="18.75" customHeight="1" x14ac:dyDescent="0.35">
      <c r="C1762" s="124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ht="18.75" customHeight="1" x14ac:dyDescent="0.35">
      <c r="C1763" s="124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ht="18.75" customHeight="1" x14ac:dyDescent="0.35">
      <c r="C1764" s="124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ht="18.75" customHeight="1" x14ac:dyDescent="0.35">
      <c r="C1765" s="124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ht="18.75" customHeight="1" x14ac:dyDescent="0.35">
      <c r="C1766" s="124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ht="18.75" customHeight="1" x14ac:dyDescent="0.35">
      <c r="C1767" s="124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ht="18.75" customHeight="1" x14ac:dyDescent="0.35">
      <c r="C1768" s="124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ht="18.75" customHeight="1" x14ac:dyDescent="0.35">
      <c r="C1769" s="124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ht="18.75" customHeight="1" x14ac:dyDescent="0.35">
      <c r="C1770" s="124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ht="18.75" customHeight="1" x14ac:dyDescent="0.35">
      <c r="C1771" s="124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ht="18.75" customHeight="1" x14ac:dyDescent="0.35">
      <c r="C1772" s="124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ht="18.75" customHeight="1" x14ac:dyDescent="0.35">
      <c r="C1773" s="124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ht="18.75" customHeight="1" x14ac:dyDescent="0.35">
      <c r="C1774" s="124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ht="18.75" customHeight="1" x14ac:dyDescent="0.35">
      <c r="C1775" s="124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ht="18.75" customHeight="1" x14ac:dyDescent="0.35">
      <c r="C1776" s="124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ht="18.75" customHeight="1" x14ac:dyDescent="0.35">
      <c r="C1777" s="124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ht="18.75" customHeight="1" x14ac:dyDescent="0.35">
      <c r="C1778" s="124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ht="18.75" customHeight="1" x14ac:dyDescent="0.35">
      <c r="C1779" s="124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ht="18.75" customHeight="1" x14ac:dyDescent="0.35">
      <c r="C1780" s="124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ht="18.75" customHeight="1" x14ac:dyDescent="0.35">
      <c r="C1781" s="124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ht="18.75" customHeight="1" x14ac:dyDescent="0.35">
      <c r="C1782" s="124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ht="18.75" customHeight="1" x14ac:dyDescent="0.35">
      <c r="C1783" s="124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ht="18.75" customHeight="1" x14ac:dyDescent="0.35">
      <c r="C1784" s="124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ht="18.75" customHeight="1" x14ac:dyDescent="0.35">
      <c r="C1785" s="124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ht="18.75" customHeight="1" x14ac:dyDescent="0.35">
      <c r="C1786" s="124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ht="18.75" customHeight="1" x14ac:dyDescent="0.35">
      <c r="C1787" s="124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ht="18.75" customHeight="1" x14ac:dyDescent="0.35">
      <c r="C1788" s="124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ht="18.75" customHeight="1" x14ac:dyDescent="0.35">
      <c r="C1789" s="124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ht="18.75" customHeight="1" x14ac:dyDescent="0.35">
      <c r="C1790" s="124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ht="18.75" customHeight="1" x14ac:dyDescent="0.35">
      <c r="C1791" s="124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ht="18.75" customHeight="1" x14ac:dyDescent="0.35">
      <c r="C1792" s="124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ht="18.75" customHeight="1" x14ac:dyDescent="0.35">
      <c r="C1793" s="124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ht="18.75" customHeight="1" x14ac:dyDescent="0.35">
      <c r="C1794" s="124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ht="18.75" customHeight="1" x14ac:dyDescent="0.35">
      <c r="C1795" s="124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ht="18.75" customHeight="1" x14ac:dyDescent="0.35">
      <c r="C1796" s="124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ht="18.75" customHeight="1" x14ac:dyDescent="0.35">
      <c r="C1797" s="124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ht="18.75" customHeight="1" x14ac:dyDescent="0.35">
      <c r="C1798" s="124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ht="18.75" customHeight="1" x14ac:dyDescent="0.35">
      <c r="C1799" s="124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ht="18.75" customHeight="1" x14ac:dyDescent="0.35">
      <c r="C1800" s="124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ht="18.75" customHeight="1" x14ac:dyDescent="0.35">
      <c r="C1801" s="124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ht="18.75" customHeight="1" x14ac:dyDescent="0.35">
      <c r="C1802" s="124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ht="18.75" customHeight="1" x14ac:dyDescent="0.35">
      <c r="C1803" s="124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ht="18.75" customHeight="1" x14ac:dyDescent="0.35">
      <c r="C1804" s="124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ht="18.75" customHeight="1" x14ac:dyDescent="0.35">
      <c r="C1805" s="124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ht="18.75" customHeight="1" x14ac:dyDescent="0.35">
      <c r="C1806" s="124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ht="18.75" customHeight="1" x14ac:dyDescent="0.35">
      <c r="C1807" s="124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ht="18.75" customHeight="1" x14ac:dyDescent="0.35">
      <c r="C1808" s="124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ht="18.75" customHeight="1" x14ac:dyDescent="0.35">
      <c r="C1809" s="124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ht="18.75" customHeight="1" x14ac:dyDescent="0.35">
      <c r="C1810" s="124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ht="18.75" customHeight="1" x14ac:dyDescent="0.35">
      <c r="C1811" s="124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ht="18.75" customHeight="1" x14ac:dyDescent="0.35">
      <c r="C1812" s="124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ht="18.75" customHeight="1" x14ac:dyDescent="0.35">
      <c r="C1813" s="124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ht="18.75" customHeight="1" x14ac:dyDescent="0.35">
      <c r="C1814" s="124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ht="18.75" customHeight="1" x14ac:dyDescent="0.35">
      <c r="C1815" s="124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ht="18.75" customHeight="1" x14ac:dyDescent="0.35">
      <c r="C1816" s="124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ht="18.75" customHeight="1" x14ac:dyDescent="0.35">
      <c r="C1817" s="124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ht="18.75" customHeight="1" x14ac:dyDescent="0.35">
      <c r="C1818" s="124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ht="18.75" customHeight="1" x14ac:dyDescent="0.35">
      <c r="C1819" s="124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ht="18.75" customHeight="1" x14ac:dyDescent="0.35">
      <c r="C1820" s="124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ht="18.75" customHeight="1" x14ac:dyDescent="0.35">
      <c r="C1821" s="124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ht="18.75" customHeight="1" x14ac:dyDescent="0.35">
      <c r="C1822" s="124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ht="18.75" customHeight="1" x14ac:dyDescent="0.35">
      <c r="C1823" s="124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ht="18.75" customHeight="1" x14ac:dyDescent="0.35">
      <c r="C1824" s="124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ht="18.75" customHeight="1" x14ac:dyDescent="0.35">
      <c r="C1825" s="124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ht="18.75" customHeight="1" x14ac:dyDescent="0.35">
      <c r="C1826" s="124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ht="18.75" customHeight="1" x14ac:dyDescent="0.35">
      <c r="C1827" s="124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ht="18.75" customHeight="1" x14ac:dyDescent="0.35">
      <c r="C1828" s="124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ht="18.75" customHeight="1" x14ac:dyDescent="0.35">
      <c r="C1829" s="124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ht="18.75" customHeight="1" x14ac:dyDescent="0.35">
      <c r="C1830" s="124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ht="18.75" customHeight="1" x14ac:dyDescent="0.35">
      <c r="C1831" s="124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ht="18.75" customHeight="1" x14ac:dyDescent="0.35">
      <c r="C1832" s="124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ht="18.75" customHeight="1" x14ac:dyDescent="0.35">
      <c r="C1833" s="124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ht="18.75" customHeight="1" x14ac:dyDescent="0.35">
      <c r="C1834" s="124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ht="18.75" customHeight="1" x14ac:dyDescent="0.35">
      <c r="C1835" s="124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ht="18.75" customHeight="1" x14ac:dyDescent="0.35">
      <c r="C1836" s="124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ht="18.75" customHeight="1" x14ac:dyDescent="0.35">
      <c r="C1837" s="124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ht="18.75" customHeight="1" x14ac:dyDescent="0.35">
      <c r="C1838" s="124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ht="18.75" customHeight="1" x14ac:dyDescent="0.35">
      <c r="C1839" s="124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ht="18.75" customHeight="1" x14ac:dyDescent="0.35">
      <c r="C1840" s="124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ht="18.75" customHeight="1" x14ac:dyDescent="0.35">
      <c r="C1841" s="124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ht="18.75" customHeight="1" x14ac:dyDescent="0.35">
      <c r="C1842" s="124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ht="18.75" customHeight="1" x14ac:dyDescent="0.35">
      <c r="C1843" s="124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ht="18.75" customHeight="1" x14ac:dyDescent="0.35">
      <c r="C1844" s="124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ht="18.75" customHeight="1" x14ac:dyDescent="0.35">
      <c r="C1845" s="124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ht="18.75" customHeight="1" x14ac:dyDescent="0.35">
      <c r="C1846" s="124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ht="18.75" customHeight="1" x14ac:dyDescent="0.35">
      <c r="C1847" s="124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ht="18.75" customHeight="1" x14ac:dyDescent="0.35">
      <c r="C1848" s="124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ht="18.75" customHeight="1" x14ac:dyDescent="0.35">
      <c r="C1849" s="124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ht="18.75" customHeight="1" x14ac:dyDescent="0.35">
      <c r="C1850" s="124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ht="18.75" customHeight="1" x14ac:dyDescent="0.35">
      <c r="C1851" s="124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ht="18.75" customHeight="1" x14ac:dyDescent="0.35">
      <c r="C1852" s="124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ht="18.75" customHeight="1" x14ac:dyDescent="0.35">
      <c r="C1853" s="124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ht="18.75" customHeight="1" x14ac:dyDescent="0.35">
      <c r="C1854" s="124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ht="18.75" customHeight="1" x14ac:dyDescent="0.35">
      <c r="C1855" s="124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ht="18.75" customHeight="1" x14ac:dyDescent="0.35">
      <c r="C1856" s="124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ht="18.75" customHeight="1" x14ac:dyDescent="0.35">
      <c r="C1857" s="124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ht="18.75" customHeight="1" x14ac:dyDescent="0.35">
      <c r="C1858" s="124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ht="18.75" customHeight="1" x14ac:dyDescent="0.35">
      <c r="C1859" s="124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ht="18.75" customHeight="1" x14ac:dyDescent="0.35">
      <c r="C1860" s="124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ht="18.75" customHeight="1" x14ac:dyDescent="0.35">
      <c r="C1861" s="124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ht="18.75" customHeight="1" x14ac:dyDescent="0.35">
      <c r="C1862" s="124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ht="18.75" customHeight="1" x14ac:dyDescent="0.35">
      <c r="C1863" s="124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ht="18.75" customHeight="1" x14ac:dyDescent="0.35">
      <c r="C1864" s="124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ht="18.75" customHeight="1" x14ac:dyDescent="0.35">
      <c r="C1865" s="124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ht="18.75" customHeight="1" x14ac:dyDescent="0.35">
      <c r="C1866" s="124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ht="18.75" customHeight="1" x14ac:dyDescent="0.35">
      <c r="C1867" s="124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ht="18.75" customHeight="1" x14ac:dyDescent="0.35">
      <c r="C1868" s="124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ht="18.75" customHeight="1" x14ac:dyDescent="0.35">
      <c r="C1869" s="124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ht="18.75" customHeight="1" x14ac:dyDescent="0.35">
      <c r="C1870" s="124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ht="18.75" customHeight="1" x14ac:dyDescent="0.35">
      <c r="C1871" s="124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ht="18.75" customHeight="1" x14ac:dyDescent="0.35">
      <c r="C1872" s="124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ht="18.75" customHeight="1" x14ac:dyDescent="0.35">
      <c r="C1873" s="124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ht="18.75" customHeight="1" x14ac:dyDescent="0.35">
      <c r="C1874" s="124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ht="18.75" customHeight="1" x14ac:dyDescent="0.35">
      <c r="C1875" s="124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ht="18.75" customHeight="1" x14ac:dyDescent="0.35">
      <c r="C1876" s="124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ht="18.75" customHeight="1" x14ac:dyDescent="0.35">
      <c r="C1877" s="124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ht="18.75" customHeight="1" x14ac:dyDescent="0.35">
      <c r="C1878" s="124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ht="18.75" customHeight="1" x14ac:dyDescent="0.35">
      <c r="C1879" s="124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ht="18.75" customHeight="1" x14ac:dyDescent="0.35">
      <c r="C1880" s="124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ht="18.75" customHeight="1" x14ac:dyDescent="0.35">
      <c r="C1881" s="124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ht="18.75" customHeight="1" x14ac:dyDescent="0.35">
      <c r="C1882" s="124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ht="18.75" customHeight="1" x14ac:dyDescent="0.35">
      <c r="C1883" s="124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ht="18.75" customHeight="1" x14ac:dyDescent="0.35">
      <c r="C1884" s="124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ht="18.75" customHeight="1" x14ac:dyDescent="0.35">
      <c r="C1885" s="124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ht="18.75" customHeight="1" x14ac:dyDescent="0.35">
      <c r="C1886" s="124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ht="18.75" customHeight="1" x14ac:dyDescent="0.35">
      <c r="C1887" s="124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ht="18.75" customHeight="1" x14ac:dyDescent="0.35">
      <c r="C1888" s="124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ht="18.75" customHeight="1" x14ac:dyDescent="0.35">
      <c r="C1889" s="124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ht="18.75" customHeight="1" x14ac:dyDescent="0.35">
      <c r="C1890" s="124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ht="18.75" customHeight="1" x14ac:dyDescent="0.35">
      <c r="C1891" s="124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ht="18.75" customHeight="1" x14ac:dyDescent="0.35">
      <c r="C1892" s="124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ht="18.75" customHeight="1" x14ac:dyDescent="0.35">
      <c r="C1893" s="124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ht="18.75" customHeight="1" x14ac:dyDescent="0.35">
      <c r="C1894" s="124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ht="18.75" customHeight="1" x14ac:dyDescent="0.35">
      <c r="C1895" s="124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ht="18.75" customHeight="1" x14ac:dyDescent="0.35">
      <c r="C1896" s="124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ht="18.75" customHeight="1" x14ac:dyDescent="0.35">
      <c r="C1897" s="124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ht="18.75" customHeight="1" x14ac:dyDescent="0.35">
      <c r="C1898" s="124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ht="18.75" customHeight="1" x14ac:dyDescent="0.35">
      <c r="C1899" s="124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ht="18.75" customHeight="1" x14ac:dyDescent="0.35">
      <c r="C1900" s="124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ht="18.75" customHeight="1" x14ac:dyDescent="0.35">
      <c r="C1901" s="124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ht="18.75" customHeight="1" x14ac:dyDescent="0.35">
      <c r="C1902" s="124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ht="18.75" customHeight="1" x14ac:dyDescent="0.35">
      <c r="C1903" s="124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ht="18.75" customHeight="1" x14ac:dyDescent="0.35">
      <c r="C1904" s="124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ht="18.75" customHeight="1" x14ac:dyDescent="0.35">
      <c r="C1905" s="124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ht="18.75" customHeight="1" x14ac:dyDescent="0.35">
      <c r="C1906" s="124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ht="18.75" customHeight="1" x14ac:dyDescent="0.35">
      <c r="C1907" s="124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ht="18.75" customHeight="1" x14ac:dyDescent="0.35">
      <c r="C1908" s="124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ht="18.75" customHeight="1" x14ac:dyDescent="0.35">
      <c r="C1909" s="124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ht="18.75" customHeight="1" x14ac:dyDescent="0.35">
      <c r="C1910" s="124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ht="18.75" customHeight="1" x14ac:dyDescent="0.35">
      <c r="C1911" s="124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ht="18.75" customHeight="1" x14ac:dyDescent="0.35">
      <c r="C1912" s="124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ht="18.75" customHeight="1" x14ac:dyDescent="0.35">
      <c r="C1913" s="124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ht="18.75" customHeight="1" x14ac:dyDescent="0.35">
      <c r="C1914" s="124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ht="18.75" customHeight="1" x14ac:dyDescent="0.35">
      <c r="C1915" s="124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ht="18.75" customHeight="1" x14ac:dyDescent="0.35">
      <c r="C1916" s="124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ht="18.75" customHeight="1" x14ac:dyDescent="0.35">
      <c r="C1917" s="124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ht="18.75" customHeight="1" x14ac:dyDescent="0.35">
      <c r="C1918" s="124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ht="18.75" customHeight="1" x14ac:dyDescent="0.35">
      <c r="C1919" s="124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ht="18.75" customHeight="1" x14ac:dyDescent="0.35">
      <c r="C1920" s="124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ht="18.75" customHeight="1" x14ac:dyDescent="0.35">
      <c r="C1921" s="124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ht="18.75" customHeight="1" x14ac:dyDescent="0.35">
      <c r="C1922" s="124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ht="18.75" customHeight="1" x14ac:dyDescent="0.35">
      <c r="C1923" s="124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ht="18.75" customHeight="1" x14ac:dyDescent="0.35">
      <c r="C1924" s="124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ht="18.75" customHeight="1" x14ac:dyDescent="0.35">
      <c r="C1925" s="124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ht="18.75" customHeight="1" x14ac:dyDescent="0.35">
      <c r="C1926" s="124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ht="18.75" customHeight="1" x14ac:dyDescent="0.35">
      <c r="C1927" s="124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ht="18.75" customHeight="1" x14ac:dyDescent="0.35">
      <c r="C1928" s="124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ht="18.75" customHeight="1" x14ac:dyDescent="0.35">
      <c r="C1929" s="124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ht="18.75" customHeight="1" x14ac:dyDescent="0.35">
      <c r="C1930" s="124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ht="18.75" customHeight="1" x14ac:dyDescent="0.35">
      <c r="C1931" s="124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ht="18.75" customHeight="1" x14ac:dyDescent="0.35">
      <c r="C1932" s="124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ht="18.75" customHeight="1" x14ac:dyDescent="0.35">
      <c r="C1933" s="124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ht="18.75" customHeight="1" x14ac:dyDescent="0.35">
      <c r="C1934" s="124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ht="18.75" customHeight="1" x14ac:dyDescent="0.35">
      <c r="C1935" s="124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ht="18.75" customHeight="1" x14ac:dyDescent="0.35">
      <c r="C1936" s="124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ht="18.75" customHeight="1" x14ac:dyDescent="0.35">
      <c r="C1937" s="124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ht="18.75" customHeight="1" x14ac:dyDescent="0.35">
      <c r="C1938" s="124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ht="18.75" customHeight="1" x14ac:dyDescent="0.35">
      <c r="C1939" s="124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ht="18.75" customHeight="1" x14ac:dyDescent="0.35">
      <c r="C1940" s="124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ht="18.75" customHeight="1" x14ac:dyDescent="0.35">
      <c r="C1941" s="124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ht="18.75" customHeight="1" x14ac:dyDescent="0.35">
      <c r="C1942" s="124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ht="18.75" customHeight="1" x14ac:dyDescent="0.35">
      <c r="C1943" s="124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ht="18.75" customHeight="1" x14ac:dyDescent="0.35">
      <c r="C1944" s="124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ht="18.75" customHeight="1" x14ac:dyDescent="0.35">
      <c r="C1945" s="124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ht="18.75" customHeight="1" x14ac:dyDescent="0.35">
      <c r="C1946" s="124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ht="18.75" customHeight="1" x14ac:dyDescent="0.35">
      <c r="C1947" s="124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ht="18.75" customHeight="1" x14ac:dyDescent="0.35">
      <c r="C1948" s="124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ht="18.75" customHeight="1" x14ac:dyDescent="0.35">
      <c r="C1949" s="124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ht="18.75" customHeight="1" x14ac:dyDescent="0.35">
      <c r="C1950" s="124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ht="18.75" customHeight="1" x14ac:dyDescent="0.35">
      <c r="C1951" s="124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ht="18.75" customHeight="1" x14ac:dyDescent="0.35">
      <c r="C1952" s="124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ht="18.75" customHeight="1" x14ac:dyDescent="0.35">
      <c r="C1953" s="124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ht="18.75" customHeight="1" x14ac:dyDescent="0.35">
      <c r="C1954" s="124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ht="18.75" customHeight="1" x14ac:dyDescent="0.35">
      <c r="C1955" s="124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ht="18.75" customHeight="1" x14ac:dyDescent="0.35">
      <c r="C1956" s="124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ht="18.75" customHeight="1" x14ac:dyDescent="0.35">
      <c r="C1957" s="124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ht="18.75" customHeight="1" x14ac:dyDescent="0.35">
      <c r="C1958" s="124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ht="18.75" customHeight="1" x14ac:dyDescent="0.35">
      <c r="C1959" s="124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ht="18.75" customHeight="1" x14ac:dyDescent="0.35">
      <c r="C1960" s="124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ht="18.75" customHeight="1" x14ac:dyDescent="0.35">
      <c r="C1961" s="124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ht="18.75" customHeight="1" x14ac:dyDescent="0.35">
      <c r="C1962" s="124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ht="18.75" customHeight="1" x14ac:dyDescent="0.35">
      <c r="C1963" s="124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ht="18.75" customHeight="1" x14ac:dyDescent="0.35">
      <c r="C1964" s="124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ht="18.75" customHeight="1" x14ac:dyDescent="0.35">
      <c r="C1965" s="124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ht="18.75" customHeight="1" x14ac:dyDescent="0.35">
      <c r="C1966" s="124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ht="18.75" customHeight="1" x14ac:dyDescent="0.35">
      <c r="C1967" s="124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ht="18.75" customHeight="1" x14ac:dyDescent="0.35">
      <c r="C1968" s="124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ht="18.75" customHeight="1" x14ac:dyDescent="0.35">
      <c r="C1969" s="124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ht="18.75" customHeight="1" x14ac:dyDescent="0.35">
      <c r="C1970" s="124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ht="18.75" customHeight="1" x14ac:dyDescent="0.35">
      <c r="C1971" s="124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ht="18.75" customHeight="1" x14ac:dyDescent="0.35">
      <c r="C1972" s="124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ht="18.75" customHeight="1" x14ac:dyDescent="0.35">
      <c r="C1973" s="124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ht="18.75" customHeight="1" x14ac:dyDescent="0.35">
      <c r="C1974" s="124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ht="18.75" customHeight="1" x14ac:dyDescent="0.35">
      <c r="C1975" s="124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ht="18.75" customHeight="1" x14ac:dyDescent="0.35">
      <c r="C1976" s="124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ht="18.75" customHeight="1" x14ac:dyDescent="0.35">
      <c r="C1977" s="124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ht="18.75" customHeight="1" x14ac:dyDescent="0.35">
      <c r="C1978" s="124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ht="18.75" customHeight="1" x14ac:dyDescent="0.35">
      <c r="C1979" s="124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ht="18.75" customHeight="1" x14ac:dyDescent="0.35">
      <c r="C1980" s="124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ht="18.75" customHeight="1" x14ac:dyDescent="0.35">
      <c r="C1981" s="124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ht="18.75" customHeight="1" x14ac:dyDescent="0.35">
      <c r="C1982" s="124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ht="18.75" customHeight="1" x14ac:dyDescent="0.35">
      <c r="C1983" s="124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ht="18.75" customHeight="1" x14ac:dyDescent="0.35">
      <c r="C1984" s="124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ht="18.75" customHeight="1" x14ac:dyDescent="0.35">
      <c r="C1985" s="124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ht="18.75" customHeight="1" x14ac:dyDescent="0.35">
      <c r="C1986" s="124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ht="18.75" customHeight="1" x14ac:dyDescent="0.35">
      <c r="C1987" s="124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ht="18.75" customHeight="1" x14ac:dyDescent="0.35">
      <c r="C1988" s="124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ht="18.75" customHeight="1" x14ac:dyDescent="0.35">
      <c r="C1989" s="124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ht="18.75" customHeight="1" x14ac:dyDescent="0.35">
      <c r="C1990" s="124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ht="18.75" customHeight="1" x14ac:dyDescent="0.35">
      <c r="C1991" s="124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ht="18.75" customHeight="1" x14ac:dyDescent="0.35">
      <c r="C1992" s="124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ht="18.75" customHeight="1" x14ac:dyDescent="0.35">
      <c r="C1993" s="124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ht="18.75" customHeight="1" x14ac:dyDescent="0.35">
      <c r="C1994" s="124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ht="18.75" customHeight="1" x14ac:dyDescent="0.35">
      <c r="C1995" s="124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ht="18.75" customHeight="1" x14ac:dyDescent="0.35">
      <c r="C1996" s="124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ht="18.75" customHeight="1" x14ac:dyDescent="0.35">
      <c r="C1997" s="124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ht="18.75" customHeight="1" x14ac:dyDescent="0.35">
      <c r="C1998" s="124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ht="18.75" customHeight="1" x14ac:dyDescent="0.35">
      <c r="C1999" s="124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ht="18.75" customHeight="1" x14ac:dyDescent="0.35">
      <c r="C2000" s="124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ht="18.75" customHeight="1" x14ac:dyDescent="0.35">
      <c r="C2001" s="124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ht="18.75" customHeight="1" x14ac:dyDescent="0.35">
      <c r="C2002" s="124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ht="18.75" customHeight="1" x14ac:dyDescent="0.35">
      <c r="C2003" s="124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ht="18.75" customHeight="1" x14ac:dyDescent="0.35">
      <c r="C2004" s="124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ht="18.75" customHeight="1" x14ac:dyDescent="0.35">
      <c r="C2005" s="124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ht="18.75" customHeight="1" x14ac:dyDescent="0.35">
      <c r="C2006" s="124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ht="18.75" customHeight="1" x14ac:dyDescent="0.35">
      <c r="C2007" s="124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ht="18.75" customHeight="1" x14ac:dyDescent="0.35">
      <c r="C2008" s="124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ht="18.75" customHeight="1" x14ac:dyDescent="0.35">
      <c r="C2009" s="124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ht="18.75" customHeight="1" x14ac:dyDescent="0.35">
      <c r="C2010" s="124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ht="18.75" customHeight="1" x14ac:dyDescent="0.35">
      <c r="C2011" s="124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ht="18.75" customHeight="1" x14ac:dyDescent="0.35">
      <c r="C2012" s="124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ht="18.75" customHeight="1" x14ac:dyDescent="0.35">
      <c r="C2013" s="124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ht="18.75" customHeight="1" x14ac:dyDescent="0.35">
      <c r="C2014" s="124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ht="18.75" customHeight="1" x14ac:dyDescent="0.35">
      <c r="C2015" s="124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ht="18.75" customHeight="1" x14ac:dyDescent="0.35">
      <c r="C2016" s="124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ht="18.75" customHeight="1" x14ac:dyDescent="0.35">
      <c r="C2017" s="124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ht="18.75" customHeight="1" x14ac:dyDescent="0.35">
      <c r="C2018" s="124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ht="18.75" customHeight="1" x14ac:dyDescent="0.35">
      <c r="C2019" s="124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ht="18.75" customHeight="1" x14ac:dyDescent="0.35">
      <c r="C2020" s="124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ht="18.75" customHeight="1" x14ac:dyDescent="0.35">
      <c r="C2021" s="124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ht="18.75" customHeight="1" x14ac:dyDescent="0.35">
      <c r="C2022" s="124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ht="18.75" customHeight="1" x14ac:dyDescent="0.35">
      <c r="C2023" s="124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ht="18.75" customHeight="1" x14ac:dyDescent="0.35">
      <c r="C2024" s="124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ht="18.75" customHeight="1" x14ac:dyDescent="0.35">
      <c r="C2025" s="124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ht="18.75" customHeight="1" x14ac:dyDescent="0.35">
      <c r="C2026" s="124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ht="18.75" customHeight="1" x14ac:dyDescent="0.35">
      <c r="C2027" s="124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ht="18.75" customHeight="1" x14ac:dyDescent="0.35">
      <c r="C2028" s="124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ht="18.75" customHeight="1" x14ac:dyDescent="0.35">
      <c r="C2029" s="124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ht="18.75" customHeight="1" x14ac:dyDescent="0.35">
      <c r="C2030" s="124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ht="18.75" customHeight="1" x14ac:dyDescent="0.35">
      <c r="C2031" s="124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ht="18.75" customHeight="1" x14ac:dyDescent="0.35">
      <c r="C2032" s="124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ht="18.75" customHeight="1" x14ac:dyDescent="0.35">
      <c r="C2033" s="124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ht="18.75" customHeight="1" x14ac:dyDescent="0.35">
      <c r="C2034" s="124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ht="18.75" customHeight="1" x14ac:dyDescent="0.35">
      <c r="C2035" s="124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ht="18.75" customHeight="1" x14ac:dyDescent="0.35">
      <c r="C2036" s="124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ht="18.75" customHeight="1" x14ac:dyDescent="0.35">
      <c r="C2037" s="124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ht="18.75" customHeight="1" x14ac:dyDescent="0.35">
      <c r="C2038" s="124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ht="18.75" customHeight="1" x14ac:dyDescent="0.35">
      <c r="C2039" s="124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ht="18.75" customHeight="1" x14ac:dyDescent="0.35">
      <c r="C2040" s="124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ht="18.75" customHeight="1" x14ac:dyDescent="0.35">
      <c r="C2041" s="124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ht="18.75" customHeight="1" x14ac:dyDescent="0.35">
      <c r="C2042" s="124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ht="18.75" customHeight="1" x14ac:dyDescent="0.35">
      <c r="C2043" s="124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ht="18.75" customHeight="1" x14ac:dyDescent="0.35">
      <c r="C2044" s="124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ht="18.75" customHeight="1" x14ac:dyDescent="0.35">
      <c r="C2045" s="124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ht="18.75" customHeight="1" x14ac:dyDescent="0.35">
      <c r="C2046" s="124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ht="18.75" customHeight="1" x14ac:dyDescent="0.35">
      <c r="C2047" s="124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ht="18.75" customHeight="1" x14ac:dyDescent="0.35">
      <c r="C2048" s="124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ht="18.75" customHeight="1" x14ac:dyDescent="0.35">
      <c r="C2049" s="124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ht="18.75" customHeight="1" x14ac:dyDescent="0.35">
      <c r="C2050" s="124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ht="18.75" customHeight="1" x14ac:dyDescent="0.35">
      <c r="C2051" s="124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ht="18.75" customHeight="1" x14ac:dyDescent="0.35">
      <c r="C2052" s="124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ht="18.75" customHeight="1" x14ac:dyDescent="0.35">
      <c r="C2053" s="124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ht="18.75" customHeight="1" x14ac:dyDescent="0.35">
      <c r="C2054" s="124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ht="18.75" customHeight="1" x14ac:dyDescent="0.35">
      <c r="C2055" s="124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ht="18.75" customHeight="1" x14ac:dyDescent="0.35">
      <c r="C2056" s="124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ht="18.75" customHeight="1" x14ac:dyDescent="0.35">
      <c r="C2057" s="124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ht="18.75" customHeight="1" x14ac:dyDescent="0.35">
      <c r="C2058" s="124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ht="18.75" customHeight="1" x14ac:dyDescent="0.35">
      <c r="C2059" s="124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ht="18.75" customHeight="1" x14ac:dyDescent="0.35">
      <c r="C2060" s="124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ht="18.75" customHeight="1" x14ac:dyDescent="0.35">
      <c r="C2061" s="124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ht="18.75" customHeight="1" x14ac:dyDescent="0.35">
      <c r="C2062" s="124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ht="18.75" customHeight="1" x14ac:dyDescent="0.35">
      <c r="C2063" s="124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ht="18.75" customHeight="1" x14ac:dyDescent="0.35">
      <c r="C2064" s="124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ht="18.75" customHeight="1" x14ac:dyDescent="0.35">
      <c r="C2065" s="124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ht="18.75" customHeight="1" x14ac:dyDescent="0.35">
      <c r="C2066" s="124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ht="18.75" customHeight="1" x14ac:dyDescent="0.35">
      <c r="C2067" s="124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ht="18.75" customHeight="1" x14ac:dyDescent="0.35">
      <c r="C2068" s="124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ht="18.75" customHeight="1" x14ac:dyDescent="0.35">
      <c r="C2069" s="124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ht="18.75" customHeight="1" x14ac:dyDescent="0.35">
      <c r="C2070" s="124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ht="18.75" customHeight="1" x14ac:dyDescent="0.35">
      <c r="C2071" s="124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ht="18.75" customHeight="1" x14ac:dyDescent="0.35">
      <c r="C2072" s="124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ht="18.75" customHeight="1" x14ac:dyDescent="0.35">
      <c r="C2073" s="124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ht="18.75" customHeight="1" x14ac:dyDescent="0.35">
      <c r="C2074" s="124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ht="18.75" customHeight="1" x14ac:dyDescent="0.35">
      <c r="C2075" s="124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ht="18.75" customHeight="1" x14ac:dyDescent="0.35">
      <c r="C2076" s="124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ht="18.75" customHeight="1" x14ac:dyDescent="0.35">
      <c r="C2077" s="124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ht="18.75" customHeight="1" x14ac:dyDescent="0.35">
      <c r="C2078" s="124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ht="18.75" customHeight="1" x14ac:dyDescent="0.35">
      <c r="C2079" s="124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ht="18.75" customHeight="1" x14ac:dyDescent="0.35">
      <c r="C2080" s="124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ht="18.75" customHeight="1" x14ac:dyDescent="0.35">
      <c r="C2081" s="124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ht="18.75" customHeight="1" x14ac:dyDescent="0.35">
      <c r="C2082" s="124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ht="18.75" customHeight="1" x14ac:dyDescent="0.35">
      <c r="C2083" s="124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ht="18.75" customHeight="1" x14ac:dyDescent="0.35">
      <c r="C2084" s="124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ht="18.75" customHeight="1" x14ac:dyDescent="0.35">
      <c r="C2085" s="124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ht="18.75" customHeight="1" x14ac:dyDescent="0.35">
      <c r="C2086" s="124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ht="18.75" customHeight="1" x14ac:dyDescent="0.35">
      <c r="C2087" s="124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ht="18.75" customHeight="1" x14ac:dyDescent="0.35">
      <c r="C2088" s="124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ht="18.75" customHeight="1" x14ac:dyDescent="0.35">
      <c r="C2089" s="124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ht="18.75" customHeight="1" x14ac:dyDescent="0.35">
      <c r="C2090" s="124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ht="18.75" customHeight="1" x14ac:dyDescent="0.35">
      <c r="C2091" s="124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ht="18.75" customHeight="1" x14ac:dyDescent="0.35">
      <c r="C2092" s="124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ht="18.75" customHeight="1" x14ac:dyDescent="0.35">
      <c r="C2093" s="124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ht="18.75" customHeight="1" x14ac:dyDescent="0.35">
      <c r="C2094" s="124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ht="18.75" customHeight="1" x14ac:dyDescent="0.35">
      <c r="C2095" s="124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ht="18.75" customHeight="1" x14ac:dyDescent="0.35">
      <c r="C2096" s="124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ht="18.75" customHeight="1" x14ac:dyDescent="0.35">
      <c r="C2097" s="124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ht="18.75" customHeight="1" x14ac:dyDescent="0.35">
      <c r="C2098" s="124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ht="18.75" customHeight="1" x14ac:dyDescent="0.35">
      <c r="C2099" s="124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ht="18.75" customHeight="1" x14ac:dyDescent="0.35">
      <c r="C2100" s="124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ht="18.75" customHeight="1" x14ac:dyDescent="0.35">
      <c r="C2101" s="124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ht="18.75" customHeight="1" x14ac:dyDescent="0.35">
      <c r="C2102" s="124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ht="18.75" customHeight="1" x14ac:dyDescent="0.35">
      <c r="C2103" s="124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ht="18.75" customHeight="1" x14ac:dyDescent="0.35">
      <c r="C2104" s="124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ht="18.75" customHeight="1" x14ac:dyDescent="0.35">
      <c r="C2105" s="124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ht="18.75" customHeight="1" x14ac:dyDescent="0.35">
      <c r="C2106" s="124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ht="18.75" customHeight="1" x14ac:dyDescent="0.35">
      <c r="C2107" s="124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ht="18.75" customHeight="1" x14ac:dyDescent="0.35">
      <c r="C2108" s="124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ht="18.75" customHeight="1" x14ac:dyDescent="0.35">
      <c r="C2109" s="124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ht="18.75" customHeight="1" x14ac:dyDescent="0.35">
      <c r="C2110" s="124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ht="18.75" customHeight="1" x14ac:dyDescent="0.35">
      <c r="C2111" s="124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ht="18.75" customHeight="1" x14ac:dyDescent="0.35">
      <c r="C2112" s="124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ht="18.75" customHeight="1" x14ac:dyDescent="0.35">
      <c r="C2113" s="124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ht="18.75" customHeight="1" x14ac:dyDescent="0.35">
      <c r="C2114" s="124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ht="18.75" customHeight="1" x14ac:dyDescent="0.35">
      <c r="C2115" s="124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ht="18.75" customHeight="1" x14ac:dyDescent="0.35">
      <c r="C2116" s="124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ht="18.75" customHeight="1" x14ac:dyDescent="0.35">
      <c r="C2117" s="124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ht="18.75" customHeight="1" x14ac:dyDescent="0.35">
      <c r="C2118" s="124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ht="18.75" customHeight="1" x14ac:dyDescent="0.35">
      <c r="C2119" s="124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ht="18.75" customHeight="1" x14ac:dyDescent="0.35">
      <c r="C2120" s="124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ht="18.75" customHeight="1" x14ac:dyDescent="0.35">
      <c r="C2121" s="124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ht="18.75" customHeight="1" x14ac:dyDescent="0.35">
      <c r="C2122" s="124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ht="18.75" customHeight="1" x14ac:dyDescent="0.35">
      <c r="C2123" s="124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ht="18.75" customHeight="1" x14ac:dyDescent="0.35">
      <c r="C2124" s="124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ht="18.75" customHeight="1" x14ac:dyDescent="0.35">
      <c r="C2125" s="124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ht="18.75" customHeight="1" x14ac:dyDescent="0.35">
      <c r="C2126" s="124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ht="18.75" customHeight="1" x14ac:dyDescent="0.35">
      <c r="C2127" s="124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ht="18.75" customHeight="1" x14ac:dyDescent="0.35">
      <c r="C2128" s="124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ht="18.75" customHeight="1" x14ac:dyDescent="0.35">
      <c r="C2129" s="124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ht="18.75" customHeight="1" x14ac:dyDescent="0.35">
      <c r="C2130" s="124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ht="18.75" customHeight="1" x14ac:dyDescent="0.35">
      <c r="C2131" s="124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ht="18.75" customHeight="1" x14ac:dyDescent="0.35">
      <c r="C2132" s="124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ht="18.75" customHeight="1" x14ac:dyDescent="0.35">
      <c r="C2133" s="124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ht="18.75" customHeight="1" x14ac:dyDescent="0.35">
      <c r="C2134" s="124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ht="18.75" customHeight="1" x14ac:dyDescent="0.35">
      <c r="C2135" s="124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ht="18.75" customHeight="1" x14ac:dyDescent="0.35">
      <c r="C2136" s="124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ht="18.75" customHeight="1" x14ac:dyDescent="0.35">
      <c r="C2137" s="124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ht="18.75" customHeight="1" x14ac:dyDescent="0.35">
      <c r="C2138" s="124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ht="18.75" customHeight="1" x14ac:dyDescent="0.35">
      <c r="C2139" s="124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ht="18.75" customHeight="1" x14ac:dyDescent="0.35">
      <c r="C2140" s="124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ht="18.75" customHeight="1" x14ac:dyDescent="0.35">
      <c r="C2141" s="124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ht="18.75" customHeight="1" x14ac:dyDescent="0.35">
      <c r="C2142" s="124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ht="18.75" customHeight="1" x14ac:dyDescent="0.35">
      <c r="C2143" s="124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ht="18.75" customHeight="1" x14ac:dyDescent="0.35">
      <c r="C2144" s="124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ht="18.75" customHeight="1" x14ac:dyDescent="0.35">
      <c r="C2145" s="124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ht="18.75" customHeight="1" x14ac:dyDescent="0.35">
      <c r="C2146" s="124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ht="18.75" customHeight="1" x14ac:dyDescent="0.35">
      <c r="C2147" s="124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ht="18.75" customHeight="1" x14ac:dyDescent="0.35">
      <c r="C2148" s="124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ht="18.75" customHeight="1" x14ac:dyDescent="0.35">
      <c r="C2149" s="124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ht="18.75" customHeight="1" x14ac:dyDescent="0.35">
      <c r="C2150" s="124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ht="18.75" customHeight="1" x14ac:dyDescent="0.35">
      <c r="C2151" s="124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ht="18.75" customHeight="1" x14ac:dyDescent="0.35">
      <c r="C2152" s="124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ht="18.75" customHeight="1" x14ac:dyDescent="0.35">
      <c r="C2153" s="124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ht="18.75" customHeight="1" x14ac:dyDescent="0.35">
      <c r="C2154" s="124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ht="18.75" customHeight="1" x14ac:dyDescent="0.35">
      <c r="C2155" s="124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ht="18.75" customHeight="1" x14ac:dyDescent="0.35">
      <c r="C2156" s="124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ht="18.75" customHeight="1" x14ac:dyDescent="0.35">
      <c r="C2157" s="124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ht="18.75" customHeight="1" x14ac:dyDescent="0.35">
      <c r="C2158" s="124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ht="18.75" customHeight="1" x14ac:dyDescent="0.35">
      <c r="C2159" s="124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ht="18.75" customHeight="1" x14ac:dyDescent="0.35">
      <c r="C2160" s="124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ht="18.75" customHeight="1" x14ac:dyDescent="0.35">
      <c r="C2161" s="124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ht="18.75" customHeight="1" x14ac:dyDescent="0.35">
      <c r="C2162" s="124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ht="18.75" customHeight="1" x14ac:dyDescent="0.35">
      <c r="C2163" s="124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ht="18.75" customHeight="1" x14ac:dyDescent="0.35">
      <c r="C2164" s="124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ht="18.75" customHeight="1" x14ac:dyDescent="0.35">
      <c r="C2165" s="124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ht="18.75" customHeight="1" x14ac:dyDescent="0.35">
      <c r="C2166" s="124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ht="18.75" customHeight="1" x14ac:dyDescent="0.35">
      <c r="C2167" s="124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ht="18.75" customHeight="1" x14ac:dyDescent="0.35">
      <c r="C2168" s="124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ht="18.75" customHeight="1" x14ac:dyDescent="0.35">
      <c r="C2169" s="124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ht="18.75" customHeight="1" x14ac:dyDescent="0.35">
      <c r="C2170" s="124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ht="18.75" customHeight="1" x14ac:dyDescent="0.35">
      <c r="C2171" s="124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ht="18.75" customHeight="1" x14ac:dyDescent="0.35">
      <c r="C2172" s="124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ht="18.75" customHeight="1" x14ac:dyDescent="0.35">
      <c r="C2173" s="124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ht="18.75" customHeight="1" x14ac:dyDescent="0.35">
      <c r="C2174" s="124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ht="18.75" customHeight="1" x14ac:dyDescent="0.35">
      <c r="C2175" s="124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ht="18.75" customHeight="1" x14ac:dyDescent="0.35">
      <c r="C2176" s="124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ht="18.75" customHeight="1" x14ac:dyDescent="0.35">
      <c r="C2177" s="124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ht="18.75" customHeight="1" x14ac:dyDescent="0.35">
      <c r="C2178" s="124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ht="18.75" customHeight="1" x14ac:dyDescent="0.35">
      <c r="C2179" s="124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ht="18.75" customHeight="1" x14ac:dyDescent="0.35">
      <c r="C2180" s="124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ht="18.75" customHeight="1" x14ac:dyDescent="0.35">
      <c r="C2181" s="124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ht="18.75" customHeight="1" x14ac:dyDescent="0.35">
      <c r="C2182" s="124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ht="18.75" customHeight="1" x14ac:dyDescent="0.35">
      <c r="C2183" s="124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ht="18.75" customHeight="1" x14ac:dyDescent="0.35">
      <c r="C2184" s="124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ht="18.75" customHeight="1" x14ac:dyDescent="0.35">
      <c r="C2185" s="124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ht="18.75" customHeight="1" x14ac:dyDescent="0.35">
      <c r="C2186" s="124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ht="18.75" customHeight="1" x14ac:dyDescent="0.35">
      <c r="C2187" s="124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ht="18.75" customHeight="1" x14ac:dyDescent="0.35">
      <c r="C2188" s="124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ht="18.75" customHeight="1" x14ac:dyDescent="0.35">
      <c r="C2189" s="124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ht="18.75" customHeight="1" x14ac:dyDescent="0.35">
      <c r="C2190" s="124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ht="18.75" customHeight="1" x14ac:dyDescent="0.35">
      <c r="C2191" s="124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ht="18.75" customHeight="1" x14ac:dyDescent="0.35">
      <c r="C2192" s="124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ht="18.75" customHeight="1" x14ac:dyDescent="0.35">
      <c r="C2193" s="124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ht="18.75" customHeight="1" x14ac:dyDescent="0.35">
      <c r="C2194" s="124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ht="18.75" customHeight="1" x14ac:dyDescent="0.35">
      <c r="C2195" s="124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ht="18.75" customHeight="1" x14ac:dyDescent="0.35">
      <c r="C2196" s="124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ht="18.75" customHeight="1" x14ac:dyDescent="0.35">
      <c r="C2197" s="124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ht="18.75" customHeight="1" x14ac:dyDescent="0.35">
      <c r="C2198" s="124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ht="18.75" customHeight="1" x14ac:dyDescent="0.35">
      <c r="C2199" s="124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ht="18.75" customHeight="1" x14ac:dyDescent="0.35">
      <c r="C2200" s="124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ht="18.75" customHeight="1" x14ac:dyDescent="0.35">
      <c r="C2201" s="124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ht="18.75" customHeight="1" x14ac:dyDescent="0.35">
      <c r="C2202" s="124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ht="18.75" customHeight="1" x14ac:dyDescent="0.35">
      <c r="C2203" s="124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ht="18.75" customHeight="1" x14ac:dyDescent="0.35">
      <c r="C2204" s="124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ht="18.75" customHeight="1" x14ac:dyDescent="0.35">
      <c r="C2205" s="124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ht="18.75" customHeight="1" x14ac:dyDescent="0.35">
      <c r="C2206" s="124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ht="18.75" customHeight="1" x14ac:dyDescent="0.35">
      <c r="C2207" s="124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ht="18.75" customHeight="1" x14ac:dyDescent="0.35">
      <c r="C2208" s="124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ht="18.75" customHeight="1" x14ac:dyDescent="0.35">
      <c r="C2209" s="124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ht="18.75" customHeight="1" x14ac:dyDescent="0.35">
      <c r="C2210" s="124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ht="18.75" customHeight="1" x14ac:dyDescent="0.35">
      <c r="C2211" s="124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ht="18.75" customHeight="1" x14ac:dyDescent="0.35">
      <c r="C2212" s="124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ht="18.75" customHeight="1" x14ac:dyDescent="0.35">
      <c r="C2213" s="124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ht="18.75" customHeight="1" x14ac:dyDescent="0.35">
      <c r="C2214" s="124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ht="18.75" customHeight="1" x14ac:dyDescent="0.35">
      <c r="C2215" s="124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ht="18.75" customHeight="1" x14ac:dyDescent="0.35">
      <c r="C2216" s="124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ht="18.75" customHeight="1" x14ac:dyDescent="0.35">
      <c r="C2217" s="124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ht="18.75" customHeight="1" x14ac:dyDescent="0.35">
      <c r="C2218" s="124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ht="18.75" customHeight="1" x14ac:dyDescent="0.35">
      <c r="C2219" s="124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ht="18.75" customHeight="1" x14ac:dyDescent="0.35">
      <c r="C2220" s="124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ht="18.75" customHeight="1" x14ac:dyDescent="0.35">
      <c r="C2221" s="124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ht="18.75" customHeight="1" x14ac:dyDescent="0.35">
      <c r="C2222" s="124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ht="18.75" customHeight="1" x14ac:dyDescent="0.35">
      <c r="C2223" s="124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ht="18.75" customHeight="1" x14ac:dyDescent="0.35">
      <c r="C2224" s="124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ht="18.75" customHeight="1" x14ac:dyDescent="0.35">
      <c r="C2225" s="124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ht="18.75" customHeight="1" x14ac:dyDescent="0.35">
      <c r="C2226" s="124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ht="18.75" customHeight="1" x14ac:dyDescent="0.35">
      <c r="C2227" s="124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ht="18.75" customHeight="1" x14ac:dyDescent="0.35">
      <c r="C2228" s="124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ht="18.75" customHeight="1" x14ac:dyDescent="0.35">
      <c r="C2229" s="124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ht="18.75" customHeight="1" x14ac:dyDescent="0.35">
      <c r="C2230" s="124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ht="18.75" customHeight="1" x14ac:dyDescent="0.35">
      <c r="C2231" s="124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ht="18.75" customHeight="1" x14ac:dyDescent="0.35">
      <c r="C2232" s="124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ht="18.75" customHeight="1" x14ac:dyDescent="0.35">
      <c r="C2233" s="124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ht="18.75" customHeight="1" x14ac:dyDescent="0.35">
      <c r="C2234" s="124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ht="18.75" customHeight="1" x14ac:dyDescent="0.35">
      <c r="C2235" s="124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ht="18.75" customHeight="1" x14ac:dyDescent="0.35">
      <c r="C2236" s="124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ht="18.75" customHeight="1" x14ac:dyDescent="0.35">
      <c r="C2237" s="124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ht="18.75" customHeight="1" x14ac:dyDescent="0.35">
      <c r="C2238" s="124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ht="18.75" customHeight="1" x14ac:dyDescent="0.35">
      <c r="C2239" s="124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ht="18.75" customHeight="1" x14ac:dyDescent="0.35">
      <c r="C2240" s="124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ht="18.75" customHeight="1" x14ac:dyDescent="0.35">
      <c r="C2241" s="124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ht="18.75" customHeight="1" x14ac:dyDescent="0.35">
      <c r="C2242" s="124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ht="18.75" customHeight="1" x14ac:dyDescent="0.35">
      <c r="C2243" s="124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ht="18.75" customHeight="1" x14ac:dyDescent="0.35">
      <c r="C2244" s="124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ht="18.75" customHeight="1" x14ac:dyDescent="0.35">
      <c r="C2245" s="124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ht="18.75" customHeight="1" x14ac:dyDescent="0.35">
      <c r="C2246" s="124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ht="18.75" customHeight="1" x14ac:dyDescent="0.35">
      <c r="C2247" s="124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ht="18.75" customHeight="1" x14ac:dyDescent="0.35">
      <c r="C2248" s="124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ht="18.75" customHeight="1" x14ac:dyDescent="0.35">
      <c r="C2249" s="124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ht="18.75" customHeight="1" x14ac:dyDescent="0.35">
      <c r="C2250" s="124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ht="18.75" customHeight="1" x14ac:dyDescent="0.35">
      <c r="C2251" s="124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ht="18.75" customHeight="1" x14ac:dyDescent="0.35">
      <c r="C2252" s="124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ht="18.75" customHeight="1" x14ac:dyDescent="0.35">
      <c r="C2253" s="124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ht="18.75" customHeight="1" x14ac:dyDescent="0.35">
      <c r="C2254" s="124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ht="18.75" customHeight="1" x14ac:dyDescent="0.35">
      <c r="C2255" s="124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ht="18.75" customHeight="1" x14ac:dyDescent="0.35">
      <c r="C2256" s="124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ht="18.75" customHeight="1" x14ac:dyDescent="0.35">
      <c r="C2257" s="124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ht="18.75" customHeight="1" x14ac:dyDescent="0.35">
      <c r="C2258" s="124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ht="18.75" customHeight="1" x14ac:dyDescent="0.35">
      <c r="C2259" s="124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ht="18.75" customHeight="1" x14ac:dyDescent="0.35">
      <c r="C2260" s="124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ht="18.75" customHeight="1" x14ac:dyDescent="0.35">
      <c r="C2261" s="124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ht="18.75" customHeight="1" x14ac:dyDescent="0.35">
      <c r="C2262" s="124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ht="18.75" customHeight="1" x14ac:dyDescent="0.35">
      <c r="C2263" s="124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ht="18.75" customHeight="1" x14ac:dyDescent="0.35">
      <c r="C2264" s="124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ht="18.75" customHeight="1" x14ac:dyDescent="0.35">
      <c r="C2265" s="124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ht="18.75" customHeight="1" x14ac:dyDescent="0.35">
      <c r="C2266" s="124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ht="18.75" customHeight="1" x14ac:dyDescent="0.35">
      <c r="C2267" s="124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ht="18.75" customHeight="1" x14ac:dyDescent="0.35">
      <c r="C2268" s="124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ht="18.75" customHeight="1" x14ac:dyDescent="0.35">
      <c r="C2269" s="124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ht="18.75" customHeight="1" x14ac:dyDescent="0.35">
      <c r="C2270" s="124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ht="18.75" customHeight="1" x14ac:dyDescent="0.35">
      <c r="C2271" s="124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ht="18.75" customHeight="1" x14ac:dyDescent="0.35">
      <c r="C2272" s="124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ht="18.75" customHeight="1" x14ac:dyDescent="0.35">
      <c r="C2273" s="124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ht="18.75" customHeight="1" x14ac:dyDescent="0.35">
      <c r="C2274" s="124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ht="18.75" customHeight="1" x14ac:dyDescent="0.35">
      <c r="C2275" s="124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ht="18.75" customHeight="1" x14ac:dyDescent="0.35">
      <c r="C2276" s="124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ht="18.75" customHeight="1" x14ac:dyDescent="0.35">
      <c r="C2277" s="124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ht="18.75" customHeight="1" x14ac:dyDescent="0.35">
      <c r="C2278" s="124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ht="18.75" customHeight="1" x14ac:dyDescent="0.35">
      <c r="C2279" s="124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ht="18.75" customHeight="1" x14ac:dyDescent="0.35">
      <c r="C2280" s="124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ht="18.75" customHeight="1" x14ac:dyDescent="0.35">
      <c r="C2281" s="124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ht="18.75" customHeight="1" x14ac:dyDescent="0.35">
      <c r="C2282" s="124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ht="18.75" customHeight="1" x14ac:dyDescent="0.35">
      <c r="C2283" s="124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ht="18.75" customHeight="1" x14ac:dyDescent="0.35">
      <c r="C2284" s="124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ht="18.75" customHeight="1" x14ac:dyDescent="0.35">
      <c r="C2285" s="124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ht="18.75" customHeight="1" x14ac:dyDescent="0.35">
      <c r="C2286" s="124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ht="18.75" customHeight="1" x14ac:dyDescent="0.35">
      <c r="C2287" s="124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ht="18.75" customHeight="1" x14ac:dyDescent="0.35">
      <c r="C2288" s="124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ht="18.75" customHeight="1" x14ac:dyDescent="0.35">
      <c r="C2289" s="124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ht="18.75" customHeight="1" x14ac:dyDescent="0.35">
      <c r="C2290" s="124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ht="18.75" customHeight="1" x14ac:dyDescent="0.35">
      <c r="C2291" s="124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ht="18.75" customHeight="1" x14ac:dyDescent="0.35">
      <c r="C2292" s="124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ht="18.75" customHeight="1" x14ac:dyDescent="0.35">
      <c r="C2293" s="124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ht="18.75" customHeight="1" x14ac:dyDescent="0.35">
      <c r="C2294" s="124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ht="18.75" customHeight="1" x14ac:dyDescent="0.35">
      <c r="C2295" s="124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ht="18.75" customHeight="1" x14ac:dyDescent="0.35">
      <c r="C2296" s="124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ht="18.75" customHeight="1" x14ac:dyDescent="0.35">
      <c r="C2297" s="124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ht="18.75" customHeight="1" x14ac:dyDescent="0.35">
      <c r="C2298" s="124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ht="18.75" customHeight="1" x14ac:dyDescent="0.35">
      <c r="C2299" s="124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ht="18.75" customHeight="1" x14ac:dyDescent="0.35">
      <c r="C2300" s="124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ht="18.75" customHeight="1" x14ac:dyDescent="0.35">
      <c r="C2301" s="124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ht="18.75" customHeight="1" x14ac:dyDescent="0.35">
      <c r="C2302" s="124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ht="18.75" customHeight="1" x14ac:dyDescent="0.35">
      <c r="C2303" s="124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ht="18.75" customHeight="1" x14ac:dyDescent="0.35">
      <c r="C2304" s="124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ht="18.75" customHeight="1" x14ac:dyDescent="0.35">
      <c r="C2305" s="124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ht="18.75" customHeight="1" x14ac:dyDescent="0.35">
      <c r="C2306" s="124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ht="18.75" customHeight="1" x14ac:dyDescent="0.35">
      <c r="C2307" s="124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ht="18.75" customHeight="1" x14ac:dyDescent="0.35">
      <c r="C2308" s="124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ht="18.75" customHeight="1" x14ac:dyDescent="0.35">
      <c r="C2309" s="124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ht="18.75" customHeight="1" x14ac:dyDescent="0.35">
      <c r="C2310" s="124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ht="18.75" customHeight="1" x14ac:dyDescent="0.35">
      <c r="C2311" s="124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ht="18.75" customHeight="1" x14ac:dyDescent="0.35">
      <c r="C2312" s="124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ht="18.75" customHeight="1" x14ac:dyDescent="0.35">
      <c r="C2313" s="124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ht="18.75" customHeight="1" x14ac:dyDescent="0.35">
      <c r="C2314" s="124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ht="18.75" customHeight="1" x14ac:dyDescent="0.35">
      <c r="C2315" s="124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ht="18.75" customHeight="1" x14ac:dyDescent="0.35">
      <c r="C2316" s="124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ht="18.75" customHeight="1" x14ac:dyDescent="0.35">
      <c r="C2317" s="124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ht="18.75" customHeight="1" x14ac:dyDescent="0.35">
      <c r="C2318" s="124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ht="18.75" customHeight="1" x14ac:dyDescent="0.35">
      <c r="C2319" s="124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ht="18.75" customHeight="1" x14ac:dyDescent="0.35">
      <c r="C2320" s="124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ht="18.75" customHeight="1" x14ac:dyDescent="0.35">
      <c r="C2321" s="124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ht="18.75" customHeight="1" x14ac:dyDescent="0.35">
      <c r="C2322" s="124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ht="18.75" customHeight="1" x14ac:dyDescent="0.35">
      <c r="C2323" s="124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ht="18.75" customHeight="1" x14ac:dyDescent="0.35">
      <c r="C2324" s="124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ht="18.75" customHeight="1" x14ac:dyDescent="0.35">
      <c r="C2325" s="124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ht="18.75" customHeight="1" x14ac:dyDescent="0.35">
      <c r="C2326" s="124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ht="18.75" customHeight="1" x14ac:dyDescent="0.35">
      <c r="C2327" s="124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ht="18.75" customHeight="1" x14ac:dyDescent="0.35">
      <c r="C2328" s="124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ht="18.75" customHeight="1" x14ac:dyDescent="0.35">
      <c r="C2329" s="124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ht="18.75" customHeight="1" x14ac:dyDescent="0.35">
      <c r="C2330" s="124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ht="18.75" customHeight="1" x14ac:dyDescent="0.35">
      <c r="C2331" s="124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ht="18.75" customHeight="1" x14ac:dyDescent="0.35">
      <c r="C2332" s="124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ht="18.75" customHeight="1" x14ac:dyDescent="0.35">
      <c r="C2333" s="124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ht="18.75" customHeight="1" x14ac:dyDescent="0.35">
      <c r="C2334" s="124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ht="18.75" customHeight="1" x14ac:dyDescent="0.35">
      <c r="C2335" s="124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ht="18.75" customHeight="1" x14ac:dyDescent="0.35">
      <c r="C2336" s="124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ht="18.75" customHeight="1" x14ac:dyDescent="0.35">
      <c r="C2337" s="124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ht="18.75" customHeight="1" x14ac:dyDescent="0.35">
      <c r="C2338" s="124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ht="18.75" customHeight="1" x14ac:dyDescent="0.35">
      <c r="C2339" s="124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ht="18.75" customHeight="1" x14ac:dyDescent="0.35">
      <c r="C2340" s="124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ht="18.75" customHeight="1" x14ac:dyDescent="0.35">
      <c r="C2341" s="124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ht="18.75" customHeight="1" x14ac:dyDescent="0.35">
      <c r="C2342" s="124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ht="18.75" customHeight="1" x14ac:dyDescent="0.35">
      <c r="C2343" s="124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ht="18.75" customHeight="1" x14ac:dyDescent="0.35">
      <c r="C2344" s="124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ht="18.75" customHeight="1" x14ac:dyDescent="0.35">
      <c r="C2345" s="124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ht="18.75" customHeight="1" x14ac:dyDescent="0.35">
      <c r="C2346" s="124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ht="18.75" customHeight="1" x14ac:dyDescent="0.35">
      <c r="C2347" s="124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ht="18.75" customHeight="1" x14ac:dyDescent="0.35">
      <c r="C2348" s="124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ht="18.75" customHeight="1" x14ac:dyDescent="0.35">
      <c r="C2349" s="124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ht="18.75" customHeight="1" x14ac:dyDescent="0.35">
      <c r="C2350" s="124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ht="18.75" customHeight="1" x14ac:dyDescent="0.35">
      <c r="C2351" s="124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ht="18.75" customHeight="1" x14ac:dyDescent="0.35">
      <c r="C2352" s="124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ht="18.75" customHeight="1" x14ac:dyDescent="0.35">
      <c r="C2353" s="124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ht="18.75" customHeight="1" x14ac:dyDescent="0.35">
      <c r="C2354" s="124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ht="18.75" customHeight="1" x14ac:dyDescent="0.35">
      <c r="C2355" s="124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ht="18.75" customHeight="1" x14ac:dyDescent="0.35">
      <c r="C2356" s="124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ht="18.75" customHeight="1" x14ac:dyDescent="0.35">
      <c r="C2357" s="124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ht="18.75" customHeight="1" x14ac:dyDescent="0.35">
      <c r="C2358" s="124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ht="18.75" customHeight="1" x14ac:dyDescent="0.35">
      <c r="C2359" s="124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ht="18.75" customHeight="1" x14ac:dyDescent="0.35">
      <c r="C2360" s="124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ht="18.75" customHeight="1" x14ac:dyDescent="0.35">
      <c r="C2361" s="124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ht="18.75" customHeight="1" x14ac:dyDescent="0.35">
      <c r="C2362" s="124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ht="18.75" customHeight="1" x14ac:dyDescent="0.35">
      <c r="C2363" s="124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ht="18.75" customHeight="1" x14ac:dyDescent="0.35">
      <c r="C2364" s="124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ht="18.75" customHeight="1" x14ac:dyDescent="0.35">
      <c r="C2365" s="124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ht="18.75" customHeight="1" x14ac:dyDescent="0.35">
      <c r="C2366" s="124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ht="18.75" customHeight="1" x14ac:dyDescent="0.35">
      <c r="C2367" s="124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ht="18.75" customHeight="1" x14ac:dyDescent="0.35">
      <c r="C2368" s="124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ht="18.75" customHeight="1" x14ac:dyDescent="0.35">
      <c r="C2369" s="124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ht="18.75" customHeight="1" x14ac:dyDescent="0.35">
      <c r="C2370" s="124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ht="18.75" customHeight="1" x14ac:dyDescent="0.35">
      <c r="C2371" s="124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ht="18.75" customHeight="1" x14ac:dyDescent="0.35">
      <c r="C2372" s="124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ht="18.75" customHeight="1" x14ac:dyDescent="0.35">
      <c r="C2373" s="124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ht="18.75" customHeight="1" x14ac:dyDescent="0.35">
      <c r="C2374" s="124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ht="18.75" customHeight="1" x14ac:dyDescent="0.35">
      <c r="C2375" s="124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ht="18.75" customHeight="1" x14ac:dyDescent="0.35">
      <c r="C2376" s="124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ht="18.75" customHeight="1" x14ac:dyDescent="0.35">
      <c r="C2377" s="124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ht="18.75" customHeight="1" x14ac:dyDescent="0.35">
      <c r="C2378" s="124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ht="18.75" customHeight="1" x14ac:dyDescent="0.35">
      <c r="C2379" s="124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ht="18.75" customHeight="1" x14ac:dyDescent="0.35">
      <c r="C2380" s="124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ht="18.75" customHeight="1" x14ac:dyDescent="0.35">
      <c r="C2381" s="124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ht="18.75" customHeight="1" x14ac:dyDescent="0.35">
      <c r="C2382" s="124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ht="18.75" customHeight="1" x14ac:dyDescent="0.35">
      <c r="C2383" s="124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ht="18.75" customHeight="1" x14ac:dyDescent="0.35">
      <c r="C2384" s="124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ht="18.75" customHeight="1" x14ac:dyDescent="0.35">
      <c r="C2385" s="124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ht="18.75" customHeight="1" x14ac:dyDescent="0.35">
      <c r="C2386" s="124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ht="18.75" customHeight="1" x14ac:dyDescent="0.35">
      <c r="C2387" s="124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ht="18.75" customHeight="1" x14ac:dyDescent="0.35">
      <c r="C2388" s="124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ht="18.75" customHeight="1" x14ac:dyDescent="0.35">
      <c r="C2389" s="124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ht="18.75" customHeight="1" x14ac:dyDescent="0.35">
      <c r="C2390" s="124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ht="18.75" customHeight="1" x14ac:dyDescent="0.35">
      <c r="C2391" s="124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ht="18.75" customHeight="1" x14ac:dyDescent="0.35">
      <c r="C2392" s="124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ht="18.75" customHeight="1" x14ac:dyDescent="0.35">
      <c r="C2393" s="124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ht="18.75" customHeight="1" x14ac:dyDescent="0.35">
      <c r="C2394" s="124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ht="18.75" customHeight="1" x14ac:dyDescent="0.35">
      <c r="C2395" s="124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ht="18.75" customHeight="1" x14ac:dyDescent="0.35">
      <c r="C2396" s="124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ht="18.75" customHeight="1" x14ac:dyDescent="0.35">
      <c r="C2397" s="124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ht="18.75" customHeight="1" x14ac:dyDescent="0.35">
      <c r="C2398" s="124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ht="18.75" customHeight="1" x14ac:dyDescent="0.35">
      <c r="C2399" s="124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ht="18.75" customHeight="1" x14ac:dyDescent="0.35">
      <c r="C2400" s="124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ht="18.75" customHeight="1" x14ac:dyDescent="0.35">
      <c r="C2401" s="124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ht="18.75" customHeight="1" x14ac:dyDescent="0.35">
      <c r="C2402" s="124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ht="18.75" customHeight="1" x14ac:dyDescent="0.35">
      <c r="C2403" s="124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ht="18.75" customHeight="1" x14ac:dyDescent="0.35">
      <c r="C2404" s="124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ht="18.75" customHeight="1" x14ac:dyDescent="0.35">
      <c r="C2405" s="124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ht="18.75" customHeight="1" x14ac:dyDescent="0.35">
      <c r="C2406" s="124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ht="18.75" customHeight="1" x14ac:dyDescent="0.35">
      <c r="C2407" s="124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ht="18.75" customHeight="1" x14ac:dyDescent="0.35">
      <c r="C2408" s="124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ht="18.75" customHeight="1" x14ac:dyDescent="0.35">
      <c r="C2409" s="124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ht="18.75" customHeight="1" x14ac:dyDescent="0.35">
      <c r="C2410" s="124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ht="18.75" customHeight="1" x14ac:dyDescent="0.35">
      <c r="C2411" s="124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ht="18.75" customHeight="1" x14ac:dyDescent="0.35">
      <c r="C2412" s="124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ht="18.75" customHeight="1" x14ac:dyDescent="0.35">
      <c r="C2413" s="124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ht="18.75" customHeight="1" x14ac:dyDescent="0.35">
      <c r="C2414" s="124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ht="18.75" customHeight="1" x14ac:dyDescent="0.35">
      <c r="C2415" s="124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ht="18.75" customHeight="1" x14ac:dyDescent="0.35">
      <c r="C2416" s="124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ht="18.75" customHeight="1" x14ac:dyDescent="0.35">
      <c r="C2417" s="124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ht="18.75" customHeight="1" x14ac:dyDescent="0.35">
      <c r="C2418" s="124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ht="18.75" customHeight="1" x14ac:dyDescent="0.35">
      <c r="C2419" s="124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ht="18.75" customHeight="1" x14ac:dyDescent="0.35">
      <c r="C2420" s="124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ht="18.75" customHeight="1" x14ac:dyDescent="0.35">
      <c r="C2421" s="124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ht="18.75" customHeight="1" x14ac:dyDescent="0.35">
      <c r="C2422" s="124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ht="18.75" customHeight="1" x14ac:dyDescent="0.35">
      <c r="C2423" s="124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ht="18.75" customHeight="1" x14ac:dyDescent="0.35">
      <c r="C2424" s="124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ht="18.75" customHeight="1" x14ac:dyDescent="0.35">
      <c r="C2425" s="124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ht="18.75" customHeight="1" x14ac:dyDescent="0.35">
      <c r="C2426" s="124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ht="18.75" customHeight="1" x14ac:dyDescent="0.35">
      <c r="C2427" s="124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ht="18.75" customHeight="1" x14ac:dyDescent="0.35">
      <c r="C2428" s="124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ht="18.75" customHeight="1" x14ac:dyDescent="0.35">
      <c r="C2429" s="124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ht="18.75" customHeight="1" x14ac:dyDescent="0.35">
      <c r="C2430" s="124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ht="18.75" customHeight="1" x14ac:dyDescent="0.35">
      <c r="C2431" s="124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ht="18.75" customHeight="1" x14ac:dyDescent="0.35">
      <c r="C2432" s="124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ht="18.75" customHeight="1" x14ac:dyDescent="0.35">
      <c r="C2433" s="124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ht="18.75" customHeight="1" x14ac:dyDescent="0.35">
      <c r="C2434" s="124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ht="18.75" customHeight="1" x14ac:dyDescent="0.35">
      <c r="C2435" s="124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ht="18.75" customHeight="1" x14ac:dyDescent="0.35">
      <c r="C2436" s="124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ht="18.75" customHeight="1" x14ac:dyDescent="0.35">
      <c r="C2437" s="124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ht="18.75" customHeight="1" x14ac:dyDescent="0.35">
      <c r="C2438" s="124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ht="18.75" customHeight="1" x14ac:dyDescent="0.35">
      <c r="C2439" s="124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ht="18.75" customHeight="1" x14ac:dyDescent="0.35">
      <c r="C2440" s="124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ht="18.75" customHeight="1" x14ac:dyDescent="0.35">
      <c r="C2441" s="124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ht="18.75" customHeight="1" x14ac:dyDescent="0.35">
      <c r="C2442" s="124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ht="18.75" customHeight="1" x14ac:dyDescent="0.35">
      <c r="C2443" s="124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ht="18.75" customHeight="1" x14ac:dyDescent="0.35">
      <c r="C2444" s="124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ht="18.75" customHeight="1" x14ac:dyDescent="0.35">
      <c r="C2445" s="124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ht="18.75" customHeight="1" x14ac:dyDescent="0.35">
      <c r="C2446" s="124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ht="18.75" customHeight="1" x14ac:dyDescent="0.35">
      <c r="C2447" s="124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ht="18.75" customHeight="1" x14ac:dyDescent="0.35">
      <c r="C2448" s="124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ht="18.75" customHeight="1" x14ac:dyDescent="0.35">
      <c r="C2449" s="124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ht="18.75" customHeight="1" x14ac:dyDescent="0.35">
      <c r="C2450" s="124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ht="18.75" customHeight="1" x14ac:dyDescent="0.35">
      <c r="C2451" s="124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ht="18.75" customHeight="1" x14ac:dyDescent="0.35">
      <c r="C2452" s="124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ht="18.75" customHeight="1" x14ac:dyDescent="0.35">
      <c r="C2453" s="124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ht="18.75" customHeight="1" x14ac:dyDescent="0.35">
      <c r="C2454" s="124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ht="18.75" customHeight="1" x14ac:dyDescent="0.35">
      <c r="C2455" s="124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ht="18.75" customHeight="1" x14ac:dyDescent="0.35">
      <c r="C2456" s="124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ht="18.75" customHeight="1" x14ac:dyDescent="0.35">
      <c r="C2457" s="124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ht="18.75" customHeight="1" x14ac:dyDescent="0.35">
      <c r="C2458" s="124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ht="18.75" customHeight="1" x14ac:dyDescent="0.35">
      <c r="C2459" s="124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ht="18.75" customHeight="1" x14ac:dyDescent="0.35">
      <c r="C2460" s="124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ht="18.75" customHeight="1" x14ac:dyDescent="0.35">
      <c r="C2461" s="124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ht="18.75" customHeight="1" x14ac:dyDescent="0.35">
      <c r="C2462" s="124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ht="18.75" customHeight="1" x14ac:dyDescent="0.35">
      <c r="C2463" s="124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ht="18.75" customHeight="1" x14ac:dyDescent="0.35">
      <c r="C2464" s="124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ht="18.75" customHeight="1" x14ac:dyDescent="0.35">
      <c r="C2465" s="124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ht="18.75" customHeight="1" x14ac:dyDescent="0.35">
      <c r="C2466" s="124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ht="18.75" customHeight="1" x14ac:dyDescent="0.35">
      <c r="C2467" s="124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ht="18.75" customHeight="1" x14ac:dyDescent="0.35">
      <c r="C2468" s="124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ht="18.75" customHeight="1" x14ac:dyDescent="0.35">
      <c r="C2469" s="124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ht="18.75" customHeight="1" x14ac:dyDescent="0.35">
      <c r="C2470" s="124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ht="18.75" customHeight="1" x14ac:dyDescent="0.35">
      <c r="C2471" s="124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ht="18.75" customHeight="1" x14ac:dyDescent="0.35">
      <c r="C2472" s="124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ht="18.75" customHeight="1" x14ac:dyDescent="0.35">
      <c r="C2473" s="124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ht="18.75" customHeight="1" x14ac:dyDescent="0.35">
      <c r="C2474" s="124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ht="18.75" customHeight="1" x14ac:dyDescent="0.35">
      <c r="C2475" s="124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ht="18.75" customHeight="1" x14ac:dyDescent="0.35">
      <c r="C2476" s="124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ht="18.75" customHeight="1" x14ac:dyDescent="0.35">
      <c r="C2477" s="124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ht="18.75" customHeight="1" x14ac:dyDescent="0.35">
      <c r="C2478" s="124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ht="18.75" customHeight="1" x14ac:dyDescent="0.35">
      <c r="C2479" s="124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ht="18.75" customHeight="1" x14ac:dyDescent="0.35">
      <c r="C2480" s="124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ht="18.75" customHeight="1" x14ac:dyDescent="0.35">
      <c r="C2481" s="124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ht="18.75" customHeight="1" x14ac:dyDescent="0.35">
      <c r="C2482" s="124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ht="18.75" customHeight="1" x14ac:dyDescent="0.35">
      <c r="C2483" s="124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ht="18.75" customHeight="1" x14ac:dyDescent="0.35">
      <c r="C2484" s="124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ht="18.75" customHeight="1" x14ac:dyDescent="0.35">
      <c r="C2485" s="124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ht="18.75" customHeight="1" x14ac:dyDescent="0.35">
      <c r="C2486" s="124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ht="18.75" customHeight="1" x14ac:dyDescent="0.35">
      <c r="C2487" s="124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ht="18.75" customHeight="1" x14ac:dyDescent="0.35">
      <c r="C2488" s="124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ht="18.75" customHeight="1" x14ac:dyDescent="0.35">
      <c r="C2489" s="124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ht="18.75" customHeight="1" x14ac:dyDescent="0.35">
      <c r="C2490" s="124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ht="18.75" customHeight="1" x14ac:dyDescent="0.35">
      <c r="C2491" s="124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ht="18.75" customHeight="1" x14ac:dyDescent="0.35">
      <c r="C2492" s="124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ht="18.75" customHeight="1" x14ac:dyDescent="0.35">
      <c r="C2493" s="124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ht="18.75" customHeight="1" x14ac:dyDescent="0.35">
      <c r="C2494" s="124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ht="18.75" customHeight="1" x14ac:dyDescent="0.35">
      <c r="C2495" s="124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ht="18.75" customHeight="1" x14ac:dyDescent="0.35">
      <c r="C2496" s="124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ht="18.75" customHeight="1" x14ac:dyDescent="0.35">
      <c r="C2497" s="124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ht="18.75" customHeight="1" x14ac:dyDescent="0.35">
      <c r="C2498" s="124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ht="18.75" customHeight="1" x14ac:dyDescent="0.35">
      <c r="C2499" s="124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ht="18.75" customHeight="1" x14ac:dyDescent="0.35">
      <c r="C2500" s="124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ht="18.75" customHeight="1" x14ac:dyDescent="0.35">
      <c r="C2501" s="124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ht="18.75" customHeight="1" x14ac:dyDescent="0.35">
      <c r="C2502" s="124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ht="18.75" customHeight="1" x14ac:dyDescent="0.35">
      <c r="C2503" s="124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ht="18.75" customHeight="1" x14ac:dyDescent="0.35">
      <c r="C2504" s="124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ht="18.75" customHeight="1" x14ac:dyDescent="0.35">
      <c r="C2505" s="124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ht="18.75" customHeight="1" x14ac:dyDescent="0.35">
      <c r="C2506" s="124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ht="18.75" customHeight="1" x14ac:dyDescent="0.35">
      <c r="C2507" s="124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ht="18.75" customHeight="1" x14ac:dyDescent="0.35">
      <c r="C2508" s="124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ht="18.75" customHeight="1" x14ac:dyDescent="0.35">
      <c r="C2509" s="124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ht="18.75" customHeight="1" x14ac:dyDescent="0.35">
      <c r="C2510" s="124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ht="18.75" customHeight="1" x14ac:dyDescent="0.35">
      <c r="C2511" s="124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ht="18.75" customHeight="1" x14ac:dyDescent="0.35">
      <c r="C2512" s="124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ht="18.75" customHeight="1" x14ac:dyDescent="0.35">
      <c r="C2513" s="124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ht="18.75" customHeight="1" x14ac:dyDescent="0.35">
      <c r="C2514" s="124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ht="18.75" customHeight="1" x14ac:dyDescent="0.35">
      <c r="C2515" s="124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ht="18.75" customHeight="1" x14ac:dyDescent="0.35">
      <c r="C2516" s="124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ht="18.75" customHeight="1" x14ac:dyDescent="0.35">
      <c r="C2517" s="124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ht="18.75" customHeight="1" x14ac:dyDescent="0.35">
      <c r="C2518" s="124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ht="18.75" customHeight="1" x14ac:dyDescent="0.35">
      <c r="C2519" s="124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ht="18.75" customHeight="1" x14ac:dyDescent="0.35">
      <c r="C2520" s="124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ht="18.75" customHeight="1" x14ac:dyDescent="0.35">
      <c r="C2521" s="124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ht="18.75" customHeight="1" x14ac:dyDescent="0.35">
      <c r="C2522" s="124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ht="18.75" customHeight="1" x14ac:dyDescent="0.35">
      <c r="C2523" s="124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ht="18.75" customHeight="1" x14ac:dyDescent="0.35">
      <c r="C2524" s="124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ht="18.75" customHeight="1" x14ac:dyDescent="0.35">
      <c r="C2525" s="124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ht="18.75" customHeight="1" x14ac:dyDescent="0.35">
      <c r="C2526" s="124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ht="18.75" customHeight="1" x14ac:dyDescent="0.35">
      <c r="C2527" s="124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ht="18.75" customHeight="1" x14ac:dyDescent="0.35">
      <c r="C2528" s="124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ht="18.75" customHeight="1" x14ac:dyDescent="0.35">
      <c r="C2529" s="124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ht="18.75" customHeight="1" x14ac:dyDescent="0.35">
      <c r="C2530" s="124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ht="18.75" customHeight="1" x14ac:dyDescent="0.35">
      <c r="C2531" s="124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ht="18.75" customHeight="1" x14ac:dyDescent="0.35">
      <c r="C2532" s="124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ht="18.75" customHeight="1" x14ac:dyDescent="0.35">
      <c r="C2533" s="124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ht="18.75" customHeight="1" x14ac:dyDescent="0.35">
      <c r="C2534" s="124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ht="18.75" customHeight="1" x14ac:dyDescent="0.35">
      <c r="C2535" s="124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ht="18.75" customHeight="1" x14ac:dyDescent="0.35">
      <c r="C2536" s="124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ht="18.75" customHeight="1" x14ac:dyDescent="0.35">
      <c r="C2537" s="124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ht="18.75" customHeight="1" x14ac:dyDescent="0.35">
      <c r="C2538" s="124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ht="18.75" customHeight="1" x14ac:dyDescent="0.35">
      <c r="C2539" s="124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ht="18.75" customHeight="1" x14ac:dyDescent="0.35">
      <c r="C2540" s="124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ht="18.75" customHeight="1" x14ac:dyDescent="0.35">
      <c r="C2541" s="124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ht="18.75" customHeight="1" x14ac:dyDescent="0.35">
      <c r="C2542" s="124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ht="18.75" customHeight="1" x14ac:dyDescent="0.35">
      <c r="C2543" s="124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ht="18.75" customHeight="1" x14ac:dyDescent="0.35">
      <c r="C2544" s="124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ht="18.75" customHeight="1" x14ac:dyDescent="0.35">
      <c r="C2545" s="124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ht="18.75" customHeight="1" x14ac:dyDescent="0.35">
      <c r="C2546" s="124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ht="18.75" customHeight="1" x14ac:dyDescent="0.35">
      <c r="C2547" s="124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ht="18.75" customHeight="1" x14ac:dyDescent="0.35">
      <c r="C2548" s="124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ht="18.75" customHeight="1" x14ac:dyDescent="0.35">
      <c r="C2549" s="124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ht="18.75" customHeight="1" x14ac:dyDescent="0.35">
      <c r="C2550" s="124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ht="18.75" customHeight="1" x14ac:dyDescent="0.35">
      <c r="C2551" s="124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ht="18.75" customHeight="1" x14ac:dyDescent="0.35">
      <c r="C2552" s="124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ht="18.75" customHeight="1" x14ac:dyDescent="0.35">
      <c r="C2553" s="124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ht="18.75" customHeight="1" x14ac:dyDescent="0.35">
      <c r="C2554" s="124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ht="18.75" customHeight="1" x14ac:dyDescent="0.35">
      <c r="C2555" s="124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ht="18.75" customHeight="1" x14ac:dyDescent="0.35">
      <c r="C2556" s="124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ht="18.75" customHeight="1" x14ac:dyDescent="0.35">
      <c r="C2557" s="124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ht="18.75" customHeight="1" x14ac:dyDescent="0.35">
      <c r="C2558" s="124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ht="18.75" customHeight="1" x14ac:dyDescent="0.35">
      <c r="C2559" s="124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ht="18.75" customHeight="1" x14ac:dyDescent="0.35">
      <c r="C2560" s="124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ht="18.75" customHeight="1" x14ac:dyDescent="0.35">
      <c r="C2561" s="124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ht="18.75" customHeight="1" x14ac:dyDescent="0.35">
      <c r="C2562" s="124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ht="18.75" customHeight="1" x14ac:dyDescent="0.35">
      <c r="C2563" s="124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ht="18.75" customHeight="1" x14ac:dyDescent="0.35">
      <c r="C2564" s="124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ht="18.75" customHeight="1" x14ac:dyDescent="0.35">
      <c r="C2565" s="124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ht="18.75" customHeight="1" x14ac:dyDescent="0.35">
      <c r="C2566" s="124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ht="18.75" customHeight="1" x14ac:dyDescent="0.35">
      <c r="C2567" s="124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ht="18.75" customHeight="1" x14ac:dyDescent="0.35">
      <c r="C2568" s="124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ht="18.75" customHeight="1" x14ac:dyDescent="0.35">
      <c r="C2569" s="124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ht="18.75" customHeight="1" x14ac:dyDescent="0.35">
      <c r="C2570" s="124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ht="18.75" customHeight="1" x14ac:dyDescent="0.35">
      <c r="C2571" s="124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ht="18.75" customHeight="1" x14ac:dyDescent="0.35">
      <c r="C2572" s="124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ht="18.75" customHeight="1" x14ac:dyDescent="0.35">
      <c r="C2573" s="124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ht="18.75" customHeight="1" x14ac:dyDescent="0.35">
      <c r="C2574" s="124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ht="18.75" customHeight="1" x14ac:dyDescent="0.35">
      <c r="C2575" s="124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ht="18.75" customHeight="1" x14ac:dyDescent="0.35">
      <c r="C2576" s="124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ht="18.75" customHeight="1" x14ac:dyDescent="0.35">
      <c r="C2577" s="124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ht="18.75" customHeight="1" x14ac:dyDescent="0.35">
      <c r="C2578" s="124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ht="18.75" customHeight="1" x14ac:dyDescent="0.35">
      <c r="C2579" s="124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ht="18.75" customHeight="1" x14ac:dyDescent="0.35">
      <c r="C2580" s="124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ht="18.75" customHeight="1" x14ac:dyDescent="0.35">
      <c r="C2581" s="124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ht="18.75" customHeight="1" x14ac:dyDescent="0.35">
      <c r="C2582" s="124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ht="18.75" customHeight="1" x14ac:dyDescent="0.35">
      <c r="C2583" s="124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ht="18.75" customHeight="1" x14ac:dyDescent="0.35">
      <c r="C2584" s="124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ht="18.75" customHeight="1" x14ac:dyDescent="0.35">
      <c r="C2585" s="124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ht="18.75" customHeight="1" x14ac:dyDescent="0.35">
      <c r="C2586" s="124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ht="18.75" customHeight="1" x14ac:dyDescent="0.35">
      <c r="C2587" s="124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ht="18.75" customHeight="1" x14ac:dyDescent="0.35">
      <c r="C2588" s="124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ht="18.75" customHeight="1" x14ac:dyDescent="0.35">
      <c r="C2589" s="124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ht="18.75" customHeight="1" x14ac:dyDescent="0.35">
      <c r="C2590" s="124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ht="18.75" customHeight="1" x14ac:dyDescent="0.35">
      <c r="C2591" s="124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ht="18.75" customHeight="1" x14ac:dyDescent="0.35">
      <c r="C2592" s="124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ht="18.75" customHeight="1" x14ac:dyDescent="0.35">
      <c r="C2593" s="124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ht="18.75" customHeight="1" x14ac:dyDescent="0.35">
      <c r="C2594" s="124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ht="18.75" customHeight="1" x14ac:dyDescent="0.35">
      <c r="C2595" s="124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ht="18.75" customHeight="1" x14ac:dyDescent="0.35">
      <c r="C2596" s="124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ht="18.75" customHeight="1" x14ac:dyDescent="0.35">
      <c r="C2597" s="124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ht="18.75" customHeight="1" x14ac:dyDescent="0.35">
      <c r="C2598" s="124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ht="18.75" customHeight="1" x14ac:dyDescent="0.35">
      <c r="C2599" s="124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ht="18.75" customHeight="1" x14ac:dyDescent="0.35">
      <c r="C2600" s="124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ht="18.75" customHeight="1" x14ac:dyDescent="0.35">
      <c r="C2601" s="124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ht="18.75" customHeight="1" x14ac:dyDescent="0.35">
      <c r="C2602" s="124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ht="18.75" customHeight="1" x14ac:dyDescent="0.35">
      <c r="C2603" s="124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ht="18.75" customHeight="1" x14ac:dyDescent="0.35">
      <c r="C2604" s="124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ht="18.75" customHeight="1" x14ac:dyDescent="0.35">
      <c r="C2605" s="124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ht="18.75" customHeight="1" x14ac:dyDescent="0.35">
      <c r="C2606" s="124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ht="18.75" customHeight="1" x14ac:dyDescent="0.35">
      <c r="C2607" s="124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ht="18.75" customHeight="1" x14ac:dyDescent="0.35">
      <c r="C2608" s="124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ht="18.75" customHeight="1" x14ac:dyDescent="0.35">
      <c r="C2609" s="124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ht="18.75" customHeight="1" x14ac:dyDescent="0.35">
      <c r="C2610" s="124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ht="18.75" customHeight="1" x14ac:dyDescent="0.35">
      <c r="C2611" s="124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ht="18.75" customHeight="1" x14ac:dyDescent="0.35">
      <c r="C2612" s="124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ht="18.75" customHeight="1" x14ac:dyDescent="0.35">
      <c r="C2613" s="124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ht="18.75" customHeight="1" x14ac:dyDescent="0.35">
      <c r="C2614" s="124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ht="18.75" customHeight="1" x14ac:dyDescent="0.35">
      <c r="C2615" s="124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ht="18.75" customHeight="1" x14ac:dyDescent="0.35">
      <c r="C2616" s="124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ht="18.75" customHeight="1" x14ac:dyDescent="0.35">
      <c r="C2617" s="124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ht="18.75" customHeight="1" x14ac:dyDescent="0.35">
      <c r="C2618" s="124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ht="18.75" customHeight="1" x14ac:dyDescent="0.35">
      <c r="C2619" s="124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ht="18.75" customHeight="1" x14ac:dyDescent="0.35">
      <c r="C2620" s="124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ht="18.75" customHeight="1" x14ac:dyDescent="0.35">
      <c r="C2621" s="124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ht="18.75" customHeight="1" x14ac:dyDescent="0.35">
      <c r="C2622" s="124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ht="18.75" customHeight="1" x14ac:dyDescent="0.35">
      <c r="C2623" s="124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ht="18.75" customHeight="1" x14ac:dyDescent="0.35">
      <c r="C2624" s="124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ht="18.75" customHeight="1" x14ac:dyDescent="0.35">
      <c r="C2625" s="124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ht="18.75" customHeight="1" x14ac:dyDescent="0.35">
      <c r="C2626" s="124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ht="18.75" customHeight="1" x14ac:dyDescent="0.35">
      <c r="C2627" s="124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ht="18.75" customHeight="1" x14ac:dyDescent="0.35">
      <c r="C2628" s="124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ht="18.75" customHeight="1" x14ac:dyDescent="0.35">
      <c r="C2629" s="124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ht="18.75" customHeight="1" x14ac:dyDescent="0.35">
      <c r="C2630" s="124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ht="18.75" customHeight="1" x14ac:dyDescent="0.35">
      <c r="C2631" s="124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ht="18.75" customHeight="1" x14ac:dyDescent="0.35">
      <c r="C2632" s="124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ht="18.75" customHeight="1" x14ac:dyDescent="0.35">
      <c r="C2633" s="124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ht="18.75" customHeight="1" x14ac:dyDescent="0.35">
      <c r="C2634" s="124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ht="18.75" customHeight="1" x14ac:dyDescent="0.35">
      <c r="C2635" s="124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ht="18.75" customHeight="1" x14ac:dyDescent="0.35">
      <c r="C2636" s="124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ht="18.75" customHeight="1" x14ac:dyDescent="0.35">
      <c r="C2637" s="124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ht="18.75" customHeight="1" x14ac:dyDescent="0.35">
      <c r="C2638" s="124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ht="18.75" customHeight="1" x14ac:dyDescent="0.35">
      <c r="C2639" s="124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ht="18.75" customHeight="1" x14ac:dyDescent="0.35">
      <c r="C2640" s="124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ht="18.75" customHeight="1" x14ac:dyDescent="0.35">
      <c r="C2641" s="124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ht="18.75" customHeight="1" x14ac:dyDescent="0.35">
      <c r="C2642" s="124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ht="18.75" customHeight="1" x14ac:dyDescent="0.35">
      <c r="C2643" s="124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ht="18.75" customHeight="1" x14ac:dyDescent="0.35">
      <c r="C2644" s="124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ht="18.75" customHeight="1" x14ac:dyDescent="0.35">
      <c r="C2645" s="124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ht="18.75" customHeight="1" x14ac:dyDescent="0.35">
      <c r="C2646" s="124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ht="18.75" customHeight="1" x14ac:dyDescent="0.35">
      <c r="C2647" s="124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ht="18.75" customHeight="1" x14ac:dyDescent="0.35">
      <c r="C2648" s="124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ht="18.75" customHeight="1" x14ac:dyDescent="0.35">
      <c r="C2649" s="124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ht="18.75" customHeight="1" x14ac:dyDescent="0.35">
      <c r="C2650" s="124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ht="18.75" customHeight="1" x14ac:dyDescent="0.35">
      <c r="C2651" s="124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ht="18.75" customHeight="1" x14ac:dyDescent="0.35">
      <c r="C2652" s="124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ht="18.75" customHeight="1" x14ac:dyDescent="0.35">
      <c r="C2653" s="124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ht="18.75" customHeight="1" x14ac:dyDescent="0.35">
      <c r="C2654" s="124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ht="18.75" customHeight="1" x14ac:dyDescent="0.35">
      <c r="C2655" s="124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ht="18.75" customHeight="1" x14ac:dyDescent="0.35">
      <c r="C2656" s="124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ht="18.75" customHeight="1" x14ac:dyDescent="0.35">
      <c r="C2657" s="124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ht="18.75" customHeight="1" x14ac:dyDescent="0.35">
      <c r="C2658" s="124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ht="18.75" customHeight="1" x14ac:dyDescent="0.35">
      <c r="C2659" s="124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ht="18.75" customHeight="1" x14ac:dyDescent="0.35">
      <c r="C2660" s="124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ht="18.75" customHeight="1" x14ac:dyDescent="0.35">
      <c r="C2661" s="124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ht="18.75" customHeight="1" x14ac:dyDescent="0.35">
      <c r="C2662" s="124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ht="18.75" customHeight="1" x14ac:dyDescent="0.35">
      <c r="C2663" s="124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ht="18.75" customHeight="1" x14ac:dyDescent="0.35">
      <c r="C2664" s="124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ht="18.75" customHeight="1" x14ac:dyDescent="0.35">
      <c r="C2665" s="124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ht="18.75" customHeight="1" x14ac:dyDescent="0.35">
      <c r="C2666" s="124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ht="18.75" customHeight="1" x14ac:dyDescent="0.35">
      <c r="C2667" s="124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ht="18.75" customHeight="1" x14ac:dyDescent="0.35">
      <c r="C2668" s="124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ht="18.75" customHeight="1" x14ac:dyDescent="0.35">
      <c r="C2669" s="124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ht="18.75" customHeight="1" x14ac:dyDescent="0.35">
      <c r="C2670" s="124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ht="18.75" customHeight="1" x14ac:dyDescent="0.35">
      <c r="C2671" s="124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ht="18.75" customHeight="1" x14ac:dyDescent="0.35">
      <c r="C2672" s="124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ht="18.75" customHeight="1" x14ac:dyDescent="0.35">
      <c r="C2673" s="124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ht="18.75" customHeight="1" x14ac:dyDescent="0.35">
      <c r="C2674" s="124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ht="18.75" customHeight="1" x14ac:dyDescent="0.35">
      <c r="C2675" s="124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ht="18.75" customHeight="1" x14ac:dyDescent="0.35">
      <c r="C2676" s="124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ht="18.75" customHeight="1" x14ac:dyDescent="0.35">
      <c r="C2677" s="124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ht="18.75" customHeight="1" x14ac:dyDescent="0.35">
      <c r="C2678" s="124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ht="18.75" customHeight="1" x14ac:dyDescent="0.35">
      <c r="C2679" s="124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ht="18.75" customHeight="1" x14ac:dyDescent="0.35">
      <c r="C2680" s="124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ht="18.75" customHeight="1" x14ac:dyDescent="0.35">
      <c r="C2681" s="124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ht="18.75" customHeight="1" x14ac:dyDescent="0.35">
      <c r="C2682" s="124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ht="18.75" customHeight="1" x14ac:dyDescent="0.35">
      <c r="C2683" s="124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ht="18.75" customHeight="1" x14ac:dyDescent="0.35">
      <c r="C2684" s="124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ht="18.75" customHeight="1" x14ac:dyDescent="0.35">
      <c r="C2685" s="124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ht="18.75" customHeight="1" x14ac:dyDescent="0.35">
      <c r="C2686" s="124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ht="18.75" customHeight="1" x14ac:dyDescent="0.35">
      <c r="C2687" s="124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ht="18.75" customHeight="1" x14ac:dyDescent="0.35">
      <c r="C2688" s="124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ht="18.75" customHeight="1" x14ac:dyDescent="0.35">
      <c r="C2689" s="124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ht="18.75" customHeight="1" x14ac:dyDescent="0.35">
      <c r="C2690" s="124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ht="18.75" customHeight="1" x14ac:dyDescent="0.35">
      <c r="C2691" s="124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ht="18.75" customHeight="1" x14ac:dyDescent="0.35">
      <c r="C2692" s="124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ht="18.75" customHeight="1" x14ac:dyDescent="0.35">
      <c r="C2693" s="124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ht="18.75" customHeight="1" x14ac:dyDescent="0.35">
      <c r="C2694" s="124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ht="18.75" customHeight="1" x14ac:dyDescent="0.35">
      <c r="C2695" s="124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ht="18.75" customHeight="1" x14ac:dyDescent="0.35">
      <c r="C2696" s="124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ht="18.75" customHeight="1" x14ac:dyDescent="0.35">
      <c r="C2697" s="124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ht="18.75" customHeight="1" x14ac:dyDescent="0.35">
      <c r="C2698" s="124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ht="18.75" customHeight="1" x14ac:dyDescent="0.35">
      <c r="C2699" s="124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ht="18.75" customHeight="1" x14ac:dyDescent="0.35">
      <c r="C2700" s="124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ht="18.75" customHeight="1" x14ac:dyDescent="0.35">
      <c r="C2701" s="124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ht="18.75" customHeight="1" x14ac:dyDescent="0.35">
      <c r="C2702" s="124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ht="18.75" customHeight="1" x14ac:dyDescent="0.35">
      <c r="C2703" s="124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ht="18.75" customHeight="1" x14ac:dyDescent="0.35">
      <c r="C2704" s="124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ht="18.75" customHeight="1" x14ac:dyDescent="0.35">
      <c r="C2705" s="124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ht="18.75" customHeight="1" x14ac:dyDescent="0.35">
      <c r="C2706" s="124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ht="18.75" customHeight="1" x14ac:dyDescent="0.35">
      <c r="C2707" s="124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ht="18.75" customHeight="1" x14ac:dyDescent="0.35">
      <c r="C2708" s="124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ht="18.75" customHeight="1" x14ac:dyDescent="0.35">
      <c r="C2709" s="124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ht="18.75" customHeight="1" x14ac:dyDescent="0.35">
      <c r="C2710" s="124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ht="18.75" customHeight="1" x14ac:dyDescent="0.35">
      <c r="C2711" s="124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ht="18.75" customHeight="1" x14ac:dyDescent="0.35">
      <c r="C2712" s="124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ht="18.75" customHeight="1" x14ac:dyDescent="0.35">
      <c r="C2713" s="124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ht="18.75" customHeight="1" x14ac:dyDescent="0.35">
      <c r="C2714" s="124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ht="18.75" customHeight="1" x14ac:dyDescent="0.35">
      <c r="C2715" s="124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ht="18.75" customHeight="1" x14ac:dyDescent="0.35">
      <c r="C2716" s="124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ht="18.75" customHeight="1" x14ac:dyDescent="0.35">
      <c r="C2717" s="124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ht="18.75" customHeight="1" x14ac:dyDescent="0.35">
      <c r="C2718" s="124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ht="18.75" customHeight="1" x14ac:dyDescent="0.35">
      <c r="C2719" s="124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ht="18.75" customHeight="1" x14ac:dyDescent="0.35">
      <c r="C2720" s="124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ht="18.75" customHeight="1" x14ac:dyDescent="0.35">
      <c r="C2721" s="124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ht="18.75" customHeight="1" x14ac:dyDescent="0.35">
      <c r="C2722" s="124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ht="18.75" customHeight="1" x14ac:dyDescent="0.35">
      <c r="C2723" s="124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ht="18.75" customHeight="1" x14ac:dyDescent="0.35">
      <c r="C2724" s="124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ht="18.75" customHeight="1" x14ac:dyDescent="0.35">
      <c r="C2725" s="124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ht="18.75" customHeight="1" x14ac:dyDescent="0.35">
      <c r="C2726" s="124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ht="18.75" customHeight="1" x14ac:dyDescent="0.35">
      <c r="C2727" s="124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ht="18.75" customHeight="1" x14ac:dyDescent="0.35">
      <c r="C2728" s="124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ht="18.75" customHeight="1" x14ac:dyDescent="0.35">
      <c r="C2729" s="124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ht="18.75" customHeight="1" x14ac:dyDescent="0.35">
      <c r="C2730" s="124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ht="18.75" customHeight="1" x14ac:dyDescent="0.35">
      <c r="C2731" s="124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ht="18.75" customHeight="1" x14ac:dyDescent="0.35">
      <c r="C2732" s="124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ht="18.75" customHeight="1" x14ac:dyDescent="0.35">
      <c r="C2733" s="124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ht="18.75" customHeight="1" x14ac:dyDescent="0.35">
      <c r="C2734" s="124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ht="18.75" customHeight="1" x14ac:dyDescent="0.35">
      <c r="C2735" s="124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ht="18.75" customHeight="1" x14ac:dyDescent="0.35">
      <c r="C2736" s="124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ht="18.75" customHeight="1" x14ac:dyDescent="0.35">
      <c r="C2737" s="124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ht="18.75" customHeight="1" x14ac:dyDescent="0.35">
      <c r="C2738" s="124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ht="18.75" customHeight="1" x14ac:dyDescent="0.35">
      <c r="C2739" s="124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ht="18.75" customHeight="1" x14ac:dyDescent="0.35">
      <c r="C2740" s="124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ht="18.75" customHeight="1" x14ac:dyDescent="0.35">
      <c r="C2741" s="124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ht="18.75" customHeight="1" x14ac:dyDescent="0.35">
      <c r="C2742" s="124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ht="18.75" customHeight="1" x14ac:dyDescent="0.35">
      <c r="C2743" s="124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ht="18.75" customHeight="1" x14ac:dyDescent="0.35">
      <c r="C2744" s="124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ht="18.75" customHeight="1" x14ac:dyDescent="0.35">
      <c r="C2745" s="124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ht="18.75" customHeight="1" x14ac:dyDescent="0.35">
      <c r="C2746" s="124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ht="18.75" customHeight="1" x14ac:dyDescent="0.35">
      <c r="C2747" s="124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ht="18.75" customHeight="1" x14ac:dyDescent="0.35">
      <c r="C2748" s="124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ht="18.75" customHeight="1" x14ac:dyDescent="0.35">
      <c r="C2749" s="124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ht="18.75" customHeight="1" x14ac:dyDescent="0.35">
      <c r="C2750" s="124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ht="18.75" customHeight="1" x14ac:dyDescent="0.35">
      <c r="C2751" s="124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ht="18.75" customHeight="1" x14ac:dyDescent="0.35">
      <c r="C2752" s="124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ht="18.75" customHeight="1" x14ac:dyDescent="0.35">
      <c r="C2753" s="124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ht="18.75" customHeight="1" x14ac:dyDescent="0.35">
      <c r="C2754" s="124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ht="18.75" customHeight="1" x14ac:dyDescent="0.35">
      <c r="C2755" s="124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ht="18.75" customHeight="1" x14ac:dyDescent="0.35">
      <c r="C2756" s="124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ht="18.75" customHeight="1" x14ac:dyDescent="0.35">
      <c r="C2757" s="124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ht="18.75" customHeight="1" x14ac:dyDescent="0.35">
      <c r="C2758" s="124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ht="18.75" customHeight="1" x14ac:dyDescent="0.35">
      <c r="C2759" s="124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ht="18.75" customHeight="1" x14ac:dyDescent="0.35">
      <c r="C2760" s="124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ht="18.75" customHeight="1" x14ac:dyDescent="0.35">
      <c r="C2761" s="124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ht="18.75" customHeight="1" x14ac:dyDescent="0.35">
      <c r="C2762" s="124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ht="18.75" customHeight="1" x14ac:dyDescent="0.35">
      <c r="C2763" s="124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ht="18.75" customHeight="1" x14ac:dyDescent="0.35">
      <c r="C2764" s="124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ht="18.75" customHeight="1" x14ac:dyDescent="0.35">
      <c r="C2765" s="124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ht="18.75" customHeight="1" x14ac:dyDescent="0.35">
      <c r="C2766" s="124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ht="18.75" customHeight="1" x14ac:dyDescent="0.35">
      <c r="C2767" s="124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ht="18.75" customHeight="1" x14ac:dyDescent="0.35">
      <c r="C2768" s="124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ht="18.75" customHeight="1" x14ac:dyDescent="0.35">
      <c r="C2769" s="124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ht="18.75" customHeight="1" x14ac:dyDescent="0.35">
      <c r="C2770" s="124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ht="18.75" customHeight="1" x14ac:dyDescent="0.35">
      <c r="C2771" s="124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ht="18.75" customHeight="1" x14ac:dyDescent="0.35">
      <c r="C2772" s="124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ht="18.75" customHeight="1" x14ac:dyDescent="0.35">
      <c r="C2773" s="124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ht="18.75" customHeight="1" x14ac:dyDescent="0.35">
      <c r="C2774" s="124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ht="18.75" customHeight="1" x14ac:dyDescent="0.35">
      <c r="C2775" s="124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ht="18.75" customHeight="1" x14ac:dyDescent="0.35">
      <c r="C2776" s="124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ht="18.75" customHeight="1" x14ac:dyDescent="0.35">
      <c r="C2777" s="124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ht="18.75" customHeight="1" x14ac:dyDescent="0.35">
      <c r="C2778" s="124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ht="18.75" customHeight="1" x14ac:dyDescent="0.35">
      <c r="C2779" s="124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ht="18.75" customHeight="1" x14ac:dyDescent="0.35">
      <c r="C2780" s="124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ht="18.75" customHeight="1" x14ac:dyDescent="0.35">
      <c r="C2781" s="124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ht="18.75" customHeight="1" x14ac:dyDescent="0.35">
      <c r="C2782" s="124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ht="18.75" customHeight="1" x14ac:dyDescent="0.35">
      <c r="C2783" s="124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ht="18.75" customHeight="1" x14ac:dyDescent="0.35">
      <c r="C2784" s="124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ht="18.75" customHeight="1" x14ac:dyDescent="0.35">
      <c r="C2785" s="124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ht="18.75" customHeight="1" x14ac:dyDescent="0.35">
      <c r="C2786" s="124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ht="18.75" customHeight="1" x14ac:dyDescent="0.35">
      <c r="C2787" s="124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ht="18.75" customHeight="1" x14ac:dyDescent="0.35">
      <c r="C2788" s="124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ht="18.75" customHeight="1" x14ac:dyDescent="0.35">
      <c r="C2789" s="124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ht="18.75" customHeight="1" x14ac:dyDescent="0.35">
      <c r="C2790" s="124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ht="18.75" customHeight="1" x14ac:dyDescent="0.35">
      <c r="C2791" s="124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ht="18.75" customHeight="1" x14ac:dyDescent="0.35">
      <c r="C2792" s="124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ht="18.75" customHeight="1" x14ac:dyDescent="0.35">
      <c r="C2793" s="124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ht="18.75" customHeight="1" x14ac:dyDescent="0.35">
      <c r="C2794" s="124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ht="18.75" customHeight="1" x14ac:dyDescent="0.35">
      <c r="C2795" s="124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ht="18.75" customHeight="1" x14ac:dyDescent="0.35">
      <c r="C2796" s="124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ht="18.75" customHeight="1" x14ac:dyDescent="0.35">
      <c r="C2797" s="124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ht="18.75" customHeight="1" x14ac:dyDescent="0.35">
      <c r="C2798" s="124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ht="18.75" customHeight="1" x14ac:dyDescent="0.35">
      <c r="C2799" s="124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ht="18.75" customHeight="1" x14ac:dyDescent="0.35">
      <c r="C2800" s="124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ht="18.75" customHeight="1" x14ac:dyDescent="0.35">
      <c r="C2801" s="124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ht="18.75" customHeight="1" x14ac:dyDescent="0.35">
      <c r="C2802" s="124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ht="18.75" customHeight="1" x14ac:dyDescent="0.35">
      <c r="C2803" s="124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ht="18.75" customHeight="1" x14ac:dyDescent="0.35">
      <c r="C2804" s="124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ht="18.75" customHeight="1" x14ac:dyDescent="0.35">
      <c r="C2805" s="124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ht="18.75" customHeight="1" x14ac:dyDescent="0.35">
      <c r="C2806" s="124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ht="18.75" customHeight="1" x14ac:dyDescent="0.35">
      <c r="C2807" s="124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ht="18.75" customHeight="1" x14ac:dyDescent="0.35">
      <c r="C2808" s="124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ht="18.75" customHeight="1" x14ac:dyDescent="0.35">
      <c r="C2809" s="124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ht="18.75" customHeight="1" x14ac:dyDescent="0.35">
      <c r="C2810" s="124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ht="18.75" customHeight="1" x14ac:dyDescent="0.35">
      <c r="C2811" s="124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ht="18.75" customHeight="1" x14ac:dyDescent="0.35">
      <c r="C2812" s="124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ht="18.75" customHeight="1" x14ac:dyDescent="0.35">
      <c r="C2813" s="124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ht="18.75" customHeight="1" x14ac:dyDescent="0.35">
      <c r="C2814" s="124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ht="18.75" customHeight="1" x14ac:dyDescent="0.35">
      <c r="C2815" s="124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ht="18.75" customHeight="1" x14ac:dyDescent="0.35">
      <c r="C2816" s="124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ht="18.75" customHeight="1" x14ac:dyDescent="0.35">
      <c r="C2817" s="124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ht="18.75" customHeight="1" x14ac:dyDescent="0.35">
      <c r="C2818" s="124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ht="18.75" customHeight="1" x14ac:dyDescent="0.35">
      <c r="C2819" s="124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ht="18.75" customHeight="1" x14ac:dyDescent="0.35">
      <c r="C2820" s="124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ht="18.75" customHeight="1" x14ac:dyDescent="0.35">
      <c r="C2821" s="124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ht="18.75" customHeight="1" x14ac:dyDescent="0.35">
      <c r="C2822" s="124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ht="18.75" customHeight="1" x14ac:dyDescent="0.35">
      <c r="C2823" s="124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ht="18.75" customHeight="1" x14ac:dyDescent="0.35">
      <c r="C2824" s="124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ht="18.75" customHeight="1" x14ac:dyDescent="0.35">
      <c r="C2825" s="124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ht="18.75" customHeight="1" x14ac:dyDescent="0.35">
      <c r="C2826" s="124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ht="18.75" customHeight="1" x14ac:dyDescent="0.35">
      <c r="C2827" s="124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ht="18.75" customHeight="1" x14ac:dyDescent="0.35">
      <c r="C2828" s="124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ht="18.75" customHeight="1" x14ac:dyDescent="0.35">
      <c r="C2829" s="124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ht="18.75" customHeight="1" x14ac:dyDescent="0.35">
      <c r="C2830" s="124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ht="18.75" customHeight="1" x14ac:dyDescent="0.35">
      <c r="C2831" s="124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ht="18.75" customHeight="1" x14ac:dyDescent="0.35">
      <c r="C2832" s="124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ht="18.75" customHeight="1" x14ac:dyDescent="0.35">
      <c r="C2833" s="124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ht="18.75" customHeight="1" x14ac:dyDescent="0.35">
      <c r="C2834" s="124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ht="18.75" customHeight="1" x14ac:dyDescent="0.35">
      <c r="C2835" s="124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ht="18.75" customHeight="1" x14ac:dyDescent="0.35">
      <c r="C2836" s="124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ht="18.75" customHeight="1" x14ac:dyDescent="0.35">
      <c r="C2837" s="124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ht="18.75" customHeight="1" x14ac:dyDescent="0.35">
      <c r="C2838" s="124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ht="18.75" customHeight="1" x14ac:dyDescent="0.35">
      <c r="C2839" s="124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ht="18.75" customHeight="1" x14ac:dyDescent="0.35">
      <c r="C2840" s="124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ht="18.75" customHeight="1" x14ac:dyDescent="0.35">
      <c r="C2841" s="124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ht="18.75" customHeight="1" x14ac:dyDescent="0.35">
      <c r="C2842" s="124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ht="18.75" customHeight="1" x14ac:dyDescent="0.35">
      <c r="C2843" s="124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ht="18.75" customHeight="1" x14ac:dyDescent="0.35">
      <c r="C2844" s="124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ht="18.75" customHeight="1" x14ac:dyDescent="0.35">
      <c r="C2845" s="124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ht="18.75" customHeight="1" x14ac:dyDescent="0.35">
      <c r="C2846" s="124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ht="18.75" customHeight="1" x14ac:dyDescent="0.35">
      <c r="C2847" s="124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ht="18.75" customHeight="1" x14ac:dyDescent="0.35">
      <c r="C2848" s="124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ht="18.75" customHeight="1" x14ac:dyDescent="0.35">
      <c r="C2849" s="124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ht="18.75" customHeight="1" x14ac:dyDescent="0.35">
      <c r="C2850" s="124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ht="18.75" customHeight="1" x14ac:dyDescent="0.35">
      <c r="C2851" s="124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ht="18.75" customHeight="1" x14ac:dyDescent="0.35">
      <c r="C2852" s="124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ht="18.75" customHeight="1" x14ac:dyDescent="0.35">
      <c r="C2853" s="124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ht="18.75" customHeight="1" x14ac:dyDescent="0.35">
      <c r="C2854" s="124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ht="18.75" customHeight="1" x14ac:dyDescent="0.35">
      <c r="C2855" s="124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ht="18.75" customHeight="1" x14ac:dyDescent="0.35">
      <c r="C2856" s="124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ht="18.75" customHeight="1" x14ac:dyDescent="0.35">
      <c r="C2857" s="124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ht="18.75" customHeight="1" x14ac:dyDescent="0.35">
      <c r="C2858" s="124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ht="18.75" customHeight="1" x14ac:dyDescent="0.35">
      <c r="C2859" s="124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ht="18.75" customHeight="1" x14ac:dyDescent="0.35">
      <c r="C2860" s="124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ht="18.75" customHeight="1" x14ac:dyDescent="0.35">
      <c r="C2861" s="124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ht="18.75" customHeight="1" x14ac:dyDescent="0.35">
      <c r="C2862" s="124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ht="18.75" customHeight="1" x14ac:dyDescent="0.35">
      <c r="C2863" s="124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ht="18.75" customHeight="1" x14ac:dyDescent="0.35">
      <c r="C2864" s="124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ht="18.75" customHeight="1" x14ac:dyDescent="0.35">
      <c r="C2865" s="124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ht="18.75" customHeight="1" x14ac:dyDescent="0.35">
      <c r="C2866" s="124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ht="18.75" customHeight="1" x14ac:dyDescent="0.35">
      <c r="C2867" s="124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ht="18.75" customHeight="1" x14ac:dyDescent="0.35">
      <c r="C2868" s="124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ht="18.75" customHeight="1" x14ac:dyDescent="0.35">
      <c r="C2869" s="124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ht="18.75" customHeight="1" x14ac:dyDescent="0.35">
      <c r="C2870" s="124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ht="18.75" customHeight="1" x14ac:dyDescent="0.35">
      <c r="C2871" s="124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ht="18.75" customHeight="1" x14ac:dyDescent="0.35">
      <c r="C2872" s="124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ht="18.75" customHeight="1" x14ac:dyDescent="0.35">
      <c r="C2873" s="124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ht="18.75" customHeight="1" x14ac:dyDescent="0.35">
      <c r="C2874" s="124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ht="18.75" customHeight="1" x14ac:dyDescent="0.35">
      <c r="C2875" s="124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ht="18.75" customHeight="1" x14ac:dyDescent="0.35">
      <c r="C2876" s="124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ht="18.75" customHeight="1" x14ac:dyDescent="0.35">
      <c r="C2877" s="124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ht="18.75" customHeight="1" x14ac:dyDescent="0.35">
      <c r="C2878" s="124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ht="18.75" customHeight="1" x14ac:dyDescent="0.35">
      <c r="C2879" s="124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ht="18.75" customHeight="1" x14ac:dyDescent="0.35">
      <c r="C2880" s="124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ht="18.75" customHeight="1" x14ac:dyDescent="0.35">
      <c r="C2881" s="124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ht="18.75" customHeight="1" x14ac:dyDescent="0.35">
      <c r="C2882" s="124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ht="18.75" customHeight="1" x14ac:dyDescent="0.35">
      <c r="C2883" s="124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ht="18.75" customHeight="1" x14ac:dyDescent="0.35">
      <c r="C2884" s="124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ht="18.75" customHeight="1" x14ac:dyDescent="0.35">
      <c r="C2885" s="124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ht="18.75" customHeight="1" x14ac:dyDescent="0.35">
      <c r="C2886" s="124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ht="18.75" customHeight="1" x14ac:dyDescent="0.35">
      <c r="C2887" s="124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ht="18.75" customHeight="1" x14ac:dyDescent="0.35">
      <c r="C2888" s="124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ht="18.75" customHeight="1" x14ac:dyDescent="0.35">
      <c r="C2889" s="124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ht="18.75" customHeight="1" x14ac:dyDescent="0.35">
      <c r="C2890" s="124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ht="18.75" customHeight="1" x14ac:dyDescent="0.35">
      <c r="C2891" s="124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ht="18.75" customHeight="1" x14ac:dyDescent="0.35">
      <c r="C2892" s="124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ht="18.75" customHeight="1" x14ac:dyDescent="0.35">
      <c r="C2893" s="124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ht="18.75" customHeight="1" x14ac:dyDescent="0.35">
      <c r="C2894" s="124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ht="18.75" customHeight="1" x14ac:dyDescent="0.35">
      <c r="C2895" s="124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ht="18.75" customHeight="1" x14ac:dyDescent="0.35">
      <c r="C2896" s="124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ht="18.75" customHeight="1" x14ac:dyDescent="0.35">
      <c r="C2897" s="124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ht="18.75" customHeight="1" x14ac:dyDescent="0.35">
      <c r="C2898" s="124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ht="18.75" customHeight="1" x14ac:dyDescent="0.35">
      <c r="C2899" s="124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ht="18.75" customHeight="1" x14ac:dyDescent="0.35">
      <c r="C2900" s="124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ht="18.75" customHeight="1" x14ac:dyDescent="0.35">
      <c r="C2901" s="124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ht="18.75" customHeight="1" x14ac:dyDescent="0.35">
      <c r="C2902" s="124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ht="18.75" customHeight="1" x14ac:dyDescent="0.35">
      <c r="C2903" s="124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ht="18.75" customHeight="1" x14ac:dyDescent="0.35">
      <c r="C2904" s="124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ht="18.75" customHeight="1" x14ac:dyDescent="0.35">
      <c r="C2905" s="124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ht="18.75" customHeight="1" x14ac:dyDescent="0.35">
      <c r="C2906" s="124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ht="18.75" customHeight="1" x14ac:dyDescent="0.35">
      <c r="C2907" s="124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ht="18.75" customHeight="1" x14ac:dyDescent="0.35">
      <c r="C2908" s="124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ht="18.75" customHeight="1" x14ac:dyDescent="0.35">
      <c r="C2909" s="124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ht="18.75" customHeight="1" x14ac:dyDescent="0.35">
      <c r="C2910" s="124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ht="18.75" customHeight="1" x14ac:dyDescent="0.35">
      <c r="C2911" s="124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ht="18.75" customHeight="1" x14ac:dyDescent="0.35">
      <c r="C2912" s="124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ht="18.75" customHeight="1" x14ac:dyDescent="0.35">
      <c r="C2913" s="124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ht="18.75" customHeight="1" x14ac:dyDescent="0.35">
      <c r="C2914" s="124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ht="18.75" customHeight="1" x14ac:dyDescent="0.35">
      <c r="C2915" s="124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ht="18.75" customHeight="1" x14ac:dyDescent="0.35">
      <c r="C2916" s="124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ht="18.75" customHeight="1" x14ac:dyDescent="0.35">
      <c r="C2917" s="124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ht="18.75" customHeight="1" x14ac:dyDescent="0.35">
      <c r="C2918" s="124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ht="18.75" customHeight="1" x14ac:dyDescent="0.35">
      <c r="C2919" s="124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ht="18.75" customHeight="1" x14ac:dyDescent="0.35">
      <c r="C2920" s="124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ht="18.75" customHeight="1" x14ac:dyDescent="0.35">
      <c r="C2921" s="124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ht="18.75" customHeight="1" x14ac:dyDescent="0.35">
      <c r="C2922" s="124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ht="18.75" customHeight="1" x14ac:dyDescent="0.35">
      <c r="C2923" s="124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ht="18.75" customHeight="1" x14ac:dyDescent="0.35">
      <c r="C2924" s="124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ht="18.75" customHeight="1" x14ac:dyDescent="0.35">
      <c r="C2925" s="124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ht="18.75" customHeight="1" x14ac:dyDescent="0.35">
      <c r="C2926" s="124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ht="18.75" customHeight="1" x14ac:dyDescent="0.35">
      <c r="C2927" s="124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ht="18.75" customHeight="1" x14ac:dyDescent="0.35">
      <c r="C2928" s="124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ht="18.75" customHeight="1" x14ac:dyDescent="0.35">
      <c r="C2929" s="124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ht="18.75" customHeight="1" x14ac:dyDescent="0.35">
      <c r="C2930" s="124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ht="18.75" customHeight="1" x14ac:dyDescent="0.35">
      <c r="C2931" s="124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ht="18.75" customHeight="1" x14ac:dyDescent="0.35">
      <c r="C2932" s="124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ht="18.75" customHeight="1" x14ac:dyDescent="0.35">
      <c r="C2933" s="124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ht="18.75" customHeight="1" x14ac:dyDescent="0.35">
      <c r="C2934" s="124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ht="18.75" customHeight="1" x14ac:dyDescent="0.35">
      <c r="C2935" s="124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ht="18.75" customHeight="1" x14ac:dyDescent="0.35">
      <c r="C2936" s="124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ht="18.75" customHeight="1" x14ac:dyDescent="0.35">
      <c r="C2937" s="124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ht="18.75" customHeight="1" x14ac:dyDescent="0.35">
      <c r="C2938" s="124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ht="18.75" customHeight="1" x14ac:dyDescent="0.35">
      <c r="C2939" s="124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ht="18.75" customHeight="1" x14ac:dyDescent="0.35">
      <c r="C2940" s="124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ht="18.75" customHeight="1" x14ac:dyDescent="0.35">
      <c r="C2941" s="124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ht="18.75" customHeight="1" x14ac:dyDescent="0.35">
      <c r="C2942" s="124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ht="18.75" customHeight="1" x14ac:dyDescent="0.35">
      <c r="C2943" s="124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ht="18.75" customHeight="1" x14ac:dyDescent="0.35">
      <c r="C2944" s="124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ht="18.75" customHeight="1" x14ac:dyDescent="0.35">
      <c r="C2945" s="124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ht="18.75" customHeight="1" x14ac:dyDescent="0.35">
      <c r="C2946" s="124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ht="18.75" customHeight="1" x14ac:dyDescent="0.35">
      <c r="C2947" s="124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ht="18.75" customHeight="1" x14ac:dyDescent="0.35">
      <c r="C2948" s="124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ht="18.75" customHeight="1" x14ac:dyDescent="0.35">
      <c r="C2949" s="124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ht="18.75" customHeight="1" x14ac:dyDescent="0.35">
      <c r="C2950" s="124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ht="18.75" customHeight="1" x14ac:dyDescent="0.35">
      <c r="C2951" s="124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ht="18.75" customHeight="1" x14ac:dyDescent="0.35">
      <c r="C2952" s="124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ht="18.75" customHeight="1" x14ac:dyDescent="0.35">
      <c r="C2953" s="124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ht="18.75" customHeight="1" x14ac:dyDescent="0.35">
      <c r="C2954" s="124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ht="18.75" customHeight="1" x14ac:dyDescent="0.35">
      <c r="C2955" s="124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ht="18.75" customHeight="1" x14ac:dyDescent="0.35">
      <c r="C2956" s="124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ht="18.75" customHeight="1" x14ac:dyDescent="0.35">
      <c r="C2957" s="124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ht="18.75" customHeight="1" x14ac:dyDescent="0.35">
      <c r="C2958" s="124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ht="18.75" customHeight="1" x14ac:dyDescent="0.35">
      <c r="C2959" s="124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ht="18.75" customHeight="1" x14ac:dyDescent="0.35">
      <c r="C2960" s="124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ht="18.75" customHeight="1" x14ac:dyDescent="0.35">
      <c r="C2961" s="124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ht="18.75" customHeight="1" x14ac:dyDescent="0.35">
      <c r="C2962" s="124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ht="18.75" customHeight="1" x14ac:dyDescent="0.35">
      <c r="C2963" s="124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ht="18.75" customHeight="1" x14ac:dyDescent="0.35">
      <c r="C2964" s="124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ht="18.75" customHeight="1" x14ac:dyDescent="0.35">
      <c r="C2965" s="124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ht="18.75" customHeight="1" x14ac:dyDescent="0.35">
      <c r="C2966" s="124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ht="18.75" customHeight="1" x14ac:dyDescent="0.35">
      <c r="C2967" s="124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ht="18.75" customHeight="1" x14ac:dyDescent="0.35">
      <c r="C2968" s="124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ht="18.75" customHeight="1" x14ac:dyDescent="0.35">
      <c r="C2969" s="124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ht="18.75" customHeight="1" x14ac:dyDescent="0.35">
      <c r="C2970" s="124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ht="18.75" customHeight="1" x14ac:dyDescent="0.35">
      <c r="C2971" s="124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ht="18.75" customHeight="1" x14ac:dyDescent="0.35">
      <c r="C2972" s="124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ht="18.75" customHeight="1" x14ac:dyDescent="0.35">
      <c r="C2973" s="124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ht="18.75" customHeight="1" x14ac:dyDescent="0.35">
      <c r="C2974" s="124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ht="18.75" customHeight="1" x14ac:dyDescent="0.35">
      <c r="C2975" s="124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ht="18.75" customHeight="1" x14ac:dyDescent="0.35">
      <c r="C2976" s="124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ht="18.75" customHeight="1" x14ac:dyDescent="0.35">
      <c r="C2977" s="124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ht="18.75" customHeight="1" x14ac:dyDescent="0.35">
      <c r="C2978" s="124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ht="18.75" customHeight="1" x14ac:dyDescent="0.35">
      <c r="C2979" s="124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ht="18.75" customHeight="1" x14ac:dyDescent="0.35">
      <c r="C2980" s="124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ht="18.75" customHeight="1" x14ac:dyDescent="0.35">
      <c r="C2981" s="124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ht="18.75" customHeight="1" x14ac:dyDescent="0.35">
      <c r="C2982" s="124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ht="18.75" customHeight="1" x14ac:dyDescent="0.35">
      <c r="C2983" s="124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ht="18.75" customHeight="1" x14ac:dyDescent="0.35">
      <c r="C2984" s="124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ht="18.75" customHeight="1" x14ac:dyDescent="0.35">
      <c r="C2985" s="124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ht="18.75" customHeight="1" x14ac:dyDescent="0.35">
      <c r="C2986" s="124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ht="18.75" customHeight="1" x14ac:dyDescent="0.35">
      <c r="C2987" s="124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ht="18.75" customHeight="1" x14ac:dyDescent="0.35">
      <c r="C2988" s="124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ht="18.75" customHeight="1" x14ac:dyDescent="0.35">
      <c r="C2989" s="124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ht="18.75" customHeight="1" x14ac:dyDescent="0.35">
      <c r="C2990" s="124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ht="18.75" customHeight="1" x14ac:dyDescent="0.35">
      <c r="C2991" s="124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ht="18.75" customHeight="1" x14ac:dyDescent="0.35">
      <c r="C2992" s="124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ht="18.75" customHeight="1" x14ac:dyDescent="0.35">
      <c r="C2993" s="124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ht="18.75" customHeight="1" x14ac:dyDescent="0.35">
      <c r="C2994" s="124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ht="18.75" customHeight="1" x14ac:dyDescent="0.35">
      <c r="C2995" s="124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ht="18.75" customHeight="1" x14ac:dyDescent="0.35">
      <c r="C2996" s="124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ht="18.75" customHeight="1" x14ac:dyDescent="0.35">
      <c r="C2997" s="124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ht="18.75" customHeight="1" x14ac:dyDescent="0.35">
      <c r="C2998" s="124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ht="18.75" customHeight="1" x14ac:dyDescent="0.35">
      <c r="C2999" s="124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ht="18.75" customHeight="1" x14ac:dyDescent="0.35">
      <c r="C3000" s="124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112" bestFit="1" customWidth="1"/>
    <col min="2" max="2" width="10.81640625" bestFit="1" customWidth="1"/>
    <col min="3" max="3" width="15.453125" style="125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10" width="13.54296875" bestFit="1" customWidth="1"/>
    <col min="11" max="11" width="10.81640625" style="112" bestFit="1" customWidth="1"/>
  </cols>
  <sheetData>
    <row r="1" spans="1:11" ht="18.75" customHeight="1" x14ac:dyDescent="0.35">
      <c r="A1" s="119" t="s">
        <v>1</v>
      </c>
      <c r="B1" s="120" t="s">
        <v>164</v>
      </c>
      <c r="C1" s="121" t="s">
        <v>165</v>
      </c>
      <c r="D1" s="120" t="s">
        <v>166</v>
      </c>
      <c r="E1" s="122" t="s">
        <v>167</v>
      </c>
      <c r="F1" s="122" t="s">
        <v>168</v>
      </c>
      <c r="G1" s="120" t="s">
        <v>3</v>
      </c>
      <c r="H1" s="120" t="s">
        <v>169</v>
      </c>
      <c r="I1" s="122" t="s">
        <v>4</v>
      </c>
      <c r="J1" s="122" t="s">
        <v>5</v>
      </c>
      <c r="K1" s="123" t="s">
        <v>170</v>
      </c>
    </row>
    <row r="2" spans="1:11" ht="18.75" customHeight="1" x14ac:dyDescent="0.35">
      <c r="A2" s="116">
        <v>2024</v>
      </c>
      <c r="B2" t="s">
        <v>171</v>
      </c>
      <c r="C2" s="124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106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172</v>
      </c>
      <c r="H2" t="s">
        <v>172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16">
        <v>0</v>
      </c>
    </row>
    <row r="3" spans="1:11" ht="18.75" customHeight="1" x14ac:dyDescent="0.35">
      <c r="A3" s="116">
        <v>2024</v>
      </c>
      <c r="B3" t="s">
        <v>171</v>
      </c>
      <c r="C3" s="124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104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172</v>
      </c>
      <c r="H3" t="s">
        <v>172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16">
        <v>0</v>
      </c>
    </row>
    <row r="4" spans="1:11" ht="18.75" customHeight="1" x14ac:dyDescent="0.35">
      <c r="A4" s="116">
        <v>2024</v>
      </c>
      <c r="B4" t="s">
        <v>171</v>
      </c>
      <c r="C4" s="124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102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172</v>
      </c>
      <c r="H4" t="s">
        <v>172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16">
        <v>0</v>
      </c>
    </row>
    <row r="5" spans="1:11" ht="18.75" customHeight="1" x14ac:dyDescent="0.35">
      <c r="A5" s="116">
        <v>2024</v>
      </c>
      <c r="B5" t="s">
        <v>171</v>
      </c>
      <c r="C5" s="124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103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172</v>
      </c>
      <c r="H5" t="s">
        <v>172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16">
        <v>0</v>
      </c>
    </row>
    <row r="6" spans="1:11" ht="18.75" customHeight="1" x14ac:dyDescent="0.35">
      <c r="A6" s="116">
        <v>2024</v>
      </c>
      <c r="B6" t="s">
        <v>171</v>
      </c>
      <c r="C6" s="124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105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172</v>
      </c>
      <c r="H6" t="s">
        <v>172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16">
        <v>0</v>
      </c>
    </row>
    <row r="7" spans="1:11" ht="18.75" customHeight="1" x14ac:dyDescent="0.35">
      <c r="A7" s="116">
        <v>2024</v>
      </c>
      <c r="B7" t="s">
        <v>171</v>
      </c>
      <c r="C7" s="124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173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172</v>
      </c>
      <c r="H7" t="s">
        <v>172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18">
        <v>0.90700000000000003</v>
      </c>
    </row>
    <row r="8" spans="1:11" ht="18.75" customHeight="1" x14ac:dyDescent="0.35">
      <c r="A8" s="116">
        <v>2024</v>
      </c>
      <c r="B8" t="s">
        <v>171</v>
      </c>
      <c r="C8" s="124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172</v>
      </c>
      <c r="H8" t="s">
        <v>172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16">
        <v>1</v>
      </c>
    </row>
    <row r="9" spans="1:11" ht="18.75" customHeight="1" x14ac:dyDescent="0.35">
      <c r="A9" s="116">
        <v>2024</v>
      </c>
      <c r="B9" t="s">
        <v>174</v>
      </c>
      <c r="C9" s="124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106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172</v>
      </c>
      <c r="H9" t="s">
        <v>172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16">
        <v>1</v>
      </c>
    </row>
    <row r="10" spans="1:11" ht="18.75" customHeight="1" x14ac:dyDescent="0.35">
      <c r="A10" s="116">
        <v>2024</v>
      </c>
      <c r="B10" t="s">
        <v>174</v>
      </c>
      <c r="C10" s="124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104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172</v>
      </c>
      <c r="H10" t="s">
        <v>172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16">
        <v>0</v>
      </c>
    </row>
    <row r="11" spans="1:11" ht="18.75" customHeight="1" x14ac:dyDescent="0.35">
      <c r="A11" s="116">
        <v>2024</v>
      </c>
      <c r="B11" t="s">
        <v>174</v>
      </c>
      <c r="C11" s="124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102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172</v>
      </c>
      <c r="H11" t="s">
        <v>172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16">
        <v>0</v>
      </c>
    </row>
    <row r="12" spans="1:11" ht="18.75" customHeight="1" x14ac:dyDescent="0.35">
      <c r="A12" s="116">
        <v>2024</v>
      </c>
      <c r="B12" t="s">
        <v>174</v>
      </c>
      <c r="C12" s="124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103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172</v>
      </c>
      <c r="H12" t="s">
        <v>172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16">
        <v>0</v>
      </c>
    </row>
    <row r="13" spans="1:11" ht="18.75" customHeight="1" x14ac:dyDescent="0.35">
      <c r="A13" s="116">
        <v>2024</v>
      </c>
      <c r="B13" t="s">
        <v>174</v>
      </c>
      <c r="C13" s="124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105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172</v>
      </c>
      <c r="H13" t="s">
        <v>172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16">
        <v>0</v>
      </c>
    </row>
    <row r="14" spans="1:11" ht="18.75" customHeight="1" x14ac:dyDescent="0.35">
      <c r="A14" s="116">
        <v>2024</v>
      </c>
      <c r="B14" t="s">
        <v>174</v>
      </c>
      <c r="C14" s="124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173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172</v>
      </c>
      <c r="H14" t="s">
        <v>172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18">
        <v>0.91859999999999997</v>
      </c>
    </row>
    <row r="15" spans="1:11" ht="18.75" customHeight="1" x14ac:dyDescent="0.35">
      <c r="A15" s="116">
        <v>2024</v>
      </c>
      <c r="B15" t="s">
        <v>174</v>
      </c>
      <c r="C15" s="124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161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172</v>
      </c>
      <c r="H15" t="s">
        <v>172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16">
        <v>15</v>
      </c>
    </row>
    <row r="16" spans="1:11" ht="18.75" customHeight="1" x14ac:dyDescent="0.35">
      <c r="A16" s="116">
        <v>2024</v>
      </c>
      <c r="B16" t="s">
        <v>175</v>
      </c>
      <c r="C16" s="124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106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172</v>
      </c>
      <c r="H16" t="s">
        <v>172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16">
        <v>2</v>
      </c>
    </row>
    <row r="17" spans="1:11" ht="18.75" customHeight="1" x14ac:dyDescent="0.35">
      <c r="A17" s="116">
        <v>2024</v>
      </c>
      <c r="B17" t="s">
        <v>175</v>
      </c>
      <c r="C17" s="124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104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172</v>
      </c>
      <c r="H17" t="s">
        <v>172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16">
        <v>0</v>
      </c>
    </row>
    <row r="18" spans="1:11" ht="18.75" customHeight="1" x14ac:dyDescent="0.35">
      <c r="A18" s="116">
        <v>2024</v>
      </c>
      <c r="B18" t="s">
        <v>175</v>
      </c>
      <c r="C18" s="124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102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172</v>
      </c>
      <c r="H18" t="s">
        <v>172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16">
        <v>0</v>
      </c>
    </row>
    <row r="19" spans="1:11" ht="18.75" customHeight="1" x14ac:dyDescent="0.35">
      <c r="A19" s="116">
        <v>2024</v>
      </c>
      <c r="B19" t="s">
        <v>175</v>
      </c>
      <c r="C19" s="124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103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172</v>
      </c>
      <c r="H19" t="s">
        <v>172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16">
        <v>0</v>
      </c>
    </row>
    <row r="20" spans="1:11" ht="18.75" customHeight="1" x14ac:dyDescent="0.35">
      <c r="A20" s="116">
        <v>2024</v>
      </c>
      <c r="B20" t="s">
        <v>175</v>
      </c>
      <c r="C20" s="124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105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172</v>
      </c>
      <c r="H20" t="s">
        <v>172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16">
        <v>0</v>
      </c>
    </row>
    <row r="21" spans="1:11" ht="18.75" customHeight="1" x14ac:dyDescent="0.35">
      <c r="A21" s="116">
        <v>2024</v>
      </c>
      <c r="B21" t="s">
        <v>175</v>
      </c>
      <c r="C21" s="124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173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172</v>
      </c>
      <c r="H21" t="s">
        <v>172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18">
        <v>0.90910000000000002</v>
      </c>
    </row>
    <row r="22" spans="1:11" ht="18.75" customHeight="1" x14ac:dyDescent="0.35">
      <c r="A22" s="116">
        <v>2024</v>
      </c>
      <c r="B22" t="s">
        <v>175</v>
      </c>
      <c r="C22" s="124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161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172</v>
      </c>
      <c r="H22" t="s">
        <v>172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16">
        <v>8</v>
      </c>
    </row>
    <row r="23" spans="1:11" ht="18.75" customHeight="1" x14ac:dyDescent="0.35">
      <c r="A23" s="116">
        <v>2024</v>
      </c>
      <c r="B23" t="s">
        <v>176</v>
      </c>
      <c r="C23" s="124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106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172</v>
      </c>
      <c r="H23" t="s">
        <v>172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16">
        <v>2</v>
      </c>
    </row>
    <row r="24" spans="1:11" ht="18.75" customHeight="1" x14ac:dyDescent="0.35">
      <c r="A24" s="116">
        <v>2024</v>
      </c>
      <c r="B24" t="s">
        <v>176</v>
      </c>
      <c r="C24" s="124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104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172</v>
      </c>
      <c r="H24" t="s">
        <v>172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16">
        <v>0</v>
      </c>
    </row>
    <row r="25" spans="1:11" ht="18.75" customHeight="1" x14ac:dyDescent="0.35">
      <c r="A25" s="116">
        <v>2024</v>
      </c>
      <c r="B25" t="s">
        <v>176</v>
      </c>
      <c r="C25" s="124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102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172</v>
      </c>
      <c r="H25" t="s">
        <v>172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16">
        <v>0</v>
      </c>
    </row>
    <row r="26" spans="1:11" ht="18.75" customHeight="1" x14ac:dyDescent="0.35">
      <c r="A26" s="116">
        <v>2024</v>
      </c>
      <c r="B26" t="s">
        <v>176</v>
      </c>
      <c r="C26" s="124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103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172</v>
      </c>
      <c r="H26" t="s">
        <v>172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16">
        <v>0</v>
      </c>
    </row>
    <row r="27" spans="1:11" ht="18.75" customHeight="1" x14ac:dyDescent="0.35">
      <c r="A27" s="116">
        <v>2024</v>
      </c>
      <c r="B27" t="s">
        <v>176</v>
      </c>
      <c r="C27" s="124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105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172</v>
      </c>
      <c r="H27" t="s">
        <v>172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16">
        <v>0</v>
      </c>
    </row>
    <row r="28" spans="1:11" ht="18.75" customHeight="1" x14ac:dyDescent="0.35">
      <c r="A28" s="116">
        <v>2024</v>
      </c>
      <c r="B28" t="s">
        <v>176</v>
      </c>
      <c r="C28" s="124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173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172</v>
      </c>
      <c r="H28" t="s">
        <v>172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18">
        <v>0.89949999999999997</v>
      </c>
    </row>
    <row r="29" spans="1:11" ht="18.75" customHeight="1" x14ac:dyDescent="0.35">
      <c r="A29" s="116">
        <v>2024</v>
      </c>
      <c r="B29" t="s">
        <v>176</v>
      </c>
      <c r="C29" s="124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161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172</v>
      </c>
      <c r="H29" t="s">
        <v>172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16">
        <v>8</v>
      </c>
    </row>
    <row r="30" spans="1:11" ht="18.75" customHeight="1" x14ac:dyDescent="0.35">
      <c r="A30" s="116">
        <v>2024</v>
      </c>
      <c r="B30" t="s">
        <v>177</v>
      </c>
      <c r="C30" s="124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106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172</v>
      </c>
      <c r="H30" t="s">
        <v>172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16">
        <v>2</v>
      </c>
    </row>
    <row r="31" spans="1:11" ht="18.75" customHeight="1" x14ac:dyDescent="0.35">
      <c r="A31" s="116">
        <v>2024</v>
      </c>
      <c r="B31" t="s">
        <v>177</v>
      </c>
      <c r="C31" s="124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104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172</v>
      </c>
      <c r="H31" t="s">
        <v>172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16">
        <v>0</v>
      </c>
    </row>
    <row r="32" spans="1:11" ht="18.75" customHeight="1" x14ac:dyDescent="0.35">
      <c r="A32" s="116">
        <v>2024</v>
      </c>
      <c r="B32" t="s">
        <v>177</v>
      </c>
      <c r="C32" s="124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102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172</v>
      </c>
      <c r="H32" t="s">
        <v>172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16">
        <v>0</v>
      </c>
    </row>
    <row r="33" spans="1:11" ht="18.75" customHeight="1" x14ac:dyDescent="0.35">
      <c r="A33" s="116">
        <v>2024</v>
      </c>
      <c r="B33" t="s">
        <v>177</v>
      </c>
      <c r="C33" s="124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103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172</v>
      </c>
      <c r="H33" t="s">
        <v>172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16">
        <v>0</v>
      </c>
    </row>
    <row r="34" spans="1:11" ht="18.75" customHeight="1" x14ac:dyDescent="0.35">
      <c r="A34" s="116">
        <v>2024</v>
      </c>
      <c r="B34" t="s">
        <v>177</v>
      </c>
      <c r="C34" s="124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105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172</v>
      </c>
      <c r="H34" t="s">
        <v>172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16">
        <v>0</v>
      </c>
    </row>
    <row r="35" spans="1:11" ht="18.75" customHeight="1" x14ac:dyDescent="0.35">
      <c r="A35" s="116">
        <v>2024</v>
      </c>
      <c r="B35" t="s">
        <v>177</v>
      </c>
      <c r="C35" s="124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173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172</v>
      </c>
      <c r="H35" t="s">
        <v>172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18">
        <v>0.90180000000000005</v>
      </c>
    </row>
    <row r="36" spans="1:11" ht="18.75" customHeight="1" x14ac:dyDescent="0.35">
      <c r="A36" s="116">
        <v>2024</v>
      </c>
      <c r="B36" t="s">
        <v>177</v>
      </c>
      <c r="C36" s="124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161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172</v>
      </c>
      <c r="H36" t="s">
        <v>172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16">
        <v>5</v>
      </c>
    </row>
    <row r="37" spans="1:11" ht="18.75" customHeight="1" x14ac:dyDescent="0.35">
      <c r="A37" s="116">
        <v>2024</v>
      </c>
      <c r="B37" t="s">
        <v>178</v>
      </c>
      <c r="C37" s="124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106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172</v>
      </c>
      <c r="H37" t="s">
        <v>172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16">
        <v>4</v>
      </c>
    </row>
    <row r="38" spans="1:11" ht="18.75" customHeight="1" x14ac:dyDescent="0.35">
      <c r="A38" s="116">
        <v>2024</v>
      </c>
      <c r="B38" t="s">
        <v>178</v>
      </c>
      <c r="C38" s="124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104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172</v>
      </c>
      <c r="H38" t="s">
        <v>172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16">
        <v>0</v>
      </c>
    </row>
    <row r="39" spans="1:11" ht="18.75" customHeight="1" x14ac:dyDescent="0.35">
      <c r="A39" s="116">
        <v>2024</v>
      </c>
      <c r="B39" t="s">
        <v>178</v>
      </c>
      <c r="C39" s="124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102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172</v>
      </c>
      <c r="H39" t="s">
        <v>172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16">
        <v>0</v>
      </c>
    </row>
    <row r="40" spans="1:11" ht="18.75" customHeight="1" x14ac:dyDescent="0.35">
      <c r="A40" s="116">
        <v>2024</v>
      </c>
      <c r="B40" t="s">
        <v>178</v>
      </c>
      <c r="C40" s="124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103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172</v>
      </c>
      <c r="H40" t="s">
        <v>172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16">
        <v>0</v>
      </c>
    </row>
    <row r="41" spans="1:11" ht="18.75" customHeight="1" x14ac:dyDescent="0.35">
      <c r="A41" s="116">
        <v>2024</v>
      </c>
      <c r="B41" t="s">
        <v>178</v>
      </c>
      <c r="C41" s="124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105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172</v>
      </c>
      <c r="H41" t="s">
        <v>172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16">
        <v>0</v>
      </c>
    </row>
    <row r="42" spans="1:11" ht="18.75" customHeight="1" x14ac:dyDescent="0.35">
      <c r="A42" s="116">
        <v>2024</v>
      </c>
      <c r="B42" t="s">
        <v>178</v>
      </c>
      <c r="C42" s="124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173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172</v>
      </c>
      <c r="H42" t="s">
        <v>172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18">
        <v>0.9042</v>
      </c>
    </row>
    <row r="43" spans="1:11" ht="18.75" customHeight="1" x14ac:dyDescent="0.35">
      <c r="A43" s="116">
        <v>2024</v>
      </c>
      <c r="B43" t="s">
        <v>178</v>
      </c>
      <c r="C43" s="124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161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172</v>
      </c>
      <c r="H43" t="s">
        <v>172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16">
        <v>8</v>
      </c>
    </row>
    <row r="44" spans="1:11" ht="18.75" customHeight="1" x14ac:dyDescent="0.35">
      <c r="A44" s="116">
        <v>2024</v>
      </c>
      <c r="B44" t="s">
        <v>179</v>
      </c>
      <c r="C44" s="124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106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172</v>
      </c>
      <c r="H44" t="s">
        <v>172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16">
        <v>5</v>
      </c>
    </row>
    <row r="45" spans="1:11" ht="18.75" customHeight="1" x14ac:dyDescent="0.35">
      <c r="A45" s="116">
        <v>2024</v>
      </c>
      <c r="B45" t="s">
        <v>179</v>
      </c>
      <c r="C45" s="124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104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172</v>
      </c>
      <c r="H45" t="s">
        <v>172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16">
        <v>0</v>
      </c>
    </row>
    <row r="46" spans="1:11" ht="18.75" customHeight="1" x14ac:dyDescent="0.35">
      <c r="A46" s="116">
        <v>2024</v>
      </c>
      <c r="B46" t="s">
        <v>179</v>
      </c>
      <c r="C46" s="124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102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172</v>
      </c>
      <c r="H46" t="s">
        <v>172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16">
        <v>0</v>
      </c>
    </row>
    <row r="47" spans="1:11" ht="18.75" customHeight="1" x14ac:dyDescent="0.35">
      <c r="A47" s="116">
        <v>2024</v>
      </c>
      <c r="B47" t="s">
        <v>179</v>
      </c>
      <c r="C47" s="124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103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172</v>
      </c>
      <c r="H47" t="s">
        <v>172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16">
        <v>0</v>
      </c>
    </row>
    <row r="48" spans="1:11" ht="18.75" customHeight="1" x14ac:dyDescent="0.35">
      <c r="A48" s="116">
        <v>2024</v>
      </c>
      <c r="B48" t="s">
        <v>179</v>
      </c>
      <c r="C48" s="124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105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172</v>
      </c>
      <c r="H48" t="s">
        <v>172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16">
        <v>0</v>
      </c>
    </row>
    <row r="49" spans="1:11" ht="18.75" customHeight="1" x14ac:dyDescent="0.35">
      <c r="A49" s="116">
        <v>2024</v>
      </c>
      <c r="B49" t="s">
        <v>179</v>
      </c>
      <c r="C49" s="124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173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172</v>
      </c>
      <c r="H49" t="s">
        <v>172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18">
        <v>0.90300000000000002</v>
      </c>
    </row>
    <row r="50" spans="1:11" ht="18.75" customHeight="1" x14ac:dyDescent="0.35">
      <c r="A50" s="116">
        <v>2024</v>
      </c>
      <c r="B50" t="s">
        <v>179</v>
      </c>
      <c r="C50" s="124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161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172</v>
      </c>
      <c r="H50" t="s">
        <v>172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16">
        <v>12</v>
      </c>
    </row>
    <row r="51" spans="1:11" ht="18.75" customHeight="1" x14ac:dyDescent="0.35">
      <c r="A51" s="116">
        <v>2024</v>
      </c>
      <c r="B51" t="s">
        <v>180</v>
      </c>
      <c r="C51" s="124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106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172</v>
      </c>
      <c r="H51" t="s">
        <v>172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16">
        <v>1</v>
      </c>
    </row>
    <row r="52" spans="1:11" ht="18.75" customHeight="1" x14ac:dyDescent="0.35">
      <c r="A52" s="116">
        <v>2024</v>
      </c>
      <c r="B52" t="s">
        <v>180</v>
      </c>
      <c r="C52" s="124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104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172</v>
      </c>
      <c r="H52" t="s">
        <v>172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16">
        <v>0</v>
      </c>
    </row>
    <row r="53" spans="1:11" ht="18.75" customHeight="1" x14ac:dyDescent="0.35">
      <c r="A53" s="116">
        <v>2024</v>
      </c>
      <c r="B53" t="s">
        <v>180</v>
      </c>
      <c r="C53" s="124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102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172</v>
      </c>
      <c r="H53" t="s">
        <v>172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16">
        <v>0</v>
      </c>
    </row>
    <row r="54" spans="1:11" ht="18.75" customHeight="1" x14ac:dyDescent="0.35">
      <c r="A54" s="116">
        <v>2024</v>
      </c>
      <c r="B54" t="s">
        <v>180</v>
      </c>
      <c r="C54" s="124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103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172</v>
      </c>
      <c r="H54" t="s">
        <v>172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16">
        <v>0</v>
      </c>
    </row>
    <row r="55" spans="1:11" ht="18.75" customHeight="1" x14ac:dyDescent="0.35">
      <c r="A55" s="116">
        <v>2024</v>
      </c>
      <c r="B55" t="s">
        <v>180</v>
      </c>
      <c r="C55" s="124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105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172</v>
      </c>
      <c r="H55" t="s">
        <v>172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16">
        <v>0</v>
      </c>
    </row>
    <row r="56" spans="1:11" ht="18.75" customHeight="1" x14ac:dyDescent="0.35">
      <c r="A56" s="116">
        <v>2024</v>
      </c>
      <c r="B56" t="s">
        <v>180</v>
      </c>
      <c r="C56" s="124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173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172</v>
      </c>
      <c r="H56" t="s">
        <v>172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18">
        <v>0.89570000000000005</v>
      </c>
    </row>
    <row r="57" spans="1:11" ht="18.75" customHeight="1" x14ac:dyDescent="0.35">
      <c r="A57" s="116">
        <v>2024</v>
      </c>
      <c r="B57" t="s">
        <v>180</v>
      </c>
      <c r="C57" s="124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161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172</v>
      </c>
      <c r="H57" t="s">
        <v>172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16">
        <v>4</v>
      </c>
    </row>
    <row r="58" spans="1:11" ht="18.75" customHeight="1" x14ac:dyDescent="0.35">
      <c r="A58" s="116">
        <v>2024</v>
      </c>
      <c r="B58" t="s">
        <v>181</v>
      </c>
      <c r="C58" s="124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106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172</v>
      </c>
      <c r="H58" t="s">
        <v>172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16">
        <v>1</v>
      </c>
    </row>
    <row r="59" spans="1:11" ht="18.75" customHeight="1" x14ac:dyDescent="0.35">
      <c r="A59" s="116">
        <v>2024</v>
      </c>
      <c r="B59" t="s">
        <v>181</v>
      </c>
      <c r="C59" s="124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104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172</v>
      </c>
      <c r="H59" t="s">
        <v>172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16">
        <v>1</v>
      </c>
    </row>
    <row r="60" spans="1:11" ht="18.75" customHeight="1" x14ac:dyDescent="0.35">
      <c r="A60" s="116">
        <v>2024</v>
      </c>
      <c r="B60" t="s">
        <v>181</v>
      </c>
      <c r="C60" s="124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102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172</v>
      </c>
      <c r="H60" t="s">
        <v>172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16">
        <v>1</v>
      </c>
    </row>
    <row r="61" spans="1:11" ht="18.75" customHeight="1" x14ac:dyDescent="0.35">
      <c r="A61" s="116">
        <v>2024</v>
      </c>
      <c r="B61" t="s">
        <v>181</v>
      </c>
      <c r="C61" s="124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103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172</v>
      </c>
      <c r="H61" t="s">
        <v>172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16">
        <v>0</v>
      </c>
    </row>
    <row r="62" spans="1:11" ht="18.75" customHeight="1" x14ac:dyDescent="0.35">
      <c r="A62" s="116">
        <v>2024</v>
      </c>
      <c r="B62" t="s">
        <v>181</v>
      </c>
      <c r="C62" s="124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105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172</v>
      </c>
      <c r="H62" t="s">
        <v>172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16">
        <v>0</v>
      </c>
    </row>
    <row r="63" spans="1:11" ht="18.75" customHeight="1" x14ac:dyDescent="0.35">
      <c r="A63" s="116">
        <v>2024</v>
      </c>
      <c r="B63" t="s">
        <v>181</v>
      </c>
      <c r="C63" s="124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173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172</v>
      </c>
      <c r="H63" t="s">
        <v>172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16">
        <v>0</v>
      </c>
    </row>
    <row r="64" spans="1:11" ht="18.75" customHeight="1" x14ac:dyDescent="0.35">
      <c r="A64" s="116">
        <v>2024</v>
      </c>
      <c r="B64" t="s">
        <v>181</v>
      </c>
      <c r="C64" s="124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161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172</v>
      </c>
      <c r="H64" t="s">
        <v>172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16">
        <v>1</v>
      </c>
    </row>
    <row r="65" spans="1:11" ht="18.75" customHeight="1" x14ac:dyDescent="0.35">
      <c r="A65" s="116">
        <v>2024</v>
      </c>
      <c r="B65" t="s">
        <v>182</v>
      </c>
      <c r="C65" s="124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106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172</v>
      </c>
      <c r="H65" t="s">
        <v>172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16">
        <v>0</v>
      </c>
    </row>
    <row r="66" spans="1:11" ht="18.75" customHeight="1" x14ac:dyDescent="0.35">
      <c r="A66" s="116">
        <v>2024</v>
      </c>
      <c r="B66" t="s">
        <v>182</v>
      </c>
      <c r="C66" s="124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104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172</v>
      </c>
      <c r="H66" t="s">
        <v>172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16">
        <v>0</v>
      </c>
    </row>
    <row r="67" spans="1:11" ht="18.75" customHeight="1" x14ac:dyDescent="0.35">
      <c r="A67" s="116">
        <v>2024</v>
      </c>
      <c r="B67" t="s">
        <v>182</v>
      </c>
      <c r="C67" s="124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102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172</v>
      </c>
      <c r="H67" t="s">
        <v>172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16">
        <v>0</v>
      </c>
    </row>
    <row r="68" spans="1:11" ht="18.75" customHeight="1" x14ac:dyDescent="0.35">
      <c r="A68" s="116">
        <v>2024</v>
      </c>
      <c r="B68" t="s">
        <v>182</v>
      </c>
      <c r="C68" s="124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103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172</v>
      </c>
      <c r="H68" t="s">
        <v>172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16">
        <v>0</v>
      </c>
    </row>
    <row r="69" spans="1:11" ht="18.75" customHeight="1" x14ac:dyDescent="0.35">
      <c r="A69" s="116">
        <v>2024</v>
      </c>
      <c r="B69" t="s">
        <v>182</v>
      </c>
      <c r="C69" s="124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105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172</v>
      </c>
      <c r="H69" t="s">
        <v>172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16">
        <v>0</v>
      </c>
    </row>
    <row r="70" spans="1:11" ht="18.75" customHeight="1" x14ac:dyDescent="0.35">
      <c r="A70" s="116">
        <v>2024</v>
      </c>
      <c r="B70" t="s">
        <v>182</v>
      </c>
      <c r="C70" s="124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173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172</v>
      </c>
      <c r="H70" t="s">
        <v>172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16">
        <v>0</v>
      </c>
    </row>
    <row r="71" spans="1:11" ht="18.75" customHeight="1" x14ac:dyDescent="0.35">
      <c r="A71" s="116">
        <v>2024</v>
      </c>
      <c r="B71" t="s">
        <v>182</v>
      </c>
      <c r="C71" s="124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161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172</v>
      </c>
      <c r="H71" t="s">
        <v>172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16">
        <v>0</v>
      </c>
    </row>
    <row r="72" spans="1:11" ht="18.75" customHeight="1" x14ac:dyDescent="0.35">
      <c r="A72" s="116">
        <v>2024</v>
      </c>
      <c r="B72" t="s">
        <v>183</v>
      </c>
      <c r="C72" s="124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106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172</v>
      </c>
      <c r="H72" t="s">
        <v>172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16">
        <v>0</v>
      </c>
    </row>
    <row r="73" spans="1:11" ht="18.75" customHeight="1" x14ac:dyDescent="0.35">
      <c r="A73" s="116">
        <v>2024</v>
      </c>
      <c r="B73" t="s">
        <v>183</v>
      </c>
      <c r="C73" s="124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104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172</v>
      </c>
      <c r="H73" t="s">
        <v>172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16">
        <v>0</v>
      </c>
    </row>
    <row r="74" spans="1:11" ht="18.75" customHeight="1" x14ac:dyDescent="0.35">
      <c r="A74" s="116">
        <v>2024</v>
      </c>
      <c r="B74" t="s">
        <v>183</v>
      </c>
      <c r="C74" s="124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102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172</v>
      </c>
      <c r="H74" t="s">
        <v>172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16">
        <v>0</v>
      </c>
    </row>
    <row r="75" spans="1:11" ht="18.75" customHeight="1" x14ac:dyDescent="0.35">
      <c r="A75" s="116">
        <v>2024</v>
      </c>
      <c r="B75" t="s">
        <v>183</v>
      </c>
      <c r="C75" s="124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103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172</v>
      </c>
      <c r="H75" t="s">
        <v>172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16">
        <v>0</v>
      </c>
    </row>
    <row r="76" spans="1:11" ht="18.75" customHeight="1" x14ac:dyDescent="0.35">
      <c r="A76" s="116">
        <v>2024</v>
      </c>
      <c r="B76" t="s">
        <v>183</v>
      </c>
      <c r="C76" s="124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105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172</v>
      </c>
      <c r="H76" t="s">
        <v>172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16">
        <v>0</v>
      </c>
    </row>
    <row r="77" spans="1:11" ht="18.75" customHeight="1" x14ac:dyDescent="0.35">
      <c r="A77" s="116">
        <v>2024</v>
      </c>
      <c r="B77" t="s">
        <v>183</v>
      </c>
      <c r="C77" s="124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173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172</v>
      </c>
      <c r="H77" t="s">
        <v>172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16">
        <v>0</v>
      </c>
    </row>
    <row r="78" spans="1:11" ht="18.75" customHeight="1" x14ac:dyDescent="0.35">
      <c r="A78" s="116">
        <v>2024</v>
      </c>
      <c r="B78" t="s">
        <v>183</v>
      </c>
      <c r="C78" s="124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161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172</v>
      </c>
      <c r="H78" t="s">
        <v>172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16">
        <v>0</v>
      </c>
    </row>
    <row r="79" spans="1:11" ht="18.75" customHeight="1" x14ac:dyDescent="0.35">
      <c r="A79" s="116">
        <v>2024</v>
      </c>
      <c r="B79" t="s">
        <v>184</v>
      </c>
      <c r="C79" s="124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106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172</v>
      </c>
      <c r="H79" t="s">
        <v>172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16">
        <v>0</v>
      </c>
    </row>
    <row r="80" spans="1:11" ht="18.75" customHeight="1" x14ac:dyDescent="0.35">
      <c r="A80" s="116">
        <v>2024</v>
      </c>
      <c r="B80" t="s">
        <v>184</v>
      </c>
      <c r="C80" s="124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104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172</v>
      </c>
      <c r="H80" t="s">
        <v>172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16">
        <v>0</v>
      </c>
    </row>
    <row r="81" spans="1:11" ht="18.75" customHeight="1" x14ac:dyDescent="0.35">
      <c r="A81" s="116">
        <v>2024</v>
      </c>
      <c r="B81" t="s">
        <v>184</v>
      </c>
      <c r="C81" s="124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102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172</v>
      </c>
      <c r="H81" t="s">
        <v>172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16">
        <v>0</v>
      </c>
    </row>
    <row r="82" spans="1:11" ht="18.75" customHeight="1" x14ac:dyDescent="0.35">
      <c r="A82" s="116">
        <v>2024</v>
      </c>
      <c r="B82" t="s">
        <v>184</v>
      </c>
      <c r="C82" s="124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103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172</v>
      </c>
      <c r="H82" t="s">
        <v>172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16">
        <v>0</v>
      </c>
    </row>
    <row r="83" spans="1:11" ht="18.75" customHeight="1" x14ac:dyDescent="0.35">
      <c r="A83" s="116">
        <v>2024</v>
      </c>
      <c r="B83" t="s">
        <v>184</v>
      </c>
      <c r="C83" s="124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105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172</v>
      </c>
      <c r="H83" t="s">
        <v>172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16">
        <v>0</v>
      </c>
    </row>
    <row r="84" spans="1:11" ht="18.75" customHeight="1" x14ac:dyDescent="0.35">
      <c r="A84" s="116">
        <v>2024</v>
      </c>
      <c r="B84" t="s">
        <v>184</v>
      </c>
      <c r="C84" s="124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173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172</v>
      </c>
      <c r="H84" t="s">
        <v>172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16">
        <v>0</v>
      </c>
    </row>
    <row r="85" spans="1:11" ht="18.75" customHeight="1" x14ac:dyDescent="0.35">
      <c r="A85" s="116">
        <v>2024</v>
      </c>
      <c r="B85" t="s">
        <v>184</v>
      </c>
      <c r="C85" s="124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161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172</v>
      </c>
      <c r="H85" t="s">
        <v>172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16">
        <v>0</v>
      </c>
    </row>
    <row r="86" spans="1:11" ht="18.75" customHeight="1" x14ac:dyDescent="0.35">
      <c r="A86" s="116">
        <v>2025</v>
      </c>
      <c r="B86" t="s">
        <v>171</v>
      </c>
      <c r="C86" s="124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106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172</v>
      </c>
      <c r="H86" t="s">
        <v>172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16">
        <v>0</v>
      </c>
    </row>
    <row r="87" spans="1:11" ht="18.75" customHeight="1" x14ac:dyDescent="0.35">
      <c r="A87" s="116">
        <v>2025</v>
      </c>
      <c r="B87" t="s">
        <v>171</v>
      </c>
      <c r="C87" s="124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104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172</v>
      </c>
      <c r="H87" t="s">
        <v>172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16">
        <v>7</v>
      </c>
    </row>
    <row r="88" spans="1:11" ht="18.75" customHeight="1" x14ac:dyDescent="0.35">
      <c r="A88" s="116">
        <v>2025</v>
      </c>
      <c r="B88" t="s">
        <v>171</v>
      </c>
      <c r="C88" s="124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76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172</v>
      </c>
      <c r="H88" t="s">
        <v>172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16">
        <v>13</v>
      </c>
    </row>
    <row r="89" spans="1:11" ht="18.75" customHeight="1" x14ac:dyDescent="0.35">
      <c r="A89" s="116">
        <v>2025</v>
      </c>
      <c r="B89" t="s">
        <v>171</v>
      </c>
      <c r="C89" s="124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102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172</v>
      </c>
      <c r="H89" t="s">
        <v>172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16">
        <v>9</v>
      </c>
    </row>
    <row r="90" spans="1:11" ht="18.75" customHeight="1" x14ac:dyDescent="0.35">
      <c r="A90" s="116">
        <v>2025</v>
      </c>
      <c r="B90" t="s">
        <v>171</v>
      </c>
      <c r="C90" s="124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103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172</v>
      </c>
      <c r="H90" t="s">
        <v>172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16">
        <v>9</v>
      </c>
    </row>
    <row r="91" spans="1:11" ht="18.75" customHeight="1" x14ac:dyDescent="0.35">
      <c r="A91" s="116">
        <v>2025</v>
      </c>
      <c r="B91" t="s">
        <v>171</v>
      </c>
      <c r="C91" s="124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105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172</v>
      </c>
      <c r="H91" t="s">
        <v>172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16">
        <v>21083</v>
      </c>
    </row>
    <row r="92" spans="1:11" ht="18.75" customHeight="1" x14ac:dyDescent="0.35">
      <c r="A92" s="116">
        <v>2025</v>
      </c>
      <c r="B92" t="s">
        <v>171</v>
      </c>
      <c r="C92" s="124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173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172</v>
      </c>
      <c r="H92" t="s">
        <v>172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16">
        <v>1200</v>
      </c>
    </row>
    <row r="93" spans="1:11" ht="18.75" customHeight="1" x14ac:dyDescent="0.35">
      <c r="A93" s="116">
        <v>2025</v>
      </c>
      <c r="B93" t="s">
        <v>171</v>
      </c>
      <c r="C93" s="124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162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172</v>
      </c>
      <c r="H93" t="s">
        <v>172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16">
        <v>5</v>
      </c>
    </row>
    <row r="94" spans="1:11" ht="18.75" customHeight="1" x14ac:dyDescent="0.35">
      <c r="A94" s="116">
        <v>2025</v>
      </c>
      <c r="B94" t="s">
        <v>174</v>
      </c>
      <c r="C94" s="124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106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172</v>
      </c>
      <c r="H94" t="s">
        <v>172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16">
        <v>2</v>
      </c>
    </row>
    <row r="95" spans="1:11" ht="18.75" customHeight="1" x14ac:dyDescent="0.35">
      <c r="A95" s="116">
        <v>2025</v>
      </c>
      <c r="B95" t="s">
        <v>174</v>
      </c>
      <c r="C95" s="124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104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172</v>
      </c>
      <c r="H95" t="s">
        <v>172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16">
        <v>7</v>
      </c>
    </row>
    <row r="96" spans="1:11" ht="18.75" customHeight="1" x14ac:dyDescent="0.35">
      <c r="A96" s="116">
        <v>2025</v>
      </c>
      <c r="B96" t="s">
        <v>174</v>
      </c>
      <c r="C96" s="124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76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172</v>
      </c>
      <c r="H96" t="s">
        <v>172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16">
        <v>3</v>
      </c>
    </row>
    <row r="97" spans="1:11" ht="18.75" customHeight="1" x14ac:dyDescent="0.35">
      <c r="A97" s="116">
        <v>2025</v>
      </c>
      <c r="B97" t="s">
        <v>174</v>
      </c>
      <c r="C97" s="124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102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172</v>
      </c>
      <c r="H97" t="s">
        <v>172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16">
        <v>9</v>
      </c>
    </row>
    <row r="98" spans="1:11" ht="18.75" customHeight="1" x14ac:dyDescent="0.35">
      <c r="A98" s="116">
        <v>2025</v>
      </c>
      <c r="B98" t="s">
        <v>174</v>
      </c>
      <c r="C98" s="124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103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172</v>
      </c>
      <c r="H98" t="s">
        <v>172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16">
        <v>9</v>
      </c>
    </row>
    <row r="99" spans="1:11" ht="18.75" customHeight="1" x14ac:dyDescent="0.35">
      <c r="A99" s="116">
        <v>2025</v>
      </c>
      <c r="B99" t="s">
        <v>174</v>
      </c>
      <c r="C99" s="124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105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172</v>
      </c>
      <c r="H99" t="s">
        <v>172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16">
        <v>1620</v>
      </c>
    </row>
    <row r="100" spans="1:11" ht="18.75" customHeight="1" x14ac:dyDescent="0.35">
      <c r="A100" s="116">
        <v>2025</v>
      </c>
      <c r="B100" t="s">
        <v>174</v>
      </c>
      <c r="C100" s="124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173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172</v>
      </c>
      <c r="H100" t="s">
        <v>172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16">
        <v>1197</v>
      </c>
    </row>
    <row r="101" spans="1:11" ht="18.75" customHeight="1" x14ac:dyDescent="0.35">
      <c r="A101" s="116">
        <v>2025</v>
      </c>
      <c r="B101" t="s">
        <v>174</v>
      </c>
      <c r="C101" s="124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162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172</v>
      </c>
      <c r="H101" t="s">
        <v>172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16">
        <v>5</v>
      </c>
    </row>
    <row r="102" spans="1:11" ht="18.75" customHeight="1" x14ac:dyDescent="0.35">
      <c r="A102" s="116">
        <v>2025</v>
      </c>
      <c r="B102" t="s">
        <v>175</v>
      </c>
      <c r="C102" s="124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106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172</v>
      </c>
      <c r="H102" t="s">
        <v>172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16">
        <v>1</v>
      </c>
    </row>
    <row r="103" spans="1:11" ht="18.75" customHeight="1" x14ac:dyDescent="0.35">
      <c r="A103" s="116">
        <v>2025</v>
      </c>
      <c r="B103" t="s">
        <v>175</v>
      </c>
      <c r="C103" s="124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104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172</v>
      </c>
      <c r="H103" t="s">
        <v>172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16">
        <v>7</v>
      </c>
    </row>
    <row r="104" spans="1:11" ht="18.75" customHeight="1" x14ac:dyDescent="0.35">
      <c r="A104" s="116">
        <v>2025</v>
      </c>
      <c r="B104" t="s">
        <v>175</v>
      </c>
      <c r="C104" s="124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76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172</v>
      </c>
      <c r="H104" t="s">
        <v>172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16">
        <v>3</v>
      </c>
    </row>
    <row r="105" spans="1:11" ht="18.75" customHeight="1" x14ac:dyDescent="0.35">
      <c r="A105" s="116">
        <v>2025</v>
      </c>
      <c r="B105" t="s">
        <v>175</v>
      </c>
      <c r="C105" s="124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102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172</v>
      </c>
      <c r="H105" t="s">
        <v>172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16">
        <v>9</v>
      </c>
    </row>
    <row r="106" spans="1:11" ht="18.75" customHeight="1" x14ac:dyDescent="0.35">
      <c r="A106" s="116">
        <v>2025</v>
      </c>
      <c r="B106" t="s">
        <v>175</v>
      </c>
      <c r="C106" s="124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103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172</v>
      </c>
      <c r="H106" t="s">
        <v>172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16">
        <v>9</v>
      </c>
    </row>
    <row r="107" spans="1:11" ht="18.75" customHeight="1" x14ac:dyDescent="0.35">
      <c r="A107" s="116">
        <v>2025</v>
      </c>
      <c r="B107" t="s">
        <v>175</v>
      </c>
      <c r="C107" s="124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105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172</v>
      </c>
      <c r="H107" t="s">
        <v>172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16">
        <v>1226</v>
      </c>
    </row>
    <row r="108" spans="1:11" ht="18.75" customHeight="1" x14ac:dyDescent="0.35">
      <c r="A108" s="116">
        <v>2025</v>
      </c>
      <c r="B108" t="s">
        <v>175</v>
      </c>
      <c r="C108" s="124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173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172</v>
      </c>
      <c r="H108" t="s">
        <v>172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16">
        <v>0</v>
      </c>
    </row>
    <row r="109" spans="1:11" ht="18.75" customHeight="1" x14ac:dyDescent="0.35">
      <c r="A109" s="116">
        <v>2025</v>
      </c>
      <c r="B109" t="s">
        <v>175</v>
      </c>
      <c r="C109" s="124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162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172</v>
      </c>
      <c r="H109" t="s">
        <v>172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16">
        <v>13</v>
      </c>
    </row>
    <row r="110" spans="1:11" ht="18.75" customHeight="1" x14ac:dyDescent="0.35">
      <c r="A110" s="116">
        <v>2025</v>
      </c>
      <c r="B110" t="s">
        <v>176</v>
      </c>
      <c r="C110" s="124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106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172</v>
      </c>
      <c r="H110" t="s">
        <v>172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16">
        <v>1</v>
      </c>
    </row>
    <row r="111" spans="1:11" ht="18.75" customHeight="1" x14ac:dyDescent="0.35">
      <c r="A111" s="116">
        <v>2025</v>
      </c>
      <c r="B111" t="s">
        <v>176</v>
      </c>
      <c r="C111" s="124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104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172</v>
      </c>
      <c r="H111" t="s">
        <v>172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16">
        <v>7</v>
      </c>
    </row>
    <row r="112" spans="1:11" ht="18.75" customHeight="1" x14ac:dyDescent="0.35">
      <c r="A112" s="116">
        <v>2025</v>
      </c>
      <c r="B112" t="s">
        <v>176</v>
      </c>
      <c r="C112" s="124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76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172</v>
      </c>
      <c r="H112" t="s">
        <v>172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16">
        <v>11</v>
      </c>
    </row>
    <row r="113" spans="1:11" ht="18.75" customHeight="1" x14ac:dyDescent="0.35">
      <c r="A113" s="116">
        <v>2025</v>
      </c>
      <c r="B113" t="s">
        <v>176</v>
      </c>
      <c r="C113" s="124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102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172</v>
      </c>
      <c r="H113" t="s">
        <v>172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16">
        <v>17</v>
      </c>
    </row>
    <row r="114" spans="1:11" ht="18.75" customHeight="1" x14ac:dyDescent="0.35">
      <c r="A114" s="116">
        <v>2025</v>
      </c>
      <c r="B114" t="s">
        <v>176</v>
      </c>
      <c r="C114" s="124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103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172</v>
      </c>
      <c r="H114" t="s">
        <v>172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16">
        <v>1</v>
      </c>
    </row>
    <row r="115" spans="1:11" ht="18.75" customHeight="1" x14ac:dyDescent="0.35">
      <c r="A115" s="116">
        <v>2025</v>
      </c>
      <c r="B115" t="s">
        <v>176</v>
      </c>
      <c r="C115" s="124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105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172</v>
      </c>
      <c r="H115" t="s">
        <v>172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16">
        <v>1328</v>
      </c>
    </row>
    <row r="116" spans="1:11" ht="18.75" customHeight="1" x14ac:dyDescent="0.35">
      <c r="A116" s="116">
        <v>2025</v>
      </c>
      <c r="B116" t="s">
        <v>176</v>
      </c>
      <c r="C116" s="124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173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172</v>
      </c>
      <c r="H116" t="s">
        <v>172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16">
        <v>914</v>
      </c>
    </row>
    <row r="117" spans="1:11" ht="18.75" customHeight="1" x14ac:dyDescent="0.35">
      <c r="A117" s="116">
        <v>2025</v>
      </c>
      <c r="B117" t="s">
        <v>176</v>
      </c>
      <c r="C117" s="124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162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172</v>
      </c>
      <c r="H117" t="s">
        <v>172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16">
        <v>6</v>
      </c>
    </row>
    <row r="118" spans="1:11" ht="18.75" customHeight="1" x14ac:dyDescent="0.35">
      <c r="A118" s="116">
        <v>2025</v>
      </c>
      <c r="B118" t="s">
        <v>177</v>
      </c>
      <c r="C118" s="124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106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172</v>
      </c>
      <c r="H118" t="s">
        <v>172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16">
        <v>2</v>
      </c>
    </row>
    <row r="119" spans="1:11" ht="18.75" customHeight="1" x14ac:dyDescent="0.35">
      <c r="A119" s="116">
        <v>2025</v>
      </c>
      <c r="B119" t="s">
        <v>177</v>
      </c>
      <c r="C119" s="124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104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172</v>
      </c>
      <c r="H119" t="s">
        <v>172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16">
        <v>7</v>
      </c>
    </row>
    <row r="120" spans="1:11" ht="18.75" customHeight="1" x14ac:dyDescent="0.35">
      <c r="A120" s="116">
        <v>2025</v>
      </c>
      <c r="B120" t="s">
        <v>177</v>
      </c>
      <c r="C120" s="124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76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172</v>
      </c>
      <c r="H120" t="s">
        <v>172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16">
        <v>3</v>
      </c>
    </row>
    <row r="121" spans="1:11" ht="18.75" customHeight="1" x14ac:dyDescent="0.35">
      <c r="A121" s="116">
        <v>2025</v>
      </c>
      <c r="B121" t="s">
        <v>177</v>
      </c>
      <c r="C121" s="124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102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172</v>
      </c>
      <c r="H121" t="s">
        <v>172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16">
        <v>17</v>
      </c>
    </row>
    <row r="122" spans="1:11" ht="18.75" customHeight="1" x14ac:dyDescent="0.35">
      <c r="A122" s="116">
        <v>2025</v>
      </c>
      <c r="B122" t="s">
        <v>177</v>
      </c>
      <c r="C122" s="124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103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172</v>
      </c>
      <c r="H122" t="s">
        <v>172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16">
        <v>1</v>
      </c>
    </row>
    <row r="123" spans="1:11" ht="18.75" customHeight="1" x14ac:dyDescent="0.35">
      <c r="A123" s="116">
        <v>2025</v>
      </c>
      <c r="B123" t="s">
        <v>177</v>
      </c>
      <c r="C123" s="124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105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172</v>
      </c>
      <c r="H123" t="s">
        <v>172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16">
        <v>1607</v>
      </c>
    </row>
    <row r="124" spans="1:11" ht="18.75" customHeight="1" x14ac:dyDescent="0.35">
      <c r="A124" s="116">
        <v>2025</v>
      </c>
      <c r="B124" t="s">
        <v>177</v>
      </c>
      <c r="C124" s="124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173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172</v>
      </c>
      <c r="H124" t="s">
        <v>172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16">
        <v>874</v>
      </c>
    </row>
    <row r="125" spans="1:11" ht="18.75" customHeight="1" x14ac:dyDescent="0.35">
      <c r="A125" s="116">
        <v>2025</v>
      </c>
      <c r="B125" t="s">
        <v>177</v>
      </c>
      <c r="C125" s="124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162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172</v>
      </c>
      <c r="H125" t="s">
        <v>172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16">
        <v>13</v>
      </c>
    </row>
    <row r="126" spans="1:11" ht="18.75" customHeight="1" x14ac:dyDescent="0.35">
      <c r="A126" s="116">
        <v>2025</v>
      </c>
      <c r="B126" t="s">
        <v>178</v>
      </c>
      <c r="C126" s="124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106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172</v>
      </c>
      <c r="H126" t="s">
        <v>172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16">
        <v>1</v>
      </c>
    </row>
    <row r="127" spans="1:11" ht="18.75" customHeight="1" x14ac:dyDescent="0.35">
      <c r="A127" s="116">
        <v>2025</v>
      </c>
      <c r="B127" t="s">
        <v>178</v>
      </c>
      <c r="C127" s="124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104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172</v>
      </c>
      <c r="H127" t="s">
        <v>172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16">
        <v>7</v>
      </c>
    </row>
    <row r="128" spans="1:11" ht="18.75" customHeight="1" x14ac:dyDescent="0.35">
      <c r="A128" s="116">
        <v>2025</v>
      </c>
      <c r="B128" t="s">
        <v>178</v>
      </c>
      <c r="C128" s="124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76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172</v>
      </c>
      <c r="H128" t="s">
        <v>172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16">
        <v>3</v>
      </c>
    </row>
    <row r="129" spans="1:11" ht="18.75" customHeight="1" x14ac:dyDescent="0.35">
      <c r="A129" s="116">
        <v>2025</v>
      </c>
      <c r="B129" t="s">
        <v>178</v>
      </c>
      <c r="C129" s="124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102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172</v>
      </c>
      <c r="H129" t="s">
        <v>172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16">
        <v>17</v>
      </c>
    </row>
    <row r="130" spans="1:11" ht="18.75" customHeight="1" x14ac:dyDescent="0.35">
      <c r="A130" s="116">
        <v>2025</v>
      </c>
      <c r="B130" t="s">
        <v>178</v>
      </c>
      <c r="C130" s="124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103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172</v>
      </c>
      <c r="H130" t="s">
        <v>172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16">
        <v>1</v>
      </c>
    </row>
    <row r="131" spans="1:11" ht="18.75" customHeight="1" x14ac:dyDescent="0.35">
      <c r="A131" s="116">
        <v>2025</v>
      </c>
      <c r="B131" t="s">
        <v>178</v>
      </c>
      <c r="C131" s="124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105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172</v>
      </c>
      <c r="H131" t="s">
        <v>172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16">
        <v>1416</v>
      </c>
    </row>
    <row r="132" spans="1:11" ht="18.75" customHeight="1" x14ac:dyDescent="0.35">
      <c r="A132" s="116">
        <v>2025</v>
      </c>
      <c r="B132" t="s">
        <v>178</v>
      </c>
      <c r="C132" s="124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173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172</v>
      </c>
      <c r="H132" t="s">
        <v>172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16">
        <v>1502</v>
      </c>
    </row>
    <row r="133" spans="1:11" ht="18.75" customHeight="1" x14ac:dyDescent="0.35">
      <c r="A133" s="116">
        <v>2025</v>
      </c>
      <c r="B133" t="s">
        <v>178</v>
      </c>
      <c r="C133" s="124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162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172</v>
      </c>
      <c r="H133" t="s">
        <v>172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16">
        <v>8</v>
      </c>
    </row>
    <row r="134" spans="1:11" ht="18.75" customHeight="1" x14ac:dyDescent="0.35">
      <c r="A134" s="116">
        <v>2025</v>
      </c>
      <c r="B134" t="s">
        <v>179</v>
      </c>
      <c r="C134" s="124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106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172</v>
      </c>
      <c r="H134" t="s">
        <v>172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16">
        <v>0</v>
      </c>
    </row>
    <row r="135" spans="1:11" ht="18.75" customHeight="1" x14ac:dyDescent="0.35">
      <c r="A135" s="116">
        <v>2025</v>
      </c>
      <c r="B135" t="s">
        <v>179</v>
      </c>
      <c r="C135" s="124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104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172</v>
      </c>
      <c r="H135" t="s">
        <v>172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16">
        <v>184</v>
      </c>
    </row>
    <row r="136" spans="1:11" ht="18.75" customHeight="1" x14ac:dyDescent="0.35">
      <c r="A136" s="116">
        <v>2025</v>
      </c>
      <c r="B136" t="s">
        <v>179</v>
      </c>
      <c r="C136" s="124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76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172</v>
      </c>
      <c r="H136" t="s">
        <v>172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16">
        <v>15</v>
      </c>
    </row>
    <row r="137" spans="1:11" ht="18.75" customHeight="1" x14ac:dyDescent="0.35">
      <c r="A137" s="116">
        <v>2025</v>
      </c>
      <c r="B137" t="s">
        <v>179</v>
      </c>
      <c r="C137" s="124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102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172</v>
      </c>
      <c r="H137" t="s">
        <v>172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16">
        <v>17</v>
      </c>
    </row>
    <row r="138" spans="1:11" ht="18.75" customHeight="1" x14ac:dyDescent="0.35">
      <c r="A138" s="116">
        <v>2025</v>
      </c>
      <c r="B138" t="s">
        <v>179</v>
      </c>
      <c r="C138" s="124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103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172</v>
      </c>
      <c r="H138" t="s">
        <v>172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16">
        <v>1</v>
      </c>
    </row>
    <row r="139" spans="1:11" ht="18.75" customHeight="1" x14ac:dyDescent="0.35">
      <c r="A139" s="116">
        <v>2025</v>
      </c>
      <c r="B139" t="s">
        <v>179</v>
      </c>
      <c r="C139" s="124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105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172</v>
      </c>
      <c r="H139" t="s">
        <v>172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16">
        <v>8236</v>
      </c>
    </row>
    <row r="140" spans="1:11" ht="18.75" customHeight="1" x14ac:dyDescent="0.35">
      <c r="A140" s="116">
        <v>2025</v>
      </c>
      <c r="B140" t="s">
        <v>179</v>
      </c>
      <c r="C140" s="124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173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172</v>
      </c>
      <c r="H140" t="s">
        <v>172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16">
        <v>258</v>
      </c>
    </row>
    <row r="141" spans="1:11" ht="18.75" customHeight="1" x14ac:dyDescent="0.35">
      <c r="A141" s="116">
        <v>2025</v>
      </c>
      <c r="B141" t="s">
        <v>179</v>
      </c>
      <c r="C141" s="124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162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172</v>
      </c>
      <c r="H141" t="s">
        <v>172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16">
        <v>15</v>
      </c>
    </row>
    <row r="142" spans="1:11" ht="18.75" customHeight="1" x14ac:dyDescent="0.35">
      <c r="A142" s="116">
        <v>2025</v>
      </c>
      <c r="B142" t="s">
        <v>180</v>
      </c>
      <c r="C142" s="124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106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172</v>
      </c>
      <c r="H142" t="s">
        <v>172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16">
        <v>0</v>
      </c>
    </row>
    <row r="143" spans="1:11" ht="18.75" customHeight="1" x14ac:dyDescent="0.35">
      <c r="A143" s="116">
        <v>2025</v>
      </c>
      <c r="B143" t="s">
        <v>180</v>
      </c>
      <c r="C143" s="124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104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172</v>
      </c>
      <c r="H143" t="s">
        <v>172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16">
        <v>184</v>
      </c>
    </row>
    <row r="144" spans="1:11" ht="18.75" customHeight="1" x14ac:dyDescent="0.35">
      <c r="A144" s="116">
        <v>2025</v>
      </c>
      <c r="B144" t="s">
        <v>180</v>
      </c>
      <c r="C144" s="124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76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172</v>
      </c>
      <c r="H144" t="s">
        <v>172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16">
        <v>1</v>
      </c>
    </row>
    <row r="145" spans="1:11" ht="18.75" customHeight="1" x14ac:dyDescent="0.35">
      <c r="A145" s="116">
        <v>2025</v>
      </c>
      <c r="B145" t="s">
        <v>180</v>
      </c>
      <c r="C145" s="124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102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172</v>
      </c>
      <c r="H145" t="s">
        <v>172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16">
        <v>22</v>
      </c>
    </row>
    <row r="146" spans="1:11" ht="18.75" customHeight="1" x14ac:dyDescent="0.35">
      <c r="A146" s="116">
        <v>2025</v>
      </c>
      <c r="B146" t="s">
        <v>180</v>
      </c>
      <c r="C146" s="124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103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172</v>
      </c>
      <c r="H146" t="s">
        <v>172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16">
        <v>1</v>
      </c>
    </row>
    <row r="147" spans="1:11" ht="18.75" customHeight="1" x14ac:dyDescent="0.35">
      <c r="A147" s="116">
        <v>2025</v>
      </c>
      <c r="B147" t="s">
        <v>180</v>
      </c>
      <c r="C147" s="124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105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172</v>
      </c>
      <c r="H147" t="s">
        <v>172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16">
        <v>1171</v>
      </c>
    </row>
    <row r="148" spans="1:11" ht="18.75" customHeight="1" x14ac:dyDescent="0.35">
      <c r="A148" s="116">
        <v>2025</v>
      </c>
      <c r="B148" t="s">
        <v>180</v>
      </c>
      <c r="C148" s="124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173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172</v>
      </c>
      <c r="H148" t="s">
        <v>172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16">
        <v>330</v>
      </c>
    </row>
    <row r="149" spans="1:11" ht="18.75" customHeight="1" x14ac:dyDescent="0.35">
      <c r="A149" s="116">
        <v>2025</v>
      </c>
      <c r="B149" t="s">
        <v>180</v>
      </c>
      <c r="C149" s="124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162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172</v>
      </c>
      <c r="H149" t="s">
        <v>172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16">
        <v>20</v>
      </c>
    </row>
    <row r="150" spans="1:11" ht="18.75" customHeight="1" x14ac:dyDescent="0.35">
      <c r="A150" s="116">
        <v>2025</v>
      </c>
      <c r="B150" t="s">
        <v>181</v>
      </c>
      <c r="C150" s="124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106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172</v>
      </c>
      <c r="H150" t="s">
        <v>172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16">
        <v>3</v>
      </c>
    </row>
    <row r="151" spans="1:11" ht="18.75" customHeight="1" x14ac:dyDescent="0.35">
      <c r="A151" s="116">
        <v>2025</v>
      </c>
      <c r="B151" t="s">
        <v>181</v>
      </c>
      <c r="C151" s="124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104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172</v>
      </c>
      <c r="H151" t="s">
        <v>172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16">
        <v>184</v>
      </c>
    </row>
    <row r="152" spans="1:11" ht="18.75" customHeight="1" x14ac:dyDescent="0.35">
      <c r="A152" s="116">
        <v>2025</v>
      </c>
      <c r="B152" t="s">
        <v>181</v>
      </c>
      <c r="C152" s="124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76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172</v>
      </c>
      <c r="H152" t="s">
        <v>172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16">
        <v>1</v>
      </c>
    </row>
    <row r="153" spans="1:11" ht="18.75" customHeight="1" x14ac:dyDescent="0.35">
      <c r="A153" s="116">
        <v>2025</v>
      </c>
      <c r="B153" t="s">
        <v>181</v>
      </c>
      <c r="C153" s="124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102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172</v>
      </c>
      <c r="H153" t="s">
        <v>172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16">
        <v>22</v>
      </c>
    </row>
    <row r="154" spans="1:11" ht="18.75" customHeight="1" x14ac:dyDescent="0.35">
      <c r="A154" s="116">
        <v>2025</v>
      </c>
      <c r="B154" t="s">
        <v>181</v>
      </c>
      <c r="C154" s="124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103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172</v>
      </c>
      <c r="H154" t="s">
        <v>172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16">
        <v>1</v>
      </c>
    </row>
    <row r="155" spans="1:11" ht="18.75" customHeight="1" x14ac:dyDescent="0.35">
      <c r="A155" s="116">
        <v>2025</v>
      </c>
      <c r="B155" t="s">
        <v>181</v>
      </c>
      <c r="C155" s="124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105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172</v>
      </c>
      <c r="H155" t="s">
        <v>172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16">
        <v>1388</v>
      </c>
    </row>
    <row r="156" spans="1:11" ht="18.75" customHeight="1" x14ac:dyDescent="0.35">
      <c r="A156" s="116">
        <v>2025</v>
      </c>
      <c r="B156" t="s">
        <v>181</v>
      </c>
      <c r="C156" s="124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173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172</v>
      </c>
      <c r="H156" t="s">
        <v>172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16">
        <v>62</v>
      </c>
    </row>
    <row r="157" spans="1:11" ht="18.75" customHeight="1" x14ac:dyDescent="0.35">
      <c r="A157" s="116">
        <v>2025</v>
      </c>
      <c r="B157" t="s">
        <v>181</v>
      </c>
      <c r="C157" s="124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162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172</v>
      </c>
      <c r="H157" t="s">
        <v>172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16">
        <v>18</v>
      </c>
    </row>
    <row r="158" spans="1:11" ht="18.75" customHeight="1" x14ac:dyDescent="0.35">
      <c r="C158" s="124" t="str">
        <f>IF(OR(Fact_Cumplimiento[[#This Row], [Año]]="",Fact_Cumplimiento[[#This Row], [Mes]]=""),"",DATE(A158,MATCH(B158,{"enero","febrero","marzo","abril","mayo","junio","julio","agosto","septiembre","octubre","noviembre","diciembre"},0)+1,0))</f>
        <v/>
      </c>
      <c r="E158" t="str">
        <f>+IFERROR(VLOOKUP(Fact_Cumplimiento[[#This Row], [Concepto Anterior]],Conceptos_Cumplimiento[#All],5,0),"")</f>
        <v/>
      </c>
      <c r="F158" t="str">
        <f>+IFERROR(VLOOKUP(Fact_Cumplimiento[[#This Row], 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ht="18.75" customHeight="1" x14ac:dyDescent="0.35">
      <c r="C159" s="124" t="str">
        <f>IF(OR(Fact_Cumplimiento[[#This Row], [Año]]="",Fact_Cumplimiento[[#This Row], [Mes]]=""),"",DATE(A159,MATCH(B159,{"enero","febrero","marzo","abril","mayo","junio","julio","agosto","septiembre","octubre","noviembre","diciembre"},0)+1,0))</f>
        <v/>
      </c>
      <c r="E159" t="str">
        <f>+IFERROR(VLOOKUP(Fact_Cumplimiento[[#This Row], [Concepto Anterior]],Conceptos_Cumplimiento[#All],5,0),"")</f>
        <v/>
      </c>
      <c r="F159" t="str">
        <f>+IFERROR(VLOOKUP(Fact_Cumplimiento[[#This Row], 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ht="18.75" customHeight="1" x14ac:dyDescent="0.35">
      <c r="C160" s="124" t="str">
        <f>IF(OR(Fact_Cumplimiento[[#This Row], [Año]]="",Fact_Cumplimiento[[#This Row], [Mes]]=""),"",DATE(A160,MATCH(B160,{"enero","febrero","marzo","abril","mayo","junio","julio","agosto","septiembre","octubre","noviembre","diciembre"},0)+1,0))</f>
        <v/>
      </c>
      <c r="E160" t="str">
        <f>+IFERROR(VLOOKUP(Fact_Cumplimiento[[#This Row], [Concepto Anterior]],Conceptos_Cumplimiento[#All],5,0),"")</f>
        <v/>
      </c>
      <c r="F160" t="str">
        <f>+IFERROR(VLOOKUP(Fact_Cumplimiento[[#This Row], 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ht="18.75" customHeight="1" x14ac:dyDescent="0.35">
      <c r="C161" s="124" t="str">
        <f>IF(OR(Fact_Cumplimiento[[#This Row], [Año]]="",Fact_Cumplimiento[[#This Row], [Mes]]=""),"",DATE(A161,MATCH(B161,{"enero","febrero","marzo","abril","mayo","junio","julio","agosto","septiembre","octubre","noviembre","diciembre"},0)+1,0))</f>
        <v/>
      </c>
      <c r="E161" t="str">
        <f>+IFERROR(VLOOKUP(Fact_Cumplimiento[[#This Row], [Concepto Anterior]],Conceptos_Cumplimiento[#All],5,0),"")</f>
        <v/>
      </c>
      <c r="F161" t="str">
        <f>+IFERROR(VLOOKUP(Fact_Cumplimiento[[#This Row], 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ht="18.75" customHeight="1" x14ac:dyDescent="0.35">
      <c r="C162" s="124" t="str">
        <f>IF(OR(Fact_Cumplimiento[[#This Row], [Año]]="",Fact_Cumplimiento[[#This Row], [Mes]]=""),"",DATE(A162,MATCH(B162,{"enero","febrero","marzo","abril","mayo","junio","julio","agosto","septiembre","octubre","noviembre","diciembre"},0)+1,0))</f>
        <v/>
      </c>
      <c r="E162" t="str">
        <f>+IFERROR(VLOOKUP(Fact_Cumplimiento[[#This Row], [Concepto Anterior]],Conceptos_Cumplimiento[#All],5,0),"")</f>
        <v/>
      </c>
      <c r="F162" t="str">
        <f>+IFERROR(VLOOKUP(Fact_Cumplimiento[[#This Row], 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ht="18.75" customHeight="1" x14ac:dyDescent="0.35">
      <c r="C163" s="124" t="str">
        <f>IF(OR(Fact_Cumplimiento[[#This Row], [Año]]="",Fact_Cumplimiento[[#This Row], [Mes]]=""),"",DATE(A163,MATCH(B163,{"enero","febrero","marzo","abril","mayo","junio","julio","agosto","septiembre","octubre","noviembre","diciembre"},0)+1,0))</f>
        <v/>
      </c>
      <c r="E163" t="str">
        <f>+IFERROR(VLOOKUP(Fact_Cumplimiento[[#This Row], [Concepto Anterior]],Conceptos_Cumplimiento[#All],5,0),"")</f>
        <v/>
      </c>
      <c r="F163" t="str">
        <f>+IFERROR(VLOOKUP(Fact_Cumplimiento[[#This Row], 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ht="18.75" customHeight="1" x14ac:dyDescent="0.35">
      <c r="C164" s="124" t="str">
        <f>IF(OR(Fact_Cumplimiento[[#This Row], [Año]]="",Fact_Cumplimiento[[#This Row], [Mes]]=""),"",DATE(A164,MATCH(B164,{"enero","febrero","marzo","abril","mayo","junio","julio","agosto","septiembre","octubre","noviembre","diciembre"},0)+1,0))</f>
        <v/>
      </c>
      <c r="E164" t="str">
        <f>+IFERROR(VLOOKUP(Fact_Cumplimiento[[#This Row], [Concepto Anterior]],Conceptos_Cumplimiento[#All],5,0),"")</f>
        <v/>
      </c>
      <c r="F164" t="str">
        <f>+IFERROR(VLOOKUP(Fact_Cumplimiento[[#This Row], 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ht="18.75" customHeight="1" x14ac:dyDescent="0.35">
      <c r="C165" s="124" t="str">
        <f>IF(OR(Fact_Cumplimiento[[#This Row], [Año]]="",Fact_Cumplimiento[[#This Row], [Mes]]=""),"",DATE(A165,MATCH(B165,{"enero","febrero","marzo","abril","mayo","junio","julio","agosto","septiembre","octubre","noviembre","diciembre"},0)+1,0))</f>
        <v/>
      </c>
      <c r="E165" t="str">
        <f>+IFERROR(VLOOKUP(Fact_Cumplimiento[[#This Row], [Concepto Anterior]],Conceptos_Cumplimiento[#All],5,0),"")</f>
        <v/>
      </c>
      <c r="F165" t="str">
        <f>+IFERROR(VLOOKUP(Fact_Cumplimiento[[#This Row], 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ht="18.75" customHeight="1" x14ac:dyDescent="0.35">
      <c r="C166" s="124" t="str">
        <f>IF(OR(Fact_Cumplimiento[[#This Row], [Año]]="",Fact_Cumplimiento[[#This Row], [Mes]]=""),"",DATE(A166,MATCH(B166,{"enero","febrero","marzo","abril","mayo","junio","julio","agosto","septiembre","octubre","noviembre","diciembre"},0)+1,0))</f>
        <v/>
      </c>
      <c r="E166" t="str">
        <f>+IFERROR(VLOOKUP(Fact_Cumplimiento[[#This Row], [Concepto Anterior]],Conceptos_Cumplimiento[#All],5,0),"")</f>
        <v/>
      </c>
      <c r="F166" t="str">
        <f>+IFERROR(VLOOKUP(Fact_Cumplimiento[[#This Row], 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ht="18.75" customHeight="1" x14ac:dyDescent="0.35">
      <c r="C167" s="124" t="str">
        <f>IF(OR(Fact_Cumplimiento[[#This Row], [Año]]="",Fact_Cumplimiento[[#This Row], [Mes]]=""),"",DATE(A167,MATCH(B167,{"enero","febrero","marzo","abril","mayo","junio","julio","agosto","septiembre","octubre","noviembre","diciembre"},0)+1,0))</f>
        <v/>
      </c>
      <c r="E167" t="str">
        <f>+IFERROR(VLOOKUP(Fact_Cumplimiento[[#This Row], [Concepto Anterior]],Conceptos_Cumplimiento[#All],5,0),"")</f>
        <v/>
      </c>
      <c r="F167" t="str">
        <f>+IFERROR(VLOOKUP(Fact_Cumplimiento[[#This Row], 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ht="18.75" customHeight="1" x14ac:dyDescent="0.35">
      <c r="C168" s="124" t="str">
        <f>IF(OR(Fact_Cumplimiento[[#This Row], [Año]]="",Fact_Cumplimiento[[#This Row], [Mes]]=""),"",DATE(A168,MATCH(B168,{"enero","febrero","marzo","abril","mayo","junio","julio","agosto","septiembre","octubre","noviembre","diciembre"},0)+1,0))</f>
        <v/>
      </c>
      <c r="E168" t="str">
        <f>+IFERROR(VLOOKUP(Fact_Cumplimiento[[#This Row], [Concepto Anterior]],Conceptos_Cumplimiento[#All],5,0),"")</f>
        <v/>
      </c>
      <c r="F168" t="str">
        <f>+IFERROR(VLOOKUP(Fact_Cumplimiento[[#This Row], 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ht="18.75" customHeight="1" x14ac:dyDescent="0.35">
      <c r="C169" s="124" t="str">
        <f>IF(OR(Fact_Cumplimiento[[#This Row], [Año]]="",Fact_Cumplimiento[[#This Row], [Mes]]=""),"",DATE(A169,MATCH(B169,{"enero","febrero","marzo","abril","mayo","junio","julio","agosto","septiembre","octubre","noviembre","diciembre"},0)+1,0))</f>
        <v/>
      </c>
      <c r="E169" t="str">
        <f>+IFERROR(VLOOKUP(Fact_Cumplimiento[[#This Row], [Concepto Anterior]],Conceptos_Cumplimiento[#All],5,0),"")</f>
        <v/>
      </c>
      <c r="F169" t="str">
        <f>+IFERROR(VLOOKUP(Fact_Cumplimiento[[#This Row], 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ht="18.75" customHeight="1" x14ac:dyDescent="0.35">
      <c r="C170" s="124" t="str">
        <f>IF(OR(Fact_Cumplimiento[[#This Row], [Año]]="",Fact_Cumplimiento[[#This Row], [Mes]]=""),"",DATE(A170,MATCH(B170,{"enero","febrero","marzo","abril","mayo","junio","julio","agosto","septiembre","octubre","noviembre","diciembre"},0)+1,0))</f>
        <v/>
      </c>
      <c r="E170" t="str">
        <f>+IFERROR(VLOOKUP(Fact_Cumplimiento[[#This Row], [Concepto Anterior]],Conceptos_Cumplimiento[#All],5,0),"")</f>
        <v/>
      </c>
      <c r="F170" t="str">
        <f>+IFERROR(VLOOKUP(Fact_Cumplimiento[[#This Row], 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ht="18.75" customHeight="1" x14ac:dyDescent="0.35">
      <c r="C171" s="124" t="str">
        <f>IF(OR(Fact_Cumplimiento[[#This Row], [Año]]="",Fact_Cumplimiento[[#This Row], [Mes]]=""),"",DATE(A171,MATCH(B171,{"enero","febrero","marzo","abril","mayo","junio","julio","agosto","septiembre","octubre","noviembre","diciembre"},0)+1,0))</f>
        <v/>
      </c>
      <c r="E171" t="str">
        <f>+IFERROR(VLOOKUP(Fact_Cumplimiento[[#This Row], [Concepto Anterior]],Conceptos_Cumplimiento[#All],5,0),"")</f>
        <v/>
      </c>
      <c r="F171" t="str">
        <f>+IFERROR(VLOOKUP(Fact_Cumplimiento[[#This Row], 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ht="18.75" customHeight="1" x14ac:dyDescent="0.35">
      <c r="C172" s="124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ht="18.75" customHeight="1" x14ac:dyDescent="0.35">
      <c r="C173" s="124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ht="18.75" customHeight="1" x14ac:dyDescent="0.35">
      <c r="C174" s="124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ht="18.75" customHeight="1" x14ac:dyDescent="0.35">
      <c r="C175" s="124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ht="18.75" customHeight="1" x14ac:dyDescent="0.35">
      <c r="C176" s="124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ht="18.75" customHeight="1" x14ac:dyDescent="0.35">
      <c r="C177" s="124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ht="18.75" customHeight="1" x14ac:dyDescent="0.35">
      <c r="C178" s="124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ht="18.75" customHeight="1" x14ac:dyDescent="0.35">
      <c r="C179" s="124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ht="18.75" customHeight="1" x14ac:dyDescent="0.35">
      <c r="C180" s="124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ht="18.75" customHeight="1" x14ac:dyDescent="0.35">
      <c r="C181" s="124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ht="18.75" customHeight="1" x14ac:dyDescent="0.35">
      <c r="C182" s="124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ht="18.75" customHeight="1" x14ac:dyDescent="0.35">
      <c r="C183" s="124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ht="18.75" customHeight="1" x14ac:dyDescent="0.35">
      <c r="C184" s="124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ht="18.75" customHeight="1" x14ac:dyDescent="0.35">
      <c r="C185" s="124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ht="18.75" customHeight="1" x14ac:dyDescent="0.35">
      <c r="C186" s="124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ht="18.75" customHeight="1" x14ac:dyDescent="0.35">
      <c r="C187" s="124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ht="18.75" customHeight="1" x14ac:dyDescent="0.35">
      <c r="C188" s="124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ht="18.75" customHeight="1" x14ac:dyDescent="0.35">
      <c r="C189" s="124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ht="18.75" customHeight="1" x14ac:dyDescent="0.35">
      <c r="C190" s="124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ht="18.75" customHeight="1" x14ac:dyDescent="0.35">
      <c r="C191" s="124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ht="18.75" customHeight="1" x14ac:dyDescent="0.35">
      <c r="C192" s="124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ht="18.75" customHeight="1" x14ac:dyDescent="0.35">
      <c r="C193" s="124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ht="18.75" customHeight="1" x14ac:dyDescent="0.35">
      <c r="C194" s="124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ht="18.75" customHeight="1" x14ac:dyDescent="0.35">
      <c r="C195" s="124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ht="18.75" customHeight="1" x14ac:dyDescent="0.35">
      <c r="C196" s="124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ht="18.75" customHeight="1" x14ac:dyDescent="0.35">
      <c r="C197" s="124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ht="18.75" customHeight="1" x14ac:dyDescent="0.35">
      <c r="C198" s="124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ht="18.75" customHeight="1" x14ac:dyDescent="0.35">
      <c r="C199" s="124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ht="18.75" customHeight="1" x14ac:dyDescent="0.35">
      <c r="C200" s="124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ht="18.75" customHeight="1" x14ac:dyDescent="0.35">
      <c r="C201" s="124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ht="18.75" customHeight="1" x14ac:dyDescent="0.35">
      <c r="C202" s="124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ht="18.75" customHeight="1" x14ac:dyDescent="0.35">
      <c r="C203" s="124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ht="18.75" customHeight="1" x14ac:dyDescent="0.35">
      <c r="C204" s="124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ht="18.75" customHeight="1" x14ac:dyDescent="0.35">
      <c r="C205" s="124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ht="18.75" customHeight="1" x14ac:dyDescent="0.35">
      <c r="C206" s="124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ht="18.75" customHeight="1" x14ac:dyDescent="0.35">
      <c r="C207" s="124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ht="18.75" customHeight="1" x14ac:dyDescent="0.35">
      <c r="C208" s="124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ht="18.75" customHeight="1" x14ac:dyDescent="0.35">
      <c r="C209" s="124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ht="18.75" customHeight="1" x14ac:dyDescent="0.35">
      <c r="C210" s="124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ht="18.75" customHeight="1" x14ac:dyDescent="0.35">
      <c r="C211" s="124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ht="18.75" customHeight="1" x14ac:dyDescent="0.35">
      <c r="C212" s="124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ht="18.75" customHeight="1" x14ac:dyDescent="0.35">
      <c r="C213" s="124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ht="18.75" customHeight="1" x14ac:dyDescent="0.35">
      <c r="C214" s="124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ht="18.75" customHeight="1" x14ac:dyDescent="0.35">
      <c r="C215" s="124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ht="18.75" customHeight="1" x14ac:dyDescent="0.35">
      <c r="C216" s="124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ht="18.75" customHeight="1" x14ac:dyDescent="0.35">
      <c r="C217" s="124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ht="18.75" customHeight="1" x14ac:dyDescent="0.35">
      <c r="C218" s="124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ht="18.75" customHeight="1" x14ac:dyDescent="0.35">
      <c r="C219" s="124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ht="18.75" customHeight="1" x14ac:dyDescent="0.35">
      <c r="C220" s="124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ht="18.75" customHeight="1" x14ac:dyDescent="0.35">
      <c r="C221" s="124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ht="18.75" customHeight="1" x14ac:dyDescent="0.35">
      <c r="C222" s="124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ht="18.75" customHeight="1" x14ac:dyDescent="0.35">
      <c r="C223" s="124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ht="18.75" customHeight="1" x14ac:dyDescent="0.35">
      <c r="C224" s="124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ht="18.75" customHeight="1" x14ac:dyDescent="0.35">
      <c r="C225" s="124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ht="18.75" customHeight="1" x14ac:dyDescent="0.35">
      <c r="C226" s="124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ht="18.75" customHeight="1" x14ac:dyDescent="0.35">
      <c r="C227" s="124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ht="18.75" customHeight="1" x14ac:dyDescent="0.35">
      <c r="C228" s="124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ht="18.75" customHeight="1" x14ac:dyDescent="0.35">
      <c r="C229" s="124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ht="18.75" customHeight="1" x14ac:dyDescent="0.35">
      <c r="C230" s="124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ht="18.75" customHeight="1" x14ac:dyDescent="0.35">
      <c r="C231" s="124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ht="18.75" customHeight="1" x14ac:dyDescent="0.35">
      <c r="C232" s="124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ht="18.75" customHeight="1" x14ac:dyDescent="0.35">
      <c r="C233" s="124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ht="18.75" customHeight="1" x14ac:dyDescent="0.35">
      <c r="C234" s="124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ht="18.75" customHeight="1" x14ac:dyDescent="0.35">
      <c r="C235" s="124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ht="18.75" customHeight="1" x14ac:dyDescent="0.35">
      <c r="C236" s="124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ht="18.75" customHeight="1" x14ac:dyDescent="0.35">
      <c r="C237" s="124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ht="18.75" customHeight="1" x14ac:dyDescent="0.35">
      <c r="C238" s="124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ht="18.75" customHeight="1" x14ac:dyDescent="0.35">
      <c r="C239" s="124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ht="18.75" customHeight="1" x14ac:dyDescent="0.35">
      <c r="C240" s="124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ht="18.75" customHeight="1" x14ac:dyDescent="0.35">
      <c r="C241" s="124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ht="18.75" customHeight="1" x14ac:dyDescent="0.35">
      <c r="C242" s="124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ht="18.75" customHeight="1" x14ac:dyDescent="0.35">
      <c r="C243" s="124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ht="18.75" customHeight="1" x14ac:dyDescent="0.35">
      <c r="C244" s="124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ht="18.75" customHeight="1" x14ac:dyDescent="0.35">
      <c r="C245" s="124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ht="18.75" customHeight="1" x14ac:dyDescent="0.35">
      <c r="C246" s="124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ht="18.75" customHeight="1" x14ac:dyDescent="0.35">
      <c r="C247" s="124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ht="18.75" customHeight="1" x14ac:dyDescent="0.35">
      <c r="C248" s="124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ht="18.75" customHeight="1" x14ac:dyDescent="0.35">
      <c r="C249" s="124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ht="18.75" customHeight="1" x14ac:dyDescent="0.35">
      <c r="C250" s="124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ht="18.75" customHeight="1" x14ac:dyDescent="0.35">
      <c r="C251" s="124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ht="18.75" customHeight="1" x14ac:dyDescent="0.35">
      <c r="C252" s="124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ht="18.75" customHeight="1" x14ac:dyDescent="0.35">
      <c r="C253" s="124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ht="18.75" customHeight="1" x14ac:dyDescent="0.35">
      <c r="C254" s="124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ht="18.75" customHeight="1" x14ac:dyDescent="0.35">
      <c r="C255" s="124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ht="18.75" customHeight="1" x14ac:dyDescent="0.35">
      <c r="C256" s="124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ht="18.75" customHeight="1" x14ac:dyDescent="0.35">
      <c r="C257" s="124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ht="18.75" customHeight="1" x14ac:dyDescent="0.35">
      <c r="C258" s="124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ht="18.75" customHeight="1" x14ac:dyDescent="0.35">
      <c r="C259" s="124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ht="18.75" customHeight="1" x14ac:dyDescent="0.35">
      <c r="C260" s="124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ht="18.75" customHeight="1" x14ac:dyDescent="0.35">
      <c r="C261" s="124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ht="18.75" customHeight="1" x14ac:dyDescent="0.35">
      <c r="C262" s="124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ht="18.75" customHeight="1" x14ac:dyDescent="0.35">
      <c r="C263" s="124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ht="18.75" customHeight="1" x14ac:dyDescent="0.35">
      <c r="C264" s="124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ht="18.75" customHeight="1" x14ac:dyDescent="0.35">
      <c r="C265" s="124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ht="18.75" customHeight="1" x14ac:dyDescent="0.35">
      <c r="C266" s="124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ht="18.75" customHeight="1" x14ac:dyDescent="0.35">
      <c r="C267" s="124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ht="18.75" customHeight="1" x14ac:dyDescent="0.35">
      <c r="C268" s="124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ht="18.75" customHeight="1" x14ac:dyDescent="0.35">
      <c r="C269" s="124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ht="18.75" customHeight="1" x14ac:dyDescent="0.35">
      <c r="C270" s="124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ht="18.75" customHeight="1" x14ac:dyDescent="0.35">
      <c r="C271" s="124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ht="18.75" customHeight="1" x14ac:dyDescent="0.35">
      <c r="C272" s="124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ht="18.75" customHeight="1" x14ac:dyDescent="0.35">
      <c r="C273" s="124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ht="18.75" customHeight="1" x14ac:dyDescent="0.35">
      <c r="C274" s="124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ht="18.75" customHeight="1" x14ac:dyDescent="0.35">
      <c r="C275" s="124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ht="18.75" customHeight="1" x14ac:dyDescent="0.35">
      <c r="C276" s="124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ht="18.75" customHeight="1" x14ac:dyDescent="0.35">
      <c r="C277" s="124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ht="18.75" customHeight="1" x14ac:dyDescent="0.35">
      <c r="C278" s="124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ht="18.75" customHeight="1" x14ac:dyDescent="0.35">
      <c r="C279" s="124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ht="18.75" customHeight="1" x14ac:dyDescent="0.35">
      <c r="C280" s="124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ht="18.75" customHeight="1" x14ac:dyDescent="0.35">
      <c r="C281" s="124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ht="18.75" customHeight="1" x14ac:dyDescent="0.35">
      <c r="C282" s="124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ht="18.75" customHeight="1" x14ac:dyDescent="0.35">
      <c r="C283" s="124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ht="18.75" customHeight="1" x14ac:dyDescent="0.35">
      <c r="C284" s="124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ht="18.75" customHeight="1" x14ac:dyDescent="0.35">
      <c r="C285" s="124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ht="18.75" customHeight="1" x14ac:dyDescent="0.35">
      <c r="C286" s="124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ht="18.75" customHeight="1" x14ac:dyDescent="0.35">
      <c r="C287" s="124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ht="18.75" customHeight="1" x14ac:dyDescent="0.35">
      <c r="C288" s="124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ht="18.75" customHeight="1" x14ac:dyDescent="0.35">
      <c r="C289" s="124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ht="18.75" customHeight="1" x14ac:dyDescent="0.35">
      <c r="C290" s="124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ht="18.75" customHeight="1" x14ac:dyDescent="0.35">
      <c r="C291" s="124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ht="18.75" customHeight="1" x14ac:dyDescent="0.35">
      <c r="C292" s="124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ht="18.75" customHeight="1" x14ac:dyDescent="0.35">
      <c r="C293" s="124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ht="18.75" customHeight="1" x14ac:dyDescent="0.35">
      <c r="C294" s="124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ht="18.75" customHeight="1" x14ac:dyDescent="0.35">
      <c r="C295" s="124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ht="18.75" customHeight="1" x14ac:dyDescent="0.35">
      <c r="C296" s="124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ht="18.75" customHeight="1" x14ac:dyDescent="0.35">
      <c r="C297" s="124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ht="18.75" customHeight="1" x14ac:dyDescent="0.35">
      <c r="C298" s="124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ht="18.75" customHeight="1" x14ac:dyDescent="0.35">
      <c r="C299" s="124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ht="18.75" customHeight="1" x14ac:dyDescent="0.35">
      <c r="C300" s="124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ht="18.75" customHeight="1" x14ac:dyDescent="0.35">
      <c r="C301" s="124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ht="18.75" customHeight="1" x14ac:dyDescent="0.35">
      <c r="C302" s="124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ht="18.75" customHeight="1" x14ac:dyDescent="0.35">
      <c r="C303" s="124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ht="18.75" customHeight="1" x14ac:dyDescent="0.35">
      <c r="C304" s="124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ht="18.75" customHeight="1" x14ac:dyDescent="0.35">
      <c r="C305" s="124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ht="18.75" customHeight="1" x14ac:dyDescent="0.35">
      <c r="C306" s="124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ht="18.75" customHeight="1" x14ac:dyDescent="0.35">
      <c r="C307" s="124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ht="18.75" customHeight="1" x14ac:dyDescent="0.35">
      <c r="C308" s="124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ht="18.75" customHeight="1" x14ac:dyDescent="0.35">
      <c r="C309" s="124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ht="18.75" customHeight="1" x14ac:dyDescent="0.35">
      <c r="C310" s="124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ht="18.75" customHeight="1" x14ac:dyDescent="0.35">
      <c r="C311" s="124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ht="18.75" customHeight="1" x14ac:dyDescent="0.35">
      <c r="C312" s="124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ht="18.75" customHeight="1" x14ac:dyDescent="0.35">
      <c r="C313" s="124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ht="18.75" customHeight="1" x14ac:dyDescent="0.35">
      <c r="C314" s="124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ht="18.75" customHeight="1" x14ac:dyDescent="0.35">
      <c r="C315" s="124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ht="18.75" customHeight="1" x14ac:dyDescent="0.35">
      <c r="C316" s="124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ht="18.75" customHeight="1" x14ac:dyDescent="0.35">
      <c r="C317" s="124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ht="18.75" customHeight="1" x14ac:dyDescent="0.35">
      <c r="C318" s="124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ht="18.75" customHeight="1" x14ac:dyDescent="0.35">
      <c r="C319" s="124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ht="18.75" customHeight="1" x14ac:dyDescent="0.35">
      <c r="C320" s="124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ht="18.75" customHeight="1" x14ac:dyDescent="0.35">
      <c r="C321" s="124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ht="18.75" customHeight="1" x14ac:dyDescent="0.35">
      <c r="C322" s="124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ht="18.75" customHeight="1" x14ac:dyDescent="0.35">
      <c r="C323" s="124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ht="18.75" customHeight="1" x14ac:dyDescent="0.35">
      <c r="C324" s="124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ht="18.75" customHeight="1" x14ac:dyDescent="0.35">
      <c r="C325" s="124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ht="18.75" customHeight="1" x14ac:dyDescent="0.35">
      <c r="C326" s="124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ht="18.75" customHeight="1" x14ac:dyDescent="0.35">
      <c r="C327" s="124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ht="18.75" customHeight="1" x14ac:dyDescent="0.35">
      <c r="C328" s="124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ht="18.75" customHeight="1" x14ac:dyDescent="0.35">
      <c r="C329" s="124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ht="18.75" customHeight="1" x14ac:dyDescent="0.35">
      <c r="C330" s="124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ht="18.75" customHeight="1" x14ac:dyDescent="0.35">
      <c r="C331" s="124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ht="18.75" customHeight="1" x14ac:dyDescent="0.35">
      <c r="C332" s="124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ht="18.75" customHeight="1" x14ac:dyDescent="0.35">
      <c r="C333" s="124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ht="18.75" customHeight="1" x14ac:dyDescent="0.35">
      <c r="C334" s="124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ht="18.75" customHeight="1" x14ac:dyDescent="0.35">
      <c r="C335" s="124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ht="18.75" customHeight="1" x14ac:dyDescent="0.35">
      <c r="C336" s="124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ht="18.75" customHeight="1" x14ac:dyDescent="0.35">
      <c r="C337" s="124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ht="18.75" customHeight="1" x14ac:dyDescent="0.35">
      <c r="C338" s="124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ht="18.75" customHeight="1" x14ac:dyDescent="0.35">
      <c r="C339" s="124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ht="18.75" customHeight="1" x14ac:dyDescent="0.35">
      <c r="C340" s="124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ht="18.75" customHeight="1" x14ac:dyDescent="0.35">
      <c r="C341" s="124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ht="18.75" customHeight="1" x14ac:dyDescent="0.35">
      <c r="C342" s="124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ht="18.75" customHeight="1" x14ac:dyDescent="0.35">
      <c r="C343" s="124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ht="18.75" customHeight="1" x14ac:dyDescent="0.35">
      <c r="C344" s="124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ht="18.75" customHeight="1" x14ac:dyDescent="0.35">
      <c r="C345" s="124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ht="18.75" customHeight="1" x14ac:dyDescent="0.35">
      <c r="C346" s="124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ht="18.75" customHeight="1" x14ac:dyDescent="0.35">
      <c r="C347" s="124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ht="18.75" customHeight="1" x14ac:dyDescent="0.35">
      <c r="C348" s="124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ht="18.75" customHeight="1" x14ac:dyDescent="0.35">
      <c r="C349" s="124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ht="18.75" customHeight="1" x14ac:dyDescent="0.35">
      <c r="C350" s="124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ht="18.75" customHeight="1" x14ac:dyDescent="0.35">
      <c r="C351" s="124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ht="18.75" customHeight="1" x14ac:dyDescent="0.35">
      <c r="C352" s="124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ht="18.75" customHeight="1" x14ac:dyDescent="0.35">
      <c r="C353" s="124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ht="18.75" customHeight="1" x14ac:dyDescent="0.35">
      <c r="C354" s="124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ht="18.75" customHeight="1" x14ac:dyDescent="0.35">
      <c r="C355" s="124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ht="18.75" customHeight="1" x14ac:dyDescent="0.35">
      <c r="C356" s="124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ht="18.75" customHeight="1" x14ac:dyDescent="0.35">
      <c r="C357" s="124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ht="18.75" customHeight="1" x14ac:dyDescent="0.35">
      <c r="C358" s="124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ht="18.75" customHeight="1" x14ac:dyDescent="0.35">
      <c r="C359" s="124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ht="18.75" customHeight="1" x14ac:dyDescent="0.35">
      <c r="C360" s="124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ht="18.75" customHeight="1" x14ac:dyDescent="0.35">
      <c r="C361" s="124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ht="18.75" customHeight="1" x14ac:dyDescent="0.35">
      <c r="C362" s="124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ht="18.75" customHeight="1" x14ac:dyDescent="0.35">
      <c r="C363" s="124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ht="18.75" customHeight="1" x14ac:dyDescent="0.35">
      <c r="C364" s="124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ht="18.75" customHeight="1" x14ac:dyDescent="0.35">
      <c r="C365" s="124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ht="18.75" customHeight="1" x14ac:dyDescent="0.35">
      <c r="C366" s="124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ht="18.75" customHeight="1" x14ac:dyDescent="0.35">
      <c r="C367" s="124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ht="18.75" customHeight="1" x14ac:dyDescent="0.35">
      <c r="C368" s="124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ht="18.75" customHeight="1" x14ac:dyDescent="0.35">
      <c r="C369" s="124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ht="18.75" customHeight="1" x14ac:dyDescent="0.35">
      <c r="C370" s="124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ht="18.75" customHeight="1" x14ac:dyDescent="0.35">
      <c r="C371" s="124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ht="18.75" customHeight="1" x14ac:dyDescent="0.35">
      <c r="C372" s="124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ht="18.75" customHeight="1" x14ac:dyDescent="0.35">
      <c r="C373" s="124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ht="18.75" customHeight="1" x14ac:dyDescent="0.35">
      <c r="C374" s="124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ht="18.75" customHeight="1" x14ac:dyDescent="0.35">
      <c r="C375" s="124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ht="18.75" customHeight="1" x14ac:dyDescent="0.35">
      <c r="C376" s="124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ht="18.75" customHeight="1" x14ac:dyDescent="0.35">
      <c r="C377" s="124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ht="18.75" customHeight="1" x14ac:dyDescent="0.35">
      <c r="C378" s="124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ht="18.75" customHeight="1" x14ac:dyDescent="0.35">
      <c r="C379" s="124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ht="18.75" customHeight="1" x14ac:dyDescent="0.35">
      <c r="C380" s="124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ht="18.75" customHeight="1" x14ac:dyDescent="0.35">
      <c r="C381" s="124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ht="18.75" customHeight="1" x14ac:dyDescent="0.35">
      <c r="C382" s="124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ht="18.75" customHeight="1" x14ac:dyDescent="0.35">
      <c r="C383" s="124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ht="18.75" customHeight="1" x14ac:dyDescent="0.35">
      <c r="C384" s="124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ht="18.75" customHeight="1" x14ac:dyDescent="0.35">
      <c r="C385" s="124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ht="18.75" customHeight="1" x14ac:dyDescent="0.35">
      <c r="C386" s="124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ht="18.75" customHeight="1" x14ac:dyDescent="0.35">
      <c r="C387" s="124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ht="18.75" customHeight="1" x14ac:dyDescent="0.35">
      <c r="C388" s="124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ht="18.75" customHeight="1" x14ac:dyDescent="0.35">
      <c r="C389" s="124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ht="18.75" customHeight="1" x14ac:dyDescent="0.35">
      <c r="C390" s="124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ht="18.75" customHeight="1" x14ac:dyDescent="0.35">
      <c r="C391" s="124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ht="18.75" customHeight="1" x14ac:dyDescent="0.35">
      <c r="C392" s="124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ht="18.75" customHeight="1" x14ac:dyDescent="0.35">
      <c r="C393" s="124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ht="18.75" customHeight="1" x14ac:dyDescent="0.35">
      <c r="C394" s="124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ht="18.75" customHeight="1" x14ac:dyDescent="0.35">
      <c r="C395" s="124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ht="18.75" customHeight="1" x14ac:dyDescent="0.35">
      <c r="C396" s="124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ht="18.75" customHeight="1" x14ac:dyDescent="0.35">
      <c r="C397" s="124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ht="18.75" customHeight="1" x14ac:dyDescent="0.35">
      <c r="C398" s="124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ht="18.75" customHeight="1" x14ac:dyDescent="0.35">
      <c r="C399" s="124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ht="18.75" customHeight="1" x14ac:dyDescent="0.35">
      <c r="C400" s="124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ht="18.75" customHeight="1" x14ac:dyDescent="0.35">
      <c r="C401" s="124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ht="18.75" customHeight="1" x14ac:dyDescent="0.35">
      <c r="C402" s="124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ht="18.75" customHeight="1" x14ac:dyDescent="0.35">
      <c r="C403" s="124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ht="18.75" customHeight="1" x14ac:dyDescent="0.35">
      <c r="C404" s="124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ht="18.75" customHeight="1" x14ac:dyDescent="0.35">
      <c r="C405" s="124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ht="18.75" customHeight="1" x14ac:dyDescent="0.35">
      <c r="C406" s="124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ht="18.75" customHeight="1" x14ac:dyDescent="0.35">
      <c r="C407" s="124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ht="18.75" customHeight="1" x14ac:dyDescent="0.35">
      <c r="C408" s="124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ht="18.75" customHeight="1" x14ac:dyDescent="0.35">
      <c r="C409" s="124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ht="18.75" customHeight="1" x14ac:dyDescent="0.35">
      <c r="C410" s="124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ht="18.75" customHeight="1" x14ac:dyDescent="0.35">
      <c r="C411" s="124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ht="18.75" customHeight="1" x14ac:dyDescent="0.35">
      <c r="C412" s="124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ht="18.75" customHeight="1" x14ac:dyDescent="0.35">
      <c r="C413" s="124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ht="18.75" customHeight="1" x14ac:dyDescent="0.35">
      <c r="C414" s="124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ht="18.75" customHeight="1" x14ac:dyDescent="0.35">
      <c r="C415" s="124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ht="18.75" customHeight="1" x14ac:dyDescent="0.35">
      <c r="C416" s="124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ht="18.75" customHeight="1" x14ac:dyDescent="0.35">
      <c r="C417" s="124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ht="18.75" customHeight="1" x14ac:dyDescent="0.35">
      <c r="C418" s="124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ht="18.75" customHeight="1" x14ac:dyDescent="0.35">
      <c r="C419" s="124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ht="18.75" customHeight="1" x14ac:dyDescent="0.35">
      <c r="C420" s="124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ht="18.75" customHeight="1" x14ac:dyDescent="0.35">
      <c r="C421" s="124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ht="18.75" customHeight="1" x14ac:dyDescent="0.35">
      <c r="C422" s="124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ht="18.75" customHeight="1" x14ac:dyDescent="0.35">
      <c r="C423" s="124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ht="18.75" customHeight="1" x14ac:dyDescent="0.35">
      <c r="C424" s="124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ht="18.75" customHeight="1" x14ac:dyDescent="0.35">
      <c r="C425" s="124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ht="18.75" customHeight="1" x14ac:dyDescent="0.35">
      <c r="C426" s="124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ht="18.75" customHeight="1" x14ac:dyDescent="0.35">
      <c r="C427" s="124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ht="18.75" customHeight="1" x14ac:dyDescent="0.35">
      <c r="C428" s="124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ht="18.75" customHeight="1" x14ac:dyDescent="0.35">
      <c r="C429" s="124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ht="18.75" customHeight="1" x14ac:dyDescent="0.35">
      <c r="C430" s="124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ht="18.75" customHeight="1" x14ac:dyDescent="0.35">
      <c r="C431" s="124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ht="18.75" customHeight="1" x14ac:dyDescent="0.35">
      <c r="C432" s="124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ht="18.75" customHeight="1" x14ac:dyDescent="0.35">
      <c r="C433" s="124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ht="18.75" customHeight="1" x14ac:dyDescent="0.35">
      <c r="C434" s="124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ht="18.75" customHeight="1" x14ac:dyDescent="0.35">
      <c r="C435" s="124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ht="18.75" customHeight="1" x14ac:dyDescent="0.35">
      <c r="C436" s="124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ht="18.75" customHeight="1" x14ac:dyDescent="0.35">
      <c r="C437" s="124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ht="18.75" customHeight="1" x14ac:dyDescent="0.35">
      <c r="C438" s="124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ht="18.75" customHeight="1" x14ac:dyDescent="0.35">
      <c r="C439" s="124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ht="18.75" customHeight="1" x14ac:dyDescent="0.35">
      <c r="C440" s="124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ht="18.75" customHeight="1" x14ac:dyDescent="0.35">
      <c r="C441" s="124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ht="18.75" customHeight="1" x14ac:dyDescent="0.35">
      <c r="C442" s="124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ht="18.75" customHeight="1" x14ac:dyDescent="0.35">
      <c r="C443" s="124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ht="18.75" customHeight="1" x14ac:dyDescent="0.35">
      <c r="C444" s="124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ht="18.75" customHeight="1" x14ac:dyDescent="0.35">
      <c r="C445" s="124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ht="18.75" customHeight="1" x14ac:dyDescent="0.35">
      <c r="C446" s="124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ht="18.75" customHeight="1" x14ac:dyDescent="0.35">
      <c r="C447" s="124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ht="18.75" customHeight="1" x14ac:dyDescent="0.35">
      <c r="C448" s="124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ht="18.75" customHeight="1" x14ac:dyDescent="0.35">
      <c r="C449" s="124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ht="18.75" customHeight="1" x14ac:dyDescent="0.35">
      <c r="C450" s="124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ht="18.75" customHeight="1" x14ac:dyDescent="0.35">
      <c r="C451" s="124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ht="18.75" customHeight="1" x14ac:dyDescent="0.35">
      <c r="C452" s="124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ht="18.75" customHeight="1" x14ac:dyDescent="0.35">
      <c r="C453" s="124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ht="18.75" customHeight="1" x14ac:dyDescent="0.35">
      <c r="C454" s="124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ht="18.75" customHeight="1" x14ac:dyDescent="0.35">
      <c r="C455" s="124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ht="18.75" customHeight="1" x14ac:dyDescent="0.35">
      <c r="C456" s="124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ht="18.75" customHeight="1" x14ac:dyDescent="0.35">
      <c r="C457" s="124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ht="18.75" customHeight="1" x14ac:dyDescent="0.35">
      <c r="C458" s="124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ht="18.75" customHeight="1" x14ac:dyDescent="0.35">
      <c r="C459" s="124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ht="18.75" customHeight="1" x14ac:dyDescent="0.35">
      <c r="C460" s="124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ht="18.75" customHeight="1" x14ac:dyDescent="0.35">
      <c r="C461" s="124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ht="18.75" customHeight="1" x14ac:dyDescent="0.35">
      <c r="C462" s="124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ht="18.75" customHeight="1" x14ac:dyDescent="0.35">
      <c r="C463" s="124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ht="18.75" customHeight="1" x14ac:dyDescent="0.35">
      <c r="C464" s="124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ht="18.75" customHeight="1" x14ac:dyDescent="0.35">
      <c r="C465" s="124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ht="18.75" customHeight="1" x14ac:dyDescent="0.35">
      <c r="C466" s="124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ht="18.75" customHeight="1" x14ac:dyDescent="0.35">
      <c r="C467" s="124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ht="18.75" customHeight="1" x14ac:dyDescent="0.35">
      <c r="C468" s="124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ht="18.75" customHeight="1" x14ac:dyDescent="0.35">
      <c r="C469" s="124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ht="18.75" customHeight="1" x14ac:dyDescent="0.35">
      <c r="C470" s="124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ht="18.75" customHeight="1" x14ac:dyDescent="0.35">
      <c r="C471" s="124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ht="18.75" customHeight="1" x14ac:dyDescent="0.35">
      <c r="C472" s="124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ht="18.75" customHeight="1" x14ac:dyDescent="0.35">
      <c r="C473" s="124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ht="18.75" customHeight="1" x14ac:dyDescent="0.35">
      <c r="C474" s="124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ht="18.75" customHeight="1" x14ac:dyDescent="0.35">
      <c r="C475" s="124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ht="18.75" customHeight="1" x14ac:dyDescent="0.35">
      <c r="C476" s="124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ht="18.75" customHeight="1" x14ac:dyDescent="0.35">
      <c r="C477" s="124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ht="18.75" customHeight="1" x14ac:dyDescent="0.35">
      <c r="C478" s="124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ht="18.75" customHeight="1" x14ac:dyDescent="0.35">
      <c r="C479" s="124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ht="18.75" customHeight="1" x14ac:dyDescent="0.35">
      <c r="C480" s="124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ht="18.75" customHeight="1" x14ac:dyDescent="0.35">
      <c r="C481" s="124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ht="18.75" customHeight="1" x14ac:dyDescent="0.35">
      <c r="C482" s="124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ht="18.75" customHeight="1" x14ac:dyDescent="0.35">
      <c r="C483" s="124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ht="18.75" customHeight="1" x14ac:dyDescent="0.35">
      <c r="C484" s="124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ht="18.75" customHeight="1" x14ac:dyDescent="0.35">
      <c r="C485" s="124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ht="18.75" customHeight="1" x14ac:dyDescent="0.35">
      <c r="C486" s="124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ht="18.75" customHeight="1" x14ac:dyDescent="0.35">
      <c r="C487" s="124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ht="18.75" customHeight="1" x14ac:dyDescent="0.35">
      <c r="C488" s="124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ht="18.75" customHeight="1" x14ac:dyDescent="0.35">
      <c r="C489" s="124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ht="18.75" customHeight="1" x14ac:dyDescent="0.35">
      <c r="C490" s="124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ht="18.75" customHeight="1" x14ac:dyDescent="0.35">
      <c r="C491" s="124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ht="18.75" customHeight="1" x14ac:dyDescent="0.35">
      <c r="C492" s="124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ht="18.75" customHeight="1" x14ac:dyDescent="0.35">
      <c r="C493" s="124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ht="18.75" customHeight="1" x14ac:dyDescent="0.35">
      <c r="C494" s="124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ht="18.75" customHeight="1" x14ac:dyDescent="0.35">
      <c r="C495" s="124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ht="18.75" customHeight="1" x14ac:dyDescent="0.35">
      <c r="C496" s="124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ht="18.75" customHeight="1" x14ac:dyDescent="0.35">
      <c r="C497" s="124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ht="18.75" customHeight="1" x14ac:dyDescent="0.35">
      <c r="C498" s="124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ht="18.75" customHeight="1" x14ac:dyDescent="0.35">
      <c r="C499" s="124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ht="18.75" customHeight="1" x14ac:dyDescent="0.35">
      <c r="C500" s="124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ht="18.75" customHeight="1" x14ac:dyDescent="0.35">
      <c r="C501" s="124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ht="18.75" customHeight="1" x14ac:dyDescent="0.35">
      <c r="C502" s="124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ht="18.75" customHeight="1" x14ac:dyDescent="0.35">
      <c r="C503" s="124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ht="18.75" customHeight="1" x14ac:dyDescent="0.35">
      <c r="C504" s="124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ht="18.75" customHeight="1" x14ac:dyDescent="0.35">
      <c r="C505" s="124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ht="18.75" customHeight="1" x14ac:dyDescent="0.35">
      <c r="C506" s="124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ht="18.75" customHeight="1" x14ac:dyDescent="0.35">
      <c r="C507" s="124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ht="18.75" customHeight="1" x14ac:dyDescent="0.35">
      <c r="C508" s="124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ht="18.75" customHeight="1" x14ac:dyDescent="0.35">
      <c r="C509" s="124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ht="18.75" customHeight="1" x14ac:dyDescent="0.35">
      <c r="C510" s="124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ht="18.75" customHeight="1" x14ac:dyDescent="0.35">
      <c r="C511" s="124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ht="18.75" customHeight="1" x14ac:dyDescent="0.35">
      <c r="C512" s="124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ht="18.75" customHeight="1" x14ac:dyDescent="0.35">
      <c r="C513" s="124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ht="18.75" customHeight="1" x14ac:dyDescent="0.35">
      <c r="C514" s="124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ht="18.75" customHeight="1" x14ac:dyDescent="0.35">
      <c r="C515" s="124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ht="18.75" customHeight="1" x14ac:dyDescent="0.35">
      <c r="C516" s="124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ht="18.75" customHeight="1" x14ac:dyDescent="0.35">
      <c r="C517" s="124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ht="18.75" customHeight="1" x14ac:dyDescent="0.35">
      <c r="C518" s="124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ht="18.75" customHeight="1" x14ac:dyDescent="0.35">
      <c r="C519" s="124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ht="18.75" customHeight="1" x14ac:dyDescent="0.35">
      <c r="C520" s="124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ht="18.75" customHeight="1" x14ac:dyDescent="0.35">
      <c r="C521" s="124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ht="18.75" customHeight="1" x14ac:dyDescent="0.35">
      <c r="C522" s="124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ht="18.75" customHeight="1" x14ac:dyDescent="0.35">
      <c r="C523" s="124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ht="18.75" customHeight="1" x14ac:dyDescent="0.35">
      <c r="C524" s="124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ht="18.75" customHeight="1" x14ac:dyDescent="0.35">
      <c r="C525" s="124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ht="18.75" customHeight="1" x14ac:dyDescent="0.35">
      <c r="C526" s="124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ht="18.75" customHeight="1" x14ac:dyDescent="0.35">
      <c r="C527" s="124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ht="18.75" customHeight="1" x14ac:dyDescent="0.35">
      <c r="C528" s="124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ht="18.75" customHeight="1" x14ac:dyDescent="0.35">
      <c r="C529" s="124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ht="18.75" customHeight="1" x14ac:dyDescent="0.35">
      <c r="C530" s="124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ht="18.75" customHeight="1" x14ac:dyDescent="0.35">
      <c r="C531" s="124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ht="18.75" customHeight="1" x14ac:dyDescent="0.35">
      <c r="C532" s="124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ht="18.75" customHeight="1" x14ac:dyDescent="0.35">
      <c r="C533" s="124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ht="18.75" customHeight="1" x14ac:dyDescent="0.35">
      <c r="C534" s="124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ht="18.75" customHeight="1" x14ac:dyDescent="0.35">
      <c r="C535" s="124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ht="18.75" customHeight="1" x14ac:dyDescent="0.35">
      <c r="C536" s="124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ht="18.75" customHeight="1" x14ac:dyDescent="0.35">
      <c r="C537" s="124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ht="18.75" customHeight="1" x14ac:dyDescent="0.35">
      <c r="C538" s="124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ht="18.75" customHeight="1" x14ac:dyDescent="0.35">
      <c r="C539" s="124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ht="18.75" customHeight="1" x14ac:dyDescent="0.35">
      <c r="C540" s="124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ht="18.75" customHeight="1" x14ac:dyDescent="0.35">
      <c r="C541" s="124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ht="18.75" customHeight="1" x14ac:dyDescent="0.35">
      <c r="C542" s="124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ht="18.75" customHeight="1" x14ac:dyDescent="0.35">
      <c r="C543" s="124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ht="18.75" customHeight="1" x14ac:dyDescent="0.35">
      <c r="C544" s="124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ht="18.75" customHeight="1" x14ac:dyDescent="0.35">
      <c r="C545" s="124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ht="18.75" customHeight="1" x14ac:dyDescent="0.35">
      <c r="C546" s="124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ht="18.75" customHeight="1" x14ac:dyDescent="0.35">
      <c r="C547" s="124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ht="18.75" customHeight="1" x14ac:dyDescent="0.35">
      <c r="C548" s="124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ht="18.75" customHeight="1" x14ac:dyDescent="0.35">
      <c r="C549" s="124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ht="18.75" customHeight="1" x14ac:dyDescent="0.35">
      <c r="C550" s="124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ht="18.75" customHeight="1" x14ac:dyDescent="0.35">
      <c r="C551" s="124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ht="18.75" customHeight="1" x14ac:dyDescent="0.35">
      <c r="C552" s="124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ht="18.75" customHeight="1" x14ac:dyDescent="0.35">
      <c r="C553" s="124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ht="18.75" customHeight="1" x14ac:dyDescent="0.35">
      <c r="C554" s="124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ht="18.75" customHeight="1" x14ac:dyDescent="0.35">
      <c r="C555" s="124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ht="18.75" customHeight="1" x14ac:dyDescent="0.35">
      <c r="C556" s="124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ht="18.75" customHeight="1" x14ac:dyDescent="0.35">
      <c r="C557" s="124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ht="18.75" customHeight="1" x14ac:dyDescent="0.35">
      <c r="C558" s="124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ht="18.75" customHeight="1" x14ac:dyDescent="0.35">
      <c r="C559" s="124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ht="18.75" customHeight="1" x14ac:dyDescent="0.35">
      <c r="C560" s="124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ht="18.75" customHeight="1" x14ac:dyDescent="0.35">
      <c r="C561" s="124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ht="18.75" customHeight="1" x14ac:dyDescent="0.35">
      <c r="C562" s="124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ht="18.75" customHeight="1" x14ac:dyDescent="0.35">
      <c r="C563" s="124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ht="18.75" customHeight="1" x14ac:dyDescent="0.35">
      <c r="C564" s="124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ht="18.75" customHeight="1" x14ac:dyDescent="0.35">
      <c r="C565" s="124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ht="18.75" customHeight="1" x14ac:dyDescent="0.35">
      <c r="C566" s="124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ht="18.75" customHeight="1" x14ac:dyDescent="0.35">
      <c r="C567" s="124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ht="18.75" customHeight="1" x14ac:dyDescent="0.35">
      <c r="C568" s="124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ht="18.75" customHeight="1" x14ac:dyDescent="0.35">
      <c r="C569" s="124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ht="18.75" customHeight="1" x14ac:dyDescent="0.35">
      <c r="C570" s="124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ht="18.75" customHeight="1" x14ac:dyDescent="0.35">
      <c r="C571" s="124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ht="18.75" customHeight="1" x14ac:dyDescent="0.35">
      <c r="C572" s="124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ht="18.75" customHeight="1" x14ac:dyDescent="0.35">
      <c r="C573" s="124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ht="18.75" customHeight="1" x14ac:dyDescent="0.35">
      <c r="C574" s="124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ht="18.75" customHeight="1" x14ac:dyDescent="0.35">
      <c r="C575" s="124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ht="18.75" customHeight="1" x14ac:dyDescent="0.35">
      <c r="C576" s="124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ht="18.75" customHeight="1" x14ac:dyDescent="0.35">
      <c r="C577" s="124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ht="18.75" customHeight="1" x14ac:dyDescent="0.35">
      <c r="C578" s="124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ht="18.75" customHeight="1" x14ac:dyDescent="0.35">
      <c r="C579" s="124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ht="18.75" customHeight="1" x14ac:dyDescent="0.35">
      <c r="C580" s="124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ht="18.75" customHeight="1" x14ac:dyDescent="0.35">
      <c r="C581" s="124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ht="18.75" customHeight="1" x14ac:dyDescent="0.35">
      <c r="C582" s="124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ht="18.75" customHeight="1" x14ac:dyDescent="0.35">
      <c r="C583" s="124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ht="18.75" customHeight="1" x14ac:dyDescent="0.35">
      <c r="C584" s="124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ht="18.75" customHeight="1" x14ac:dyDescent="0.35">
      <c r="C585" s="124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ht="18.75" customHeight="1" x14ac:dyDescent="0.35">
      <c r="C586" s="124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ht="18.75" customHeight="1" x14ac:dyDescent="0.35">
      <c r="C587" s="124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ht="18.75" customHeight="1" x14ac:dyDescent="0.35">
      <c r="C588" s="124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ht="18.75" customHeight="1" x14ac:dyDescent="0.35">
      <c r="C589" s="124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ht="18.75" customHeight="1" x14ac:dyDescent="0.35">
      <c r="C590" s="124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ht="18.75" customHeight="1" x14ac:dyDescent="0.35">
      <c r="C591" s="124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ht="18.75" customHeight="1" x14ac:dyDescent="0.35">
      <c r="C592" s="124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ht="18.75" customHeight="1" x14ac:dyDescent="0.35">
      <c r="C593" s="124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ht="18.75" customHeight="1" x14ac:dyDescent="0.35">
      <c r="C594" s="124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ht="18.75" customHeight="1" x14ac:dyDescent="0.35">
      <c r="C595" s="124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ht="18.75" customHeight="1" x14ac:dyDescent="0.35">
      <c r="C596" s="124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ht="18.75" customHeight="1" x14ac:dyDescent="0.35">
      <c r="C597" s="124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ht="18.75" customHeight="1" x14ac:dyDescent="0.35">
      <c r="C598" s="124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ht="18.75" customHeight="1" x14ac:dyDescent="0.35">
      <c r="C599" s="124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ht="18.75" customHeight="1" x14ac:dyDescent="0.35">
      <c r="C600" s="124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ht="18.75" customHeight="1" x14ac:dyDescent="0.35">
      <c r="C601" s="124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ht="18.75" customHeight="1" x14ac:dyDescent="0.35">
      <c r="C602" s="124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ht="18.75" customHeight="1" x14ac:dyDescent="0.35">
      <c r="C603" s="124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ht="18.75" customHeight="1" x14ac:dyDescent="0.35">
      <c r="C604" s="124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ht="18.75" customHeight="1" x14ac:dyDescent="0.35">
      <c r="C605" s="124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ht="18.75" customHeight="1" x14ac:dyDescent="0.35">
      <c r="C606" s="124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ht="18.75" customHeight="1" x14ac:dyDescent="0.35">
      <c r="C607" s="124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ht="18.75" customHeight="1" x14ac:dyDescent="0.35">
      <c r="C608" s="124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ht="18.75" customHeight="1" x14ac:dyDescent="0.35">
      <c r="C609" s="124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ht="18.75" customHeight="1" x14ac:dyDescent="0.35">
      <c r="C610" s="124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ht="18.75" customHeight="1" x14ac:dyDescent="0.35">
      <c r="C611" s="124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ht="18.75" customHeight="1" x14ac:dyDescent="0.35">
      <c r="C612" s="124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ht="18.75" customHeight="1" x14ac:dyDescent="0.35">
      <c r="C613" s="124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ht="18.75" customHeight="1" x14ac:dyDescent="0.35">
      <c r="C614" s="124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ht="18.75" customHeight="1" x14ac:dyDescent="0.35">
      <c r="C615" s="124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ht="18.75" customHeight="1" x14ac:dyDescent="0.35">
      <c r="C616" s="124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ht="18.75" customHeight="1" x14ac:dyDescent="0.35">
      <c r="C617" s="124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ht="18.75" customHeight="1" x14ac:dyDescent="0.35">
      <c r="C618" s="124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ht="18.75" customHeight="1" x14ac:dyDescent="0.35">
      <c r="C619" s="124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ht="18.75" customHeight="1" x14ac:dyDescent="0.35">
      <c r="C620" s="124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ht="18.75" customHeight="1" x14ac:dyDescent="0.35">
      <c r="C621" s="124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ht="18.75" customHeight="1" x14ac:dyDescent="0.35">
      <c r="C622" s="124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ht="18.75" customHeight="1" x14ac:dyDescent="0.35">
      <c r="C623" s="124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ht="18.75" customHeight="1" x14ac:dyDescent="0.35">
      <c r="C624" s="124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ht="18.75" customHeight="1" x14ac:dyDescent="0.35">
      <c r="C625" s="124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ht="18.75" customHeight="1" x14ac:dyDescent="0.35">
      <c r="C626" s="124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ht="18.75" customHeight="1" x14ac:dyDescent="0.35">
      <c r="C627" s="124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ht="18.75" customHeight="1" x14ac:dyDescent="0.35">
      <c r="C628" s="124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ht="18.75" customHeight="1" x14ac:dyDescent="0.35">
      <c r="C629" s="124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ht="18.75" customHeight="1" x14ac:dyDescent="0.35">
      <c r="C630" s="124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ht="18.75" customHeight="1" x14ac:dyDescent="0.35">
      <c r="C631" s="124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ht="18.75" customHeight="1" x14ac:dyDescent="0.35">
      <c r="C632" s="124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ht="18.75" customHeight="1" x14ac:dyDescent="0.35">
      <c r="C633" s="124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ht="18.75" customHeight="1" x14ac:dyDescent="0.35">
      <c r="C634" s="124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ht="18.75" customHeight="1" x14ac:dyDescent="0.35">
      <c r="C635" s="124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ht="18.75" customHeight="1" x14ac:dyDescent="0.35">
      <c r="C636" s="124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ht="18.75" customHeight="1" x14ac:dyDescent="0.35">
      <c r="C637" s="124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ht="18.75" customHeight="1" x14ac:dyDescent="0.35">
      <c r="C638" s="124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ht="18.75" customHeight="1" x14ac:dyDescent="0.35">
      <c r="C639" s="124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ht="18.75" customHeight="1" x14ac:dyDescent="0.35">
      <c r="C640" s="124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ht="18.75" customHeight="1" x14ac:dyDescent="0.35">
      <c r="C641" s="124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ht="18.75" customHeight="1" x14ac:dyDescent="0.35">
      <c r="C642" s="124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ht="18.75" customHeight="1" x14ac:dyDescent="0.35">
      <c r="C643" s="124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ht="18.75" customHeight="1" x14ac:dyDescent="0.35">
      <c r="C644" s="124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ht="18.75" customHeight="1" x14ac:dyDescent="0.35">
      <c r="C645" s="124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ht="18.75" customHeight="1" x14ac:dyDescent="0.35">
      <c r="C646" s="124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ht="18.75" customHeight="1" x14ac:dyDescent="0.35">
      <c r="C647" s="124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ht="18.75" customHeight="1" x14ac:dyDescent="0.35">
      <c r="C648" s="124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ht="18.75" customHeight="1" x14ac:dyDescent="0.35">
      <c r="C649" s="124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ht="18.75" customHeight="1" x14ac:dyDescent="0.35">
      <c r="C650" s="124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ht="18.75" customHeight="1" x14ac:dyDescent="0.35">
      <c r="C651" s="124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ht="18.75" customHeight="1" x14ac:dyDescent="0.35">
      <c r="C652" s="124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ht="18.75" customHeight="1" x14ac:dyDescent="0.35">
      <c r="C653" s="124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ht="18.75" customHeight="1" x14ac:dyDescent="0.35">
      <c r="C654" s="124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ht="18.75" customHeight="1" x14ac:dyDescent="0.35">
      <c r="C655" s="124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ht="18.75" customHeight="1" x14ac:dyDescent="0.35">
      <c r="C656" s="124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ht="18.75" customHeight="1" x14ac:dyDescent="0.35">
      <c r="C657" s="124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ht="18.75" customHeight="1" x14ac:dyDescent="0.35">
      <c r="C658" s="124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ht="18.75" customHeight="1" x14ac:dyDescent="0.35">
      <c r="C659" s="124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ht="18.75" customHeight="1" x14ac:dyDescent="0.35">
      <c r="C660" s="124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ht="18.75" customHeight="1" x14ac:dyDescent="0.35">
      <c r="C661" s="124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ht="18.75" customHeight="1" x14ac:dyDescent="0.35">
      <c r="C662" s="124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ht="18.75" customHeight="1" x14ac:dyDescent="0.35">
      <c r="C663" s="124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ht="18.75" customHeight="1" x14ac:dyDescent="0.35">
      <c r="C664" s="124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ht="18.75" customHeight="1" x14ac:dyDescent="0.35">
      <c r="C665" s="124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ht="18.75" customHeight="1" x14ac:dyDescent="0.35">
      <c r="C666" s="124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ht="18.75" customHeight="1" x14ac:dyDescent="0.35">
      <c r="C667" s="124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ht="18.75" customHeight="1" x14ac:dyDescent="0.35">
      <c r="C668" s="124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ht="18.75" customHeight="1" x14ac:dyDescent="0.35">
      <c r="C669" s="124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ht="18.75" customHeight="1" x14ac:dyDescent="0.35">
      <c r="C670" s="124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ht="18.75" customHeight="1" x14ac:dyDescent="0.35">
      <c r="C671" s="124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ht="18.75" customHeight="1" x14ac:dyDescent="0.35">
      <c r="C672" s="124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ht="18.75" customHeight="1" x14ac:dyDescent="0.35">
      <c r="C673" s="124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ht="18.75" customHeight="1" x14ac:dyDescent="0.35">
      <c r="C674" s="124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ht="18.75" customHeight="1" x14ac:dyDescent="0.35">
      <c r="C675" s="124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ht="18.75" customHeight="1" x14ac:dyDescent="0.35">
      <c r="C676" s="124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ht="18.75" customHeight="1" x14ac:dyDescent="0.35">
      <c r="C677" s="124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ht="18.75" customHeight="1" x14ac:dyDescent="0.35">
      <c r="C678" s="124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ht="18.75" customHeight="1" x14ac:dyDescent="0.35">
      <c r="C679" s="124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ht="18.75" customHeight="1" x14ac:dyDescent="0.35">
      <c r="C680" s="124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ht="18.75" customHeight="1" x14ac:dyDescent="0.35">
      <c r="C681" s="124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ht="18.75" customHeight="1" x14ac:dyDescent="0.35">
      <c r="C682" s="124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ht="18.75" customHeight="1" x14ac:dyDescent="0.35">
      <c r="C683" s="124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ht="18.75" customHeight="1" x14ac:dyDescent="0.35">
      <c r="C684" s="124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ht="18.75" customHeight="1" x14ac:dyDescent="0.35">
      <c r="C685" s="124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ht="18.75" customHeight="1" x14ac:dyDescent="0.35">
      <c r="C686" s="124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ht="18.75" customHeight="1" x14ac:dyDescent="0.35">
      <c r="C687" s="124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ht="18.75" customHeight="1" x14ac:dyDescent="0.35">
      <c r="C688" s="124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ht="18.75" customHeight="1" x14ac:dyDescent="0.35">
      <c r="C689" s="124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ht="18.75" customHeight="1" x14ac:dyDescent="0.35">
      <c r="C690" s="124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ht="18.75" customHeight="1" x14ac:dyDescent="0.35">
      <c r="C691" s="124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ht="18.75" customHeight="1" x14ac:dyDescent="0.35">
      <c r="C692" s="124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ht="18.75" customHeight="1" x14ac:dyDescent="0.35">
      <c r="C693" s="124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ht="18.75" customHeight="1" x14ac:dyDescent="0.35">
      <c r="C694" s="124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ht="18.75" customHeight="1" x14ac:dyDescent="0.35">
      <c r="C695" s="124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ht="18.75" customHeight="1" x14ac:dyDescent="0.35">
      <c r="C696" s="124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ht="18.75" customHeight="1" x14ac:dyDescent="0.35">
      <c r="C697" s="124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ht="18.75" customHeight="1" x14ac:dyDescent="0.35">
      <c r="C698" s="124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ht="18.75" customHeight="1" x14ac:dyDescent="0.35">
      <c r="C699" s="124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ht="18.75" customHeight="1" x14ac:dyDescent="0.35">
      <c r="C700" s="124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ht="18.75" customHeight="1" x14ac:dyDescent="0.35">
      <c r="C701" s="124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ht="18.75" customHeight="1" x14ac:dyDescent="0.35">
      <c r="C702" s="124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ht="18.75" customHeight="1" x14ac:dyDescent="0.35">
      <c r="C703" s="124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ht="18.75" customHeight="1" x14ac:dyDescent="0.35">
      <c r="C704" s="124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ht="18.75" customHeight="1" x14ac:dyDescent="0.35">
      <c r="C705" s="124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ht="18.75" customHeight="1" x14ac:dyDescent="0.35">
      <c r="C706" s="124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ht="18.75" customHeight="1" x14ac:dyDescent="0.35">
      <c r="C707" s="124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ht="18.75" customHeight="1" x14ac:dyDescent="0.35">
      <c r="C708" s="124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ht="18.75" customHeight="1" x14ac:dyDescent="0.35">
      <c r="C709" s="124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ht="18.75" customHeight="1" x14ac:dyDescent="0.35">
      <c r="C710" s="124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ht="18.75" customHeight="1" x14ac:dyDescent="0.35">
      <c r="C711" s="124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ht="18.75" customHeight="1" x14ac:dyDescent="0.35">
      <c r="C712" s="124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ht="18.75" customHeight="1" x14ac:dyDescent="0.35">
      <c r="C713" s="124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ht="18.75" customHeight="1" x14ac:dyDescent="0.35">
      <c r="C714" s="124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ht="18.75" customHeight="1" x14ac:dyDescent="0.35">
      <c r="C715" s="124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ht="18.75" customHeight="1" x14ac:dyDescent="0.35">
      <c r="C716" s="124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ht="18.75" customHeight="1" x14ac:dyDescent="0.35">
      <c r="C717" s="124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ht="18.75" customHeight="1" x14ac:dyDescent="0.35">
      <c r="C718" s="124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ht="18.75" customHeight="1" x14ac:dyDescent="0.35">
      <c r="C719" s="124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ht="18.75" customHeight="1" x14ac:dyDescent="0.35">
      <c r="C720" s="124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ht="18.75" customHeight="1" x14ac:dyDescent="0.35">
      <c r="C721" s="124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ht="18.75" customHeight="1" x14ac:dyDescent="0.35">
      <c r="C722" s="124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ht="18.75" customHeight="1" x14ac:dyDescent="0.35">
      <c r="C723" s="124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ht="18.75" customHeight="1" x14ac:dyDescent="0.35">
      <c r="C724" s="124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ht="18.75" customHeight="1" x14ac:dyDescent="0.35">
      <c r="C725" s="124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ht="18.75" customHeight="1" x14ac:dyDescent="0.35">
      <c r="C726" s="124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ht="18.75" customHeight="1" x14ac:dyDescent="0.35">
      <c r="C727" s="124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ht="18.75" customHeight="1" x14ac:dyDescent="0.35">
      <c r="C728" s="124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ht="18.75" customHeight="1" x14ac:dyDescent="0.35">
      <c r="C729" s="124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ht="18.75" customHeight="1" x14ac:dyDescent="0.35">
      <c r="C730" s="124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ht="18.75" customHeight="1" x14ac:dyDescent="0.35">
      <c r="C731" s="124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ht="18.75" customHeight="1" x14ac:dyDescent="0.35">
      <c r="C732" s="124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ht="18.75" customHeight="1" x14ac:dyDescent="0.35">
      <c r="C733" s="124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ht="18.75" customHeight="1" x14ac:dyDescent="0.35">
      <c r="C734" s="124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ht="18.75" customHeight="1" x14ac:dyDescent="0.35">
      <c r="C735" s="124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ht="18.75" customHeight="1" x14ac:dyDescent="0.35">
      <c r="C736" s="124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ht="18.75" customHeight="1" x14ac:dyDescent="0.35">
      <c r="C737" s="124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ht="18.75" customHeight="1" x14ac:dyDescent="0.35">
      <c r="C738" s="124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ht="18.75" customHeight="1" x14ac:dyDescent="0.35">
      <c r="C739" s="124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ht="18.75" customHeight="1" x14ac:dyDescent="0.35">
      <c r="C740" s="124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ht="18.75" customHeight="1" x14ac:dyDescent="0.35">
      <c r="C741" s="124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ht="18.75" customHeight="1" x14ac:dyDescent="0.35">
      <c r="C742" s="124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ht="18.75" customHeight="1" x14ac:dyDescent="0.35">
      <c r="C743" s="124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ht="18.75" customHeight="1" x14ac:dyDescent="0.35">
      <c r="C744" s="124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ht="18.75" customHeight="1" x14ac:dyDescent="0.35">
      <c r="C745" s="124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ht="18.75" customHeight="1" x14ac:dyDescent="0.35">
      <c r="C746" s="124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ht="18.75" customHeight="1" x14ac:dyDescent="0.35">
      <c r="C747" s="124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ht="18.75" customHeight="1" x14ac:dyDescent="0.35">
      <c r="C748" s="124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ht="18.75" customHeight="1" x14ac:dyDescent="0.35">
      <c r="C749" s="124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ht="18.75" customHeight="1" x14ac:dyDescent="0.35">
      <c r="C750" s="124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ht="18.75" customHeight="1" x14ac:dyDescent="0.35">
      <c r="C751" s="124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ht="18.75" customHeight="1" x14ac:dyDescent="0.35">
      <c r="C752" s="124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ht="18.75" customHeight="1" x14ac:dyDescent="0.35">
      <c r="C753" s="124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ht="18.75" customHeight="1" x14ac:dyDescent="0.35">
      <c r="C754" s="124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ht="18.75" customHeight="1" x14ac:dyDescent="0.35">
      <c r="C755" s="124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ht="18.75" customHeight="1" x14ac:dyDescent="0.35">
      <c r="C756" s="124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ht="18.75" customHeight="1" x14ac:dyDescent="0.35">
      <c r="C757" s="124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ht="18.75" customHeight="1" x14ac:dyDescent="0.35">
      <c r="C758" s="124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ht="18.75" customHeight="1" x14ac:dyDescent="0.35">
      <c r="C759" s="124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ht="18.75" customHeight="1" x14ac:dyDescent="0.35">
      <c r="C760" s="124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ht="18.75" customHeight="1" x14ac:dyDescent="0.35">
      <c r="C761" s="124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ht="18.75" customHeight="1" x14ac:dyDescent="0.35">
      <c r="C762" s="124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ht="18.75" customHeight="1" x14ac:dyDescent="0.35">
      <c r="C763" s="124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ht="18.75" customHeight="1" x14ac:dyDescent="0.35">
      <c r="C764" s="124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ht="18.75" customHeight="1" x14ac:dyDescent="0.35">
      <c r="C765" s="124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ht="18.75" customHeight="1" x14ac:dyDescent="0.35">
      <c r="C766" s="124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ht="18.75" customHeight="1" x14ac:dyDescent="0.35">
      <c r="C767" s="124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ht="18.75" customHeight="1" x14ac:dyDescent="0.35">
      <c r="C768" s="124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ht="18.75" customHeight="1" x14ac:dyDescent="0.35">
      <c r="C769" s="124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ht="18.75" customHeight="1" x14ac:dyDescent="0.35">
      <c r="C770" s="124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ht="18.75" customHeight="1" x14ac:dyDescent="0.35">
      <c r="C771" s="124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ht="18.75" customHeight="1" x14ac:dyDescent="0.35">
      <c r="C772" s="124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ht="18.75" customHeight="1" x14ac:dyDescent="0.35">
      <c r="C773" s="124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ht="18.75" customHeight="1" x14ac:dyDescent="0.35">
      <c r="C774" s="124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ht="18.75" customHeight="1" x14ac:dyDescent="0.35">
      <c r="C775" s="124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ht="18.75" customHeight="1" x14ac:dyDescent="0.35">
      <c r="C776" s="124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ht="18.75" customHeight="1" x14ac:dyDescent="0.35">
      <c r="C777" s="124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ht="18.75" customHeight="1" x14ac:dyDescent="0.35">
      <c r="C778" s="124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ht="18.75" customHeight="1" x14ac:dyDescent="0.35">
      <c r="C779" s="124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ht="18.75" customHeight="1" x14ac:dyDescent="0.35">
      <c r="C780" s="124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ht="18.75" customHeight="1" x14ac:dyDescent="0.35">
      <c r="C781" s="124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ht="18.75" customHeight="1" x14ac:dyDescent="0.35">
      <c r="C782" s="124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ht="18.75" customHeight="1" x14ac:dyDescent="0.35">
      <c r="C783" s="124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ht="18.75" customHeight="1" x14ac:dyDescent="0.35">
      <c r="C784" s="124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ht="18.75" customHeight="1" x14ac:dyDescent="0.35">
      <c r="C785" s="124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ht="18.75" customHeight="1" x14ac:dyDescent="0.35">
      <c r="C786" s="124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ht="18.75" customHeight="1" x14ac:dyDescent="0.35">
      <c r="C787" s="124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ht="18.75" customHeight="1" x14ac:dyDescent="0.35">
      <c r="C788" s="124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ht="18.75" customHeight="1" x14ac:dyDescent="0.35">
      <c r="C789" s="124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ht="18.75" customHeight="1" x14ac:dyDescent="0.35">
      <c r="C790" s="124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ht="18.75" customHeight="1" x14ac:dyDescent="0.35">
      <c r="C791" s="124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ht="18.75" customHeight="1" x14ac:dyDescent="0.35">
      <c r="C792" s="124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ht="18.75" customHeight="1" x14ac:dyDescent="0.35">
      <c r="C793" s="124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ht="18.75" customHeight="1" x14ac:dyDescent="0.35">
      <c r="C794" s="124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ht="18.75" customHeight="1" x14ac:dyDescent="0.35">
      <c r="C795" s="124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ht="18.75" customHeight="1" x14ac:dyDescent="0.35">
      <c r="C796" s="124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ht="18.75" customHeight="1" x14ac:dyDescent="0.35">
      <c r="C797" s="124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ht="18.75" customHeight="1" x14ac:dyDescent="0.35">
      <c r="C798" s="124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ht="18.75" customHeight="1" x14ac:dyDescent="0.35">
      <c r="C799" s="124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ht="18.75" customHeight="1" x14ac:dyDescent="0.35">
      <c r="C800" s="124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ht="18.75" customHeight="1" x14ac:dyDescent="0.35">
      <c r="C801" s="124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ht="18.75" customHeight="1" x14ac:dyDescent="0.35">
      <c r="C802" s="124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ht="18.75" customHeight="1" x14ac:dyDescent="0.35">
      <c r="C803" s="124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ht="18.75" customHeight="1" x14ac:dyDescent="0.35">
      <c r="C804" s="124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ht="18.75" customHeight="1" x14ac:dyDescent="0.35">
      <c r="C805" s="124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ht="18.75" customHeight="1" x14ac:dyDescent="0.35">
      <c r="C806" s="124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ht="18.75" customHeight="1" x14ac:dyDescent="0.35">
      <c r="C807" s="124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ht="18.75" customHeight="1" x14ac:dyDescent="0.35">
      <c r="C808" s="124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ht="18.75" customHeight="1" x14ac:dyDescent="0.35">
      <c r="C809" s="124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ht="18.75" customHeight="1" x14ac:dyDescent="0.35">
      <c r="C810" s="124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ht="18.75" customHeight="1" x14ac:dyDescent="0.35">
      <c r="C811" s="124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ht="18.75" customHeight="1" x14ac:dyDescent="0.35">
      <c r="C812" s="124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ht="18.75" customHeight="1" x14ac:dyDescent="0.35">
      <c r="C813" s="124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ht="18.75" customHeight="1" x14ac:dyDescent="0.35">
      <c r="C814" s="124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ht="18.75" customHeight="1" x14ac:dyDescent="0.35">
      <c r="C815" s="124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ht="18.75" customHeight="1" x14ac:dyDescent="0.35">
      <c r="C816" s="124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ht="18.75" customHeight="1" x14ac:dyDescent="0.35">
      <c r="C817" s="124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ht="18.75" customHeight="1" x14ac:dyDescent="0.35">
      <c r="C818" s="124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ht="18.75" customHeight="1" x14ac:dyDescent="0.35">
      <c r="C819" s="124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ht="18.75" customHeight="1" x14ac:dyDescent="0.35">
      <c r="C820" s="124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ht="18.75" customHeight="1" x14ac:dyDescent="0.35">
      <c r="C821" s="124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ht="18.75" customHeight="1" x14ac:dyDescent="0.35">
      <c r="C822" s="124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ht="18.75" customHeight="1" x14ac:dyDescent="0.35">
      <c r="C823" s="124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ht="18.75" customHeight="1" x14ac:dyDescent="0.35">
      <c r="C824" s="124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ht="18.75" customHeight="1" x14ac:dyDescent="0.35">
      <c r="C825" s="124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ht="18.75" customHeight="1" x14ac:dyDescent="0.35">
      <c r="C826" s="124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ht="18.75" customHeight="1" x14ac:dyDescent="0.35">
      <c r="C827" s="124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ht="18.75" customHeight="1" x14ac:dyDescent="0.35">
      <c r="C828" s="124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ht="18.75" customHeight="1" x14ac:dyDescent="0.35">
      <c r="C829" s="124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ht="18.75" customHeight="1" x14ac:dyDescent="0.35">
      <c r="C830" s="124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ht="18.75" customHeight="1" x14ac:dyDescent="0.35">
      <c r="C831" s="124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ht="18.75" customHeight="1" x14ac:dyDescent="0.35">
      <c r="C832" s="124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ht="18.75" customHeight="1" x14ac:dyDescent="0.35">
      <c r="C833" s="124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ht="18.75" customHeight="1" x14ac:dyDescent="0.35">
      <c r="C834" s="124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ht="18.75" customHeight="1" x14ac:dyDescent="0.35">
      <c r="C835" s="124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ht="18.75" customHeight="1" x14ac:dyDescent="0.35">
      <c r="C836" s="124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ht="18.75" customHeight="1" x14ac:dyDescent="0.35">
      <c r="C837" s="124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ht="18.75" customHeight="1" x14ac:dyDescent="0.35">
      <c r="C838" s="124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ht="18.75" customHeight="1" x14ac:dyDescent="0.35">
      <c r="C839" s="124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ht="18.75" customHeight="1" x14ac:dyDescent="0.35">
      <c r="C840" s="124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ht="18.75" customHeight="1" x14ac:dyDescent="0.35">
      <c r="C841" s="124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ht="18.75" customHeight="1" x14ac:dyDescent="0.35">
      <c r="C842" s="124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ht="18.75" customHeight="1" x14ac:dyDescent="0.35">
      <c r="C843" s="124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ht="18.75" customHeight="1" x14ac:dyDescent="0.35">
      <c r="C844" s="124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ht="18.75" customHeight="1" x14ac:dyDescent="0.35">
      <c r="C845" s="124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ht="18.75" customHeight="1" x14ac:dyDescent="0.35">
      <c r="C846" s="124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ht="18.75" customHeight="1" x14ac:dyDescent="0.35">
      <c r="C847" s="124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ht="18.75" customHeight="1" x14ac:dyDescent="0.35">
      <c r="C848" s="124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ht="18.75" customHeight="1" x14ac:dyDescent="0.35">
      <c r="C849" s="124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ht="18.75" customHeight="1" x14ac:dyDescent="0.35">
      <c r="C850" s="124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ht="18.75" customHeight="1" x14ac:dyDescent="0.35">
      <c r="C851" s="124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ht="18.75" customHeight="1" x14ac:dyDescent="0.35">
      <c r="C852" s="124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ht="18.75" customHeight="1" x14ac:dyDescent="0.35">
      <c r="C853" s="124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ht="18.75" customHeight="1" x14ac:dyDescent="0.35">
      <c r="C854" s="124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ht="18.75" customHeight="1" x14ac:dyDescent="0.35">
      <c r="C855" s="124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ht="18.75" customHeight="1" x14ac:dyDescent="0.35">
      <c r="C856" s="124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ht="18.75" customHeight="1" x14ac:dyDescent="0.35">
      <c r="C857" s="124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ht="18.75" customHeight="1" x14ac:dyDescent="0.35">
      <c r="C858" s="124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ht="18.75" customHeight="1" x14ac:dyDescent="0.35">
      <c r="C859" s="124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ht="18.75" customHeight="1" x14ac:dyDescent="0.35">
      <c r="C860" s="124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ht="18.75" customHeight="1" x14ac:dyDescent="0.35">
      <c r="C861" s="124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ht="18.75" customHeight="1" x14ac:dyDescent="0.35">
      <c r="C862" s="124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ht="18.75" customHeight="1" x14ac:dyDescent="0.35">
      <c r="C863" s="124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ht="18.75" customHeight="1" x14ac:dyDescent="0.35">
      <c r="C864" s="124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ht="18.75" customHeight="1" x14ac:dyDescent="0.35">
      <c r="C865" s="124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ht="18.75" customHeight="1" x14ac:dyDescent="0.35">
      <c r="C866" s="124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ht="18.75" customHeight="1" x14ac:dyDescent="0.35">
      <c r="C867" s="124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ht="18.75" customHeight="1" x14ac:dyDescent="0.35">
      <c r="C868" s="124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ht="18.75" customHeight="1" x14ac:dyDescent="0.35">
      <c r="C869" s="124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ht="18.75" customHeight="1" x14ac:dyDescent="0.35">
      <c r="C870" s="124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ht="18.75" customHeight="1" x14ac:dyDescent="0.35">
      <c r="C871" s="124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ht="18.75" customHeight="1" x14ac:dyDescent="0.35">
      <c r="C872" s="124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ht="18.75" customHeight="1" x14ac:dyDescent="0.35">
      <c r="C873" s="124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ht="18.75" customHeight="1" x14ac:dyDescent="0.35">
      <c r="C874" s="124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ht="18.75" customHeight="1" x14ac:dyDescent="0.35">
      <c r="C875" s="124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ht="18.75" customHeight="1" x14ac:dyDescent="0.35">
      <c r="C876" s="124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ht="18.75" customHeight="1" x14ac:dyDescent="0.35">
      <c r="C877" s="124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ht="18.75" customHeight="1" x14ac:dyDescent="0.35">
      <c r="C878" s="124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ht="18.75" customHeight="1" x14ac:dyDescent="0.35">
      <c r="C879" s="124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ht="18.75" customHeight="1" x14ac:dyDescent="0.35">
      <c r="C880" s="124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ht="18.75" customHeight="1" x14ac:dyDescent="0.35">
      <c r="C881" s="124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ht="18.75" customHeight="1" x14ac:dyDescent="0.35">
      <c r="C882" s="124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ht="18.75" customHeight="1" x14ac:dyDescent="0.35">
      <c r="C883" s="124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ht="18.75" customHeight="1" x14ac:dyDescent="0.35">
      <c r="C884" s="124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ht="18.75" customHeight="1" x14ac:dyDescent="0.35">
      <c r="C885" s="124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ht="18.75" customHeight="1" x14ac:dyDescent="0.35">
      <c r="C886" s="124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ht="18.75" customHeight="1" x14ac:dyDescent="0.35">
      <c r="C887" s="124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ht="18.75" customHeight="1" x14ac:dyDescent="0.35">
      <c r="C888" s="124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ht="18.75" customHeight="1" x14ac:dyDescent="0.35">
      <c r="C889" s="124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ht="18.75" customHeight="1" x14ac:dyDescent="0.35">
      <c r="C890" s="124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ht="18.75" customHeight="1" x14ac:dyDescent="0.35">
      <c r="C891" s="124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ht="18.75" customHeight="1" x14ac:dyDescent="0.35">
      <c r="C892" s="124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ht="18.75" customHeight="1" x14ac:dyDescent="0.35">
      <c r="C893" s="124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ht="18.75" customHeight="1" x14ac:dyDescent="0.35">
      <c r="C894" s="124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ht="18.75" customHeight="1" x14ac:dyDescent="0.35">
      <c r="C895" s="124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ht="18.75" customHeight="1" x14ac:dyDescent="0.35">
      <c r="C896" s="124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ht="18.75" customHeight="1" x14ac:dyDescent="0.35">
      <c r="C897" s="124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ht="18.75" customHeight="1" x14ac:dyDescent="0.35">
      <c r="C898" s="124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ht="18.75" customHeight="1" x14ac:dyDescent="0.35">
      <c r="C899" s="124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ht="18.75" customHeight="1" x14ac:dyDescent="0.35">
      <c r="C900" s="124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ht="18.75" customHeight="1" x14ac:dyDescent="0.35">
      <c r="C901" s="124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ht="18.75" customHeight="1" x14ac:dyDescent="0.35">
      <c r="C902" s="124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ht="18.75" customHeight="1" x14ac:dyDescent="0.35">
      <c r="C903" s="124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ht="18.75" customHeight="1" x14ac:dyDescent="0.35">
      <c r="C904" s="124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ht="18.75" customHeight="1" x14ac:dyDescent="0.35">
      <c r="C905" s="124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ht="18.75" customHeight="1" x14ac:dyDescent="0.35">
      <c r="C906" s="124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ht="18.75" customHeight="1" x14ac:dyDescent="0.35">
      <c r="C907" s="124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ht="18.75" customHeight="1" x14ac:dyDescent="0.35">
      <c r="C908" s="124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ht="18.75" customHeight="1" x14ac:dyDescent="0.35">
      <c r="C909" s="124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ht="18.75" customHeight="1" x14ac:dyDescent="0.35">
      <c r="C910" s="124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ht="18.75" customHeight="1" x14ac:dyDescent="0.35">
      <c r="C911" s="124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ht="18.75" customHeight="1" x14ac:dyDescent="0.35">
      <c r="C912" s="124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ht="18.75" customHeight="1" x14ac:dyDescent="0.35">
      <c r="C913" s="124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ht="18.75" customHeight="1" x14ac:dyDescent="0.35">
      <c r="C914" s="124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ht="18.75" customHeight="1" x14ac:dyDescent="0.35">
      <c r="C915" s="124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ht="18.75" customHeight="1" x14ac:dyDescent="0.35">
      <c r="C916" s="124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ht="18.75" customHeight="1" x14ac:dyDescent="0.35">
      <c r="C917" s="124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ht="18.75" customHeight="1" x14ac:dyDescent="0.35">
      <c r="C918" s="124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ht="18.75" customHeight="1" x14ac:dyDescent="0.35">
      <c r="C919" s="124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ht="18.75" customHeight="1" x14ac:dyDescent="0.35">
      <c r="C920" s="124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ht="18.75" customHeight="1" x14ac:dyDescent="0.35">
      <c r="C921" s="124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ht="18.75" customHeight="1" x14ac:dyDescent="0.35">
      <c r="C922" s="124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ht="18.75" customHeight="1" x14ac:dyDescent="0.35">
      <c r="C923" s="124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ht="18.75" customHeight="1" x14ac:dyDescent="0.35">
      <c r="C924" s="124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ht="18.75" customHeight="1" x14ac:dyDescent="0.35">
      <c r="C925" s="124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ht="18.75" customHeight="1" x14ac:dyDescent="0.35">
      <c r="C926" s="124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ht="18.75" customHeight="1" x14ac:dyDescent="0.35">
      <c r="C927" s="124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ht="18.75" customHeight="1" x14ac:dyDescent="0.35">
      <c r="C928" s="124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ht="18.75" customHeight="1" x14ac:dyDescent="0.35">
      <c r="C929" s="124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ht="18.75" customHeight="1" x14ac:dyDescent="0.35">
      <c r="C930" s="124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ht="18.75" customHeight="1" x14ac:dyDescent="0.35">
      <c r="C931" s="124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ht="18.75" customHeight="1" x14ac:dyDescent="0.35">
      <c r="C932" s="124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ht="18.75" customHeight="1" x14ac:dyDescent="0.35">
      <c r="C933" s="124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ht="18.75" customHeight="1" x14ac:dyDescent="0.35">
      <c r="C934" s="124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ht="18.75" customHeight="1" x14ac:dyDescent="0.35">
      <c r="C935" s="124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ht="18.75" customHeight="1" x14ac:dyDescent="0.35">
      <c r="C936" s="124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ht="18.75" customHeight="1" x14ac:dyDescent="0.35">
      <c r="C937" s="124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ht="18.75" customHeight="1" x14ac:dyDescent="0.35">
      <c r="C938" s="124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ht="18.75" customHeight="1" x14ac:dyDescent="0.35">
      <c r="C939" s="124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ht="18.75" customHeight="1" x14ac:dyDescent="0.35">
      <c r="C940" s="124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ht="18.75" customHeight="1" x14ac:dyDescent="0.35">
      <c r="C941" s="124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ht="18.75" customHeight="1" x14ac:dyDescent="0.35">
      <c r="C942" s="124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ht="18.75" customHeight="1" x14ac:dyDescent="0.35">
      <c r="C943" s="124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ht="18.75" customHeight="1" x14ac:dyDescent="0.35">
      <c r="C944" s="124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ht="18.75" customHeight="1" x14ac:dyDescent="0.35">
      <c r="C945" s="124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ht="18.75" customHeight="1" x14ac:dyDescent="0.35">
      <c r="C946" s="124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ht="18.75" customHeight="1" x14ac:dyDescent="0.35">
      <c r="C947" s="124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ht="18.75" customHeight="1" x14ac:dyDescent="0.35">
      <c r="C948" s="124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ht="18.75" customHeight="1" x14ac:dyDescent="0.35">
      <c r="C949" s="124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ht="18.75" customHeight="1" x14ac:dyDescent="0.35">
      <c r="C950" s="124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ht="18.75" customHeight="1" x14ac:dyDescent="0.35">
      <c r="C951" s="124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ht="18.75" customHeight="1" x14ac:dyDescent="0.35">
      <c r="C952" s="124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ht="18.75" customHeight="1" x14ac:dyDescent="0.35">
      <c r="C953" s="124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ht="18.75" customHeight="1" x14ac:dyDescent="0.35">
      <c r="C954" s="124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ht="18.75" customHeight="1" x14ac:dyDescent="0.35">
      <c r="C955" s="124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ht="18.75" customHeight="1" x14ac:dyDescent="0.35">
      <c r="C956" s="124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ht="18.75" customHeight="1" x14ac:dyDescent="0.35">
      <c r="C957" s="124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ht="18.75" customHeight="1" x14ac:dyDescent="0.35">
      <c r="C958" s="124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ht="18.75" customHeight="1" x14ac:dyDescent="0.35">
      <c r="C959" s="124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ht="18.75" customHeight="1" x14ac:dyDescent="0.35">
      <c r="C960" s="124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ht="18.75" customHeight="1" x14ac:dyDescent="0.35">
      <c r="C961" s="124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ht="18.75" customHeight="1" x14ac:dyDescent="0.35">
      <c r="C962" s="124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ht="18.75" customHeight="1" x14ac:dyDescent="0.35">
      <c r="C963" s="124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ht="18.75" customHeight="1" x14ac:dyDescent="0.35">
      <c r="C964" s="124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ht="18.75" customHeight="1" x14ac:dyDescent="0.35">
      <c r="C965" s="124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ht="18.75" customHeight="1" x14ac:dyDescent="0.35">
      <c r="C966" s="124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ht="18.75" customHeight="1" x14ac:dyDescent="0.35">
      <c r="C967" s="124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ht="18.75" customHeight="1" x14ac:dyDescent="0.35">
      <c r="C968" s="124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ht="18.75" customHeight="1" x14ac:dyDescent="0.35">
      <c r="C969" s="124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ht="18.75" customHeight="1" x14ac:dyDescent="0.35">
      <c r="C970" s="124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ht="18.75" customHeight="1" x14ac:dyDescent="0.35">
      <c r="C971" s="124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ht="18.75" customHeight="1" x14ac:dyDescent="0.35">
      <c r="C972" s="124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ht="18.75" customHeight="1" x14ac:dyDescent="0.35">
      <c r="C973" s="124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ht="18.75" customHeight="1" x14ac:dyDescent="0.35">
      <c r="C974" s="124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ht="18.75" customHeight="1" x14ac:dyDescent="0.35">
      <c r="C975" s="124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ht="18.75" customHeight="1" x14ac:dyDescent="0.35">
      <c r="C976" s="124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ht="18.75" customHeight="1" x14ac:dyDescent="0.35">
      <c r="C977" s="124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ht="18.75" customHeight="1" x14ac:dyDescent="0.35">
      <c r="C978" s="124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ht="18.75" customHeight="1" x14ac:dyDescent="0.35">
      <c r="C979" s="124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ht="18.75" customHeight="1" x14ac:dyDescent="0.35">
      <c r="C980" s="124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ht="18.75" customHeight="1" x14ac:dyDescent="0.35">
      <c r="C981" s="124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ht="18.75" customHeight="1" x14ac:dyDescent="0.35">
      <c r="C982" s="124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ht="18.75" customHeight="1" x14ac:dyDescent="0.35">
      <c r="C983" s="124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ht="18.75" customHeight="1" x14ac:dyDescent="0.35">
      <c r="C984" s="124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ht="18.75" customHeight="1" x14ac:dyDescent="0.35">
      <c r="C985" s="124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ht="18.75" customHeight="1" x14ac:dyDescent="0.35">
      <c r="C986" s="124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ht="18.75" customHeight="1" x14ac:dyDescent="0.35">
      <c r="C987" s="124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ht="18.75" customHeight="1" x14ac:dyDescent="0.35">
      <c r="C988" s="124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ht="18.75" customHeight="1" x14ac:dyDescent="0.35">
      <c r="C989" s="124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ht="18.75" customHeight="1" x14ac:dyDescent="0.35">
      <c r="C990" s="124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ht="18.75" customHeight="1" x14ac:dyDescent="0.35">
      <c r="C991" s="124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ht="18.75" customHeight="1" x14ac:dyDescent="0.35">
      <c r="C992" s="124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ht="18.75" customHeight="1" x14ac:dyDescent="0.35">
      <c r="C993" s="124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ht="18.75" customHeight="1" x14ac:dyDescent="0.35">
      <c r="C994" s="124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ht="18.75" customHeight="1" x14ac:dyDescent="0.35">
      <c r="C995" s="124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ht="18.75" customHeight="1" x14ac:dyDescent="0.35">
      <c r="C996" s="124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ht="18.75" customHeight="1" x14ac:dyDescent="0.35">
      <c r="C997" s="124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ht="18.75" customHeight="1" x14ac:dyDescent="0.35">
      <c r="C998" s="124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ht="18.75" customHeight="1" x14ac:dyDescent="0.35">
      <c r="C999" s="124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ht="18.75" customHeight="1" x14ac:dyDescent="0.35">
      <c r="C1000" s="124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ht="18.75" customHeight="1" x14ac:dyDescent="0.35">
      <c r="C1001" s="124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ht="18.75" customHeight="1" x14ac:dyDescent="0.35">
      <c r="C1002" s="124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ht="18.75" customHeight="1" x14ac:dyDescent="0.35">
      <c r="C1003" s="124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ht="18.75" customHeight="1" x14ac:dyDescent="0.35">
      <c r="C1004" s="124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ht="18.75" customHeight="1" x14ac:dyDescent="0.35">
      <c r="C1005" s="124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ht="18.75" customHeight="1" x14ac:dyDescent="0.35">
      <c r="C1006" s="124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ht="18.75" customHeight="1" x14ac:dyDescent="0.35">
      <c r="C1007" s="124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ht="18.75" customHeight="1" x14ac:dyDescent="0.35">
      <c r="C1008" s="124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ht="18.75" customHeight="1" x14ac:dyDescent="0.35">
      <c r="C1009" s="124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ht="18.75" customHeight="1" x14ac:dyDescent="0.35">
      <c r="C1010" s="124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ht="18.75" customHeight="1" x14ac:dyDescent="0.35">
      <c r="C1011" s="124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ht="18.75" customHeight="1" x14ac:dyDescent="0.35">
      <c r="C1012" s="124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ht="18.75" customHeight="1" x14ac:dyDescent="0.35">
      <c r="C1013" s="124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ht="18.75" customHeight="1" x14ac:dyDescent="0.35">
      <c r="C1014" s="124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ht="18.75" customHeight="1" x14ac:dyDescent="0.35">
      <c r="C1015" s="124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ht="18.75" customHeight="1" x14ac:dyDescent="0.35">
      <c r="C1016" s="124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ht="18.75" customHeight="1" x14ac:dyDescent="0.35">
      <c r="C1017" s="124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ht="18.75" customHeight="1" x14ac:dyDescent="0.35">
      <c r="C1018" s="124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ht="18.75" customHeight="1" x14ac:dyDescent="0.35">
      <c r="C1019" s="124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ht="18.75" customHeight="1" x14ac:dyDescent="0.35">
      <c r="C1020" s="124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ht="18.75" customHeight="1" x14ac:dyDescent="0.35">
      <c r="C1021" s="124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ht="18.75" customHeight="1" x14ac:dyDescent="0.35">
      <c r="C1022" s="124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ht="18.75" customHeight="1" x14ac:dyDescent="0.35">
      <c r="C1023" s="124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ht="18.75" customHeight="1" x14ac:dyDescent="0.35">
      <c r="C1024" s="124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ht="18.75" customHeight="1" x14ac:dyDescent="0.35">
      <c r="C1025" s="124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ht="18.75" customHeight="1" x14ac:dyDescent="0.35">
      <c r="C1026" s="124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ht="18.75" customHeight="1" x14ac:dyDescent="0.35">
      <c r="C1027" s="124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ht="18.75" customHeight="1" x14ac:dyDescent="0.35">
      <c r="C1028" s="124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ht="18.75" customHeight="1" x14ac:dyDescent="0.35">
      <c r="C1029" s="124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ht="18.75" customHeight="1" x14ac:dyDescent="0.35">
      <c r="C1030" s="124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ht="18.75" customHeight="1" x14ac:dyDescent="0.35">
      <c r="C1031" s="124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ht="18.75" customHeight="1" x14ac:dyDescent="0.35">
      <c r="C1032" s="124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ht="18.75" customHeight="1" x14ac:dyDescent="0.35">
      <c r="C1033" s="124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ht="18.75" customHeight="1" x14ac:dyDescent="0.35">
      <c r="C1034" s="124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ht="18.75" customHeight="1" x14ac:dyDescent="0.35">
      <c r="C1035" s="124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ht="18.75" customHeight="1" x14ac:dyDescent="0.35">
      <c r="C1036" s="124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ht="18.75" customHeight="1" x14ac:dyDescent="0.35">
      <c r="C1037" s="124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ht="18.75" customHeight="1" x14ac:dyDescent="0.35">
      <c r="C1038" s="124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ht="18.75" customHeight="1" x14ac:dyDescent="0.35">
      <c r="C1039" s="124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ht="18.75" customHeight="1" x14ac:dyDescent="0.35">
      <c r="C1040" s="124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ht="18.75" customHeight="1" x14ac:dyDescent="0.35">
      <c r="C1041" s="124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ht="18.75" customHeight="1" x14ac:dyDescent="0.35">
      <c r="C1042" s="124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ht="18.75" customHeight="1" x14ac:dyDescent="0.35">
      <c r="C1043" s="124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ht="18.75" customHeight="1" x14ac:dyDescent="0.35">
      <c r="C1044" s="124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ht="18.75" customHeight="1" x14ac:dyDescent="0.35">
      <c r="C1045" s="124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ht="18.75" customHeight="1" x14ac:dyDescent="0.35">
      <c r="C1046" s="124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ht="18.75" customHeight="1" x14ac:dyDescent="0.35">
      <c r="C1047" s="124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ht="18.75" customHeight="1" x14ac:dyDescent="0.35">
      <c r="C1048" s="124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ht="18.75" customHeight="1" x14ac:dyDescent="0.35">
      <c r="C1049" s="124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ht="18.75" customHeight="1" x14ac:dyDescent="0.35">
      <c r="C1050" s="124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ht="18.75" customHeight="1" x14ac:dyDescent="0.35">
      <c r="C1051" s="124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ht="18.75" customHeight="1" x14ac:dyDescent="0.35">
      <c r="C1052" s="124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ht="18.75" customHeight="1" x14ac:dyDescent="0.35">
      <c r="C1053" s="124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ht="18.75" customHeight="1" x14ac:dyDescent="0.35">
      <c r="C1054" s="124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ht="18.75" customHeight="1" x14ac:dyDescent="0.35">
      <c r="C1055" s="124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ht="18.75" customHeight="1" x14ac:dyDescent="0.35">
      <c r="C1056" s="124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ht="18.75" customHeight="1" x14ac:dyDescent="0.35">
      <c r="C1057" s="124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ht="18.75" customHeight="1" x14ac:dyDescent="0.35">
      <c r="C1058" s="124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ht="18.75" customHeight="1" x14ac:dyDescent="0.35">
      <c r="C1059" s="124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ht="18.75" customHeight="1" x14ac:dyDescent="0.35">
      <c r="C1060" s="124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ht="18.75" customHeight="1" x14ac:dyDescent="0.35">
      <c r="C1061" s="124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ht="18.75" customHeight="1" x14ac:dyDescent="0.35">
      <c r="C1062" s="124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ht="18.75" customHeight="1" x14ac:dyDescent="0.35">
      <c r="C1063" s="124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ht="18.75" customHeight="1" x14ac:dyDescent="0.35">
      <c r="C1064" s="124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ht="18.75" customHeight="1" x14ac:dyDescent="0.35">
      <c r="C1065" s="124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ht="18.75" customHeight="1" x14ac:dyDescent="0.35">
      <c r="C1066" s="124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ht="18.75" customHeight="1" x14ac:dyDescent="0.35">
      <c r="C1067" s="124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ht="18.75" customHeight="1" x14ac:dyDescent="0.35">
      <c r="C1068" s="124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ht="18.75" customHeight="1" x14ac:dyDescent="0.35">
      <c r="C1069" s="124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ht="18.75" customHeight="1" x14ac:dyDescent="0.35">
      <c r="C1070" s="124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ht="18.75" customHeight="1" x14ac:dyDescent="0.35">
      <c r="C1071" s="124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ht="18.75" customHeight="1" x14ac:dyDescent="0.35">
      <c r="C1072" s="124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ht="18.75" customHeight="1" x14ac:dyDescent="0.35">
      <c r="C1073" s="124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ht="18.75" customHeight="1" x14ac:dyDescent="0.35">
      <c r="C1074" s="124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ht="18.75" customHeight="1" x14ac:dyDescent="0.35">
      <c r="C1075" s="124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ht="18.75" customHeight="1" x14ac:dyDescent="0.35">
      <c r="C1076" s="124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ht="18.75" customHeight="1" x14ac:dyDescent="0.35">
      <c r="C1077" s="124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ht="18.75" customHeight="1" x14ac:dyDescent="0.35">
      <c r="C1078" s="124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ht="18.75" customHeight="1" x14ac:dyDescent="0.35">
      <c r="C1079" s="124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ht="18.75" customHeight="1" x14ac:dyDescent="0.35">
      <c r="C1080" s="124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ht="18.75" customHeight="1" x14ac:dyDescent="0.35">
      <c r="C1081" s="124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ht="18.75" customHeight="1" x14ac:dyDescent="0.35">
      <c r="C1082" s="124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ht="18.75" customHeight="1" x14ac:dyDescent="0.35">
      <c r="C1083" s="124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ht="18.75" customHeight="1" x14ac:dyDescent="0.35">
      <c r="C1084" s="124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ht="18.75" customHeight="1" x14ac:dyDescent="0.35">
      <c r="C1085" s="124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ht="18.75" customHeight="1" x14ac:dyDescent="0.35">
      <c r="C1086" s="124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ht="18.75" customHeight="1" x14ac:dyDescent="0.35">
      <c r="C1087" s="124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ht="18.75" customHeight="1" x14ac:dyDescent="0.35">
      <c r="C1088" s="124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ht="18.75" customHeight="1" x14ac:dyDescent="0.35">
      <c r="C1089" s="124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ht="18.75" customHeight="1" x14ac:dyDescent="0.35">
      <c r="C1090" s="124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ht="18.75" customHeight="1" x14ac:dyDescent="0.35">
      <c r="C1091" s="124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ht="18.75" customHeight="1" x14ac:dyDescent="0.35">
      <c r="C1092" s="124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ht="18.75" customHeight="1" x14ac:dyDescent="0.35">
      <c r="C1093" s="124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ht="18.75" customHeight="1" x14ac:dyDescent="0.35">
      <c r="C1094" s="124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ht="18.75" customHeight="1" x14ac:dyDescent="0.35">
      <c r="C1095" s="124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ht="18.75" customHeight="1" x14ac:dyDescent="0.35">
      <c r="C1096" s="124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ht="18.75" customHeight="1" x14ac:dyDescent="0.35">
      <c r="C1097" s="124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ht="18.75" customHeight="1" x14ac:dyDescent="0.35">
      <c r="C1098" s="124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ht="18.75" customHeight="1" x14ac:dyDescent="0.35">
      <c r="C1099" s="124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ht="18.75" customHeight="1" x14ac:dyDescent="0.35">
      <c r="C1100" s="124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ht="18.75" customHeight="1" x14ac:dyDescent="0.35">
      <c r="C1101" s="124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ht="18.75" customHeight="1" x14ac:dyDescent="0.35">
      <c r="C1102" s="124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ht="18.75" customHeight="1" x14ac:dyDescent="0.35">
      <c r="C1103" s="124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ht="18.75" customHeight="1" x14ac:dyDescent="0.35">
      <c r="C1104" s="124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ht="18.75" customHeight="1" x14ac:dyDescent="0.35">
      <c r="C1105" s="124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ht="18.75" customHeight="1" x14ac:dyDescent="0.35">
      <c r="C1106" s="124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ht="18.75" customHeight="1" x14ac:dyDescent="0.35">
      <c r="C1107" s="124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ht="18.75" customHeight="1" x14ac:dyDescent="0.35">
      <c r="C1108" s="124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ht="18.75" customHeight="1" x14ac:dyDescent="0.35">
      <c r="C1109" s="124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ht="18.75" customHeight="1" x14ac:dyDescent="0.35">
      <c r="C1110" s="124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ht="18.75" customHeight="1" x14ac:dyDescent="0.35">
      <c r="C1111" s="124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ht="18.75" customHeight="1" x14ac:dyDescent="0.35">
      <c r="C1112" s="124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ht="18.75" customHeight="1" x14ac:dyDescent="0.35">
      <c r="C1113" s="124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ht="18.75" customHeight="1" x14ac:dyDescent="0.35">
      <c r="C1114" s="124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ht="18.75" customHeight="1" x14ac:dyDescent="0.35">
      <c r="C1115" s="124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ht="18.75" customHeight="1" x14ac:dyDescent="0.35">
      <c r="C1116" s="124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ht="18.75" customHeight="1" x14ac:dyDescent="0.35">
      <c r="C1117" s="124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ht="18.75" customHeight="1" x14ac:dyDescent="0.35">
      <c r="C1118" s="124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ht="18.75" customHeight="1" x14ac:dyDescent="0.35">
      <c r="C1119" s="124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ht="18.75" customHeight="1" x14ac:dyDescent="0.35">
      <c r="C1120" s="124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ht="18.75" customHeight="1" x14ac:dyDescent="0.35">
      <c r="C1121" s="124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ht="18.75" customHeight="1" x14ac:dyDescent="0.35">
      <c r="C1122" s="124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ht="18.75" customHeight="1" x14ac:dyDescent="0.35">
      <c r="C1123" s="124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ht="18.75" customHeight="1" x14ac:dyDescent="0.35">
      <c r="C1124" s="124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ht="18.75" customHeight="1" x14ac:dyDescent="0.35">
      <c r="C1125" s="124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ht="18.75" customHeight="1" x14ac:dyDescent="0.35">
      <c r="C1126" s="124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ht="18.75" customHeight="1" x14ac:dyDescent="0.35">
      <c r="C1127" s="124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ht="18.75" customHeight="1" x14ac:dyDescent="0.35">
      <c r="C1128" s="124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ht="18.75" customHeight="1" x14ac:dyDescent="0.35">
      <c r="C1129" s="124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ht="18.75" customHeight="1" x14ac:dyDescent="0.35">
      <c r="C1130" s="124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ht="18.75" customHeight="1" x14ac:dyDescent="0.35">
      <c r="C1131" s="124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ht="18.75" customHeight="1" x14ac:dyDescent="0.35">
      <c r="C1132" s="124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ht="18.75" customHeight="1" x14ac:dyDescent="0.35">
      <c r="C1133" s="124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ht="18.75" customHeight="1" x14ac:dyDescent="0.35">
      <c r="C1134" s="124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ht="18.75" customHeight="1" x14ac:dyDescent="0.35">
      <c r="C1135" s="124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ht="18.75" customHeight="1" x14ac:dyDescent="0.35">
      <c r="C1136" s="124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ht="18.75" customHeight="1" x14ac:dyDescent="0.35">
      <c r="C1137" s="124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ht="18.75" customHeight="1" x14ac:dyDescent="0.35">
      <c r="C1138" s="124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ht="18.75" customHeight="1" x14ac:dyDescent="0.35">
      <c r="C1139" s="124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ht="18.75" customHeight="1" x14ac:dyDescent="0.35">
      <c r="C1140" s="124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ht="18.75" customHeight="1" x14ac:dyDescent="0.35">
      <c r="C1141" s="124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ht="18.75" customHeight="1" x14ac:dyDescent="0.35">
      <c r="C1142" s="124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ht="18.75" customHeight="1" x14ac:dyDescent="0.35">
      <c r="C1143" s="124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ht="18.75" customHeight="1" x14ac:dyDescent="0.35">
      <c r="C1144" s="124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ht="18.75" customHeight="1" x14ac:dyDescent="0.35">
      <c r="C1145" s="124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ht="18.75" customHeight="1" x14ac:dyDescent="0.35">
      <c r="C1146" s="124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ht="18.75" customHeight="1" x14ac:dyDescent="0.35">
      <c r="C1147" s="124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ht="18.75" customHeight="1" x14ac:dyDescent="0.35">
      <c r="C1148" s="124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ht="18.75" customHeight="1" x14ac:dyDescent="0.35">
      <c r="C1149" s="124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ht="18.75" customHeight="1" x14ac:dyDescent="0.35">
      <c r="C1150" s="124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ht="18.75" customHeight="1" x14ac:dyDescent="0.35">
      <c r="C1151" s="124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ht="18.75" customHeight="1" x14ac:dyDescent="0.35">
      <c r="C1152" s="124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ht="18.75" customHeight="1" x14ac:dyDescent="0.35">
      <c r="C1153" s="124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ht="18.75" customHeight="1" x14ac:dyDescent="0.35">
      <c r="C1154" s="124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ht="18.75" customHeight="1" x14ac:dyDescent="0.35">
      <c r="C1155" s="124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ht="18.75" customHeight="1" x14ac:dyDescent="0.35">
      <c r="C1156" s="124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ht="18.75" customHeight="1" x14ac:dyDescent="0.35">
      <c r="C1157" s="124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ht="18.75" customHeight="1" x14ac:dyDescent="0.35">
      <c r="C1158" s="124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ht="18.75" customHeight="1" x14ac:dyDescent="0.35">
      <c r="C1159" s="124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ht="18.75" customHeight="1" x14ac:dyDescent="0.35">
      <c r="C1160" s="124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ht="18.75" customHeight="1" x14ac:dyDescent="0.35">
      <c r="C1161" s="124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ht="18.75" customHeight="1" x14ac:dyDescent="0.35">
      <c r="C1162" s="124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ht="18.75" customHeight="1" x14ac:dyDescent="0.35">
      <c r="C1163" s="124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ht="18.75" customHeight="1" x14ac:dyDescent="0.35">
      <c r="C1164" s="124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ht="18.75" customHeight="1" x14ac:dyDescent="0.35">
      <c r="C1165" s="124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ht="18.75" customHeight="1" x14ac:dyDescent="0.35">
      <c r="C1166" s="124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ht="18.75" customHeight="1" x14ac:dyDescent="0.35">
      <c r="C1167" s="124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ht="18.75" customHeight="1" x14ac:dyDescent="0.35">
      <c r="C1168" s="124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ht="18.75" customHeight="1" x14ac:dyDescent="0.35">
      <c r="C1169" s="124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ht="18.75" customHeight="1" x14ac:dyDescent="0.35">
      <c r="C1170" s="124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ht="18.75" customHeight="1" x14ac:dyDescent="0.35">
      <c r="C1171" s="124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ht="18.75" customHeight="1" x14ac:dyDescent="0.35">
      <c r="C1172" s="124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ht="18.75" customHeight="1" x14ac:dyDescent="0.35">
      <c r="C1173" s="124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ht="18.75" customHeight="1" x14ac:dyDescent="0.35">
      <c r="C1174" s="124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ht="18.75" customHeight="1" x14ac:dyDescent="0.35">
      <c r="C1175" s="124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ht="18.75" customHeight="1" x14ac:dyDescent="0.35">
      <c r="C1176" s="124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ht="18.75" customHeight="1" x14ac:dyDescent="0.35">
      <c r="C1177" s="124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ht="18.75" customHeight="1" x14ac:dyDescent="0.35">
      <c r="C1178" s="124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ht="18.75" customHeight="1" x14ac:dyDescent="0.35">
      <c r="C1179" s="124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ht="18.75" customHeight="1" x14ac:dyDescent="0.35">
      <c r="C1180" s="124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ht="18.75" customHeight="1" x14ac:dyDescent="0.35">
      <c r="C1181" s="124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ht="18.75" customHeight="1" x14ac:dyDescent="0.35">
      <c r="C1182" s="124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ht="18.75" customHeight="1" x14ac:dyDescent="0.35">
      <c r="C1183" s="124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ht="18.75" customHeight="1" x14ac:dyDescent="0.35">
      <c r="C1184" s="124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ht="18.75" customHeight="1" x14ac:dyDescent="0.35">
      <c r="C1185" s="124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ht="18.75" customHeight="1" x14ac:dyDescent="0.35">
      <c r="C1186" s="124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ht="18.75" customHeight="1" x14ac:dyDescent="0.35">
      <c r="C1187" s="124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ht="18.75" customHeight="1" x14ac:dyDescent="0.35">
      <c r="C1188" s="124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ht="18.75" customHeight="1" x14ac:dyDescent="0.35">
      <c r="C1189" s="124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ht="18.75" customHeight="1" x14ac:dyDescent="0.35">
      <c r="C1190" s="124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ht="18.75" customHeight="1" x14ac:dyDescent="0.35">
      <c r="C1191" s="124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ht="18.75" customHeight="1" x14ac:dyDescent="0.35">
      <c r="C1192" s="124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ht="18.75" customHeight="1" x14ac:dyDescent="0.35">
      <c r="C1193" s="124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ht="18.75" customHeight="1" x14ac:dyDescent="0.35">
      <c r="C1194" s="124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ht="18.75" customHeight="1" x14ac:dyDescent="0.35">
      <c r="C1195" s="124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ht="18.75" customHeight="1" x14ac:dyDescent="0.35">
      <c r="C1196" s="124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ht="18.75" customHeight="1" x14ac:dyDescent="0.35">
      <c r="C1197" s="124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ht="18.75" customHeight="1" x14ac:dyDescent="0.35">
      <c r="C1198" s="124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ht="18.75" customHeight="1" x14ac:dyDescent="0.35">
      <c r="C1199" s="124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ht="18.75" customHeight="1" x14ac:dyDescent="0.35">
      <c r="C1200" s="124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ht="18.75" customHeight="1" x14ac:dyDescent="0.35">
      <c r="C1201" s="124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ht="18.75" customHeight="1" x14ac:dyDescent="0.35">
      <c r="C1202" s="124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ht="18.75" customHeight="1" x14ac:dyDescent="0.35">
      <c r="C1203" s="124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ht="18.75" customHeight="1" x14ac:dyDescent="0.35">
      <c r="C1204" s="124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ht="18.75" customHeight="1" x14ac:dyDescent="0.35">
      <c r="C1205" s="124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ht="18.75" customHeight="1" x14ac:dyDescent="0.35">
      <c r="C1206" s="124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ht="18.75" customHeight="1" x14ac:dyDescent="0.35">
      <c r="C1207" s="124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ht="18.75" customHeight="1" x14ac:dyDescent="0.35">
      <c r="C1208" s="124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ht="18.75" customHeight="1" x14ac:dyDescent="0.35">
      <c r="C1209" s="124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ht="18.75" customHeight="1" x14ac:dyDescent="0.35">
      <c r="C1210" s="124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ht="18.75" customHeight="1" x14ac:dyDescent="0.35">
      <c r="C1211" s="124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ht="18.75" customHeight="1" x14ac:dyDescent="0.35">
      <c r="C1212" s="124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ht="18.75" customHeight="1" x14ac:dyDescent="0.35">
      <c r="C1213" s="124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ht="18.75" customHeight="1" x14ac:dyDescent="0.35">
      <c r="C1214" s="124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ht="18.75" customHeight="1" x14ac:dyDescent="0.35">
      <c r="C1215" s="124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ht="18.75" customHeight="1" x14ac:dyDescent="0.35">
      <c r="C1216" s="124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ht="18.75" customHeight="1" x14ac:dyDescent="0.35">
      <c r="C1217" s="124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ht="18.75" customHeight="1" x14ac:dyDescent="0.35">
      <c r="C1218" s="124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ht="18.75" customHeight="1" x14ac:dyDescent="0.35">
      <c r="C1219" s="124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ht="18.75" customHeight="1" x14ac:dyDescent="0.35">
      <c r="C1220" s="124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ht="18.75" customHeight="1" x14ac:dyDescent="0.35">
      <c r="C1221" s="124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ht="18.75" customHeight="1" x14ac:dyDescent="0.35">
      <c r="C1222" s="124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ht="18.75" customHeight="1" x14ac:dyDescent="0.35">
      <c r="C1223" s="124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ht="18.75" customHeight="1" x14ac:dyDescent="0.35">
      <c r="C1224" s="124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ht="18.75" customHeight="1" x14ac:dyDescent="0.35">
      <c r="C1225" s="124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ht="18.75" customHeight="1" x14ac:dyDescent="0.35">
      <c r="C1226" s="124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ht="18.75" customHeight="1" x14ac:dyDescent="0.35">
      <c r="C1227" s="124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ht="18.75" customHeight="1" x14ac:dyDescent="0.35">
      <c r="C1228" s="124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ht="18.75" customHeight="1" x14ac:dyDescent="0.35">
      <c r="C1229" s="124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ht="18.75" customHeight="1" x14ac:dyDescent="0.35">
      <c r="C1230" s="124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ht="18.75" customHeight="1" x14ac:dyDescent="0.35">
      <c r="C1231" s="124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ht="18.75" customHeight="1" x14ac:dyDescent="0.35">
      <c r="C1232" s="124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ht="18.75" customHeight="1" x14ac:dyDescent="0.35">
      <c r="C1233" s="124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ht="18.75" customHeight="1" x14ac:dyDescent="0.35">
      <c r="C1234" s="124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ht="18.75" customHeight="1" x14ac:dyDescent="0.35">
      <c r="C1235" s="124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ht="18.75" customHeight="1" x14ac:dyDescent="0.35">
      <c r="C1236" s="124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ht="18.75" customHeight="1" x14ac:dyDescent="0.35">
      <c r="C1237" s="124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ht="18.75" customHeight="1" x14ac:dyDescent="0.35">
      <c r="C1238" s="124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ht="18.75" customHeight="1" x14ac:dyDescent="0.35">
      <c r="C1239" s="124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ht="18.75" customHeight="1" x14ac:dyDescent="0.35">
      <c r="C1240" s="124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ht="18.75" customHeight="1" x14ac:dyDescent="0.35">
      <c r="C1241" s="124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ht="18.75" customHeight="1" x14ac:dyDescent="0.35">
      <c r="C1242" s="124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ht="18.75" customHeight="1" x14ac:dyDescent="0.35">
      <c r="C1243" s="124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ht="18.75" customHeight="1" x14ac:dyDescent="0.35">
      <c r="C1244" s="124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ht="18.75" customHeight="1" x14ac:dyDescent="0.35">
      <c r="C1245" s="124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ht="18.75" customHeight="1" x14ac:dyDescent="0.35">
      <c r="C1246" s="124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ht="18.75" customHeight="1" x14ac:dyDescent="0.35">
      <c r="C1247" s="124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ht="18.75" customHeight="1" x14ac:dyDescent="0.35">
      <c r="C1248" s="124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ht="18.75" customHeight="1" x14ac:dyDescent="0.35">
      <c r="C1249" s="124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ht="18.75" customHeight="1" x14ac:dyDescent="0.35">
      <c r="C1250" s="124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ht="18.75" customHeight="1" x14ac:dyDescent="0.35">
      <c r="C1251" s="124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ht="18.75" customHeight="1" x14ac:dyDescent="0.35">
      <c r="C1252" s="124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ht="18.75" customHeight="1" x14ac:dyDescent="0.35">
      <c r="C1253" s="124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ht="18.75" customHeight="1" x14ac:dyDescent="0.35">
      <c r="C1254" s="124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ht="18.75" customHeight="1" x14ac:dyDescent="0.35">
      <c r="C1255" s="124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ht="18.75" customHeight="1" x14ac:dyDescent="0.35">
      <c r="C1256" s="124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ht="18.75" customHeight="1" x14ac:dyDescent="0.35">
      <c r="C1257" s="124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ht="18.75" customHeight="1" x14ac:dyDescent="0.35">
      <c r="C1258" s="124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ht="18.75" customHeight="1" x14ac:dyDescent="0.35">
      <c r="C1259" s="124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ht="18.75" customHeight="1" x14ac:dyDescent="0.35">
      <c r="C1260" s="124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ht="18.75" customHeight="1" x14ac:dyDescent="0.35">
      <c r="C1261" s="124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ht="18.75" customHeight="1" x14ac:dyDescent="0.35">
      <c r="C1262" s="124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ht="18.75" customHeight="1" x14ac:dyDescent="0.35">
      <c r="C1263" s="124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ht="18.75" customHeight="1" x14ac:dyDescent="0.35">
      <c r="C1264" s="124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ht="18.75" customHeight="1" x14ac:dyDescent="0.35">
      <c r="C1265" s="124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ht="18.75" customHeight="1" x14ac:dyDescent="0.35">
      <c r="C1266" s="124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ht="18.75" customHeight="1" x14ac:dyDescent="0.35">
      <c r="C1267" s="124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ht="18.75" customHeight="1" x14ac:dyDescent="0.35">
      <c r="C1268" s="124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ht="18.75" customHeight="1" x14ac:dyDescent="0.35">
      <c r="C1269" s="124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ht="18.75" customHeight="1" x14ac:dyDescent="0.35">
      <c r="C1270" s="124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ht="18.75" customHeight="1" x14ac:dyDescent="0.35">
      <c r="C1271" s="124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ht="18.75" customHeight="1" x14ac:dyDescent="0.35">
      <c r="C1272" s="124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ht="18.75" customHeight="1" x14ac:dyDescent="0.35">
      <c r="C1273" s="124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ht="18.75" customHeight="1" x14ac:dyDescent="0.35">
      <c r="C1274" s="124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ht="18.75" customHeight="1" x14ac:dyDescent="0.35">
      <c r="C1275" s="124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ht="18.75" customHeight="1" x14ac:dyDescent="0.35">
      <c r="C1276" s="124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ht="18.75" customHeight="1" x14ac:dyDescent="0.35">
      <c r="C1277" s="124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ht="18.75" customHeight="1" x14ac:dyDescent="0.35">
      <c r="C1278" s="124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ht="18.75" customHeight="1" x14ac:dyDescent="0.35">
      <c r="C1279" s="124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ht="18.75" customHeight="1" x14ac:dyDescent="0.35">
      <c r="C1280" s="124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ht="18.75" customHeight="1" x14ac:dyDescent="0.35">
      <c r="C1281" s="124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ht="18.75" customHeight="1" x14ac:dyDescent="0.35">
      <c r="C1282" s="124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ht="18.75" customHeight="1" x14ac:dyDescent="0.35">
      <c r="C1283" s="124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ht="18.75" customHeight="1" x14ac:dyDescent="0.35">
      <c r="C1284" s="124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ht="18.75" customHeight="1" x14ac:dyDescent="0.35">
      <c r="C1285" s="124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ht="18.75" customHeight="1" x14ac:dyDescent="0.35">
      <c r="C1286" s="124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ht="18.75" customHeight="1" x14ac:dyDescent="0.35">
      <c r="C1287" s="124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ht="18.75" customHeight="1" x14ac:dyDescent="0.35">
      <c r="C1288" s="124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ht="18.75" customHeight="1" x14ac:dyDescent="0.35">
      <c r="C1289" s="124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ht="18.75" customHeight="1" x14ac:dyDescent="0.35">
      <c r="C1290" s="124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ht="18.75" customHeight="1" x14ac:dyDescent="0.35">
      <c r="C1291" s="124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ht="18.75" customHeight="1" x14ac:dyDescent="0.35">
      <c r="C1292" s="124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ht="18.75" customHeight="1" x14ac:dyDescent="0.35">
      <c r="C1293" s="124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ht="18.75" customHeight="1" x14ac:dyDescent="0.35">
      <c r="C1294" s="124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ht="18.75" customHeight="1" x14ac:dyDescent="0.35">
      <c r="C1295" s="124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ht="18.75" customHeight="1" x14ac:dyDescent="0.35">
      <c r="C1296" s="124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ht="18.75" customHeight="1" x14ac:dyDescent="0.35">
      <c r="C1297" s="124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ht="18.75" customHeight="1" x14ac:dyDescent="0.35">
      <c r="C1298" s="124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ht="18.75" customHeight="1" x14ac:dyDescent="0.35">
      <c r="C1299" s="124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ht="18.75" customHeight="1" x14ac:dyDescent="0.35">
      <c r="C1300" s="124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ht="18.75" customHeight="1" x14ac:dyDescent="0.35">
      <c r="C1301" s="124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ht="18.75" customHeight="1" x14ac:dyDescent="0.35">
      <c r="C1302" s="124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ht="18.75" customHeight="1" x14ac:dyDescent="0.35">
      <c r="C1303" s="124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ht="18.75" customHeight="1" x14ac:dyDescent="0.35">
      <c r="C1304" s="124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ht="18.75" customHeight="1" x14ac:dyDescent="0.35">
      <c r="C1305" s="124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ht="18.75" customHeight="1" x14ac:dyDescent="0.35">
      <c r="C1306" s="124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ht="18.75" customHeight="1" x14ac:dyDescent="0.35">
      <c r="C1307" s="124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ht="18.75" customHeight="1" x14ac:dyDescent="0.35">
      <c r="C1308" s="124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ht="18.75" customHeight="1" x14ac:dyDescent="0.35">
      <c r="C1309" s="124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ht="18.75" customHeight="1" x14ac:dyDescent="0.35">
      <c r="C1310" s="124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ht="18.75" customHeight="1" x14ac:dyDescent="0.35">
      <c r="C1311" s="124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ht="18.75" customHeight="1" x14ac:dyDescent="0.35">
      <c r="C1312" s="124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ht="18.75" customHeight="1" x14ac:dyDescent="0.35">
      <c r="C1313" s="124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ht="18.75" customHeight="1" x14ac:dyDescent="0.35">
      <c r="C1314" s="124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ht="18.75" customHeight="1" x14ac:dyDescent="0.35">
      <c r="C1315" s="124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ht="18.75" customHeight="1" x14ac:dyDescent="0.35">
      <c r="C1316" s="124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ht="18.75" customHeight="1" x14ac:dyDescent="0.35">
      <c r="C1317" s="124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ht="18.75" customHeight="1" x14ac:dyDescent="0.35">
      <c r="C1318" s="124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ht="18.75" customHeight="1" x14ac:dyDescent="0.35">
      <c r="C1319" s="124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ht="18.75" customHeight="1" x14ac:dyDescent="0.35">
      <c r="C1320" s="124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ht="18.75" customHeight="1" x14ac:dyDescent="0.35">
      <c r="C1321" s="124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ht="18.75" customHeight="1" x14ac:dyDescent="0.35">
      <c r="C1322" s="124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ht="18.75" customHeight="1" x14ac:dyDescent="0.35">
      <c r="C1323" s="124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ht="18.75" customHeight="1" x14ac:dyDescent="0.35">
      <c r="C1324" s="124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ht="18.75" customHeight="1" x14ac:dyDescent="0.35">
      <c r="C1325" s="124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ht="18.75" customHeight="1" x14ac:dyDescent="0.35">
      <c r="C1326" s="124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ht="18.75" customHeight="1" x14ac:dyDescent="0.35">
      <c r="C1327" s="124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ht="18.75" customHeight="1" x14ac:dyDescent="0.35">
      <c r="C1328" s="124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ht="18.75" customHeight="1" x14ac:dyDescent="0.35">
      <c r="C1329" s="124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ht="18.75" customHeight="1" x14ac:dyDescent="0.35">
      <c r="C1330" s="124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ht="18.75" customHeight="1" x14ac:dyDescent="0.35">
      <c r="C1331" s="124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ht="18.75" customHeight="1" x14ac:dyDescent="0.35">
      <c r="C1332" s="124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ht="18.75" customHeight="1" x14ac:dyDescent="0.35">
      <c r="C1333" s="124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ht="18.75" customHeight="1" x14ac:dyDescent="0.35">
      <c r="C1334" s="124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ht="18.75" customHeight="1" x14ac:dyDescent="0.35">
      <c r="C1335" s="124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ht="18.75" customHeight="1" x14ac:dyDescent="0.35">
      <c r="C1336" s="124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ht="18.75" customHeight="1" x14ac:dyDescent="0.35">
      <c r="C1337" s="124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ht="18.75" customHeight="1" x14ac:dyDescent="0.35">
      <c r="C1338" s="124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ht="18.75" customHeight="1" x14ac:dyDescent="0.35">
      <c r="C1339" s="124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ht="18.75" customHeight="1" x14ac:dyDescent="0.35">
      <c r="C1340" s="124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ht="18.75" customHeight="1" x14ac:dyDescent="0.35">
      <c r="C1341" s="124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ht="18.75" customHeight="1" x14ac:dyDescent="0.35">
      <c r="C1342" s="124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ht="18.75" customHeight="1" x14ac:dyDescent="0.35">
      <c r="C1343" s="124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ht="18.75" customHeight="1" x14ac:dyDescent="0.35">
      <c r="C1344" s="124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ht="18.75" customHeight="1" x14ac:dyDescent="0.35">
      <c r="C1345" s="124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ht="18.75" customHeight="1" x14ac:dyDescent="0.35">
      <c r="C1346" s="124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ht="18.75" customHeight="1" x14ac:dyDescent="0.35">
      <c r="C1347" s="124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ht="18.75" customHeight="1" x14ac:dyDescent="0.35">
      <c r="C1348" s="124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ht="18.75" customHeight="1" x14ac:dyDescent="0.35">
      <c r="C1349" s="124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ht="18.75" customHeight="1" x14ac:dyDescent="0.35">
      <c r="C1350" s="124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ht="18.75" customHeight="1" x14ac:dyDescent="0.35">
      <c r="C1351" s="124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ht="18.75" customHeight="1" x14ac:dyDescent="0.35">
      <c r="C1352" s="124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ht="18.75" customHeight="1" x14ac:dyDescent="0.35">
      <c r="C1353" s="124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ht="18.75" customHeight="1" x14ac:dyDescent="0.35">
      <c r="C1354" s="124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ht="18.75" customHeight="1" x14ac:dyDescent="0.35">
      <c r="C1355" s="124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ht="18.75" customHeight="1" x14ac:dyDescent="0.35">
      <c r="C1356" s="124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ht="18.75" customHeight="1" x14ac:dyDescent="0.35">
      <c r="C1357" s="124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ht="18.75" customHeight="1" x14ac:dyDescent="0.35">
      <c r="C1358" s="124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ht="18.75" customHeight="1" x14ac:dyDescent="0.35">
      <c r="C1359" s="124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ht="18.75" customHeight="1" x14ac:dyDescent="0.35">
      <c r="C1360" s="124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ht="18.75" customHeight="1" x14ac:dyDescent="0.35">
      <c r="C1361" s="124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ht="18.75" customHeight="1" x14ac:dyDescent="0.35">
      <c r="C1362" s="124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ht="18.75" customHeight="1" x14ac:dyDescent="0.35">
      <c r="C1363" s="124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ht="18.75" customHeight="1" x14ac:dyDescent="0.35">
      <c r="C1364" s="124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ht="18.75" customHeight="1" x14ac:dyDescent="0.35">
      <c r="C1365" s="124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ht="18.75" customHeight="1" x14ac:dyDescent="0.35">
      <c r="C1366" s="124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ht="18.75" customHeight="1" x14ac:dyDescent="0.35">
      <c r="C1367" s="124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ht="18.75" customHeight="1" x14ac:dyDescent="0.35">
      <c r="C1368" s="124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ht="18.75" customHeight="1" x14ac:dyDescent="0.35">
      <c r="C1369" s="124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ht="18.75" customHeight="1" x14ac:dyDescent="0.35">
      <c r="C1370" s="124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ht="18.75" customHeight="1" x14ac:dyDescent="0.35">
      <c r="C1371" s="124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ht="18.75" customHeight="1" x14ac:dyDescent="0.35">
      <c r="C1372" s="124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ht="18.75" customHeight="1" x14ac:dyDescent="0.35">
      <c r="C1373" s="124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ht="18.75" customHeight="1" x14ac:dyDescent="0.35">
      <c r="C1374" s="124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ht="18.75" customHeight="1" x14ac:dyDescent="0.35">
      <c r="C1375" s="124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ht="18.75" customHeight="1" x14ac:dyDescent="0.35">
      <c r="C1376" s="124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ht="18.75" customHeight="1" x14ac:dyDescent="0.35">
      <c r="C1377" s="124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ht="18.75" customHeight="1" x14ac:dyDescent="0.35">
      <c r="C1378" s="124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ht="18.75" customHeight="1" x14ac:dyDescent="0.35">
      <c r="C1379" s="124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ht="18.75" customHeight="1" x14ac:dyDescent="0.35">
      <c r="C1380" s="124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ht="18.75" customHeight="1" x14ac:dyDescent="0.35">
      <c r="C1381" s="124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ht="18.75" customHeight="1" x14ac:dyDescent="0.35">
      <c r="C1382" s="124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ht="18.75" customHeight="1" x14ac:dyDescent="0.35">
      <c r="C1383" s="124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ht="18.75" customHeight="1" x14ac:dyDescent="0.35">
      <c r="C1384" s="124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ht="18.75" customHeight="1" x14ac:dyDescent="0.35">
      <c r="C1385" s="124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ht="18.75" customHeight="1" x14ac:dyDescent="0.35">
      <c r="C1386" s="124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ht="18.75" customHeight="1" x14ac:dyDescent="0.35">
      <c r="C1387" s="124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ht="18.75" customHeight="1" x14ac:dyDescent="0.35">
      <c r="C1388" s="124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ht="18.75" customHeight="1" x14ac:dyDescent="0.35">
      <c r="C1389" s="124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ht="18.75" customHeight="1" x14ac:dyDescent="0.35">
      <c r="C1390" s="124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ht="18.75" customHeight="1" x14ac:dyDescent="0.35">
      <c r="C1391" s="124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ht="18.75" customHeight="1" x14ac:dyDescent="0.35">
      <c r="C1392" s="124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ht="18.75" customHeight="1" x14ac:dyDescent="0.35">
      <c r="C1393" s="124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ht="18.75" customHeight="1" x14ac:dyDescent="0.35">
      <c r="C1394" s="124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ht="18.75" customHeight="1" x14ac:dyDescent="0.35">
      <c r="C1395" s="124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ht="18.75" customHeight="1" x14ac:dyDescent="0.35">
      <c r="C1396" s="124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ht="18.75" customHeight="1" x14ac:dyDescent="0.35">
      <c r="C1397" s="124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ht="18.75" customHeight="1" x14ac:dyDescent="0.35">
      <c r="C1398" s="124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ht="18.75" customHeight="1" x14ac:dyDescent="0.35">
      <c r="C1399" s="124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ht="18.75" customHeight="1" x14ac:dyDescent="0.35">
      <c r="C1400" s="124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ht="18.75" customHeight="1" x14ac:dyDescent="0.35">
      <c r="C1401" s="124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ht="18.75" customHeight="1" x14ac:dyDescent="0.35">
      <c r="C1402" s="124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ht="18.75" customHeight="1" x14ac:dyDescent="0.35">
      <c r="C1403" s="124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ht="18.75" customHeight="1" x14ac:dyDescent="0.35">
      <c r="C1404" s="124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ht="18.75" customHeight="1" x14ac:dyDescent="0.35">
      <c r="C1405" s="124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ht="18.75" customHeight="1" x14ac:dyDescent="0.35">
      <c r="C1406" s="124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ht="18.75" customHeight="1" x14ac:dyDescent="0.35">
      <c r="C1407" s="124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ht="18.75" customHeight="1" x14ac:dyDescent="0.35">
      <c r="C1408" s="124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ht="18.75" customHeight="1" x14ac:dyDescent="0.35">
      <c r="C1409" s="124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ht="18.75" customHeight="1" x14ac:dyDescent="0.35">
      <c r="C1410" s="124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ht="18.75" customHeight="1" x14ac:dyDescent="0.35">
      <c r="C1411" s="124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ht="18.75" customHeight="1" x14ac:dyDescent="0.35">
      <c r="C1412" s="124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ht="18.75" customHeight="1" x14ac:dyDescent="0.35">
      <c r="C1413" s="124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ht="18.75" customHeight="1" x14ac:dyDescent="0.35">
      <c r="C1414" s="124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ht="18.75" customHeight="1" x14ac:dyDescent="0.35">
      <c r="C1415" s="124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ht="18.75" customHeight="1" x14ac:dyDescent="0.35">
      <c r="C1416" s="124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ht="18.75" customHeight="1" x14ac:dyDescent="0.35">
      <c r="C1417" s="124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ht="18.75" customHeight="1" x14ac:dyDescent="0.35">
      <c r="C1418" s="124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ht="18.75" customHeight="1" x14ac:dyDescent="0.35">
      <c r="C1419" s="124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ht="18.75" customHeight="1" x14ac:dyDescent="0.35">
      <c r="C1420" s="124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ht="18.75" customHeight="1" x14ac:dyDescent="0.35">
      <c r="C1421" s="124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ht="18.75" customHeight="1" x14ac:dyDescent="0.35">
      <c r="C1422" s="124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ht="18.75" customHeight="1" x14ac:dyDescent="0.35">
      <c r="C1423" s="124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ht="18.75" customHeight="1" x14ac:dyDescent="0.35">
      <c r="C1424" s="124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ht="18.75" customHeight="1" x14ac:dyDescent="0.35">
      <c r="C1425" s="124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ht="18.75" customHeight="1" x14ac:dyDescent="0.35">
      <c r="C1426" s="124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ht="18.75" customHeight="1" x14ac:dyDescent="0.35">
      <c r="C1427" s="124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ht="18.75" customHeight="1" x14ac:dyDescent="0.35">
      <c r="C1428" s="124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ht="18.75" customHeight="1" x14ac:dyDescent="0.35">
      <c r="C1429" s="124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ht="18.75" customHeight="1" x14ac:dyDescent="0.35">
      <c r="C1430" s="124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ht="18.75" customHeight="1" x14ac:dyDescent="0.35">
      <c r="C1431" s="124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ht="18.75" customHeight="1" x14ac:dyDescent="0.35">
      <c r="C1432" s="124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ht="18.75" customHeight="1" x14ac:dyDescent="0.35">
      <c r="C1433" s="124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ht="18.75" customHeight="1" x14ac:dyDescent="0.35">
      <c r="C1434" s="124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ht="18.75" customHeight="1" x14ac:dyDescent="0.35">
      <c r="C1435" s="124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ht="18.75" customHeight="1" x14ac:dyDescent="0.35">
      <c r="C1436" s="124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ht="18.75" customHeight="1" x14ac:dyDescent="0.35">
      <c r="C1437" s="124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ht="18.75" customHeight="1" x14ac:dyDescent="0.35">
      <c r="C1438" s="124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ht="18.75" customHeight="1" x14ac:dyDescent="0.35">
      <c r="C1439" s="124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ht="18.75" customHeight="1" x14ac:dyDescent="0.35">
      <c r="C1440" s="124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ht="18.75" customHeight="1" x14ac:dyDescent="0.35">
      <c r="C1441" s="124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ht="18.75" customHeight="1" x14ac:dyDescent="0.35">
      <c r="C1442" s="124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ht="18.75" customHeight="1" x14ac:dyDescent="0.35">
      <c r="C1443" s="124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ht="18.75" customHeight="1" x14ac:dyDescent="0.35">
      <c r="C1444" s="124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ht="18.75" customHeight="1" x14ac:dyDescent="0.35">
      <c r="C1445" s="124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ht="18.75" customHeight="1" x14ac:dyDescent="0.35">
      <c r="C1446" s="124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ht="18.75" customHeight="1" x14ac:dyDescent="0.35">
      <c r="C1447" s="124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ht="18.75" customHeight="1" x14ac:dyDescent="0.35">
      <c r="C1448" s="124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ht="18.75" customHeight="1" x14ac:dyDescent="0.35">
      <c r="C1449" s="124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ht="18.75" customHeight="1" x14ac:dyDescent="0.35">
      <c r="C1450" s="124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ht="18.75" customHeight="1" x14ac:dyDescent="0.35">
      <c r="C1451" s="124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ht="18.75" customHeight="1" x14ac:dyDescent="0.35">
      <c r="C1452" s="124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ht="18.75" customHeight="1" x14ac:dyDescent="0.35">
      <c r="C1453" s="124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ht="18.75" customHeight="1" x14ac:dyDescent="0.35">
      <c r="C1454" s="124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ht="18.75" customHeight="1" x14ac:dyDescent="0.35">
      <c r="C1455" s="124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ht="18.75" customHeight="1" x14ac:dyDescent="0.35">
      <c r="C1456" s="124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ht="18.75" customHeight="1" x14ac:dyDescent="0.35">
      <c r="C1457" s="124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ht="18.75" customHeight="1" x14ac:dyDescent="0.35">
      <c r="C1458" s="124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ht="18.75" customHeight="1" x14ac:dyDescent="0.35">
      <c r="C1459" s="124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ht="18.75" customHeight="1" x14ac:dyDescent="0.35">
      <c r="C1460" s="124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ht="18.75" customHeight="1" x14ac:dyDescent="0.35">
      <c r="C1461" s="124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ht="18.75" customHeight="1" x14ac:dyDescent="0.35">
      <c r="C1462" s="124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ht="18.75" customHeight="1" x14ac:dyDescent="0.35">
      <c r="C1463" s="124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ht="18.75" customHeight="1" x14ac:dyDescent="0.35">
      <c r="C1464" s="124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ht="18.75" customHeight="1" x14ac:dyDescent="0.35">
      <c r="C1465" s="124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ht="18.75" customHeight="1" x14ac:dyDescent="0.35">
      <c r="C1466" s="124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ht="18.75" customHeight="1" x14ac:dyDescent="0.35">
      <c r="C1467" s="124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ht="18.75" customHeight="1" x14ac:dyDescent="0.35">
      <c r="C1468" s="124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ht="18.75" customHeight="1" x14ac:dyDescent="0.35">
      <c r="C1469" s="124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ht="18.75" customHeight="1" x14ac:dyDescent="0.35">
      <c r="C1470" s="124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ht="18.75" customHeight="1" x14ac:dyDescent="0.35">
      <c r="C1471" s="124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ht="18.75" customHeight="1" x14ac:dyDescent="0.35">
      <c r="C1472" s="124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ht="18.75" customHeight="1" x14ac:dyDescent="0.35">
      <c r="C1473" s="124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ht="18.75" customHeight="1" x14ac:dyDescent="0.35">
      <c r="C1474" s="124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ht="18.75" customHeight="1" x14ac:dyDescent="0.35">
      <c r="C1475" s="124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ht="18.75" customHeight="1" x14ac:dyDescent="0.35">
      <c r="C1476" s="124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ht="18.75" customHeight="1" x14ac:dyDescent="0.35">
      <c r="C1477" s="124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ht="18.75" customHeight="1" x14ac:dyDescent="0.35">
      <c r="C1478" s="124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ht="18.75" customHeight="1" x14ac:dyDescent="0.35">
      <c r="C1479" s="124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ht="18.75" customHeight="1" x14ac:dyDescent="0.35">
      <c r="C1480" s="124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ht="18.75" customHeight="1" x14ac:dyDescent="0.35">
      <c r="C1481" s="124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ht="18.75" customHeight="1" x14ac:dyDescent="0.35">
      <c r="C1482" s="124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ht="18.75" customHeight="1" x14ac:dyDescent="0.35">
      <c r="C1483" s="124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ht="18.75" customHeight="1" x14ac:dyDescent="0.35">
      <c r="C1484" s="124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ht="18.75" customHeight="1" x14ac:dyDescent="0.35">
      <c r="C1485" s="124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ht="18.75" customHeight="1" x14ac:dyDescent="0.35">
      <c r="C1486" s="124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ht="18.75" customHeight="1" x14ac:dyDescent="0.35">
      <c r="C1487" s="124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ht="18.75" customHeight="1" x14ac:dyDescent="0.35">
      <c r="C1488" s="124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ht="18.75" customHeight="1" x14ac:dyDescent="0.35">
      <c r="C1489" s="124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ht="18.75" customHeight="1" x14ac:dyDescent="0.35">
      <c r="C1490" s="124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ht="18.75" customHeight="1" x14ac:dyDescent="0.35">
      <c r="C1491" s="124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ht="18.75" customHeight="1" x14ac:dyDescent="0.35">
      <c r="C1492" s="124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ht="18.75" customHeight="1" x14ac:dyDescent="0.35">
      <c r="C1493" s="124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ht="18.75" customHeight="1" x14ac:dyDescent="0.35">
      <c r="C1494" s="124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ht="18.75" customHeight="1" x14ac:dyDescent="0.35">
      <c r="C1495" s="124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ht="18.75" customHeight="1" x14ac:dyDescent="0.35">
      <c r="C1496" s="124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ht="18.75" customHeight="1" x14ac:dyDescent="0.35">
      <c r="C1497" s="124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ht="18.75" customHeight="1" x14ac:dyDescent="0.35">
      <c r="C1498" s="124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ht="18.75" customHeight="1" x14ac:dyDescent="0.35">
      <c r="C1499" s="124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ht="18.75" customHeight="1" x14ac:dyDescent="0.35">
      <c r="C1500" s="124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ht="18.75" customHeight="1" x14ac:dyDescent="0.35">
      <c r="C1501" s="124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ht="18.75" customHeight="1" x14ac:dyDescent="0.35">
      <c r="C1502" s="124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ht="18.75" customHeight="1" x14ac:dyDescent="0.35">
      <c r="C1503" s="124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ht="18.75" customHeight="1" x14ac:dyDescent="0.35">
      <c r="C1504" s="124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ht="18.75" customHeight="1" x14ac:dyDescent="0.35">
      <c r="C1505" s="124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ht="18.75" customHeight="1" x14ac:dyDescent="0.35">
      <c r="C1506" s="124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ht="18.75" customHeight="1" x14ac:dyDescent="0.35">
      <c r="C1507" s="124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ht="18.75" customHeight="1" x14ac:dyDescent="0.35">
      <c r="C1508" s="124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ht="18.75" customHeight="1" x14ac:dyDescent="0.35">
      <c r="C1509" s="124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ht="18.75" customHeight="1" x14ac:dyDescent="0.35">
      <c r="C1510" s="124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ht="18.75" customHeight="1" x14ac:dyDescent="0.35">
      <c r="C1511" s="124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ht="18.75" customHeight="1" x14ac:dyDescent="0.35">
      <c r="C1512" s="124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ht="18.75" customHeight="1" x14ac:dyDescent="0.35">
      <c r="C1513" s="124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ht="18.75" customHeight="1" x14ac:dyDescent="0.35">
      <c r="C1514" s="124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ht="18.75" customHeight="1" x14ac:dyDescent="0.35">
      <c r="C1515" s="124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ht="18.75" customHeight="1" x14ac:dyDescent="0.35">
      <c r="C1516" s="124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ht="18.75" customHeight="1" x14ac:dyDescent="0.35">
      <c r="C1517" s="124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ht="18.75" customHeight="1" x14ac:dyDescent="0.35">
      <c r="C1518" s="124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ht="18.75" customHeight="1" x14ac:dyDescent="0.35">
      <c r="C1519" s="124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ht="18.75" customHeight="1" x14ac:dyDescent="0.35">
      <c r="C1520" s="124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ht="18.75" customHeight="1" x14ac:dyDescent="0.35">
      <c r="C1521" s="124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ht="18.75" customHeight="1" x14ac:dyDescent="0.35">
      <c r="C1522" s="124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ht="18.75" customHeight="1" x14ac:dyDescent="0.35">
      <c r="C1523" s="124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ht="18.75" customHeight="1" x14ac:dyDescent="0.35">
      <c r="C1524" s="124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ht="18.75" customHeight="1" x14ac:dyDescent="0.35">
      <c r="C1525" s="124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ht="18.75" customHeight="1" x14ac:dyDescent="0.35">
      <c r="C1526" s="124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ht="18.75" customHeight="1" x14ac:dyDescent="0.35">
      <c r="C1527" s="124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ht="18.75" customHeight="1" x14ac:dyDescent="0.35">
      <c r="C1528" s="124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ht="18.75" customHeight="1" x14ac:dyDescent="0.35">
      <c r="C1529" s="124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ht="18.75" customHeight="1" x14ac:dyDescent="0.35">
      <c r="C1530" s="124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ht="18.75" customHeight="1" x14ac:dyDescent="0.35">
      <c r="C1531" s="124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ht="18.75" customHeight="1" x14ac:dyDescent="0.35">
      <c r="C1532" s="124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ht="18.75" customHeight="1" x14ac:dyDescent="0.35">
      <c r="C1533" s="124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ht="18.75" customHeight="1" x14ac:dyDescent="0.35">
      <c r="C1534" s="124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ht="18.75" customHeight="1" x14ac:dyDescent="0.35">
      <c r="C1535" s="124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ht="18.75" customHeight="1" x14ac:dyDescent="0.35">
      <c r="C1536" s="124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ht="18.75" customHeight="1" x14ac:dyDescent="0.35">
      <c r="C1537" s="124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ht="18.75" customHeight="1" x14ac:dyDescent="0.35">
      <c r="C1538" s="124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ht="18.75" customHeight="1" x14ac:dyDescent="0.35">
      <c r="C1539" s="124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ht="18.75" customHeight="1" x14ac:dyDescent="0.35">
      <c r="C1540" s="124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ht="18.75" customHeight="1" x14ac:dyDescent="0.35">
      <c r="C1541" s="124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ht="18.75" customHeight="1" x14ac:dyDescent="0.35">
      <c r="C1542" s="124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ht="18.75" customHeight="1" x14ac:dyDescent="0.35">
      <c r="C1543" s="124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ht="18.75" customHeight="1" x14ac:dyDescent="0.35">
      <c r="C1544" s="124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ht="18.75" customHeight="1" x14ac:dyDescent="0.35">
      <c r="C1545" s="124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ht="18.75" customHeight="1" x14ac:dyDescent="0.35">
      <c r="C1546" s="124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ht="18.75" customHeight="1" x14ac:dyDescent="0.35">
      <c r="C1547" s="124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ht="18.75" customHeight="1" x14ac:dyDescent="0.35">
      <c r="C1548" s="124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ht="18.75" customHeight="1" x14ac:dyDescent="0.35">
      <c r="C1549" s="124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ht="18.75" customHeight="1" x14ac:dyDescent="0.35">
      <c r="C1550" s="124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ht="18.75" customHeight="1" x14ac:dyDescent="0.35">
      <c r="C1551" s="124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ht="18.75" customHeight="1" x14ac:dyDescent="0.35">
      <c r="C1552" s="124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ht="18.75" customHeight="1" x14ac:dyDescent="0.35">
      <c r="C1553" s="124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ht="18.75" customHeight="1" x14ac:dyDescent="0.35">
      <c r="C1554" s="124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ht="18.75" customHeight="1" x14ac:dyDescent="0.35">
      <c r="C1555" s="124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ht="18.75" customHeight="1" x14ac:dyDescent="0.35">
      <c r="C1556" s="124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ht="18.75" customHeight="1" x14ac:dyDescent="0.35">
      <c r="C1557" s="124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ht="18.75" customHeight="1" x14ac:dyDescent="0.35">
      <c r="C1558" s="124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ht="18.75" customHeight="1" x14ac:dyDescent="0.35">
      <c r="C1559" s="124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ht="18.75" customHeight="1" x14ac:dyDescent="0.35">
      <c r="C1560" s="124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ht="18.75" customHeight="1" x14ac:dyDescent="0.35">
      <c r="C1561" s="124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ht="18.75" customHeight="1" x14ac:dyDescent="0.35">
      <c r="C1562" s="124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ht="18.75" customHeight="1" x14ac:dyDescent="0.35">
      <c r="C1563" s="124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ht="18.75" customHeight="1" x14ac:dyDescent="0.35">
      <c r="C1564" s="124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ht="18.75" customHeight="1" x14ac:dyDescent="0.35">
      <c r="C1565" s="124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ht="18.75" customHeight="1" x14ac:dyDescent="0.35">
      <c r="C1566" s="124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ht="18.75" customHeight="1" x14ac:dyDescent="0.35">
      <c r="C1567" s="124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ht="18.75" customHeight="1" x14ac:dyDescent="0.35">
      <c r="C1568" s="124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ht="18.75" customHeight="1" x14ac:dyDescent="0.35">
      <c r="C1569" s="124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ht="18.75" customHeight="1" x14ac:dyDescent="0.35">
      <c r="C1570" s="124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ht="18.75" customHeight="1" x14ac:dyDescent="0.35">
      <c r="C1571" s="124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ht="18.75" customHeight="1" x14ac:dyDescent="0.35">
      <c r="C1572" s="124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ht="18.75" customHeight="1" x14ac:dyDescent="0.35">
      <c r="C1573" s="124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ht="18.75" customHeight="1" x14ac:dyDescent="0.35">
      <c r="C1574" s="124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ht="18.75" customHeight="1" x14ac:dyDescent="0.35">
      <c r="C1575" s="124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ht="18.75" customHeight="1" x14ac:dyDescent="0.35">
      <c r="C1576" s="124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ht="18.75" customHeight="1" x14ac:dyDescent="0.35">
      <c r="C1577" s="124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ht="18.75" customHeight="1" x14ac:dyDescent="0.35">
      <c r="C1578" s="124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ht="18.75" customHeight="1" x14ac:dyDescent="0.35">
      <c r="C1579" s="124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ht="18.75" customHeight="1" x14ac:dyDescent="0.35">
      <c r="C1580" s="124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ht="18.75" customHeight="1" x14ac:dyDescent="0.35">
      <c r="C1581" s="124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ht="18.75" customHeight="1" x14ac:dyDescent="0.35">
      <c r="C1582" s="124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ht="18.75" customHeight="1" x14ac:dyDescent="0.35">
      <c r="C1583" s="124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ht="18.75" customHeight="1" x14ac:dyDescent="0.35">
      <c r="C1584" s="124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ht="18.75" customHeight="1" x14ac:dyDescent="0.35">
      <c r="C1585" s="124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ht="18.75" customHeight="1" x14ac:dyDescent="0.35">
      <c r="C1586" s="124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ht="18.75" customHeight="1" x14ac:dyDescent="0.35">
      <c r="C1587" s="124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ht="18.75" customHeight="1" x14ac:dyDescent="0.35">
      <c r="C1588" s="124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ht="18.75" customHeight="1" x14ac:dyDescent="0.35">
      <c r="C1589" s="124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ht="18.75" customHeight="1" x14ac:dyDescent="0.35">
      <c r="C1590" s="124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ht="18.75" customHeight="1" x14ac:dyDescent="0.35">
      <c r="C1591" s="124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ht="18.75" customHeight="1" x14ac:dyDescent="0.35">
      <c r="C1592" s="124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ht="18.75" customHeight="1" x14ac:dyDescent="0.35">
      <c r="C1593" s="124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ht="18.75" customHeight="1" x14ac:dyDescent="0.35">
      <c r="C1594" s="124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ht="18.75" customHeight="1" x14ac:dyDescent="0.35">
      <c r="C1595" s="124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ht="18.75" customHeight="1" x14ac:dyDescent="0.35">
      <c r="C1596" s="124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ht="18.75" customHeight="1" x14ac:dyDescent="0.35">
      <c r="C1597" s="124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ht="18.75" customHeight="1" x14ac:dyDescent="0.35">
      <c r="C1598" s="124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ht="18.75" customHeight="1" x14ac:dyDescent="0.35">
      <c r="C1599" s="124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ht="18.75" customHeight="1" x14ac:dyDescent="0.35">
      <c r="C1600" s="124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ht="18.75" customHeight="1" x14ac:dyDescent="0.35">
      <c r="C1601" s="124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ht="18.75" customHeight="1" x14ac:dyDescent="0.35">
      <c r="C1602" s="124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ht="18.75" customHeight="1" x14ac:dyDescent="0.35">
      <c r="C1603" s="124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ht="18.75" customHeight="1" x14ac:dyDescent="0.35">
      <c r="C1604" s="124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ht="18.75" customHeight="1" x14ac:dyDescent="0.35">
      <c r="C1605" s="124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ht="18.75" customHeight="1" x14ac:dyDescent="0.35">
      <c r="C1606" s="124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ht="18.75" customHeight="1" x14ac:dyDescent="0.35">
      <c r="C1607" s="124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ht="18.75" customHeight="1" x14ac:dyDescent="0.35">
      <c r="C1608" s="124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ht="18.75" customHeight="1" x14ac:dyDescent="0.35">
      <c r="C1609" s="124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ht="18.75" customHeight="1" x14ac:dyDescent="0.35">
      <c r="C1610" s="124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ht="18.75" customHeight="1" x14ac:dyDescent="0.35">
      <c r="C1611" s="124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ht="18.75" customHeight="1" x14ac:dyDescent="0.35">
      <c r="C1612" s="124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ht="18.75" customHeight="1" x14ac:dyDescent="0.35">
      <c r="C1613" s="124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ht="18.75" customHeight="1" x14ac:dyDescent="0.35">
      <c r="C1614" s="124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ht="18.75" customHeight="1" x14ac:dyDescent="0.35">
      <c r="C1615" s="124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ht="18.75" customHeight="1" x14ac:dyDescent="0.35">
      <c r="C1616" s="124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ht="18.75" customHeight="1" x14ac:dyDescent="0.35">
      <c r="C1617" s="124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ht="18.75" customHeight="1" x14ac:dyDescent="0.35">
      <c r="C1618" s="124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ht="18.75" customHeight="1" x14ac:dyDescent="0.35">
      <c r="C1619" s="124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ht="18.75" customHeight="1" x14ac:dyDescent="0.35">
      <c r="C1620" s="124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ht="18.75" customHeight="1" x14ac:dyDescent="0.35">
      <c r="C1621" s="124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ht="18.75" customHeight="1" x14ac:dyDescent="0.35">
      <c r="C1622" s="124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ht="18.75" customHeight="1" x14ac:dyDescent="0.35">
      <c r="C1623" s="124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ht="18.75" customHeight="1" x14ac:dyDescent="0.35">
      <c r="C1624" s="124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ht="18.75" customHeight="1" x14ac:dyDescent="0.35">
      <c r="C1625" s="124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ht="18.75" customHeight="1" x14ac:dyDescent="0.35">
      <c r="C1626" s="124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ht="18.75" customHeight="1" x14ac:dyDescent="0.35">
      <c r="C1627" s="124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ht="18.75" customHeight="1" x14ac:dyDescent="0.35">
      <c r="C1628" s="124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ht="18.75" customHeight="1" x14ac:dyDescent="0.35">
      <c r="C1629" s="124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ht="18.75" customHeight="1" x14ac:dyDescent="0.35">
      <c r="C1630" s="124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ht="18.75" customHeight="1" x14ac:dyDescent="0.35">
      <c r="C1631" s="124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ht="18.75" customHeight="1" x14ac:dyDescent="0.35">
      <c r="C1632" s="124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ht="18.75" customHeight="1" x14ac:dyDescent="0.35">
      <c r="C1633" s="124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ht="18.75" customHeight="1" x14ac:dyDescent="0.35">
      <c r="C1634" s="124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ht="18.75" customHeight="1" x14ac:dyDescent="0.35">
      <c r="C1635" s="124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ht="18.75" customHeight="1" x14ac:dyDescent="0.35">
      <c r="C1636" s="124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ht="18.75" customHeight="1" x14ac:dyDescent="0.35">
      <c r="C1637" s="124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ht="18.75" customHeight="1" x14ac:dyDescent="0.35">
      <c r="C1638" s="124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ht="18.75" customHeight="1" x14ac:dyDescent="0.35">
      <c r="C1639" s="124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ht="18.75" customHeight="1" x14ac:dyDescent="0.35">
      <c r="C1640" s="124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ht="18.75" customHeight="1" x14ac:dyDescent="0.35">
      <c r="C1641" s="124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ht="18.75" customHeight="1" x14ac:dyDescent="0.35">
      <c r="C1642" s="124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ht="18.75" customHeight="1" x14ac:dyDescent="0.35">
      <c r="C1643" s="124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ht="18.75" customHeight="1" x14ac:dyDescent="0.35">
      <c r="C1644" s="124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ht="18.75" customHeight="1" x14ac:dyDescent="0.35">
      <c r="C1645" s="124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ht="18.75" customHeight="1" x14ac:dyDescent="0.35">
      <c r="C1646" s="124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ht="18.75" customHeight="1" x14ac:dyDescent="0.35">
      <c r="C1647" s="124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ht="18.75" customHeight="1" x14ac:dyDescent="0.35">
      <c r="C1648" s="124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ht="18.75" customHeight="1" x14ac:dyDescent="0.35">
      <c r="C1649" s="124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ht="18.75" customHeight="1" x14ac:dyDescent="0.35">
      <c r="C1650" s="124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ht="18.75" customHeight="1" x14ac:dyDescent="0.35">
      <c r="C1651" s="124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ht="18.75" customHeight="1" x14ac:dyDescent="0.35">
      <c r="C1652" s="124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ht="18.75" customHeight="1" x14ac:dyDescent="0.35">
      <c r="C1653" s="124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ht="18.75" customHeight="1" x14ac:dyDescent="0.35">
      <c r="C1654" s="124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ht="18.75" customHeight="1" x14ac:dyDescent="0.35">
      <c r="C1655" s="124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ht="18.75" customHeight="1" x14ac:dyDescent="0.35">
      <c r="C1656" s="124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ht="18.75" customHeight="1" x14ac:dyDescent="0.35">
      <c r="C1657" s="124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ht="18.75" customHeight="1" x14ac:dyDescent="0.35">
      <c r="C1658" s="124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ht="18.75" customHeight="1" x14ac:dyDescent="0.35">
      <c r="C1659" s="124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ht="18.75" customHeight="1" x14ac:dyDescent="0.35">
      <c r="C1660" s="124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ht="18.75" customHeight="1" x14ac:dyDescent="0.35">
      <c r="C1661" s="124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ht="18.75" customHeight="1" x14ac:dyDescent="0.35">
      <c r="C1662" s="124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ht="18.75" customHeight="1" x14ac:dyDescent="0.35">
      <c r="C1663" s="124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ht="18.75" customHeight="1" x14ac:dyDescent="0.35">
      <c r="C1664" s="124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ht="18.75" customHeight="1" x14ac:dyDescent="0.35">
      <c r="C1665" s="124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ht="18.75" customHeight="1" x14ac:dyDescent="0.35">
      <c r="C1666" s="124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ht="18.75" customHeight="1" x14ac:dyDescent="0.35">
      <c r="C1667" s="124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ht="18.75" customHeight="1" x14ac:dyDescent="0.35">
      <c r="C1668" s="124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ht="18.75" customHeight="1" x14ac:dyDescent="0.35">
      <c r="C1669" s="124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ht="18.75" customHeight="1" x14ac:dyDescent="0.35">
      <c r="C1670" s="124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ht="18.75" customHeight="1" x14ac:dyDescent="0.35">
      <c r="C1671" s="124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ht="18.75" customHeight="1" x14ac:dyDescent="0.35">
      <c r="C1672" s="124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ht="18.75" customHeight="1" x14ac:dyDescent="0.35">
      <c r="C1673" s="124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ht="18.75" customHeight="1" x14ac:dyDescent="0.35">
      <c r="C1674" s="124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ht="18.75" customHeight="1" x14ac:dyDescent="0.35">
      <c r="C1675" s="124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ht="18.75" customHeight="1" x14ac:dyDescent="0.35">
      <c r="C1676" s="124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ht="18.75" customHeight="1" x14ac:dyDescent="0.35">
      <c r="C1677" s="124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ht="18.75" customHeight="1" x14ac:dyDescent="0.35">
      <c r="C1678" s="124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ht="18.75" customHeight="1" x14ac:dyDescent="0.35">
      <c r="C1679" s="124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ht="18.75" customHeight="1" x14ac:dyDescent="0.35">
      <c r="C1680" s="124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ht="18.75" customHeight="1" x14ac:dyDescent="0.35">
      <c r="C1681" s="124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ht="18.75" customHeight="1" x14ac:dyDescent="0.35">
      <c r="C1682" s="124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ht="18.75" customHeight="1" x14ac:dyDescent="0.35">
      <c r="C1683" s="124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ht="18.75" customHeight="1" x14ac:dyDescent="0.35">
      <c r="C1684" s="124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ht="18.75" customHeight="1" x14ac:dyDescent="0.35">
      <c r="C1685" s="124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ht="18.75" customHeight="1" x14ac:dyDescent="0.35">
      <c r="C1686" s="124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ht="18.75" customHeight="1" x14ac:dyDescent="0.35">
      <c r="C1687" s="124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ht="18.75" customHeight="1" x14ac:dyDescent="0.35">
      <c r="C1688" s="124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ht="18.75" customHeight="1" x14ac:dyDescent="0.35">
      <c r="C1689" s="124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ht="18.75" customHeight="1" x14ac:dyDescent="0.35">
      <c r="C1690" s="124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ht="18.75" customHeight="1" x14ac:dyDescent="0.35">
      <c r="C1691" s="124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ht="18.75" customHeight="1" x14ac:dyDescent="0.35">
      <c r="C1692" s="124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ht="18.75" customHeight="1" x14ac:dyDescent="0.35">
      <c r="C1693" s="124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ht="18.75" customHeight="1" x14ac:dyDescent="0.35">
      <c r="C1694" s="124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ht="18.75" customHeight="1" x14ac:dyDescent="0.35">
      <c r="C1695" s="124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ht="18.75" customHeight="1" x14ac:dyDescent="0.35">
      <c r="C1696" s="124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ht="18.75" customHeight="1" x14ac:dyDescent="0.35">
      <c r="C1697" s="124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ht="18.75" customHeight="1" x14ac:dyDescent="0.35">
      <c r="C1698" s="124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ht="18.75" customHeight="1" x14ac:dyDescent="0.35">
      <c r="C1699" s="124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ht="18.75" customHeight="1" x14ac:dyDescent="0.35">
      <c r="C1700" s="124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ht="18.75" customHeight="1" x14ac:dyDescent="0.35">
      <c r="C1701" s="124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ht="18.75" customHeight="1" x14ac:dyDescent="0.35">
      <c r="C1702" s="124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ht="18.75" customHeight="1" x14ac:dyDescent="0.35">
      <c r="C1703" s="124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ht="18.75" customHeight="1" x14ac:dyDescent="0.35">
      <c r="C1704" s="124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ht="18.75" customHeight="1" x14ac:dyDescent="0.35">
      <c r="C1705" s="124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ht="18.75" customHeight="1" x14ac:dyDescent="0.35">
      <c r="C1706" s="124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ht="18.75" customHeight="1" x14ac:dyDescent="0.35">
      <c r="C1707" s="124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ht="18.75" customHeight="1" x14ac:dyDescent="0.35">
      <c r="C1708" s="124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ht="18.75" customHeight="1" x14ac:dyDescent="0.35">
      <c r="C1709" s="124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ht="18.75" customHeight="1" x14ac:dyDescent="0.35">
      <c r="C1710" s="124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ht="18.75" customHeight="1" x14ac:dyDescent="0.35">
      <c r="C1711" s="124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ht="18.75" customHeight="1" x14ac:dyDescent="0.35">
      <c r="C1712" s="124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ht="18.75" customHeight="1" x14ac:dyDescent="0.35">
      <c r="C1713" s="124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ht="18.75" customHeight="1" x14ac:dyDescent="0.35">
      <c r="C1714" s="124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ht="18.75" customHeight="1" x14ac:dyDescent="0.35">
      <c r="C1715" s="124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ht="18.75" customHeight="1" x14ac:dyDescent="0.35">
      <c r="C1716" s="124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ht="18.75" customHeight="1" x14ac:dyDescent="0.35">
      <c r="C1717" s="124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ht="18.75" customHeight="1" x14ac:dyDescent="0.35">
      <c r="C1718" s="124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ht="18.75" customHeight="1" x14ac:dyDescent="0.35">
      <c r="C1719" s="124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ht="18.75" customHeight="1" x14ac:dyDescent="0.35">
      <c r="C1720" s="124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ht="18.75" customHeight="1" x14ac:dyDescent="0.35">
      <c r="C1721" s="124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ht="18.75" customHeight="1" x14ac:dyDescent="0.35">
      <c r="C1722" s="124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ht="18.75" customHeight="1" x14ac:dyDescent="0.35">
      <c r="C1723" s="124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ht="18.75" customHeight="1" x14ac:dyDescent="0.35">
      <c r="C1724" s="124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ht="18.75" customHeight="1" x14ac:dyDescent="0.35">
      <c r="C1725" s="124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ht="18.75" customHeight="1" x14ac:dyDescent="0.35">
      <c r="C1726" s="124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ht="18.75" customHeight="1" x14ac:dyDescent="0.35">
      <c r="C1727" s="124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ht="18.75" customHeight="1" x14ac:dyDescent="0.35">
      <c r="C1728" s="124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ht="18.75" customHeight="1" x14ac:dyDescent="0.35">
      <c r="C1729" s="124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ht="18.75" customHeight="1" x14ac:dyDescent="0.35">
      <c r="C1730" s="124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ht="18.75" customHeight="1" x14ac:dyDescent="0.35">
      <c r="C1731" s="124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ht="18.75" customHeight="1" x14ac:dyDescent="0.35">
      <c r="C1732" s="124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ht="18.75" customHeight="1" x14ac:dyDescent="0.35">
      <c r="C1733" s="124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ht="18.75" customHeight="1" x14ac:dyDescent="0.35">
      <c r="C1734" s="124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ht="18.75" customHeight="1" x14ac:dyDescent="0.35">
      <c r="C1735" s="124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ht="18.75" customHeight="1" x14ac:dyDescent="0.35">
      <c r="C1736" s="124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ht="18.75" customHeight="1" x14ac:dyDescent="0.35">
      <c r="C1737" s="124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ht="18.75" customHeight="1" x14ac:dyDescent="0.35">
      <c r="C1738" s="124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ht="18.75" customHeight="1" x14ac:dyDescent="0.35">
      <c r="C1739" s="124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ht="18.75" customHeight="1" x14ac:dyDescent="0.35">
      <c r="C1740" s="124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ht="18.75" customHeight="1" x14ac:dyDescent="0.35">
      <c r="C1741" s="124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ht="18.75" customHeight="1" x14ac:dyDescent="0.35">
      <c r="C1742" s="124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ht="18.75" customHeight="1" x14ac:dyDescent="0.35">
      <c r="C1743" s="124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ht="18.75" customHeight="1" x14ac:dyDescent="0.35">
      <c r="C1744" s="124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ht="18.75" customHeight="1" x14ac:dyDescent="0.35">
      <c r="C1745" s="124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ht="18.75" customHeight="1" x14ac:dyDescent="0.35">
      <c r="C1746" s="124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ht="18.75" customHeight="1" x14ac:dyDescent="0.35">
      <c r="C1747" s="124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ht="18.75" customHeight="1" x14ac:dyDescent="0.35">
      <c r="C1748" s="124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ht="18.75" customHeight="1" x14ac:dyDescent="0.35">
      <c r="C1749" s="124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ht="18.75" customHeight="1" x14ac:dyDescent="0.35">
      <c r="C1750" s="124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ht="18.75" customHeight="1" x14ac:dyDescent="0.35">
      <c r="C1751" s="124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ht="18.75" customHeight="1" x14ac:dyDescent="0.35">
      <c r="C1752" s="124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ht="18.75" customHeight="1" x14ac:dyDescent="0.35">
      <c r="C1753" s="124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ht="18.75" customHeight="1" x14ac:dyDescent="0.35">
      <c r="C1754" s="124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ht="18.75" customHeight="1" x14ac:dyDescent="0.35">
      <c r="C1755" s="124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ht="18.75" customHeight="1" x14ac:dyDescent="0.35">
      <c r="C1756" s="124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ht="18.75" customHeight="1" x14ac:dyDescent="0.35">
      <c r="C1757" s="124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ht="18.75" customHeight="1" x14ac:dyDescent="0.35">
      <c r="C1758" s="124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ht="18.75" customHeight="1" x14ac:dyDescent="0.35">
      <c r="C1759" s="124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ht="18.75" customHeight="1" x14ac:dyDescent="0.35">
      <c r="C1760" s="124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ht="18.75" customHeight="1" x14ac:dyDescent="0.35">
      <c r="C1761" s="124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ht="18.75" customHeight="1" x14ac:dyDescent="0.35">
      <c r="C1762" s="124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ht="18.75" customHeight="1" x14ac:dyDescent="0.35">
      <c r="C1763" s="124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ht="18.75" customHeight="1" x14ac:dyDescent="0.35">
      <c r="C1764" s="124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ht="18.75" customHeight="1" x14ac:dyDescent="0.35">
      <c r="C1765" s="124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ht="18.75" customHeight="1" x14ac:dyDescent="0.35">
      <c r="C1766" s="124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ht="18.75" customHeight="1" x14ac:dyDescent="0.35">
      <c r="C1767" s="124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ht="18.75" customHeight="1" x14ac:dyDescent="0.35">
      <c r="C1768" s="124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ht="18.75" customHeight="1" x14ac:dyDescent="0.35">
      <c r="C1769" s="124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ht="18.75" customHeight="1" x14ac:dyDescent="0.35">
      <c r="C1770" s="124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ht="18.75" customHeight="1" x14ac:dyDescent="0.35">
      <c r="C1771" s="124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ht="18.75" customHeight="1" x14ac:dyDescent="0.35">
      <c r="C1772" s="124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ht="18.75" customHeight="1" x14ac:dyDescent="0.35">
      <c r="C1773" s="124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ht="18.75" customHeight="1" x14ac:dyDescent="0.35">
      <c r="C1774" s="124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ht="18.75" customHeight="1" x14ac:dyDescent="0.35">
      <c r="C1775" s="124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ht="18.75" customHeight="1" x14ac:dyDescent="0.35">
      <c r="C1776" s="124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ht="18.75" customHeight="1" x14ac:dyDescent="0.35">
      <c r="C1777" s="124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ht="18.75" customHeight="1" x14ac:dyDescent="0.35">
      <c r="C1778" s="124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ht="18.75" customHeight="1" x14ac:dyDescent="0.35">
      <c r="C1779" s="124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ht="18.75" customHeight="1" x14ac:dyDescent="0.35">
      <c r="C1780" s="124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ht="18.75" customHeight="1" x14ac:dyDescent="0.35">
      <c r="C1781" s="124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ht="18.75" customHeight="1" x14ac:dyDescent="0.35">
      <c r="C1782" s="124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ht="18.75" customHeight="1" x14ac:dyDescent="0.35">
      <c r="C1783" s="124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ht="18.75" customHeight="1" x14ac:dyDescent="0.35">
      <c r="C1784" s="124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ht="18.75" customHeight="1" x14ac:dyDescent="0.35">
      <c r="C1785" s="124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ht="18.75" customHeight="1" x14ac:dyDescent="0.35">
      <c r="C1786" s="124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ht="18.75" customHeight="1" x14ac:dyDescent="0.35">
      <c r="C1787" s="124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ht="18.75" customHeight="1" x14ac:dyDescent="0.35">
      <c r="C1788" s="124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ht="18.75" customHeight="1" x14ac:dyDescent="0.35">
      <c r="C1789" s="124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ht="18.75" customHeight="1" x14ac:dyDescent="0.35">
      <c r="C1790" s="124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ht="18.75" customHeight="1" x14ac:dyDescent="0.35">
      <c r="C1791" s="124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ht="18.75" customHeight="1" x14ac:dyDescent="0.35">
      <c r="C1792" s="124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ht="18.75" customHeight="1" x14ac:dyDescent="0.35">
      <c r="C1793" s="124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ht="18.75" customHeight="1" x14ac:dyDescent="0.35">
      <c r="C1794" s="124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ht="18.75" customHeight="1" x14ac:dyDescent="0.35">
      <c r="C1795" s="124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ht="18.75" customHeight="1" x14ac:dyDescent="0.35">
      <c r="C1796" s="124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ht="18.75" customHeight="1" x14ac:dyDescent="0.35">
      <c r="C1797" s="124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ht="18.75" customHeight="1" x14ac:dyDescent="0.35">
      <c r="C1798" s="124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ht="18.75" customHeight="1" x14ac:dyDescent="0.35">
      <c r="C1799" s="124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ht="18.75" customHeight="1" x14ac:dyDescent="0.35">
      <c r="C1800" s="124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ht="18.75" customHeight="1" x14ac:dyDescent="0.35">
      <c r="C1801" s="124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ht="18.75" customHeight="1" x14ac:dyDescent="0.35">
      <c r="C1802" s="124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ht="18.75" customHeight="1" x14ac:dyDescent="0.35">
      <c r="C1803" s="124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ht="18.75" customHeight="1" x14ac:dyDescent="0.35">
      <c r="C1804" s="124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ht="18.75" customHeight="1" x14ac:dyDescent="0.35">
      <c r="C1805" s="124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ht="18.75" customHeight="1" x14ac:dyDescent="0.35">
      <c r="C1806" s="124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ht="18.75" customHeight="1" x14ac:dyDescent="0.35">
      <c r="C1807" s="124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ht="18.75" customHeight="1" x14ac:dyDescent="0.35">
      <c r="C1808" s="124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ht="18.75" customHeight="1" x14ac:dyDescent="0.35">
      <c r="C1809" s="124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ht="18.75" customHeight="1" x14ac:dyDescent="0.35">
      <c r="C1810" s="124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ht="18.75" customHeight="1" x14ac:dyDescent="0.35">
      <c r="C1811" s="124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ht="18.75" customHeight="1" x14ac:dyDescent="0.35">
      <c r="C1812" s="124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ht="18.75" customHeight="1" x14ac:dyDescent="0.35">
      <c r="C1813" s="124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ht="18.75" customHeight="1" x14ac:dyDescent="0.35">
      <c r="C1814" s="124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ht="18.75" customHeight="1" x14ac:dyDescent="0.35">
      <c r="C1815" s="124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ht="18.75" customHeight="1" x14ac:dyDescent="0.35">
      <c r="C1816" s="124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ht="18.75" customHeight="1" x14ac:dyDescent="0.35">
      <c r="C1817" s="124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ht="18.75" customHeight="1" x14ac:dyDescent="0.35">
      <c r="C1818" s="124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ht="18.75" customHeight="1" x14ac:dyDescent="0.35">
      <c r="C1819" s="124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ht="18.75" customHeight="1" x14ac:dyDescent="0.35">
      <c r="C1820" s="124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ht="18.75" customHeight="1" x14ac:dyDescent="0.35">
      <c r="C1821" s="124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ht="18.75" customHeight="1" x14ac:dyDescent="0.35">
      <c r="C1822" s="124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ht="18.75" customHeight="1" x14ac:dyDescent="0.35">
      <c r="C1823" s="124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ht="18.75" customHeight="1" x14ac:dyDescent="0.35">
      <c r="C1824" s="124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ht="18.75" customHeight="1" x14ac:dyDescent="0.35">
      <c r="C1825" s="124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ht="18.75" customHeight="1" x14ac:dyDescent="0.35">
      <c r="C1826" s="124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ht="18.75" customHeight="1" x14ac:dyDescent="0.35">
      <c r="C1827" s="124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ht="18.75" customHeight="1" x14ac:dyDescent="0.35">
      <c r="C1828" s="124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ht="18.75" customHeight="1" x14ac:dyDescent="0.35">
      <c r="C1829" s="124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ht="18.75" customHeight="1" x14ac:dyDescent="0.35">
      <c r="C1830" s="124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ht="18.75" customHeight="1" x14ac:dyDescent="0.35">
      <c r="C1831" s="124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ht="18.75" customHeight="1" x14ac:dyDescent="0.35">
      <c r="C1832" s="124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ht="18.75" customHeight="1" x14ac:dyDescent="0.35">
      <c r="C1833" s="124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ht="18.75" customHeight="1" x14ac:dyDescent="0.35">
      <c r="C1834" s="124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ht="18.75" customHeight="1" x14ac:dyDescent="0.35">
      <c r="C1835" s="124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ht="18.75" customHeight="1" x14ac:dyDescent="0.35">
      <c r="C1836" s="124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ht="18.75" customHeight="1" x14ac:dyDescent="0.35">
      <c r="C1837" s="124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ht="18.75" customHeight="1" x14ac:dyDescent="0.35">
      <c r="C1838" s="124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ht="18.75" customHeight="1" x14ac:dyDescent="0.35">
      <c r="C1839" s="124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ht="18.75" customHeight="1" x14ac:dyDescent="0.35">
      <c r="C1840" s="124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ht="18.75" customHeight="1" x14ac:dyDescent="0.35">
      <c r="C1841" s="124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ht="18.75" customHeight="1" x14ac:dyDescent="0.35">
      <c r="C1842" s="124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ht="18.75" customHeight="1" x14ac:dyDescent="0.35">
      <c r="C1843" s="124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ht="18.75" customHeight="1" x14ac:dyDescent="0.35">
      <c r="C1844" s="124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ht="18.75" customHeight="1" x14ac:dyDescent="0.35">
      <c r="C1845" s="124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ht="18.75" customHeight="1" x14ac:dyDescent="0.35">
      <c r="C1846" s="124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ht="18.75" customHeight="1" x14ac:dyDescent="0.35">
      <c r="C1847" s="124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ht="18.75" customHeight="1" x14ac:dyDescent="0.35">
      <c r="C1848" s="124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ht="18.75" customHeight="1" x14ac:dyDescent="0.35">
      <c r="C1849" s="124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ht="18.75" customHeight="1" x14ac:dyDescent="0.35">
      <c r="C1850" s="124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ht="18.75" customHeight="1" x14ac:dyDescent="0.35">
      <c r="C1851" s="124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ht="18.75" customHeight="1" x14ac:dyDescent="0.35">
      <c r="C1852" s="124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ht="18.75" customHeight="1" x14ac:dyDescent="0.35">
      <c r="C1853" s="124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ht="18.75" customHeight="1" x14ac:dyDescent="0.35">
      <c r="C1854" s="124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ht="18.75" customHeight="1" x14ac:dyDescent="0.35">
      <c r="C1855" s="124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ht="18.75" customHeight="1" x14ac:dyDescent="0.35">
      <c r="C1856" s="124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ht="18.75" customHeight="1" x14ac:dyDescent="0.35">
      <c r="C1857" s="124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ht="18.75" customHeight="1" x14ac:dyDescent="0.35">
      <c r="C1858" s="124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ht="18.75" customHeight="1" x14ac:dyDescent="0.35">
      <c r="C1859" s="124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ht="18.75" customHeight="1" x14ac:dyDescent="0.35">
      <c r="C1860" s="124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ht="18.75" customHeight="1" x14ac:dyDescent="0.35">
      <c r="C1861" s="124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ht="18.75" customHeight="1" x14ac:dyDescent="0.35">
      <c r="C1862" s="124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ht="18.75" customHeight="1" x14ac:dyDescent="0.35">
      <c r="C1863" s="124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ht="18.75" customHeight="1" x14ac:dyDescent="0.35">
      <c r="C1864" s="124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ht="18.75" customHeight="1" x14ac:dyDescent="0.35">
      <c r="C1865" s="124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ht="18.75" customHeight="1" x14ac:dyDescent="0.35">
      <c r="C1866" s="124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ht="18.75" customHeight="1" x14ac:dyDescent="0.35">
      <c r="C1867" s="124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ht="18.75" customHeight="1" x14ac:dyDescent="0.35">
      <c r="C1868" s="124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ht="18.75" customHeight="1" x14ac:dyDescent="0.35">
      <c r="C1869" s="124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ht="18.75" customHeight="1" x14ac:dyDescent="0.35">
      <c r="C1870" s="124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ht="18.75" customHeight="1" x14ac:dyDescent="0.35">
      <c r="C1871" s="124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ht="18.75" customHeight="1" x14ac:dyDescent="0.35">
      <c r="C1872" s="124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ht="18.75" customHeight="1" x14ac:dyDescent="0.35">
      <c r="C1873" s="124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ht="18.75" customHeight="1" x14ac:dyDescent="0.35">
      <c r="C1874" s="124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ht="18.75" customHeight="1" x14ac:dyDescent="0.35">
      <c r="C1875" s="124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ht="18.75" customHeight="1" x14ac:dyDescent="0.35">
      <c r="C1876" s="124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ht="18.75" customHeight="1" x14ac:dyDescent="0.35">
      <c r="C1877" s="124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ht="18.75" customHeight="1" x14ac:dyDescent="0.35">
      <c r="C1878" s="124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ht="18.75" customHeight="1" x14ac:dyDescent="0.35">
      <c r="C1879" s="124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ht="18.75" customHeight="1" x14ac:dyDescent="0.35">
      <c r="C1880" s="124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ht="18.75" customHeight="1" x14ac:dyDescent="0.35">
      <c r="C1881" s="124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ht="18.75" customHeight="1" x14ac:dyDescent="0.35">
      <c r="C1882" s="124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ht="18.75" customHeight="1" x14ac:dyDescent="0.35">
      <c r="C1883" s="124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ht="18.75" customHeight="1" x14ac:dyDescent="0.35">
      <c r="C1884" s="124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ht="18.75" customHeight="1" x14ac:dyDescent="0.35">
      <c r="C1885" s="124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ht="18.75" customHeight="1" x14ac:dyDescent="0.35">
      <c r="C1886" s="124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ht="18.75" customHeight="1" x14ac:dyDescent="0.35">
      <c r="C1887" s="124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ht="18.75" customHeight="1" x14ac:dyDescent="0.35">
      <c r="C1888" s="124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ht="18.75" customHeight="1" x14ac:dyDescent="0.35">
      <c r="C1889" s="124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ht="18.75" customHeight="1" x14ac:dyDescent="0.35">
      <c r="C1890" s="124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ht="18.75" customHeight="1" x14ac:dyDescent="0.35">
      <c r="C1891" s="124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ht="18.75" customHeight="1" x14ac:dyDescent="0.35">
      <c r="C1892" s="124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ht="18.75" customHeight="1" x14ac:dyDescent="0.35">
      <c r="C1893" s="124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ht="18.75" customHeight="1" x14ac:dyDescent="0.35">
      <c r="C1894" s="124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ht="18.75" customHeight="1" x14ac:dyDescent="0.35">
      <c r="C1895" s="124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ht="18.75" customHeight="1" x14ac:dyDescent="0.35">
      <c r="C1896" s="124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ht="18.75" customHeight="1" x14ac:dyDescent="0.35">
      <c r="C1897" s="124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ht="18.75" customHeight="1" x14ac:dyDescent="0.35">
      <c r="C1898" s="124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ht="18.75" customHeight="1" x14ac:dyDescent="0.35">
      <c r="C1899" s="124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ht="18.75" customHeight="1" x14ac:dyDescent="0.35">
      <c r="C1900" s="124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ht="18.75" customHeight="1" x14ac:dyDescent="0.35">
      <c r="C1901" s="124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ht="18.75" customHeight="1" x14ac:dyDescent="0.35">
      <c r="C1902" s="124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ht="18.75" customHeight="1" x14ac:dyDescent="0.35">
      <c r="C1903" s="124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ht="18.75" customHeight="1" x14ac:dyDescent="0.35">
      <c r="C1904" s="124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ht="18.75" customHeight="1" x14ac:dyDescent="0.35">
      <c r="C1905" s="124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ht="18.75" customHeight="1" x14ac:dyDescent="0.35">
      <c r="C1906" s="124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ht="18.75" customHeight="1" x14ac:dyDescent="0.35">
      <c r="C1907" s="124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ht="18.75" customHeight="1" x14ac:dyDescent="0.35">
      <c r="C1908" s="124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ht="18.75" customHeight="1" x14ac:dyDescent="0.35">
      <c r="C1909" s="124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ht="18.75" customHeight="1" x14ac:dyDescent="0.35">
      <c r="C1910" s="124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ht="18.75" customHeight="1" x14ac:dyDescent="0.35">
      <c r="C1911" s="124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ht="18.75" customHeight="1" x14ac:dyDescent="0.35">
      <c r="C1912" s="124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ht="18.75" customHeight="1" x14ac:dyDescent="0.35">
      <c r="C1913" s="124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ht="18.75" customHeight="1" x14ac:dyDescent="0.35">
      <c r="C1914" s="124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ht="18.75" customHeight="1" x14ac:dyDescent="0.35">
      <c r="C1915" s="124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ht="18.75" customHeight="1" x14ac:dyDescent="0.35">
      <c r="C1916" s="124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ht="18.75" customHeight="1" x14ac:dyDescent="0.35">
      <c r="C1917" s="124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ht="18.75" customHeight="1" x14ac:dyDescent="0.35">
      <c r="C1918" s="124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ht="18.75" customHeight="1" x14ac:dyDescent="0.35">
      <c r="C1919" s="124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ht="18.75" customHeight="1" x14ac:dyDescent="0.35">
      <c r="C1920" s="124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ht="18.75" customHeight="1" x14ac:dyDescent="0.35">
      <c r="C1921" s="124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ht="18.75" customHeight="1" x14ac:dyDescent="0.35">
      <c r="C1922" s="124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ht="18.75" customHeight="1" x14ac:dyDescent="0.35">
      <c r="C1923" s="124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ht="18.75" customHeight="1" x14ac:dyDescent="0.35">
      <c r="C1924" s="124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ht="18.75" customHeight="1" x14ac:dyDescent="0.35">
      <c r="C1925" s="124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ht="18.75" customHeight="1" x14ac:dyDescent="0.35">
      <c r="C1926" s="124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ht="18.75" customHeight="1" x14ac:dyDescent="0.35">
      <c r="C1927" s="124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ht="18.75" customHeight="1" x14ac:dyDescent="0.35">
      <c r="C1928" s="124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ht="18.75" customHeight="1" x14ac:dyDescent="0.35">
      <c r="C1929" s="124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ht="18.75" customHeight="1" x14ac:dyDescent="0.35">
      <c r="C1930" s="124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ht="18.75" customHeight="1" x14ac:dyDescent="0.35">
      <c r="C1931" s="124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ht="18.75" customHeight="1" x14ac:dyDescent="0.35">
      <c r="C1932" s="124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ht="18.75" customHeight="1" x14ac:dyDescent="0.35">
      <c r="C1933" s="124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ht="18.75" customHeight="1" x14ac:dyDescent="0.35">
      <c r="C1934" s="124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ht="18.75" customHeight="1" x14ac:dyDescent="0.35">
      <c r="C1935" s="124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ht="18.75" customHeight="1" x14ac:dyDescent="0.35">
      <c r="C1936" s="124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ht="18.75" customHeight="1" x14ac:dyDescent="0.35">
      <c r="C1937" s="124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ht="18.75" customHeight="1" x14ac:dyDescent="0.35">
      <c r="C1938" s="124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ht="18.75" customHeight="1" x14ac:dyDescent="0.35">
      <c r="C1939" s="124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ht="18.75" customHeight="1" x14ac:dyDescent="0.35">
      <c r="C1940" s="124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ht="18.75" customHeight="1" x14ac:dyDescent="0.35">
      <c r="C1941" s="124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ht="18.75" customHeight="1" x14ac:dyDescent="0.35">
      <c r="C1942" s="124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ht="18.75" customHeight="1" x14ac:dyDescent="0.35">
      <c r="C1943" s="124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ht="18.75" customHeight="1" x14ac:dyDescent="0.35">
      <c r="C1944" s="124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ht="18.75" customHeight="1" x14ac:dyDescent="0.35">
      <c r="C1945" s="124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ht="18.75" customHeight="1" x14ac:dyDescent="0.35">
      <c r="C1946" s="124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ht="18.75" customHeight="1" x14ac:dyDescent="0.35">
      <c r="C1947" s="124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ht="18.75" customHeight="1" x14ac:dyDescent="0.35">
      <c r="C1948" s="124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ht="18.75" customHeight="1" x14ac:dyDescent="0.35">
      <c r="C1949" s="124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ht="18.75" customHeight="1" x14ac:dyDescent="0.35">
      <c r="C1950" s="124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ht="18.75" customHeight="1" x14ac:dyDescent="0.35">
      <c r="C1951" s="124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ht="18.75" customHeight="1" x14ac:dyDescent="0.35">
      <c r="C1952" s="124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ht="18.75" customHeight="1" x14ac:dyDescent="0.35">
      <c r="C1953" s="124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ht="18.75" customHeight="1" x14ac:dyDescent="0.35">
      <c r="C1954" s="124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ht="18.75" customHeight="1" x14ac:dyDescent="0.35">
      <c r="C1955" s="124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ht="18.75" customHeight="1" x14ac:dyDescent="0.35">
      <c r="C1956" s="124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ht="18.75" customHeight="1" x14ac:dyDescent="0.35">
      <c r="C1957" s="124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ht="18.75" customHeight="1" x14ac:dyDescent="0.35">
      <c r="C1958" s="124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ht="18.75" customHeight="1" x14ac:dyDescent="0.35">
      <c r="C1959" s="124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ht="18.75" customHeight="1" x14ac:dyDescent="0.35">
      <c r="C1960" s="124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ht="18.75" customHeight="1" x14ac:dyDescent="0.35">
      <c r="C1961" s="124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ht="18.75" customHeight="1" x14ac:dyDescent="0.35">
      <c r="C1962" s="124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ht="18.75" customHeight="1" x14ac:dyDescent="0.35">
      <c r="C1963" s="124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ht="18.75" customHeight="1" x14ac:dyDescent="0.35">
      <c r="C1964" s="124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ht="18.75" customHeight="1" x14ac:dyDescent="0.35">
      <c r="C1965" s="124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ht="18.75" customHeight="1" x14ac:dyDescent="0.35">
      <c r="C1966" s="124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ht="18.75" customHeight="1" x14ac:dyDescent="0.35">
      <c r="C1967" s="124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ht="18.75" customHeight="1" x14ac:dyDescent="0.35">
      <c r="C1968" s="124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ht="18.75" customHeight="1" x14ac:dyDescent="0.35">
      <c r="C1969" s="124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ht="18.75" customHeight="1" x14ac:dyDescent="0.35">
      <c r="C1970" s="124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ht="18.75" customHeight="1" x14ac:dyDescent="0.35">
      <c r="C1971" s="124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ht="18.75" customHeight="1" x14ac:dyDescent="0.35">
      <c r="C1972" s="124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ht="18.75" customHeight="1" x14ac:dyDescent="0.35">
      <c r="C1973" s="124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ht="18.75" customHeight="1" x14ac:dyDescent="0.35">
      <c r="C1974" s="124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ht="18.75" customHeight="1" x14ac:dyDescent="0.35">
      <c r="C1975" s="124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ht="18.75" customHeight="1" x14ac:dyDescent="0.35">
      <c r="C1976" s="124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ht="18.75" customHeight="1" x14ac:dyDescent="0.35">
      <c r="C1977" s="124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ht="18.75" customHeight="1" x14ac:dyDescent="0.35">
      <c r="C1978" s="124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ht="18.75" customHeight="1" x14ac:dyDescent="0.35">
      <c r="C1979" s="124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ht="18.75" customHeight="1" x14ac:dyDescent="0.35">
      <c r="C1980" s="124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ht="18.75" customHeight="1" x14ac:dyDescent="0.35">
      <c r="C1981" s="124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ht="18.75" customHeight="1" x14ac:dyDescent="0.35">
      <c r="C1982" s="124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ht="18.75" customHeight="1" x14ac:dyDescent="0.35">
      <c r="C1983" s="124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ht="18.75" customHeight="1" x14ac:dyDescent="0.35">
      <c r="C1984" s="124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ht="18.75" customHeight="1" x14ac:dyDescent="0.35">
      <c r="C1985" s="124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ht="18.75" customHeight="1" x14ac:dyDescent="0.35">
      <c r="C1986" s="124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ht="18.75" customHeight="1" x14ac:dyDescent="0.35">
      <c r="C1987" s="124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ht="18.75" customHeight="1" x14ac:dyDescent="0.35">
      <c r="C1988" s="124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ht="18.75" customHeight="1" x14ac:dyDescent="0.35">
      <c r="C1989" s="124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ht="18.75" customHeight="1" x14ac:dyDescent="0.35">
      <c r="C1990" s="124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ht="18.75" customHeight="1" x14ac:dyDescent="0.35">
      <c r="C1991" s="124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ht="18.75" customHeight="1" x14ac:dyDescent="0.35">
      <c r="C1992" s="124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ht="18.75" customHeight="1" x14ac:dyDescent="0.35">
      <c r="C1993" s="124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ht="18.75" customHeight="1" x14ac:dyDescent="0.35">
      <c r="C1994" s="124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ht="18.75" customHeight="1" x14ac:dyDescent="0.35">
      <c r="C1995" s="124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ht="18.75" customHeight="1" x14ac:dyDescent="0.35">
      <c r="C1996" s="124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ht="18.75" customHeight="1" x14ac:dyDescent="0.35">
      <c r="C1997" s="124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ht="18.75" customHeight="1" x14ac:dyDescent="0.35">
      <c r="C1998" s="124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ht="18.75" customHeight="1" x14ac:dyDescent="0.35">
      <c r="C1999" s="124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ht="18.75" customHeight="1" x14ac:dyDescent="0.35">
      <c r="C2000" s="124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ht="18.75" customHeight="1" x14ac:dyDescent="0.35">
      <c r="C2001" s="124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ht="18.75" customHeight="1" x14ac:dyDescent="0.35">
      <c r="C2002" s="124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ht="18.75" customHeight="1" x14ac:dyDescent="0.35">
      <c r="C2003" s="124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ht="18.75" customHeight="1" x14ac:dyDescent="0.35">
      <c r="C2004" s="124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ht="18.75" customHeight="1" x14ac:dyDescent="0.35">
      <c r="C2005" s="124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ht="18.75" customHeight="1" x14ac:dyDescent="0.35">
      <c r="C2006" s="124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ht="18.75" customHeight="1" x14ac:dyDescent="0.35">
      <c r="C2007" s="124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ht="18.75" customHeight="1" x14ac:dyDescent="0.35">
      <c r="C2008" s="124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ht="18.75" customHeight="1" x14ac:dyDescent="0.35">
      <c r="C2009" s="124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ht="18.75" customHeight="1" x14ac:dyDescent="0.35">
      <c r="C2010" s="124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ht="18.75" customHeight="1" x14ac:dyDescent="0.35">
      <c r="C2011" s="124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ht="18.75" customHeight="1" x14ac:dyDescent="0.35">
      <c r="C2012" s="124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ht="18.75" customHeight="1" x14ac:dyDescent="0.35">
      <c r="C2013" s="124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ht="18.75" customHeight="1" x14ac:dyDescent="0.35">
      <c r="C2014" s="124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ht="18.75" customHeight="1" x14ac:dyDescent="0.35">
      <c r="C2015" s="124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ht="18.75" customHeight="1" x14ac:dyDescent="0.35">
      <c r="C2016" s="124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ht="18.75" customHeight="1" x14ac:dyDescent="0.35">
      <c r="C2017" s="124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ht="18.75" customHeight="1" x14ac:dyDescent="0.35">
      <c r="C2018" s="124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ht="18.75" customHeight="1" x14ac:dyDescent="0.35">
      <c r="C2019" s="124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ht="18.75" customHeight="1" x14ac:dyDescent="0.35">
      <c r="C2020" s="124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ht="18.75" customHeight="1" x14ac:dyDescent="0.35">
      <c r="C2021" s="124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ht="18.75" customHeight="1" x14ac:dyDescent="0.35">
      <c r="C2022" s="124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ht="18.75" customHeight="1" x14ac:dyDescent="0.35">
      <c r="C2023" s="124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ht="18.75" customHeight="1" x14ac:dyDescent="0.35">
      <c r="C2024" s="124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ht="18.75" customHeight="1" x14ac:dyDescent="0.35">
      <c r="C2025" s="124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ht="18.75" customHeight="1" x14ac:dyDescent="0.35">
      <c r="C2026" s="124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ht="18.75" customHeight="1" x14ac:dyDescent="0.35">
      <c r="C2027" s="124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ht="18.75" customHeight="1" x14ac:dyDescent="0.35">
      <c r="C2028" s="124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ht="18.75" customHeight="1" x14ac:dyDescent="0.35">
      <c r="C2029" s="124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ht="18.75" customHeight="1" x14ac:dyDescent="0.35">
      <c r="C2030" s="124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ht="18.75" customHeight="1" x14ac:dyDescent="0.35">
      <c r="C2031" s="124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ht="18.75" customHeight="1" x14ac:dyDescent="0.35">
      <c r="C2032" s="124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ht="18.75" customHeight="1" x14ac:dyDescent="0.35">
      <c r="C2033" s="124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ht="18.75" customHeight="1" x14ac:dyDescent="0.35">
      <c r="C2034" s="124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ht="18.75" customHeight="1" x14ac:dyDescent="0.35">
      <c r="C2035" s="124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ht="18.75" customHeight="1" x14ac:dyDescent="0.35">
      <c r="C2036" s="124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ht="18.75" customHeight="1" x14ac:dyDescent="0.35">
      <c r="C2037" s="124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ht="18.75" customHeight="1" x14ac:dyDescent="0.35">
      <c r="C2038" s="124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ht="18.75" customHeight="1" x14ac:dyDescent="0.35">
      <c r="C2039" s="124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ht="18.75" customHeight="1" x14ac:dyDescent="0.35">
      <c r="C2040" s="124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ht="18.75" customHeight="1" x14ac:dyDescent="0.35">
      <c r="C2041" s="124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ht="18.75" customHeight="1" x14ac:dyDescent="0.35">
      <c r="C2042" s="124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ht="18.75" customHeight="1" x14ac:dyDescent="0.35">
      <c r="C2043" s="124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ht="18.75" customHeight="1" x14ac:dyDescent="0.35">
      <c r="C2044" s="124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ht="18.75" customHeight="1" x14ac:dyDescent="0.35">
      <c r="C2045" s="124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ht="18.75" customHeight="1" x14ac:dyDescent="0.35">
      <c r="C2046" s="124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ht="18.75" customHeight="1" x14ac:dyDescent="0.35">
      <c r="C2047" s="124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ht="18.75" customHeight="1" x14ac:dyDescent="0.35">
      <c r="C2048" s="124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ht="18.75" customHeight="1" x14ac:dyDescent="0.35">
      <c r="C2049" s="124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ht="18.75" customHeight="1" x14ac:dyDescent="0.35">
      <c r="C2050" s="124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ht="18.75" customHeight="1" x14ac:dyDescent="0.35">
      <c r="C2051" s="124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ht="18.75" customHeight="1" x14ac:dyDescent="0.35">
      <c r="C2052" s="124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ht="18.75" customHeight="1" x14ac:dyDescent="0.35">
      <c r="C2053" s="124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ht="18.75" customHeight="1" x14ac:dyDescent="0.35">
      <c r="C2054" s="124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ht="18.75" customHeight="1" x14ac:dyDescent="0.35">
      <c r="C2055" s="124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ht="18.75" customHeight="1" x14ac:dyDescent="0.35">
      <c r="C2056" s="124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ht="18.75" customHeight="1" x14ac:dyDescent="0.35">
      <c r="C2057" s="124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ht="18.75" customHeight="1" x14ac:dyDescent="0.35">
      <c r="C2058" s="124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ht="18.75" customHeight="1" x14ac:dyDescent="0.35">
      <c r="C2059" s="124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ht="18.75" customHeight="1" x14ac:dyDescent="0.35">
      <c r="C2060" s="124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ht="18.75" customHeight="1" x14ac:dyDescent="0.35">
      <c r="C2061" s="124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ht="18.75" customHeight="1" x14ac:dyDescent="0.35">
      <c r="C2062" s="124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ht="18.75" customHeight="1" x14ac:dyDescent="0.35">
      <c r="C2063" s="124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ht="18.75" customHeight="1" x14ac:dyDescent="0.35">
      <c r="C2064" s="124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ht="18.75" customHeight="1" x14ac:dyDescent="0.35">
      <c r="C2065" s="124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ht="18.75" customHeight="1" x14ac:dyDescent="0.35">
      <c r="C2066" s="124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ht="18.75" customHeight="1" x14ac:dyDescent="0.35">
      <c r="C2067" s="124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ht="18.75" customHeight="1" x14ac:dyDescent="0.35">
      <c r="C2068" s="124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ht="18.75" customHeight="1" x14ac:dyDescent="0.35">
      <c r="C2069" s="124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ht="18.75" customHeight="1" x14ac:dyDescent="0.35">
      <c r="C2070" s="124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ht="18.75" customHeight="1" x14ac:dyDescent="0.35">
      <c r="C2071" s="124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ht="18.75" customHeight="1" x14ac:dyDescent="0.35">
      <c r="C2072" s="124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ht="18.75" customHeight="1" x14ac:dyDescent="0.35">
      <c r="C2073" s="124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ht="18.75" customHeight="1" x14ac:dyDescent="0.35">
      <c r="C2074" s="124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ht="18.75" customHeight="1" x14ac:dyDescent="0.35">
      <c r="C2075" s="124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ht="18.75" customHeight="1" x14ac:dyDescent="0.35">
      <c r="C2076" s="124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ht="18.75" customHeight="1" x14ac:dyDescent="0.35">
      <c r="C2077" s="124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ht="18.75" customHeight="1" x14ac:dyDescent="0.35">
      <c r="C2078" s="124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ht="18.75" customHeight="1" x14ac:dyDescent="0.35">
      <c r="C2079" s="124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ht="18.75" customHeight="1" x14ac:dyDescent="0.35">
      <c r="C2080" s="124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ht="18.75" customHeight="1" x14ac:dyDescent="0.35">
      <c r="C2081" s="124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ht="18.75" customHeight="1" x14ac:dyDescent="0.35">
      <c r="C2082" s="124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ht="18.75" customHeight="1" x14ac:dyDescent="0.35">
      <c r="C2083" s="124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ht="18.75" customHeight="1" x14ac:dyDescent="0.35">
      <c r="C2084" s="124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ht="18.75" customHeight="1" x14ac:dyDescent="0.35">
      <c r="C2085" s="124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ht="18.75" customHeight="1" x14ac:dyDescent="0.35">
      <c r="C2086" s="124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ht="18.75" customHeight="1" x14ac:dyDescent="0.35">
      <c r="C2087" s="124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ht="18.75" customHeight="1" x14ac:dyDescent="0.35">
      <c r="C2088" s="124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ht="18.75" customHeight="1" x14ac:dyDescent="0.35">
      <c r="C2089" s="124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ht="18.75" customHeight="1" x14ac:dyDescent="0.35">
      <c r="C2090" s="124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ht="18.75" customHeight="1" x14ac:dyDescent="0.35">
      <c r="C2091" s="124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ht="18.75" customHeight="1" x14ac:dyDescent="0.35">
      <c r="C2092" s="124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ht="18.75" customHeight="1" x14ac:dyDescent="0.35">
      <c r="C2093" s="124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ht="18.75" customHeight="1" x14ac:dyDescent="0.35">
      <c r="C2094" s="124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ht="18.75" customHeight="1" x14ac:dyDescent="0.35">
      <c r="C2095" s="124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ht="18.75" customHeight="1" x14ac:dyDescent="0.35">
      <c r="C2096" s="124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ht="18.75" customHeight="1" x14ac:dyDescent="0.35">
      <c r="C2097" s="124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ht="18.75" customHeight="1" x14ac:dyDescent="0.35">
      <c r="C2098" s="124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ht="18.75" customHeight="1" x14ac:dyDescent="0.35">
      <c r="C2099" s="124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ht="18.75" customHeight="1" x14ac:dyDescent="0.35">
      <c r="C2100" s="124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ht="18.75" customHeight="1" x14ac:dyDescent="0.35">
      <c r="C2101" s="124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ht="18.75" customHeight="1" x14ac:dyDescent="0.35">
      <c r="C2102" s="124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ht="18.75" customHeight="1" x14ac:dyDescent="0.35">
      <c r="C2103" s="124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ht="18.75" customHeight="1" x14ac:dyDescent="0.35">
      <c r="C2104" s="124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ht="18.75" customHeight="1" x14ac:dyDescent="0.35">
      <c r="C2105" s="124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ht="18.75" customHeight="1" x14ac:dyDescent="0.35">
      <c r="C2106" s="124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ht="18.75" customHeight="1" x14ac:dyDescent="0.35">
      <c r="C2107" s="124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ht="18.75" customHeight="1" x14ac:dyDescent="0.35">
      <c r="C2108" s="124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ht="18.75" customHeight="1" x14ac:dyDescent="0.35">
      <c r="C2109" s="124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ht="18.75" customHeight="1" x14ac:dyDescent="0.35">
      <c r="C2110" s="124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ht="18.75" customHeight="1" x14ac:dyDescent="0.35">
      <c r="C2111" s="124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ht="18.75" customHeight="1" x14ac:dyDescent="0.35">
      <c r="C2112" s="124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ht="18.75" customHeight="1" x14ac:dyDescent="0.35">
      <c r="C2113" s="124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ht="18.75" customHeight="1" x14ac:dyDescent="0.35">
      <c r="C2114" s="124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ht="18.75" customHeight="1" x14ac:dyDescent="0.35">
      <c r="C2115" s="124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ht="18.75" customHeight="1" x14ac:dyDescent="0.35">
      <c r="C2116" s="124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ht="18.75" customHeight="1" x14ac:dyDescent="0.35">
      <c r="C2117" s="124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ht="18.75" customHeight="1" x14ac:dyDescent="0.35">
      <c r="C2118" s="124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ht="18.75" customHeight="1" x14ac:dyDescent="0.35">
      <c r="C2119" s="124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ht="18.75" customHeight="1" x14ac:dyDescent="0.35">
      <c r="C2120" s="124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ht="18.75" customHeight="1" x14ac:dyDescent="0.35">
      <c r="C2121" s="124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ht="18.75" customHeight="1" x14ac:dyDescent="0.35">
      <c r="C2122" s="124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ht="18.75" customHeight="1" x14ac:dyDescent="0.35">
      <c r="C2123" s="124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ht="18.75" customHeight="1" x14ac:dyDescent="0.35">
      <c r="C2124" s="124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ht="18.75" customHeight="1" x14ac:dyDescent="0.35">
      <c r="C2125" s="124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ht="18.75" customHeight="1" x14ac:dyDescent="0.35">
      <c r="C2126" s="124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ht="18.75" customHeight="1" x14ac:dyDescent="0.35">
      <c r="C2127" s="124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ht="18.75" customHeight="1" x14ac:dyDescent="0.35">
      <c r="C2128" s="124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ht="18.75" customHeight="1" x14ac:dyDescent="0.35">
      <c r="C2129" s="124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ht="18.75" customHeight="1" x14ac:dyDescent="0.35">
      <c r="C2130" s="124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ht="18.75" customHeight="1" x14ac:dyDescent="0.35">
      <c r="C2131" s="124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ht="18.75" customHeight="1" x14ac:dyDescent="0.35">
      <c r="C2132" s="124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ht="18.75" customHeight="1" x14ac:dyDescent="0.35">
      <c r="C2133" s="124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ht="18.75" customHeight="1" x14ac:dyDescent="0.35">
      <c r="C2134" s="124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ht="18.75" customHeight="1" x14ac:dyDescent="0.35">
      <c r="C2135" s="124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ht="18.75" customHeight="1" x14ac:dyDescent="0.35">
      <c r="C2136" s="124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ht="18.75" customHeight="1" x14ac:dyDescent="0.35">
      <c r="C2137" s="124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ht="18.75" customHeight="1" x14ac:dyDescent="0.35">
      <c r="C2138" s="124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ht="18.75" customHeight="1" x14ac:dyDescent="0.35">
      <c r="C2139" s="124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ht="18.75" customHeight="1" x14ac:dyDescent="0.35">
      <c r="C2140" s="124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ht="18.75" customHeight="1" x14ac:dyDescent="0.35">
      <c r="C2141" s="124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ht="18.75" customHeight="1" x14ac:dyDescent="0.35">
      <c r="C2142" s="124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ht="18.75" customHeight="1" x14ac:dyDescent="0.35">
      <c r="C2143" s="124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ht="18.75" customHeight="1" x14ac:dyDescent="0.35">
      <c r="C2144" s="124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ht="18.75" customHeight="1" x14ac:dyDescent="0.35">
      <c r="C2145" s="124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ht="18.75" customHeight="1" x14ac:dyDescent="0.35">
      <c r="C2146" s="124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ht="18.75" customHeight="1" x14ac:dyDescent="0.35">
      <c r="C2147" s="124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ht="18.75" customHeight="1" x14ac:dyDescent="0.35">
      <c r="C2148" s="124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ht="18.75" customHeight="1" x14ac:dyDescent="0.35">
      <c r="C2149" s="124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ht="18.75" customHeight="1" x14ac:dyDescent="0.35">
      <c r="C2150" s="124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ht="18.75" customHeight="1" x14ac:dyDescent="0.35">
      <c r="C2151" s="124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ht="18.75" customHeight="1" x14ac:dyDescent="0.35">
      <c r="C2152" s="124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ht="18.75" customHeight="1" x14ac:dyDescent="0.35">
      <c r="C2153" s="124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ht="18.75" customHeight="1" x14ac:dyDescent="0.35">
      <c r="C2154" s="124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ht="18.75" customHeight="1" x14ac:dyDescent="0.35">
      <c r="C2155" s="124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ht="18.75" customHeight="1" x14ac:dyDescent="0.35">
      <c r="C2156" s="124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ht="18.75" customHeight="1" x14ac:dyDescent="0.35">
      <c r="C2157" s="124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ht="18.75" customHeight="1" x14ac:dyDescent="0.35">
      <c r="C2158" s="124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ht="18.75" customHeight="1" x14ac:dyDescent="0.35">
      <c r="C2159" s="124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ht="18.75" customHeight="1" x14ac:dyDescent="0.35">
      <c r="C2160" s="124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ht="18.75" customHeight="1" x14ac:dyDescent="0.35">
      <c r="C2161" s="124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ht="18.75" customHeight="1" x14ac:dyDescent="0.35">
      <c r="C2162" s="124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ht="18.75" customHeight="1" x14ac:dyDescent="0.35">
      <c r="C2163" s="124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ht="18.75" customHeight="1" x14ac:dyDescent="0.35">
      <c r="C2164" s="124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ht="18.75" customHeight="1" x14ac:dyDescent="0.35">
      <c r="C2165" s="124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ht="18.75" customHeight="1" x14ac:dyDescent="0.35">
      <c r="C2166" s="124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ht="18.75" customHeight="1" x14ac:dyDescent="0.35">
      <c r="C2167" s="124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ht="18.75" customHeight="1" x14ac:dyDescent="0.35">
      <c r="C2168" s="124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ht="18.75" customHeight="1" x14ac:dyDescent="0.35">
      <c r="C2169" s="124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ht="18.75" customHeight="1" x14ac:dyDescent="0.35">
      <c r="C2170" s="124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ht="18.75" customHeight="1" x14ac:dyDescent="0.35">
      <c r="C2171" s="124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ht="18.75" customHeight="1" x14ac:dyDescent="0.35">
      <c r="C2172" s="124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ht="18.75" customHeight="1" x14ac:dyDescent="0.35">
      <c r="C2173" s="124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ht="18.75" customHeight="1" x14ac:dyDescent="0.35">
      <c r="C2174" s="124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ht="18.75" customHeight="1" x14ac:dyDescent="0.35">
      <c r="C2175" s="124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ht="18.75" customHeight="1" x14ac:dyDescent="0.35">
      <c r="C2176" s="124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ht="18.75" customHeight="1" x14ac:dyDescent="0.35">
      <c r="C2177" s="124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ht="18.75" customHeight="1" x14ac:dyDescent="0.35">
      <c r="C2178" s="124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ht="18.75" customHeight="1" x14ac:dyDescent="0.35">
      <c r="C2179" s="124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ht="18.75" customHeight="1" x14ac:dyDescent="0.35">
      <c r="C2180" s="124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ht="18.75" customHeight="1" x14ac:dyDescent="0.35">
      <c r="C2181" s="124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ht="18.75" customHeight="1" x14ac:dyDescent="0.35">
      <c r="C2182" s="124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ht="18.75" customHeight="1" x14ac:dyDescent="0.35">
      <c r="C2183" s="124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ht="18.75" customHeight="1" x14ac:dyDescent="0.35">
      <c r="C2184" s="124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ht="18.75" customHeight="1" x14ac:dyDescent="0.35">
      <c r="C2185" s="124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ht="18.75" customHeight="1" x14ac:dyDescent="0.35">
      <c r="C2186" s="124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ht="18.75" customHeight="1" x14ac:dyDescent="0.35">
      <c r="C2187" s="124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ht="18.75" customHeight="1" x14ac:dyDescent="0.35">
      <c r="C2188" s="124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ht="18.75" customHeight="1" x14ac:dyDescent="0.35">
      <c r="C2189" s="124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ht="18.75" customHeight="1" x14ac:dyDescent="0.35">
      <c r="C2190" s="124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ht="18.75" customHeight="1" x14ac:dyDescent="0.35">
      <c r="C2191" s="124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ht="18.75" customHeight="1" x14ac:dyDescent="0.35">
      <c r="C2192" s="124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ht="18.75" customHeight="1" x14ac:dyDescent="0.35">
      <c r="C2193" s="124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ht="18.75" customHeight="1" x14ac:dyDescent="0.35">
      <c r="C2194" s="124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ht="18.75" customHeight="1" x14ac:dyDescent="0.35">
      <c r="C2195" s="124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ht="18.75" customHeight="1" x14ac:dyDescent="0.35">
      <c r="C2196" s="124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ht="18.75" customHeight="1" x14ac:dyDescent="0.35">
      <c r="C2197" s="124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ht="18.75" customHeight="1" x14ac:dyDescent="0.35">
      <c r="C2198" s="124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ht="18.75" customHeight="1" x14ac:dyDescent="0.35">
      <c r="C2199" s="124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ht="18.75" customHeight="1" x14ac:dyDescent="0.35">
      <c r="C2200" s="124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ht="18.75" customHeight="1" x14ac:dyDescent="0.35">
      <c r="C2201" s="124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ht="18.75" customHeight="1" x14ac:dyDescent="0.35">
      <c r="C2202" s="124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ht="18.75" customHeight="1" x14ac:dyDescent="0.35">
      <c r="C2203" s="124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ht="18.75" customHeight="1" x14ac:dyDescent="0.35">
      <c r="C2204" s="124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ht="18.75" customHeight="1" x14ac:dyDescent="0.35">
      <c r="C2205" s="124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ht="18.75" customHeight="1" x14ac:dyDescent="0.35">
      <c r="C2206" s="124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ht="18.75" customHeight="1" x14ac:dyDescent="0.35">
      <c r="C2207" s="124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ht="18.75" customHeight="1" x14ac:dyDescent="0.35">
      <c r="C2208" s="124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ht="18.75" customHeight="1" x14ac:dyDescent="0.35">
      <c r="C2209" s="124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ht="18.75" customHeight="1" x14ac:dyDescent="0.35">
      <c r="C2210" s="124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ht="18.75" customHeight="1" x14ac:dyDescent="0.35">
      <c r="C2211" s="124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ht="18.75" customHeight="1" x14ac:dyDescent="0.35">
      <c r="C2212" s="124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ht="18.75" customHeight="1" x14ac:dyDescent="0.35">
      <c r="C2213" s="124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ht="18.75" customHeight="1" x14ac:dyDescent="0.35">
      <c r="C2214" s="124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ht="18.75" customHeight="1" x14ac:dyDescent="0.35">
      <c r="C2215" s="124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ht="18.75" customHeight="1" x14ac:dyDescent="0.35">
      <c r="C2216" s="124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ht="18.75" customHeight="1" x14ac:dyDescent="0.35">
      <c r="C2217" s="124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ht="18.75" customHeight="1" x14ac:dyDescent="0.35">
      <c r="C2218" s="124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ht="18.75" customHeight="1" x14ac:dyDescent="0.35">
      <c r="C2219" s="124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ht="18.75" customHeight="1" x14ac:dyDescent="0.35">
      <c r="C2220" s="124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ht="18.75" customHeight="1" x14ac:dyDescent="0.35">
      <c r="C2221" s="124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ht="18.75" customHeight="1" x14ac:dyDescent="0.35">
      <c r="C2222" s="124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ht="18.75" customHeight="1" x14ac:dyDescent="0.35">
      <c r="C2223" s="124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ht="18.75" customHeight="1" x14ac:dyDescent="0.35">
      <c r="C2224" s="124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ht="18.75" customHeight="1" x14ac:dyDescent="0.35">
      <c r="C2225" s="124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ht="18.75" customHeight="1" x14ac:dyDescent="0.35">
      <c r="C2226" s="124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ht="18.75" customHeight="1" x14ac:dyDescent="0.35">
      <c r="C2227" s="124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ht="18.75" customHeight="1" x14ac:dyDescent="0.35">
      <c r="C2228" s="124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ht="18.75" customHeight="1" x14ac:dyDescent="0.35">
      <c r="C2229" s="124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ht="18.75" customHeight="1" x14ac:dyDescent="0.35">
      <c r="C2230" s="124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ht="18.75" customHeight="1" x14ac:dyDescent="0.35">
      <c r="C2231" s="124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ht="18.75" customHeight="1" x14ac:dyDescent="0.35">
      <c r="C2232" s="124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ht="18.75" customHeight="1" x14ac:dyDescent="0.35">
      <c r="C2233" s="124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ht="18.75" customHeight="1" x14ac:dyDescent="0.35">
      <c r="C2234" s="124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ht="18.75" customHeight="1" x14ac:dyDescent="0.35">
      <c r="C2235" s="124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ht="18.75" customHeight="1" x14ac:dyDescent="0.35">
      <c r="C2236" s="124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ht="18.75" customHeight="1" x14ac:dyDescent="0.35">
      <c r="C2237" s="124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ht="18.75" customHeight="1" x14ac:dyDescent="0.35">
      <c r="C2238" s="124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ht="18.75" customHeight="1" x14ac:dyDescent="0.35">
      <c r="C2239" s="124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ht="18.75" customHeight="1" x14ac:dyDescent="0.35">
      <c r="C2240" s="124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ht="18.75" customHeight="1" x14ac:dyDescent="0.35">
      <c r="C2241" s="124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ht="18.75" customHeight="1" x14ac:dyDescent="0.35">
      <c r="C2242" s="124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ht="18.75" customHeight="1" x14ac:dyDescent="0.35">
      <c r="C2243" s="124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ht="18.75" customHeight="1" x14ac:dyDescent="0.35">
      <c r="C2244" s="124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ht="18.75" customHeight="1" x14ac:dyDescent="0.35">
      <c r="C2245" s="124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ht="18.75" customHeight="1" x14ac:dyDescent="0.35">
      <c r="C2246" s="124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ht="18.75" customHeight="1" x14ac:dyDescent="0.35">
      <c r="C2247" s="124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ht="18.75" customHeight="1" x14ac:dyDescent="0.35">
      <c r="C2248" s="124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ht="18.75" customHeight="1" x14ac:dyDescent="0.35">
      <c r="C2249" s="124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ht="18.75" customHeight="1" x14ac:dyDescent="0.35">
      <c r="C2250" s="124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ht="18.75" customHeight="1" x14ac:dyDescent="0.35">
      <c r="C2251" s="124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ht="18.75" customHeight="1" x14ac:dyDescent="0.35">
      <c r="C2252" s="124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ht="18.75" customHeight="1" x14ac:dyDescent="0.35">
      <c r="C2253" s="124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ht="18.75" customHeight="1" x14ac:dyDescent="0.35">
      <c r="C2254" s="124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ht="18.75" customHeight="1" x14ac:dyDescent="0.35">
      <c r="C2255" s="124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ht="18.75" customHeight="1" x14ac:dyDescent="0.35">
      <c r="C2256" s="124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ht="18.75" customHeight="1" x14ac:dyDescent="0.35">
      <c r="C2257" s="124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ht="18.75" customHeight="1" x14ac:dyDescent="0.35">
      <c r="C2258" s="124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ht="18.75" customHeight="1" x14ac:dyDescent="0.35">
      <c r="C2259" s="124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ht="18.75" customHeight="1" x14ac:dyDescent="0.35">
      <c r="C2260" s="124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ht="18.75" customHeight="1" x14ac:dyDescent="0.35">
      <c r="C2261" s="124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ht="18.75" customHeight="1" x14ac:dyDescent="0.35">
      <c r="C2262" s="124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ht="18.75" customHeight="1" x14ac:dyDescent="0.35">
      <c r="C2263" s="124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ht="18.75" customHeight="1" x14ac:dyDescent="0.35">
      <c r="C2264" s="124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ht="18.75" customHeight="1" x14ac:dyDescent="0.35">
      <c r="C2265" s="124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ht="18.75" customHeight="1" x14ac:dyDescent="0.35">
      <c r="C2266" s="124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ht="18.75" customHeight="1" x14ac:dyDescent="0.35">
      <c r="C2267" s="124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ht="18.75" customHeight="1" x14ac:dyDescent="0.35">
      <c r="C2268" s="124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ht="18.75" customHeight="1" x14ac:dyDescent="0.35">
      <c r="C2269" s="124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ht="18.75" customHeight="1" x14ac:dyDescent="0.35">
      <c r="C2270" s="124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ht="18.75" customHeight="1" x14ac:dyDescent="0.35">
      <c r="C2271" s="124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ht="18.75" customHeight="1" x14ac:dyDescent="0.35">
      <c r="C2272" s="124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ht="18.75" customHeight="1" x14ac:dyDescent="0.35">
      <c r="C2273" s="124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ht="18.75" customHeight="1" x14ac:dyDescent="0.35">
      <c r="C2274" s="124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ht="18.75" customHeight="1" x14ac:dyDescent="0.35">
      <c r="C2275" s="124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ht="18.75" customHeight="1" x14ac:dyDescent="0.35">
      <c r="C2276" s="124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ht="18.75" customHeight="1" x14ac:dyDescent="0.35">
      <c r="C2277" s="124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ht="18.75" customHeight="1" x14ac:dyDescent="0.35">
      <c r="C2278" s="124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ht="18.75" customHeight="1" x14ac:dyDescent="0.35">
      <c r="C2279" s="124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ht="18.75" customHeight="1" x14ac:dyDescent="0.35">
      <c r="C2280" s="124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ht="18.75" customHeight="1" x14ac:dyDescent="0.35">
      <c r="C2281" s="124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ht="18.75" customHeight="1" x14ac:dyDescent="0.35">
      <c r="C2282" s="124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ht="18.75" customHeight="1" x14ac:dyDescent="0.35">
      <c r="C2283" s="124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ht="18.75" customHeight="1" x14ac:dyDescent="0.35">
      <c r="C2284" s="124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ht="18.75" customHeight="1" x14ac:dyDescent="0.35">
      <c r="C2285" s="124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ht="18.75" customHeight="1" x14ac:dyDescent="0.35">
      <c r="C2286" s="124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ht="18.75" customHeight="1" x14ac:dyDescent="0.35">
      <c r="C2287" s="124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ht="18.75" customHeight="1" x14ac:dyDescent="0.35">
      <c r="C2288" s="124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ht="18.75" customHeight="1" x14ac:dyDescent="0.35">
      <c r="C2289" s="124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ht="18.75" customHeight="1" x14ac:dyDescent="0.35">
      <c r="C2290" s="124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ht="18.75" customHeight="1" x14ac:dyDescent="0.35">
      <c r="C2291" s="124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ht="18.75" customHeight="1" x14ac:dyDescent="0.35">
      <c r="C2292" s="124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ht="18.75" customHeight="1" x14ac:dyDescent="0.35">
      <c r="C2293" s="124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ht="18.75" customHeight="1" x14ac:dyDescent="0.35">
      <c r="C2294" s="124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ht="18.75" customHeight="1" x14ac:dyDescent="0.35">
      <c r="C2295" s="124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ht="18.75" customHeight="1" x14ac:dyDescent="0.35">
      <c r="C2296" s="124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ht="18.75" customHeight="1" x14ac:dyDescent="0.35">
      <c r="C2297" s="124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ht="18.75" customHeight="1" x14ac:dyDescent="0.35">
      <c r="C2298" s="124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ht="18.75" customHeight="1" x14ac:dyDescent="0.35">
      <c r="C2299" s="124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ht="18.75" customHeight="1" x14ac:dyDescent="0.35">
      <c r="C2300" s="124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ht="18.75" customHeight="1" x14ac:dyDescent="0.35">
      <c r="C2301" s="124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ht="18.75" customHeight="1" x14ac:dyDescent="0.35">
      <c r="C2302" s="124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ht="18.75" customHeight="1" x14ac:dyDescent="0.35">
      <c r="C2303" s="124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ht="18.75" customHeight="1" x14ac:dyDescent="0.35">
      <c r="C2304" s="124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ht="18.75" customHeight="1" x14ac:dyDescent="0.35">
      <c r="C2305" s="124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ht="18.75" customHeight="1" x14ac:dyDescent="0.35">
      <c r="C2306" s="124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ht="18.75" customHeight="1" x14ac:dyDescent="0.35">
      <c r="C2307" s="124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ht="18.75" customHeight="1" x14ac:dyDescent="0.35">
      <c r="C2308" s="124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ht="18.75" customHeight="1" x14ac:dyDescent="0.35">
      <c r="C2309" s="124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ht="18.75" customHeight="1" x14ac:dyDescent="0.35">
      <c r="C2310" s="124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ht="18.75" customHeight="1" x14ac:dyDescent="0.35">
      <c r="C2311" s="124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ht="18.75" customHeight="1" x14ac:dyDescent="0.35">
      <c r="C2312" s="124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ht="18.75" customHeight="1" x14ac:dyDescent="0.35">
      <c r="C2313" s="124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ht="18.75" customHeight="1" x14ac:dyDescent="0.35">
      <c r="C2314" s="124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ht="18.75" customHeight="1" x14ac:dyDescent="0.35">
      <c r="C2315" s="124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ht="18.75" customHeight="1" x14ac:dyDescent="0.35">
      <c r="C2316" s="124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ht="18.75" customHeight="1" x14ac:dyDescent="0.35">
      <c r="C2317" s="124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ht="18.75" customHeight="1" x14ac:dyDescent="0.35">
      <c r="C2318" s="124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ht="18.75" customHeight="1" x14ac:dyDescent="0.35">
      <c r="C2319" s="124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ht="18.75" customHeight="1" x14ac:dyDescent="0.35">
      <c r="C2320" s="124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ht="18.75" customHeight="1" x14ac:dyDescent="0.35">
      <c r="C2321" s="124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ht="18.75" customHeight="1" x14ac:dyDescent="0.35">
      <c r="C2322" s="124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ht="18.75" customHeight="1" x14ac:dyDescent="0.35">
      <c r="C2323" s="124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ht="18.75" customHeight="1" x14ac:dyDescent="0.35">
      <c r="C2324" s="124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ht="18.75" customHeight="1" x14ac:dyDescent="0.35">
      <c r="C2325" s="124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ht="18.75" customHeight="1" x14ac:dyDescent="0.35">
      <c r="C2326" s="124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ht="18.75" customHeight="1" x14ac:dyDescent="0.35">
      <c r="C2327" s="124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ht="18.75" customHeight="1" x14ac:dyDescent="0.35">
      <c r="C2328" s="124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ht="18.75" customHeight="1" x14ac:dyDescent="0.35">
      <c r="C2329" s="124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ht="18.75" customHeight="1" x14ac:dyDescent="0.35">
      <c r="C2330" s="124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ht="18.75" customHeight="1" x14ac:dyDescent="0.35">
      <c r="C2331" s="124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ht="18.75" customHeight="1" x14ac:dyDescent="0.35">
      <c r="C2332" s="124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ht="18.75" customHeight="1" x14ac:dyDescent="0.35">
      <c r="C2333" s="124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ht="18.75" customHeight="1" x14ac:dyDescent="0.35">
      <c r="C2334" s="124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ht="18.75" customHeight="1" x14ac:dyDescent="0.35">
      <c r="C2335" s="124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ht="18.75" customHeight="1" x14ac:dyDescent="0.35">
      <c r="C2336" s="124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ht="18.75" customHeight="1" x14ac:dyDescent="0.35">
      <c r="C2337" s="124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ht="18.75" customHeight="1" x14ac:dyDescent="0.35">
      <c r="C2338" s="124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ht="18.75" customHeight="1" x14ac:dyDescent="0.35">
      <c r="C2339" s="124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ht="18.75" customHeight="1" x14ac:dyDescent="0.35">
      <c r="C2340" s="124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ht="18.75" customHeight="1" x14ac:dyDescent="0.35">
      <c r="C2341" s="124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ht="18.75" customHeight="1" x14ac:dyDescent="0.35">
      <c r="C2342" s="124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ht="18.75" customHeight="1" x14ac:dyDescent="0.35">
      <c r="C2343" s="124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ht="18.75" customHeight="1" x14ac:dyDescent="0.35">
      <c r="C2344" s="124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ht="18.75" customHeight="1" x14ac:dyDescent="0.35">
      <c r="C2345" s="124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ht="18.75" customHeight="1" x14ac:dyDescent="0.35">
      <c r="C2346" s="124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ht="18.75" customHeight="1" x14ac:dyDescent="0.35">
      <c r="C2347" s="124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ht="18.75" customHeight="1" x14ac:dyDescent="0.35">
      <c r="C2348" s="124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ht="18.75" customHeight="1" x14ac:dyDescent="0.35">
      <c r="C2349" s="124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ht="18.75" customHeight="1" x14ac:dyDescent="0.35">
      <c r="C2350" s="124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ht="18.75" customHeight="1" x14ac:dyDescent="0.35">
      <c r="C2351" s="124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ht="18.75" customHeight="1" x14ac:dyDescent="0.35">
      <c r="C2352" s="124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ht="18.75" customHeight="1" x14ac:dyDescent="0.35">
      <c r="C2353" s="124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ht="18.75" customHeight="1" x14ac:dyDescent="0.35">
      <c r="C2354" s="124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ht="18.75" customHeight="1" x14ac:dyDescent="0.35">
      <c r="C2355" s="124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ht="18.75" customHeight="1" x14ac:dyDescent="0.35">
      <c r="C2356" s="124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ht="18.75" customHeight="1" x14ac:dyDescent="0.35">
      <c r="C2357" s="124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ht="18.75" customHeight="1" x14ac:dyDescent="0.35">
      <c r="C2358" s="124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ht="18.75" customHeight="1" x14ac:dyDescent="0.35">
      <c r="C2359" s="124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ht="18.75" customHeight="1" x14ac:dyDescent="0.35">
      <c r="C2360" s="124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ht="18.75" customHeight="1" x14ac:dyDescent="0.35">
      <c r="C2361" s="124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ht="18.75" customHeight="1" x14ac:dyDescent="0.35">
      <c r="C2362" s="124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ht="18.75" customHeight="1" x14ac:dyDescent="0.35">
      <c r="C2363" s="124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ht="18.75" customHeight="1" x14ac:dyDescent="0.35">
      <c r="C2364" s="124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ht="18.75" customHeight="1" x14ac:dyDescent="0.35">
      <c r="C2365" s="124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ht="18.75" customHeight="1" x14ac:dyDescent="0.35">
      <c r="C2366" s="124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ht="18.75" customHeight="1" x14ac:dyDescent="0.35">
      <c r="C2367" s="124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ht="18.75" customHeight="1" x14ac:dyDescent="0.35">
      <c r="C2368" s="124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ht="18.75" customHeight="1" x14ac:dyDescent="0.35">
      <c r="C2369" s="124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ht="18.75" customHeight="1" x14ac:dyDescent="0.35">
      <c r="C2370" s="124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ht="18.75" customHeight="1" x14ac:dyDescent="0.35">
      <c r="C2371" s="124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ht="18.75" customHeight="1" x14ac:dyDescent="0.35">
      <c r="C2372" s="124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ht="18.75" customHeight="1" x14ac:dyDescent="0.35">
      <c r="C2373" s="124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ht="18.75" customHeight="1" x14ac:dyDescent="0.35">
      <c r="C2374" s="124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ht="18.75" customHeight="1" x14ac:dyDescent="0.35">
      <c r="C2375" s="124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ht="18.75" customHeight="1" x14ac:dyDescent="0.35">
      <c r="C2376" s="124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ht="18.75" customHeight="1" x14ac:dyDescent="0.35">
      <c r="C2377" s="124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ht="18.75" customHeight="1" x14ac:dyDescent="0.35">
      <c r="C2378" s="124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ht="18.75" customHeight="1" x14ac:dyDescent="0.35">
      <c r="C2379" s="124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ht="18.75" customHeight="1" x14ac:dyDescent="0.35">
      <c r="C2380" s="124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ht="18.75" customHeight="1" x14ac:dyDescent="0.35">
      <c r="C2381" s="124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ht="18.75" customHeight="1" x14ac:dyDescent="0.35">
      <c r="C2382" s="124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ht="18.75" customHeight="1" x14ac:dyDescent="0.35">
      <c r="C2383" s="124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ht="18.75" customHeight="1" x14ac:dyDescent="0.35">
      <c r="C2384" s="124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ht="18.75" customHeight="1" x14ac:dyDescent="0.35">
      <c r="C2385" s="124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ht="18.75" customHeight="1" x14ac:dyDescent="0.35">
      <c r="C2386" s="124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ht="18.75" customHeight="1" x14ac:dyDescent="0.35">
      <c r="C2387" s="124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ht="18.75" customHeight="1" x14ac:dyDescent="0.35">
      <c r="C2388" s="124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ht="18.75" customHeight="1" x14ac:dyDescent="0.35">
      <c r="C2389" s="124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ht="18.75" customHeight="1" x14ac:dyDescent="0.35">
      <c r="C2390" s="124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ht="18.75" customHeight="1" x14ac:dyDescent="0.35">
      <c r="C2391" s="124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ht="18.75" customHeight="1" x14ac:dyDescent="0.35">
      <c r="C2392" s="124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ht="18.75" customHeight="1" x14ac:dyDescent="0.35">
      <c r="C2393" s="124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ht="18.75" customHeight="1" x14ac:dyDescent="0.35">
      <c r="C2394" s="124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ht="18.75" customHeight="1" x14ac:dyDescent="0.35">
      <c r="C2395" s="124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ht="18.75" customHeight="1" x14ac:dyDescent="0.35">
      <c r="C2396" s="124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ht="18.75" customHeight="1" x14ac:dyDescent="0.35">
      <c r="C2397" s="124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ht="18.75" customHeight="1" x14ac:dyDescent="0.35">
      <c r="C2398" s="124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ht="18.75" customHeight="1" x14ac:dyDescent="0.35">
      <c r="C2399" s="124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ht="18.75" customHeight="1" x14ac:dyDescent="0.35">
      <c r="C2400" s="124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ht="18.75" customHeight="1" x14ac:dyDescent="0.35">
      <c r="C2401" s="124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ht="18.75" customHeight="1" x14ac:dyDescent="0.35">
      <c r="C2402" s="124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ht="18.75" customHeight="1" x14ac:dyDescent="0.35">
      <c r="C2403" s="124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ht="18.75" customHeight="1" x14ac:dyDescent="0.35">
      <c r="C2404" s="124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ht="18.75" customHeight="1" x14ac:dyDescent="0.35">
      <c r="C2405" s="124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ht="18.75" customHeight="1" x14ac:dyDescent="0.35">
      <c r="C2406" s="124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ht="18.75" customHeight="1" x14ac:dyDescent="0.35">
      <c r="C2407" s="124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ht="18.75" customHeight="1" x14ac:dyDescent="0.35">
      <c r="C2408" s="124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ht="18.75" customHeight="1" x14ac:dyDescent="0.35">
      <c r="C2409" s="124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ht="18.75" customHeight="1" x14ac:dyDescent="0.35">
      <c r="C2410" s="124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ht="18.75" customHeight="1" x14ac:dyDescent="0.35">
      <c r="C2411" s="124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ht="18.75" customHeight="1" x14ac:dyDescent="0.35">
      <c r="C2412" s="124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ht="18.75" customHeight="1" x14ac:dyDescent="0.35">
      <c r="C2413" s="124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ht="18.75" customHeight="1" x14ac:dyDescent="0.35">
      <c r="C2414" s="124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ht="18.75" customHeight="1" x14ac:dyDescent="0.35">
      <c r="C2415" s="124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ht="18.75" customHeight="1" x14ac:dyDescent="0.35">
      <c r="C2416" s="124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ht="18.75" customHeight="1" x14ac:dyDescent="0.35">
      <c r="C2417" s="124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ht="18.75" customHeight="1" x14ac:dyDescent="0.35">
      <c r="C2418" s="124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ht="18.75" customHeight="1" x14ac:dyDescent="0.35">
      <c r="C2419" s="124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ht="18.75" customHeight="1" x14ac:dyDescent="0.35">
      <c r="C2420" s="124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ht="18.75" customHeight="1" x14ac:dyDescent="0.35">
      <c r="C2421" s="124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ht="18.75" customHeight="1" x14ac:dyDescent="0.35">
      <c r="C2422" s="124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ht="18.75" customHeight="1" x14ac:dyDescent="0.35">
      <c r="C2423" s="124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ht="18.75" customHeight="1" x14ac:dyDescent="0.35">
      <c r="C2424" s="124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ht="18.75" customHeight="1" x14ac:dyDescent="0.35">
      <c r="C2425" s="124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ht="18.75" customHeight="1" x14ac:dyDescent="0.35">
      <c r="C2426" s="124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ht="18.75" customHeight="1" x14ac:dyDescent="0.35">
      <c r="C2427" s="124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ht="18.75" customHeight="1" x14ac:dyDescent="0.35">
      <c r="C2428" s="124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ht="18.75" customHeight="1" x14ac:dyDescent="0.35">
      <c r="C2429" s="124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ht="18.75" customHeight="1" x14ac:dyDescent="0.35">
      <c r="C2430" s="124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ht="18.75" customHeight="1" x14ac:dyDescent="0.35">
      <c r="C2431" s="124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ht="18.75" customHeight="1" x14ac:dyDescent="0.35">
      <c r="C2432" s="124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ht="18.75" customHeight="1" x14ac:dyDescent="0.35">
      <c r="C2433" s="124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ht="18.75" customHeight="1" x14ac:dyDescent="0.35">
      <c r="C2434" s="124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ht="18.75" customHeight="1" x14ac:dyDescent="0.35">
      <c r="C2435" s="124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ht="18.75" customHeight="1" x14ac:dyDescent="0.35">
      <c r="C2436" s="124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ht="18.75" customHeight="1" x14ac:dyDescent="0.35">
      <c r="C2437" s="124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ht="18.75" customHeight="1" x14ac:dyDescent="0.35">
      <c r="C2438" s="124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ht="18.75" customHeight="1" x14ac:dyDescent="0.35">
      <c r="C2439" s="124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ht="18.75" customHeight="1" x14ac:dyDescent="0.35">
      <c r="C2440" s="124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ht="18.75" customHeight="1" x14ac:dyDescent="0.35">
      <c r="C2441" s="124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ht="18.75" customHeight="1" x14ac:dyDescent="0.35">
      <c r="C2442" s="124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ht="18.75" customHeight="1" x14ac:dyDescent="0.35">
      <c r="C2443" s="124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ht="18.75" customHeight="1" x14ac:dyDescent="0.35">
      <c r="C2444" s="124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ht="18.75" customHeight="1" x14ac:dyDescent="0.35">
      <c r="C2445" s="124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ht="18.75" customHeight="1" x14ac:dyDescent="0.35">
      <c r="C2446" s="124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ht="18.75" customHeight="1" x14ac:dyDescent="0.35">
      <c r="C2447" s="124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ht="18.75" customHeight="1" x14ac:dyDescent="0.35">
      <c r="C2448" s="124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ht="18.75" customHeight="1" x14ac:dyDescent="0.35">
      <c r="C2449" s="124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ht="18.75" customHeight="1" x14ac:dyDescent="0.35">
      <c r="C2450" s="124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ht="18.75" customHeight="1" x14ac:dyDescent="0.35">
      <c r="C2451" s="124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ht="18.75" customHeight="1" x14ac:dyDescent="0.35">
      <c r="C2452" s="124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ht="18.75" customHeight="1" x14ac:dyDescent="0.35">
      <c r="C2453" s="124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ht="18.75" customHeight="1" x14ac:dyDescent="0.35">
      <c r="C2454" s="124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ht="18.75" customHeight="1" x14ac:dyDescent="0.35">
      <c r="C2455" s="124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ht="18.75" customHeight="1" x14ac:dyDescent="0.35">
      <c r="C2456" s="124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ht="18.75" customHeight="1" x14ac:dyDescent="0.35">
      <c r="C2457" s="124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ht="18.75" customHeight="1" x14ac:dyDescent="0.35">
      <c r="C2458" s="124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ht="18.75" customHeight="1" x14ac:dyDescent="0.35">
      <c r="C2459" s="124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ht="18.75" customHeight="1" x14ac:dyDescent="0.35">
      <c r="C2460" s="124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ht="18.75" customHeight="1" x14ac:dyDescent="0.35">
      <c r="C2461" s="124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ht="18.75" customHeight="1" x14ac:dyDescent="0.35">
      <c r="C2462" s="124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ht="18.75" customHeight="1" x14ac:dyDescent="0.35">
      <c r="C2463" s="124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ht="18.75" customHeight="1" x14ac:dyDescent="0.35">
      <c r="C2464" s="124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ht="18.75" customHeight="1" x14ac:dyDescent="0.35">
      <c r="C2465" s="124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ht="18.75" customHeight="1" x14ac:dyDescent="0.35">
      <c r="C2466" s="124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ht="18.75" customHeight="1" x14ac:dyDescent="0.35">
      <c r="C2467" s="124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ht="18.75" customHeight="1" x14ac:dyDescent="0.35">
      <c r="C2468" s="124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ht="18.75" customHeight="1" x14ac:dyDescent="0.35">
      <c r="C2469" s="124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ht="18.75" customHeight="1" x14ac:dyDescent="0.35">
      <c r="C2470" s="124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ht="18.75" customHeight="1" x14ac:dyDescent="0.35">
      <c r="C2471" s="124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ht="18.75" customHeight="1" x14ac:dyDescent="0.35">
      <c r="C2472" s="124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ht="18.75" customHeight="1" x14ac:dyDescent="0.35">
      <c r="C2473" s="124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ht="18.75" customHeight="1" x14ac:dyDescent="0.35">
      <c r="C2474" s="124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ht="18.75" customHeight="1" x14ac:dyDescent="0.35">
      <c r="C2475" s="124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ht="18.75" customHeight="1" x14ac:dyDescent="0.35">
      <c r="C2476" s="124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ht="18.75" customHeight="1" x14ac:dyDescent="0.35">
      <c r="C2477" s="124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ht="18.75" customHeight="1" x14ac:dyDescent="0.35">
      <c r="C2478" s="124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ht="18.75" customHeight="1" x14ac:dyDescent="0.35">
      <c r="C2479" s="124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ht="18.75" customHeight="1" x14ac:dyDescent="0.35">
      <c r="C2480" s="124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ht="18.75" customHeight="1" x14ac:dyDescent="0.35">
      <c r="C2481" s="124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ht="18.75" customHeight="1" x14ac:dyDescent="0.35">
      <c r="C2482" s="124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ht="18.75" customHeight="1" x14ac:dyDescent="0.35">
      <c r="C2483" s="124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ht="18.75" customHeight="1" x14ac:dyDescent="0.35">
      <c r="C2484" s="124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ht="18.75" customHeight="1" x14ac:dyDescent="0.35">
      <c r="C2485" s="124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ht="18.75" customHeight="1" x14ac:dyDescent="0.35">
      <c r="C2486" s="124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ht="18.75" customHeight="1" x14ac:dyDescent="0.35">
      <c r="C2487" s="124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ht="18.75" customHeight="1" x14ac:dyDescent="0.35">
      <c r="C2488" s="124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ht="18.75" customHeight="1" x14ac:dyDescent="0.35">
      <c r="C2489" s="124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ht="18.75" customHeight="1" x14ac:dyDescent="0.35">
      <c r="C2490" s="124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ht="18.75" customHeight="1" x14ac:dyDescent="0.35">
      <c r="C2491" s="124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ht="18.75" customHeight="1" x14ac:dyDescent="0.35">
      <c r="C2492" s="124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ht="18.75" customHeight="1" x14ac:dyDescent="0.35">
      <c r="C2493" s="124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ht="18.75" customHeight="1" x14ac:dyDescent="0.35">
      <c r="C2494" s="124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ht="18.75" customHeight="1" x14ac:dyDescent="0.35">
      <c r="C2495" s="124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ht="18.75" customHeight="1" x14ac:dyDescent="0.35">
      <c r="C2496" s="124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ht="18.75" customHeight="1" x14ac:dyDescent="0.35">
      <c r="C2497" s="124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ht="18.75" customHeight="1" x14ac:dyDescent="0.35">
      <c r="C2498" s="124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ht="18.75" customHeight="1" x14ac:dyDescent="0.35">
      <c r="C2499" s="124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ht="18.75" customHeight="1" x14ac:dyDescent="0.35">
      <c r="C2500" s="124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ht="18.75" customHeight="1" x14ac:dyDescent="0.35">
      <c r="C2501" s="124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ht="18.75" customHeight="1" x14ac:dyDescent="0.35">
      <c r="C2502" s="124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ht="18.75" customHeight="1" x14ac:dyDescent="0.35">
      <c r="C2503" s="124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ht="18.75" customHeight="1" x14ac:dyDescent="0.35">
      <c r="C2504" s="124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ht="18.75" customHeight="1" x14ac:dyDescent="0.35">
      <c r="C2505" s="124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ht="18.75" customHeight="1" x14ac:dyDescent="0.35">
      <c r="C2506" s="124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ht="18.75" customHeight="1" x14ac:dyDescent="0.35">
      <c r="C2507" s="124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ht="18.75" customHeight="1" x14ac:dyDescent="0.35">
      <c r="C2508" s="124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ht="18.75" customHeight="1" x14ac:dyDescent="0.35">
      <c r="C2509" s="124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ht="18.75" customHeight="1" x14ac:dyDescent="0.35">
      <c r="C2510" s="124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ht="18.75" customHeight="1" x14ac:dyDescent="0.35">
      <c r="C2511" s="124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ht="18.75" customHeight="1" x14ac:dyDescent="0.35">
      <c r="C2512" s="124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ht="18.75" customHeight="1" x14ac:dyDescent="0.35">
      <c r="C2513" s="124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ht="18.75" customHeight="1" x14ac:dyDescent="0.35">
      <c r="C2514" s="124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ht="18.75" customHeight="1" x14ac:dyDescent="0.35">
      <c r="C2515" s="124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ht="18.75" customHeight="1" x14ac:dyDescent="0.35">
      <c r="C2516" s="124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ht="18.75" customHeight="1" x14ac:dyDescent="0.35">
      <c r="C2517" s="124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ht="18.75" customHeight="1" x14ac:dyDescent="0.35">
      <c r="C2518" s="124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ht="18.75" customHeight="1" x14ac:dyDescent="0.35">
      <c r="C2519" s="124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ht="18.75" customHeight="1" x14ac:dyDescent="0.35">
      <c r="C2520" s="124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ht="18.75" customHeight="1" x14ac:dyDescent="0.35">
      <c r="C2521" s="124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ht="18.75" customHeight="1" x14ac:dyDescent="0.35">
      <c r="C2522" s="124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ht="18.75" customHeight="1" x14ac:dyDescent="0.35">
      <c r="C2523" s="124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ht="18.75" customHeight="1" x14ac:dyDescent="0.35">
      <c r="C2524" s="124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ht="18.75" customHeight="1" x14ac:dyDescent="0.35">
      <c r="C2525" s="124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ht="18.75" customHeight="1" x14ac:dyDescent="0.35">
      <c r="C2526" s="124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ht="18.75" customHeight="1" x14ac:dyDescent="0.35">
      <c r="C2527" s="124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ht="18.75" customHeight="1" x14ac:dyDescent="0.35">
      <c r="C2528" s="124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ht="18.75" customHeight="1" x14ac:dyDescent="0.35">
      <c r="C2529" s="124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ht="18.75" customHeight="1" x14ac:dyDescent="0.35">
      <c r="C2530" s="124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ht="18.75" customHeight="1" x14ac:dyDescent="0.35">
      <c r="C2531" s="124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ht="18.75" customHeight="1" x14ac:dyDescent="0.35">
      <c r="C2532" s="124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ht="18.75" customHeight="1" x14ac:dyDescent="0.35">
      <c r="C2533" s="124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ht="18.75" customHeight="1" x14ac:dyDescent="0.35">
      <c r="C2534" s="124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ht="18.75" customHeight="1" x14ac:dyDescent="0.35">
      <c r="C2535" s="124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ht="18.75" customHeight="1" x14ac:dyDescent="0.35">
      <c r="C2536" s="124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ht="18.75" customHeight="1" x14ac:dyDescent="0.35">
      <c r="C2537" s="124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ht="18.75" customHeight="1" x14ac:dyDescent="0.35">
      <c r="C2538" s="124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ht="18.75" customHeight="1" x14ac:dyDescent="0.35">
      <c r="C2539" s="124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ht="18.75" customHeight="1" x14ac:dyDescent="0.35">
      <c r="C2540" s="124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ht="18.75" customHeight="1" x14ac:dyDescent="0.35">
      <c r="C2541" s="124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ht="18.75" customHeight="1" x14ac:dyDescent="0.35">
      <c r="C2542" s="124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ht="18.75" customHeight="1" x14ac:dyDescent="0.35">
      <c r="C2543" s="124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ht="18.75" customHeight="1" x14ac:dyDescent="0.35">
      <c r="C2544" s="124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ht="18.75" customHeight="1" x14ac:dyDescent="0.35">
      <c r="C2545" s="124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ht="18.75" customHeight="1" x14ac:dyDescent="0.35">
      <c r="C2546" s="124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ht="18.75" customHeight="1" x14ac:dyDescent="0.35">
      <c r="C2547" s="124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ht="18.75" customHeight="1" x14ac:dyDescent="0.35">
      <c r="C2548" s="124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ht="18.75" customHeight="1" x14ac:dyDescent="0.35">
      <c r="C2549" s="124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ht="18.75" customHeight="1" x14ac:dyDescent="0.35">
      <c r="C2550" s="124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ht="18.75" customHeight="1" x14ac:dyDescent="0.35">
      <c r="C2551" s="124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ht="18.75" customHeight="1" x14ac:dyDescent="0.35">
      <c r="C2552" s="124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ht="18.75" customHeight="1" x14ac:dyDescent="0.35">
      <c r="C2553" s="124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ht="18.75" customHeight="1" x14ac:dyDescent="0.35">
      <c r="C2554" s="124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ht="18.75" customHeight="1" x14ac:dyDescent="0.35">
      <c r="C2555" s="124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ht="18.75" customHeight="1" x14ac:dyDescent="0.35">
      <c r="C2556" s="124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ht="18.75" customHeight="1" x14ac:dyDescent="0.35">
      <c r="C2557" s="124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ht="18.75" customHeight="1" x14ac:dyDescent="0.35">
      <c r="C2558" s="124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ht="18.75" customHeight="1" x14ac:dyDescent="0.35">
      <c r="C2559" s="124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ht="18.75" customHeight="1" x14ac:dyDescent="0.35">
      <c r="C2560" s="124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ht="18.75" customHeight="1" x14ac:dyDescent="0.35">
      <c r="C2561" s="124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ht="18.75" customHeight="1" x14ac:dyDescent="0.35">
      <c r="C2562" s="124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ht="18.75" customHeight="1" x14ac:dyDescent="0.35">
      <c r="C2563" s="124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ht="18.75" customHeight="1" x14ac:dyDescent="0.35">
      <c r="C2564" s="124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ht="18.75" customHeight="1" x14ac:dyDescent="0.35">
      <c r="C2565" s="124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ht="18.75" customHeight="1" x14ac:dyDescent="0.35">
      <c r="C2566" s="124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ht="18.75" customHeight="1" x14ac:dyDescent="0.35">
      <c r="C2567" s="124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ht="18.75" customHeight="1" x14ac:dyDescent="0.35">
      <c r="C2568" s="124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ht="18.75" customHeight="1" x14ac:dyDescent="0.35">
      <c r="C2569" s="124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ht="18.75" customHeight="1" x14ac:dyDescent="0.35">
      <c r="C2570" s="124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ht="18.75" customHeight="1" x14ac:dyDescent="0.35">
      <c r="C2571" s="124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ht="18.75" customHeight="1" x14ac:dyDescent="0.35">
      <c r="C2572" s="124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ht="18.75" customHeight="1" x14ac:dyDescent="0.35">
      <c r="C2573" s="124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ht="18.75" customHeight="1" x14ac:dyDescent="0.35">
      <c r="C2574" s="124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ht="18.75" customHeight="1" x14ac:dyDescent="0.35">
      <c r="C2575" s="124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ht="18.75" customHeight="1" x14ac:dyDescent="0.35">
      <c r="C2576" s="124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ht="18.75" customHeight="1" x14ac:dyDescent="0.35">
      <c r="C2577" s="124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ht="18.75" customHeight="1" x14ac:dyDescent="0.35">
      <c r="C2578" s="124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ht="18.75" customHeight="1" x14ac:dyDescent="0.35">
      <c r="C2579" s="124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ht="18.75" customHeight="1" x14ac:dyDescent="0.35">
      <c r="C2580" s="124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ht="18.75" customHeight="1" x14ac:dyDescent="0.35">
      <c r="C2581" s="124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ht="18.75" customHeight="1" x14ac:dyDescent="0.35">
      <c r="C2582" s="124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ht="18.75" customHeight="1" x14ac:dyDescent="0.35">
      <c r="C2583" s="124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ht="18.75" customHeight="1" x14ac:dyDescent="0.35">
      <c r="C2584" s="124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ht="18.75" customHeight="1" x14ac:dyDescent="0.35">
      <c r="C2585" s="124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ht="18.75" customHeight="1" x14ac:dyDescent="0.35">
      <c r="C2586" s="124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ht="18.75" customHeight="1" x14ac:dyDescent="0.35">
      <c r="C2587" s="124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ht="18.75" customHeight="1" x14ac:dyDescent="0.35">
      <c r="C2588" s="124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ht="18.75" customHeight="1" x14ac:dyDescent="0.35">
      <c r="C2589" s="124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ht="18.75" customHeight="1" x14ac:dyDescent="0.35">
      <c r="C2590" s="124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ht="18.75" customHeight="1" x14ac:dyDescent="0.35">
      <c r="C2591" s="124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ht="18.75" customHeight="1" x14ac:dyDescent="0.35">
      <c r="C2592" s="124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ht="18.75" customHeight="1" x14ac:dyDescent="0.35">
      <c r="C2593" s="124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ht="18.75" customHeight="1" x14ac:dyDescent="0.35">
      <c r="C2594" s="124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ht="18.75" customHeight="1" x14ac:dyDescent="0.35">
      <c r="C2595" s="124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ht="18.75" customHeight="1" x14ac:dyDescent="0.35">
      <c r="C2596" s="124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ht="18.75" customHeight="1" x14ac:dyDescent="0.35">
      <c r="C2597" s="124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ht="18.75" customHeight="1" x14ac:dyDescent="0.35">
      <c r="C2598" s="124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ht="18.75" customHeight="1" x14ac:dyDescent="0.35">
      <c r="C2599" s="124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ht="18.75" customHeight="1" x14ac:dyDescent="0.35">
      <c r="C2600" s="124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ht="18.75" customHeight="1" x14ac:dyDescent="0.35">
      <c r="C2601" s="124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ht="18.75" customHeight="1" x14ac:dyDescent="0.35">
      <c r="C2602" s="124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ht="18.75" customHeight="1" x14ac:dyDescent="0.35">
      <c r="C2603" s="124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ht="18.75" customHeight="1" x14ac:dyDescent="0.35">
      <c r="C2604" s="124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ht="18.75" customHeight="1" x14ac:dyDescent="0.35">
      <c r="C2605" s="124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ht="18.75" customHeight="1" x14ac:dyDescent="0.35">
      <c r="C2606" s="124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ht="18.75" customHeight="1" x14ac:dyDescent="0.35">
      <c r="C2607" s="124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ht="18.75" customHeight="1" x14ac:dyDescent="0.35">
      <c r="C2608" s="124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ht="18.75" customHeight="1" x14ac:dyDescent="0.35">
      <c r="C2609" s="124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ht="18.75" customHeight="1" x14ac:dyDescent="0.35">
      <c r="C2610" s="124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ht="18.75" customHeight="1" x14ac:dyDescent="0.35">
      <c r="C2611" s="124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ht="18.75" customHeight="1" x14ac:dyDescent="0.35">
      <c r="C2612" s="124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ht="18.75" customHeight="1" x14ac:dyDescent="0.35">
      <c r="C2613" s="124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ht="18.75" customHeight="1" x14ac:dyDescent="0.35">
      <c r="C2614" s="124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ht="18.75" customHeight="1" x14ac:dyDescent="0.35">
      <c r="C2615" s="124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ht="18.75" customHeight="1" x14ac:dyDescent="0.35">
      <c r="C2616" s="124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ht="18.75" customHeight="1" x14ac:dyDescent="0.35">
      <c r="C2617" s="124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ht="18.75" customHeight="1" x14ac:dyDescent="0.35">
      <c r="C2618" s="124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ht="18.75" customHeight="1" x14ac:dyDescent="0.35">
      <c r="C2619" s="124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ht="18.75" customHeight="1" x14ac:dyDescent="0.35">
      <c r="C2620" s="124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ht="18.75" customHeight="1" x14ac:dyDescent="0.35">
      <c r="C2621" s="124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ht="18.75" customHeight="1" x14ac:dyDescent="0.35">
      <c r="C2622" s="124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ht="18.75" customHeight="1" x14ac:dyDescent="0.35">
      <c r="C2623" s="124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ht="18.75" customHeight="1" x14ac:dyDescent="0.35">
      <c r="C2624" s="124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ht="18.75" customHeight="1" x14ac:dyDescent="0.35">
      <c r="C2625" s="124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ht="18.75" customHeight="1" x14ac:dyDescent="0.35">
      <c r="C2626" s="124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ht="18.75" customHeight="1" x14ac:dyDescent="0.35">
      <c r="C2627" s="124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ht="18.75" customHeight="1" x14ac:dyDescent="0.35">
      <c r="C2628" s="124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ht="18.75" customHeight="1" x14ac:dyDescent="0.35">
      <c r="C2629" s="124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ht="18.75" customHeight="1" x14ac:dyDescent="0.35">
      <c r="C2630" s="124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ht="18.75" customHeight="1" x14ac:dyDescent="0.35">
      <c r="C2631" s="124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ht="18.75" customHeight="1" x14ac:dyDescent="0.35">
      <c r="C2632" s="124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ht="18.75" customHeight="1" x14ac:dyDescent="0.35">
      <c r="C2633" s="124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ht="18.75" customHeight="1" x14ac:dyDescent="0.35">
      <c r="C2634" s="124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ht="18.75" customHeight="1" x14ac:dyDescent="0.35">
      <c r="C2635" s="124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ht="18.75" customHeight="1" x14ac:dyDescent="0.35">
      <c r="C2636" s="124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ht="18.75" customHeight="1" x14ac:dyDescent="0.35">
      <c r="C2637" s="124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ht="18.75" customHeight="1" x14ac:dyDescent="0.35">
      <c r="C2638" s="124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ht="18.75" customHeight="1" x14ac:dyDescent="0.35">
      <c r="C2639" s="124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ht="18.75" customHeight="1" x14ac:dyDescent="0.35">
      <c r="C2640" s="124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ht="18.75" customHeight="1" x14ac:dyDescent="0.35">
      <c r="C2641" s="124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ht="18.75" customHeight="1" x14ac:dyDescent="0.35">
      <c r="C2642" s="124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ht="18.75" customHeight="1" x14ac:dyDescent="0.35">
      <c r="C2643" s="124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ht="18.75" customHeight="1" x14ac:dyDescent="0.35">
      <c r="C2644" s="124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ht="18.75" customHeight="1" x14ac:dyDescent="0.35">
      <c r="C2645" s="124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ht="18.75" customHeight="1" x14ac:dyDescent="0.35">
      <c r="C2646" s="124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ht="18.75" customHeight="1" x14ac:dyDescent="0.35">
      <c r="C2647" s="124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ht="18.75" customHeight="1" x14ac:dyDescent="0.35">
      <c r="C2648" s="124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ht="18.75" customHeight="1" x14ac:dyDescent="0.35">
      <c r="C2649" s="124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ht="18.75" customHeight="1" x14ac:dyDescent="0.35">
      <c r="C2650" s="124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ht="18.75" customHeight="1" x14ac:dyDescent="0.35">
      <c r="C2651" s="124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ht="18.75" customHeight="1" x14ac:dyDescent="0.35">
      <c r="C2652" s="124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ht="18.75" customHeight="1" x14ac:dyDescent="0.35">
      <c r="C2653" s="124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ht="18.75" customHeight="1" x14ac:dyDescent="0.35">
      <c r="C2654" s="124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ht="18.75" customHeight="1" x14ac:dyDescent="0.35">
      <c r="C2655" s="124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ht="18.75" customHeight="1" x14ac:dyDescent="0.35">
      <c r="C2656" s="124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ht="18.75" customHeight="1" x14ac:dyDescent="0.35">
      <c r="C2657" s="124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ht="18.75" customHeight="1" x14ac:dyDescent="0.35">
      <c r="C2658" s="124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ht="18.75" customHeight="1" x14ac:dyDescent="0.35">
      <c r="C2659" s="124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ht="18.75" customHeight="1" x14ac:dyDescent="0.35">
      <c r="C2660" s="124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ht="18.75" customHeight="1" x14ac:dyDescent="0.35">
      <c r="C2661" s="124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ht="18.75" customHeight="1" x14ac:dyDescent="0.35">
      <c r="C2662" s="124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ht="18.75" customHeight="1" x14ac:dyDescent="0.35">
      <c r="C2663" s="124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ht="18.75" customHeight="1" x14ac:dyDescent="0.35">
      <c r="C2664" s="124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ht="18.75" customHeight="1" x14ac:dyDescent="0.35">
      <c r="C2665" s="124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ht="18.75" customHeight="1" x14ac:dyDescent="0.35">
      <c r="C2666" s="124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ht="18.75" customHeight="1" x14ac:dyDescent="0.35">
      <c r="C2667" s="124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ht="18.75" customHeight="1" x14ac:dyDescent="0.35">
      <c r="C2668" s="124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ht="18.75" customHeight="1" x14ac:dyDescent="0.35">
      <c r="C2669" s="124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ht="18.75" customHeight="1" x14ac:dyDescent="0.35">
      <c r="C2670" s="124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ht="18.75" customHeight="1" x14ac:dyDescent="0.35">
      <c r="C2671" s="124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ht="18.75" customHeight="1" x14ac:dyDescent="0.35">
      <c r="C2672" s="124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ht="18.75" customHeight="1" x14ac:dyDescent="0.35">
      <c r="C2673" s="124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ht="18.75" customHeight="1" x14ac:dyDescent="0.35">
      <c r="C2674" s="124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ht="18.75" customHeight="1" x14ac:dyDescent="0.35">
      <c r="C2675" s="124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ht="18.75" customHeight="1" x14ac:dyDescent="0.35">
      <c r="C2676" s="124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ht="18.75" customHeight="1" x14ac:dyDescent="0.35">
      <c r="C2677" s="124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ht="18.75" customHeight="1" x14ac:dyDescent="0.35">
      <c r="C2678" s="124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ht="18.75" customHeight="1" x14ac:dyDescent="0.35">
      <c r="C2679" s="124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ht="18.75" customHeight="1" x14ac:dyDescent="0.35">
      <c r="C2680" s="124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ht="18.75" customHeight="1" x14ac:dyDescent="0.35">
      <c r="C2681" s="124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ht="18.75" customHeight="1" x14ac:dyDescent="0.35">
      <c r="C2682" s="124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ht="18.75" customHeight="1" x14ac:dyDescent="0.35">
      <c r="C2683" s="124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ht="18.75" customHeight="1" x14ac:dyDescent="0.35">
      <c r="C2684" s="124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ht="18.75" customHeight="1" x14ac:dyDescent="0.35">
      <c r="C2685" s="124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ht="18.75" customHeight="1" x14ac:dyDescent="0.35">
      <c r="C2686" s="124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ht="18.75" customHeight="1" x14ac:dyDescent="0.35">
      <c r="C2687" s="124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ht="18.75" customHeight="1" x14ac:dyDescent="0.35">
      <c r="C2688" s="124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ht="18.75" customHeight="1" x14ac:dyDescent="0.35">
      <c r="C2689" s="124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ht="18.75" customHeight="1" x14ac:dyDescent="0.35">
      <c r="C2690" s="124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ht="18.75" customHeight="1" x14ac:dyDescent="0.35">
      <c r="C2691" s="124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ht="18.75" customHeight="1" x14ac:dyDescent="0.35">
      <c r="C2692" s="124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ht="18.75" customHeight="1" x14ac:dyDescent="0.35">
      <c r="C2693" s="124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ht="18.75" customHeight="1" x14ac:dyDescent="0.35">
      <c r="C2694" s="124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ht="18.75" customHeight="1" x14ac:dyDescent="0.35">
      <c r="C2695" s="124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ht="18.75" customHeight="1" x14ac:dyDescent="0.35">
      <c r="C2696" s="124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ht="18.75" customHeight="1" x14ac:dyDescent="0.35">
      <c r="C2697" s="124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ht="18.75" customHeight="1" x14ac:dyDescent="0.35">
      <c r="C2698" s="124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ht="18.75" customHeight="1" x14ac:dyDescent="0.35">
      <c r="C2699" s="124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ht="18.75" customHeight="1" x14ac:dyDescent="0.35">
      <c r="C2700" s="124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ht="18.75" customHeight="1" x14ac:dyDescent="0.35">
      <c r="C2701" s="124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ht="18.75" customHeight="1" x14ac:dyDescent="0.35">
      <c r="C2702" s="124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ht="18.75" customHeight="1" x14ac:dyDescent="0.35">
      <c r="C2703" s="124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ht="18.75" customHeight="1" x14ac:dyDescent="0.35">
      <c r="C2704" s="124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ht="18.75" customHeight="1" x14ac:dyDescent="0.35">
      <c r="C2705" s="124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ht="18.75" customHeight="1" x14ac:dyDescent="0.35">
      <c r="C2706" s="124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ht="18.75" customHeight="1" x14ac:dyDescent="0.35">
      <c r="C2707" s="124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ht="18.75" customHeight="1" x14ac:dyDescent="0.35">
      <c r="C2708" s="124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ht="18.75" customHeight="1" x14ac:dyDescent="0.35">
      <c r="C2709" s="124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ht="18.75" customHeight="1" x14ac:dyDescent="0.35">
      <c r="C2710" s="124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ht="18.75" customHeight="1" x14ac:dyDescent="0.35">
      <c r="C2711" s="124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ht="18.75" customHeight="1" x14ac:dyDescent="0.35">
      <c r="C2712" s="124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ht="18.75" customHeight="1" x14ac:dyDescent="0.35">
      <c r="C2713" s="124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ht="18.75" customHeight="1" x14ac:dyDescent="0.35">
      <c r="C2714" s="124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ht="18.75" customHeight="1" x14ac:dyDescent="0.35">
      <c r="C2715" s="124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ht="18.75" customHeight="1" x14ac:dyDescent="0.35">
      <c r="C2716" s="124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ht="18.75" customHeight="1" x14ac:dyDescent="0.35">
      <c r="C2717" s="124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ht="18.75" customHeight="1" x14ac:dyDescent="0.35">
      <c r="C2718" s="124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ht="18.75" customHeight="1" x14ac:dyDescent="0.35">
      <c r="C2719" s="124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ht="18.75" customHeight="1" x14ac:dyDescent="0.35">
      <c r="C2720" s="124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ht="18.75" customHeight="1" x14ac:dyDescent="0.35">
      <c r="C2721" s="124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ht="18.75" customHeight="1" x14ac:dyDescent="0.35">
      <c r="C2722" s="124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ht="18.75" customHeight="1" x14ac:dyDescent="0.35">
      <c r="C2723" s="124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ht="18.75" customHeight="1" x14ac:dyDescent="0.35">
      <c r="C2724" s="124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ht="18.75" customHeight="1" x14ac:dyDescent="0.35">
      <c r="C2725" s="124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ht="18.75" customHeight="1" x14ac:dyDescent="0.35">
      <c r="C2726" s="124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ht="18.75" customHeight="1" x14ac:dyDescent="0.35">
      <c r="C2727" s="124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ht="18.75" customHeight="1" x14ac:dyDescent="0.35">
      <c r="C2728" s="124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ht="18.75" customHeight="1" x14ac:dyDescent="0.35">
      <c r="C2729" s="124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ht="18.75" customHeight="1" x14ac:dyDescent="0.35">
      <c r="C2730" s="124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ht="18.75" customHeight="1" x14ac:dyDescent="0.35">
      <c r="C2731" s="124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ht="18.75" customHeight="1" x14ac:dyDescent="0.35">
      <c r="C2732" s="124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ht="18.75" customHeight="1" x14ac:dyDescent="0.35">
      <c r="C2733" s="124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ht="18.75" customHeight="1" x14ac:dyDescent="0.35">
      <c r="C2734" s="124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ht="18.75" customHeight="1" x14ac:dyDescent="0.35">
      <c r="C2735" s="124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ht="18.75" customHeight="1" x14ac:dyDescent="0.35">
      <c r="C2736" s="124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ht="18.75" customHeight="1" x14ac:dyDescent="0.35">
      <c r="C2737" s="124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ht="18.75" customHeight="1" x14ac:dyDescent="0.35">
      <c r="C2738" s="124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ht="18.75" customHeight="1" x14ac:dyDescent="0.35">
      <c r="C2739" s="124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ht="18.75" customHeight="1" x14ac:dyDescent="0.35">
      <c r="C2740" s="124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ht="18.75" customHeight="1" x14ac:dyDescent="0.35">
      <c r="C2741" s="124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ht="18.75" customHeight="1" x14ac:dyDescent="0.35">
      <c r="C2742" s="124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ht="18.75" customHeight="1" x14ac:dyDescent="0.35">
      <c r="C2743" s="124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ht="18.75" customHeight="1" x14ac:dyDescent="0.35">
      <c r="C2744" s="124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ht="18.75" customHeight="1" x14ac:dyDescent="0.35">
      <c r="C2745" s="124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ht="18.75" customHeight="1" x14ac:dyDescent="0.35">
      <c r="C2746" s="124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ht="18.75" customHeight="1" x14ac:dyDescent="0.35">
      <c r="C2747" s="124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ht="18.75" customHeight="1" x14ac:dyDescent="0.35">
      <c r="C2748" s="124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ht="18.75" customHeight="1" x14ac:dyDescent="0.35">
      <c r="C2749" s="124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ht="18.75" customHeight="1" x14ac:dyDescent="0.35">
      <c r="C2750" s="124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ht="18.75" customHeight="1" x14ac:dyDescent="0.35">
      <c r="C2751" s="124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ht="18.75" customHeight="1" x14ac:dyDescent="0.35">
      <c r="C2752" s="124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ht="18.75" customHeight="1" x14ac:dyDescent="0.35">
      <c r="C2753" s="124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ht="18.75" customHeight="1" x14ac:dyDescent="0.35">
      <c r="C2754" s="124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ht="18.75" customHeight="1" x14ac:dyDescent="0.35">
      <c r="C2755" s="124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ht="18.75" customHeight="1" x14ac:dyDescent="0.35">
      <c r="C2756" s="124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ht="18.75" customHeight="1" x14ac:dyDescent="0.35">
      <c r="C2757" s="124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ht="18.75" customHeight="1" x14ac:dyDescent="0.35">
      <c r="C2758" s="124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ht="18.75" customHeight="1" x14ac:dyDescent="0.35">
      <c r="C2759" s="124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ht="18.75" customHeight="1" x14ac:dyDescent="0.35">
      <c r="C2760" s="124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ht="18.75" customHeight="1" x14ac:dyDescent="0.35">
      <c r="C2761" s="124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ht="18.75" customHeight="1" x14ac:dyDescent="0.35">
      <c r="C2762" s="124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ht="18.75" customHeight="1" x14ac:dyDescent="0.35">
      <c r="C2763" s="124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ht="18.75" customHeight="1" x14ac:dyDescent="0.35">
      <c r="C2764" s="124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ht="18.75" customHeight="1" x14ac:dyDescent="0.35">
      <c r="C2765" s="124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ht="18.75" customHeight="1" x14ac:dyDescent="0.35">
      <c r="C2766" s="124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ht="18.75" customHeight="1" x14ac:dyDescent="0.35">
      <c r="C2767" s="124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ht="18.75" customHeight="1" x14ac:dyDescent="0.35">
      <c r="C2768" s="124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ht="18.75" customHeight="1" x14ac:dyDescent="0.35">
      <c r="C2769" s="124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ht="18.75" customHeight="1" x14ac:dyDescent="0.35">
      <c r="C2770" s="124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ht="18.75" customHeight="1" x14ac:dyDescent="0.35">
      <c r="C2771" s="124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ht="18.75" customHeight="1" x14ac:dyDescent="0.35">
      <c r="C2772" s="124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ht="18.75" customHeight="1" x14ac:dyDescent="0.35">
      <c r="C2773" s="124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ht="18.75" customHeight="1" x14ac:dyDescent="0.35">
      <c r="C2774" s="124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ht="18.75" customHeight="1" x14ac:dyDescent="0.35">
      <c r="C2775" s="124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ht="18.75" customHeight="1" x14ac:dyDescent="0.35">
      <c r="C2776" s="124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ht="18.75" customHeight="1" x14ac:dyDescent="0.35">
      <c r="C2777" s="124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ht="18.75" customHeight="1" x14ac:dyDescent="0.35">
      <c r="C2778" s="124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ht="18.75" customHeight="1" x14ac:dyDescent="0.35">
      <c r="C2779" s="124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ht="18.75" customHeight="1" x14ac:dyDescent="0.35">
      <c r="C2780" s="124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ht="18.75" customHeight="1" x14ac:dyDescent="0.35">
      <c r="C2781" s="124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ht="18.75" customHeight="1" x14ac:dyDescent="0.35">
      <c r="C2782" s="124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ht="18.75" customHeight="1" x14ac:dyDescent="0.35">
      <c r="C2783" s="124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ht="18.75" customHeight="1" x14ac:dyDescent="0.35">
      <c r="C2784" s="124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ht="18.75" customHeight="1" x14ac:dyDescent="0.35">
      <c r="C2785" s="124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ht="18.75" customHeight="1" x14ac:dyDescent="0.35">
      <c r="C2786" s="124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ht="18.75" customHeight="1" x14ac:dyDescent="0.35">
      <c r="C2787" s="124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ht="18.75" customHeight="1" x14ac:dyDescent="0.35">
      <c r="C2788" s="124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ht="18.75" customHeight="1" x14ac:dyDescent="0.35">
      <c r="C2789" s="124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ht="18.75" customHeight="1" x14ac:dyDescent="0.35">
      <c r="C2790" s="124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ht="18.75" customHeight="1" x14ac:dyDescent="0.35">
      <c r="C2791" s="124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ht="18.75" customHeight="1" x14ac:dyDescent="0.35">
      <c r="C2792" s="124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ht="18.75" customHeight="1" x14ac:dyDescent="0.35">
      <c r="C2793" s="124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ht="18.75" customHeight="1" x14ac:dyDescent="0.35">
      <c r="C2794" s="124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ht="18.75" customHeight="1" x14ac:dyDescent="0.35">
      <c r="C2795" s="124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ht="18.75" customHeight="1" x14ac:dyDescent="0.35">
      <c r="C2796" s="124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ht="18.75" customHeight="1" x14ac:dyDescent="0.35">
      <c r="C2797" s="124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ht="18.75" customHeight="1" x14ac:dyDescent="0.35">
      <c r="C2798" s="124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ht="18.75" customHeight="1" x14ac:dyDescent="0.35">
      <c r="C2799" s="124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ht="18.75" customHeight="1" x14ac:dyDescent="0.35">
      <c r="C2800" s="124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ht="18.75" customHeight="1" x14ac:dyDescent="0.35">
      <c r="C2801" s="124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ht="18.75" customHeight="1" x14ac:dyDescent="0.35">
      <c r="C2802" s="124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ht="18.75" customHeight="1" x14ac:dyDescent="0.35">
      <c r="C2803" s="124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ht="18.75" customHeight="1" x14ac:dyDescent="0.35">
      <c r="C2804" s="124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ht="18.75" customHeight="1" x14ac:dyDescent="0.35">
      <c r="C2805" s="124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ht="18.75" customHeight="1" x14ac:dyDescent="0.35">
      <c r="C2806" s="124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ht="18.75" customHeight="1" x14ac:dyDescent="0.35">
      <c r="C2807" s="124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ht="18.75" customHeight="1" x14ac:dyDescent="0.35">
      <c r="C2808" s="124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ht="18.75" customHeight="1" x14ac:dyDescent="0.35">
      <c r="C2809" s="124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ht="18.75" customHeight="1" x14ac:dyDescent="0.35">
      <c r="C2810" s="124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ht="18.75" customHeight="1" x14ac:dyDescent="0.35">
      <c r="C2811" s="124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ht="18.75" customHeight="1" x14ac:dyDescent="0.35">
      <c r="C2812" s="124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ht="18.75" customHeight="1" x14ac:dyDescent="0.35">
      <c r="C2813" s="124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ht="18.75" customHeight="1" x14ac:dyDescent="0.35">
      <c r="C2814" s="124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ht="18.75" customHeight="1" x14ac:dyDescent="0.35">
      <c r="C2815" s="124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ht="18.75" customHeight="1" x14ac:dyDescent="0.35">
      <c r="C2816" s="124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ht="18.75" customHeight="1" x14ac:dyDescent="0.35">
      <c r="C2817" s="124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ht="18.75" customHeight="1" x14ac:dyDescent="0.35">
      <c r="C2818" s="124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ht="18.75" customHeight="1" x14ac:dyDescent="0.35">
      <c r="C2819" s="124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ht="18.75" customHeight="1" x14ac:dyDescent="0.35">
      <c r="C2820" s="124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ht="18.75" customHeight="1" x14ac:dyDescent="0.35">
      <c r="C2821" s="124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ht="18.75" customHeight="1" x14ac:dyDescent="0.35">
      <c r="C2822" s="124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ht="18.75" customHeight="1" x14ac:dyDescent="0.35">
      <c r="C2823" s="124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ht="18.75" customHeight="1" x14ac:dyDescent="0.35">
      <c r="C2824" s="124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ht="18.75" customHeight="1" x14ac:dyDescent="0.35">
      <c r="C2825" s="124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ht="18.75" customHeight="1" x14ac:dyDescent="0.35">
      <c r="C2826" s="124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ht="18.75" customHeight="1" x14ac:dyDescent="0.35">
      <c r="C2827" s="124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ht="18.75" customHeight="1" x14ac:dyDescent="0.35">
      <c r="C2828" s="124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ht="18.75" customHeight="1" x14ac:dyDescent="0.35">
      <c r="C2829" s="124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ht="18.75" customHeight="1" x14ac:dyDescent="0.35">
      <c r="C2830" s="124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ht="18.75" customHeight="1" x14ac:dyDescent="0.35">
      <c r="C2831" s="124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ht="18.75" customHeight="1" x14ac:dyDescent="0.35">
      <c r="C2832" s="124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ht="18.75" customHeight="1" x14ac:dyDescent="0.35">
      <c r="C2833" s="124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ht="18.75" customHeight="1" x14ac:dyDescent="0.35">
      <c r="C2834" s="124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ht="18.75" customHeight="1" x14ac:dyDescent="0.35">
      <c r="C2835" s="124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ht="18.75" customHeight="1" x14ac:dyDescent="0.35">
      <c r="C2836" s="124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ht="18.75" customHeight="1" x14ac:dyDescent="0.35">
      <c r="C2837" s="124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ht="18.75" customHeight="1" x14ac:dyDescent="0.35">
      <c r="C2838" s="124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ht="18.75" customHeight="1" x14ac:dyDescent="0.35">
      <c r="C2839" s="124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ht="18.75" customHeight="1" x14ac:dyDescent="0.35">
      <c r="C2840" s="124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ht="18.75" customHeight="1" x14ac:dyDescent="0.35">
      <c r="C2841" s="124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ht="18.75" customHeight="1" x14ac:dyDescent="0.35">
      <c r="C2842" s="124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ht="18.75" customHeight="1" x14ac:dyDescent="0.35">
      <c r="C2843" s="124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ht="18.75" customHeight="1" x14ac:dyDescent="0.35">
      <c r="C2844" s="124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ht="18.75" customHeight="1" x14ac:dyDescent="0.35">
      <c r="C2845" s="124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ht="18.75" customHeight="1" x14ac:dyDescent="0.35">
      <c r="C2846" s="124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ht="18.75" customHeight="1" x14ac:dyDescent="0.35">
      <c r="C2847" s="124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ht="18.75" customHeight="1" x14ac:dyDescent="0.35">
      <c r="C2848" s="124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ht="18.75" customHeight="1" x14ac:dyDescent="0.35">
      <c r="C2849" s="124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ht="18.75" customHeight="1" x14ac:dyDescent="0.35">
      <c r="C2850" s="124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ht="18.75" customHeight="1" x14ac:dyDescent="0.35">
      <c r="C2851" s="124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ht="18.75" customHeight="1" x14ac:dyDescent="0.35">
      <c r="C2852" s="124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ht="18.75" customHeight="1" x14ac:dyDescent="0.35">
      <c r="C2853" s="124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ht="18.75" customHeight="1" x14ac:dyDescent="0.35">
      <c r="C2854" s="124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ht="18.75" customHeight="1" x14ac:dyDescent="0.35">
      <c r="C2855" s="124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ht="18.75" customHeight="1" x14ac:dyDescent="0.35">
      <c r="C2856" s="124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ht="18.75" customHeight="1" x14ac:dyDescent="0.35">
      <c r="C2857" s="124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ht="18.75" customHeight="1" x14ac:dyDescent="0.35">
      <c r="C2858" s="124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ht="18.75" customHeight="1" x14ac:dyDescent="0.35">
      <c r="C2859" s="124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ht="18.75" customHeight="1" x14ac:dyDescent="0.35">
      <c r="C2860" s="124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ht="18.75" customHeight="1" x14ac:dyDescent="0.35">
      <c r="C2861" s="124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ht="18.75" customHeight="1" x14ac:dyDescent="0.35">
      <c r="C2862" s="124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ht="18.75" customHeight="1" x14ac:dyDescent="0.35">
      <c r="C2863" s="124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ht="18.75" customHeight="1" x14ac:dyDescent="0.35">
      <c r="C2864" s="124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ht="18.75" customHeight="1" x14ac:dyDescent="0.35">
      <c r="C2865" s="124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ht="18.75" customHeight="1" x14ac:dyDescent="0.35">
      <c r="C2866" s="124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ht="18.75" customHeight="1" x14ac:dyDescent="0.35">
      <c r="C2867" s="124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ht="18.75" customHeight="1" x14ac:dyDescent="0.35">
      <c r="C2868" s="124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ht="18.75" customHeight="1" x14ac:dyDescent="0.35">
      <c r="C2869" s="124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ht="18.75" customHeight="1" x14ac:dyDescent="0.35">
      <c r="C2870" s="124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ht="18.75" customHeight="1" x14ac:dyDescent="0.35">
      <c r="C2871" s="124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ht="18.75" customHeight="1" x14ac:dyDescent="0.35">
      <c r="C2872" s="124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ht="18.75" customHeight="1" x14ac:dyDescent="0.35">
      <c r="C2873" s="124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ht="18.75" customHeight="1" x14ac:dyDescent="0.35">
      <c r="C2874" s="124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ht="18.75" customHeight="1" x14ac:dyDescent="0.35">
      <c r="C2875" s="124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ht="18.75" customHeight="1" x14ac:dyDescent="0.35">
      <c r="C2876" s="124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ht="18.75" customHeight="1" x14ac:dyDescent="0.35">
      <c r="C2877" s="124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ht="18.75" customHeight="1" x14ac:dyDescent="0.35">
      <c r="C2878" s="124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ht="18.75" customHeight="1" x14ac:dyDescent="0.35">
      <c r="C2879" s="124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ht="18.75" customHeight="1" x14ac:dyDescent="0.35">
      <c r="C2880" s="124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ht="18.75" customHeight="1" x14ac:dyDescent="0.35">
      <c r="C2881" s="124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ht="18.75" customHeight="1" x14ac:dyDescent="0.35">
      <c r="C2882" s="124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ht="18.75" customHeight="1" x14ac:dyDescent="0.35">
      <c r="C2883" s="124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ht="18.75" customHeight="1" x14ac:dyDescent="0.35">
      <c r="C2884" s="124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ht="18.75" customHeight="1" x14ac:dyDescent="0.35">
      <c r="C2885" s="124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ht="18.75" customHeight="1" x14ac:dyDescent="0.35">
      <c r="C2886" s="124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ht="18.75" customHeight="1" x14ac:dyDescent="0.35">
      <c r="C2887" s="124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ht="18.75" customHeight="1" x14ac:dyDescent="0.35">
      <c r="C2888" s="124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ht="18.75" customHeight="1" x14ac:dyDescent="0.35">
      <c r="C2889" s="124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ht="18.75" customHeight="1" x14ac:dyDescent="0.35">
      <c r="C2890" s="124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ht="18.75" customHeight="1" x14ac:dyDescent="0.35">
      <c r="C2891" s="124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ht="18.75" customHeight="1" x14ac:dyDescent="0.35">
      <c r="C2892" s="124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ht="18.75" customHeight="1" x14ac:dyDescent="0.35">
      <c r="C2893" s="124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ht="18.75" customHeight="1" x14ac:dyDescent="0.35">
      <c r="C2894" s="124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ht="18.75" customHeight="1" x14ac:dyDescent="0.35">
      <c r="C2895" s="124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ht="18.75" customHeight="1" x14ac:dyDescent="0.35">
      <c r="C2896" s="124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ht="18.75" customHeight="1" x14ac:dyDescent="0.35">
      <c r="C2897" s="124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ht="18.75" customHeight="1" x14ac:dyDescent="0.35">
      <c r="C2898" s="124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ht="18.75" customHeight="1" x14ac:dyDescent="0.35">
      <c r="C2899" s="124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ht="18.75" customHeight="1" x14ac:dyDescent="0.35">
      <c r="C2900" s="124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ht="18.75" customHeight="1" x14ac:dyDescent="0.35">
      <c r="C2901" s="124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ht="18.75" customHeight="1" x14ac:dyDescent="0.35">
      <c r="C2902" s="124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ht="18.75" customHeight="1" x14ac:dyDescent="0.35">
      <c r="C2903" s="124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ht="18.75" customHeight="1" x14ac:dyDescent="0.35">
      <c r="C2904" s="124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ht="18.75" customHeight="1" x14ac:dyDescent="0.35">
      <c r="C2905" s="124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ht="18.75" customHeight="1" x14ac:dyDescent="0.35">
      <c r="C2906" s="124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ht="18.75" customHeight="1" x14ac:dyDescent="0.35">
      <c r="C2907" s="124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ht="18.75" customHeight="1" x14ac:dyDescent="0.35">
      <c r="C2908" s="124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ht="18.75" customHeight="1" x14ac:dyDescent="0.35">
      <c r="C2909" s="124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ht="18.75" customHeight="1" x14ac:dyDescent="0.35">
      <c r="C2910" s="124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ht="18.75" customHeight="1" x14ac:dyDescent="0.35">
      <c r="C2911" s="124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ht="18.75" customHeight="1" x14ac:dyDescent="0.35">
      <c r="C2912" s="124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ht="18.75" customHeight="1" x14ac:dyDescent="0.35">
      <c r="C2913" s="124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ht="18.75" customHeight="1" x14ac:dyDescent="0.35">
      <c r="C2914" s="124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ht="18.75" customHeight="1" x14ac:dyDescent="0.35">
      <c r="C2915" s="124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ht="18.75" customHeight="1" x14ac:dyDescent="0.35">
      <c r="C2916" s="124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ht="18.75" customHeight="1" x14ac:dyDescent="0.35">
      <c r="C2917" s="124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ht="18.75" customHeight="1" x14ac:dyDescent="0.35">
      <c r="C2918" s="124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ht="18.75" customHeight="1" x14ac:dyDescent="0.35">
      <c r="C2919" s="124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ht="18.75" customHeight="1" x14ac:dyDescent="0.35">
      <c r="C2920" s="124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ht="18.75" customHeight="1" x14ac:dyDescent="0.35">
      <c r="C2921" s="124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ht="18.75" customHeight="1" x14ac:dyDescent="0.35">
      <c r="C2922" s="124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ht="18.75" customHeight="1" x14ac:dyDescent="0.35">
      <c r="C2923" s="124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ht="18.75" customHeight="1" x14ac:dyDescent="0.35">
      <c r="C2924" s="124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ht="18.75" customHeight="1" x14ac:dyDescent="0.35">
      <c r="C2925" s="124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ht="18.75" customHeight="1" x14ac:dyDescent="0.35">
      <c r="C2926" s="124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ht="18.75" customHeight="1" x14ac:dyDescent="0.35">
      <c r="C2927" s="124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ht="18.75" customHeight="1" x14ac:dyDescent="0.35">
      <c r="C2928" s="124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ht="18.75" customHeight="1" x14ac:dyDescent="0.35">
      <c r="C2929" s="124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ht="18.75" customHeight="1" x14ac:dyDescent="0.35">
      <c r="C2930" s="124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ht="18.75" customHeight="1" x14ac:dyDescent="0.35">
      <c r="C2931" s="124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ht="18.75" customHeight="1" x14ac:dyDescent="0.35">
      <c r="C2932" s="124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ht="18.75" customHeight="1" x14ac:dyDescent="0.35">
      <c r="C2933" s="124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ht="18.75" customHeight="1" x14ac:dyDescent="0.35">
      <c r="C2934" s="124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ht="18.75" customHeight="1" x14ac:dyDescent="0.35">
      <c r="C2935" s="124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ht="18.75" customHeight="1" x14ac:dyDescent="0.35">
      <c r="C2936" s="124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ht="18.75" customHeight="1" x14ac:dyDescent="0.35">
      <c r="C2937" s="124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ht="18.75" customHeight="1" x14ac:dyDescent="0.35">
      <c r="C2938" s="124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ht="18.75" customHeight="1" x14ac:dyDescent="0.35">
      <c r="C2939" s="124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ht="18.75" customHeight="1" x14ac:dyDescent="0.35">
      <c r="C2940" s="124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ht="18.75" customHeight="1" x14ac:dyDescent="0.35">
      <c r="C2941" s="124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ht="18.75" customHeight="1" x14ac:dyDescent="0.35">
      <c r="C2942" s="124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ht="18.75" customHeight="1" x14ac:dyDescent="0.35">
      <c r="C2943" s="124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ht="18.75" customHeight="1" x14ac:dyDescent="0.35">
      <c r="C2944" s="124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ht="18.75" customHeight="1" x14ac:dyDescent="0.35">
      <c r="C2945" s="124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ht="18.75" customHeight="1" x14ac:dyDescent="0.35">
      <c r="C2946" s="124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ht="18.75" customHeight="1" x14ac:dyDescent="0.35">
      <c r="C2947" s="124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ht="18.75" customHeight="1" x14ac:dyDescent="0.35">
      <c r="C2948" s="124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ht="18.75" customHeight="1" x14ac:dyDescent="0.35">
      <c r="C2949" s="124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ht="18.75" customHeight="1" x14ac:dyDescent="0.35">
      <c r="C2950" s="124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ht="18.75" customHeight="1" x14ac:dyDescent="0.35">
      <c r="C2951" s="124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ht="18.75" customHeight="1" x14ac:dyDescent="0.35">
      <c r="C2952" s="124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ht="18.75" customHeight="1" x14ac:dyDescent="0.35">
      <c r="C2953" s="124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ht="18.75" customHeight="1" x14ac:dyDescent="0.35">
      <c r="C2954" s="124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ht="18.75" customHeight="1" x14ac:dyDescent="0.35">
      <c r="C2955" s="124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ht="18.75" customHeight="1" x14ac:dyDescent="0.35">
      <c r="C2956" s="124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ht="18.75" customHeight="1" x14ac:dyDescent="0.35">
      <c r="C2957" s="124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ht="18.75" customHeight="1" x14ac:dyDescent="0.35">
      <c r="C2958" s="124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ht="18.75" customHeight="1" x14ac:dyDescent="0.35">
      <c r="C2959" s="124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ht="18.75" customHeight="1" x14ac:dyDescent="0.35">
      <c r="C2960" s="124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ht="18.75" customHeight="1" x14ac:dyDescent="0.35">
      <c r="C2961" s="124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ht="18.75" customHeight="1" x14ac:dyDescent="0.35">
      <c r="C2962" s="124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ht="18.75" customHeight="1" x14ac:dyDescent="0.35">
      <c r="C2963" s="124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ht="18.75" customHeight="1" x14ac:dyDescent="0.35">
      <c r="C2964" s="124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ht="18.75" customHeight="1" x14ac:dyDescent="0.35">
      <c r="C2965" s="124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ht="18.75" customHeight="1" x14ac:dyDescent="0.35">
      <c r="C2966" s="124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ht="18.75" customHeight="1" x14ac:dyDescent="0.35">
      <c r="C2967" s="124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ht="18.75" customHeight="1" x14ac:dyDescent="0.35">
      <c r="C2968" s="124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ht="18.75" customHeight="1" x14ac:dyDescent="0.35">
      <c r="C2969" s="124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ht="18.75" customHeight="1" x14ac:dyDescent="0.35">
      <c r="C2970" s="124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ht="18.75" customHeight="1" x14ac:dyDescent="0.35">
      <c r="C2971" s="124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ht="18.75" customHeight="1" x14ac:dyDescent="0.35">
      <c r="C2972" s="124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ht="18.75" customHeight="1" x14ac:dyDescent="0.35">
      <c r="C2973" s="124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ht="18.75" customHeight="1" x14ac:dyDescent="0.35">
      <c r="C2974" s="124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ht="18.75" customHeight="1" x14ac:dyDescent="0.35">
      <c r="C2975" s="124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ht="18.75" customHeight="1" x14ac:dyDescent="0.35">
      <c r="C2976" s="124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ht="18.75" customHeight="1" x14ac:dyDescent="0.35">
      <c r="C2977" s="124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ht="18.75" customHeight="1" x14ac:dyDescent="0.35">
      <c r="C2978" s="124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ht="18.75" customHeight="1" x14ac:dyDescent="0.35">
      <c r="C2979" s="124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ht="18.75" customHeight="1" x14ac:dyDescent="0.35">
      <c r="C2980" s="124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ht="18.75" customHeight="1" x14ac:dyDescent="0.35">
      <c r="C2981" s="124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ht="18.75" customHeight="1" x14ac:dyDescent="0.35">
      <c r="C2982" s="124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ht="18.75" customHeight="1" x14ac:dyDescent="0.35">
      <c r="C2983" s="124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ht="18.75" customHeight="1" x14ac:dyDescent="0.35">
      <c r="C2984" s="124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ht="18.75" customHeight="1" x14ac:dyDescent="0.35">
      <c r="C2985" s="124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ht="18.75" customHeight="1" x14ac:dyDescent="0.35">
      <c r="C2986" s="124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ht="18.75" customHeight="1" x14ac:dyDescent="0.35">
      <c r="C2987" s="124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ht="18.75" customHeight="1" x14ac:dyDescent="0.35">
      <c r="C2988" s="124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ht="18.75" customHeight="1" x14ac:dyDescent="0.35">
      <c r="C2989" s="124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ht="18.75" customHeight="1" x14ac:dyDescent="0.35">
      <c r="C2990" s="124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ht="18.75" customHeight="1" x14ac:dyDescent="0.35">
      <c r="C2991" s="124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ht="18.75" customHeight="1" x14ac:dyDescent="0.35">
      <c r="C2992" s="124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ht="18.75" customHeight="1" x14ac:dyDescent="0.35">
      <c r="C2993" s="124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ht="18.75" customHeight="1" x14ac:dyDescent="0.35">
      <c r="C2994" s="124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ht="18.75" customHeight="1" x14ac:dyDescent="0.35">
      <c r="C2995" s="124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ht="18.75" customHeight="1" x14ac:dyDescent="0.35">
      <c r="C2996" s="124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ht="18.75" customHeight="1" x14ac:dyDescent="0.35">
      <c r="C2997" s="124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ht="18.75" customHeight="1" x14ac:dyDescent="0.35">
      <c r="C2998" s="124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ht="18.75" customHeight="1" x14ac:dyDescent="0.35">
      <c r="C2999" s="124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ht="18.75" customHeight="1" x14ac:dyDescent="0.35">
      <c r="C3000" s="124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112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113" bestFit="1" customWidth="1"/>
    <col min="7" max="7" width="15" style="113" bestFit="1" customWidth="1"/>
    <col min="8" max="8" width="13.81640625" style="113" bestFit="1" customWidth="1"/>
    <col min="9" max="9" width="12.453125" style="113" bestFit="1" customWidth="1"/>
    <col min="10" max="10" width="13.1796875" style="113" bestFit="1" customWidth="1"/>
    <col min="11" max="11" width="12.81640625" style="113" bestFit="1" customWidth="1"/>
    <col min="12" max="12" width="12.1796875" style="113" bestFit="1" customWidth="1"/>
    <col min="13" max="13" width="14.453125" style="113" bestFit="1" customWidth="1"/>
    <col min="14" max="14" width="18.1796875" style="112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20" width="13.54296875" style="112" bestFit="1" customWidth="1"/>
    <col min="21" max="22" width="13.54296875" bestFit="1" customWidth="1"/>
    <col min="23" max="24" width="9.54296875" bestFit="1" customWidth="1"/>
    <col min="25" max="25" width="15" style="114" bestFit="1" customWidth="1"/>
    <col min="26" max="26" width="13.81640625" style="114" bestFit="1" customWidth="1"/>
    <col min="27" max="27" width="12.453125" style="114" bestFit="1" customWidth="1"/>
    <col min="28" max="28" width="13.1796875" style="114" bestFit="1" customWidth="1"/>
    <col min="29" max="29" width="12.81640625" style="114" bestFit="1" customWidth="1"/>
    <col min="30" max="30" width="12.1796875" style="114" bestFit="1" customWidth="1"/>
    <col min="31" max="31" width="14.453125" style="114" bestFit="1" customWidth="1"/>
    <col min="32" max="32" width="18.1796875" style="114" bestFit="1" customWidth="1"/>
    <col min="33" max="33" width="15.453125" style="114" bestFit="1" customWidth="1"/>
    <col min="34" max="34" width="17.54296875" style="114" bestFit="1" customWidth="1"/>
    <col min="35" max="35" width="17" style="110" bestFit="1" customWidth="1"/>
    <col min="36" max="37" width="13.54296875" bestFit="1" customWidth="1"/>
    <col min="38" max="38" width="19.453125" style="115" bestFit="1" customWidth="1"/>
    <col min="39" max="39" width="13.54296875" style="115" bestFit="1" customWidth="1"/>
  </cols>
  <sheetData>
    <row r="1" spans="1:39" ht="18.75" customHeight="1" x14ac:dyDescent="0.35">
      <c r="A1" s="112" t="s">
        <v>0</v>
      </c>
      <c r="B1" t="s">
        <v>101</v>
      </c>
      <c r="S1" s="112" t="s">
        <v>0</v>
      </c>
      <c r="T1" s="112" t="s">
        <v>69</v>
      </c>
    </row>
    <row r="2" spans="1:39" ht="18.75" customHeight="1" x14ac:dyDescent="0.35"/>
    <row r="3" spans="1:39" ht="18.75" customHeight="1" x14ac:dyDescent="0.35">
      <c r="A3" s="112" t="s">
        <v>1</v>
      </c>
      <c r="B3" t="s">
        <v>2</v>
      </c>
      <c r="C3" t="s">
        <v>3</v>
      </c>
      <c r="D3" t="s">
        <v>4</v>
      </c>
      <c r="E3" t="s">
        <v>5</v>
      </c>
      <c r="F3" s="113" t="s">
        <v>148</v>
      </c>
      <c r="G3" s="113" t="s">
        <v>149</v>
      </c>
      <c r="H3" s="113" t="s">
        <v>150</v>
      </c>
      <c r="I3" s="113" t="s">
        <v>151</v>
      </c>
      <c r="J3" s="113" t="s">
        <v>152</v>
      </c>
      <c r="K3" s="113" t="s">
        <v>153</v>
      </c>
      <c r="L3" s="113" t="s">
        <v>154</v>
      </c>
      <c r="M3" s="113" t="s">
        <v>155</v>
      </c>
      <c r="N3" s="112" t="s">
        <v>156</v>
      </c>
      <c r="O3" t="s">
        <v>157</v>
      </c>
      <c r="P3" t="s">
        <v>158</v>
      </c>
      <c r="Q3" t="s">
        <v>159</v>
      </c>
      <c r="S3" s="112" t="s">
        <v>6</v>
      </c>
      <c r="T3" s="112" t="s">
        <v>1</v>
      </c>
      <c r="U3" t="s">
        <v>2</v>
      </c>
      <c r="V3" t="s">
        <v>3</v>
      </c>
      <c r="W3" t="s">
        <v>4</v>
      </c>
      <c r="X3" t="s">
        <v>5</v>
      </c>
      <c r="Y3" s="114" t="s">
        <v>149</v>
      </c>
      <c r="Z3" s="114" t="s">
        <v>150</v>
      </c>
      <c r="AA3" s="114" t="s">
        <v>151</v>
      </c>
      <c r="AB3" s="114" t="s">
        <v>152</v>
      </c>
      <c r="AC3" s="114" t="s">
        <v>153</v>
      </c>
      <c r="AD3" s="114" t="s">
        <v>154</v>
      </c>
      <c r="AE3" s="114" t="s">
        <v>155</v>
      </c>
      <c r="AF3" s="114" t="s">
        <v>156</v>
      </c>
      <c r="AG3" s="114" t="s">
        <v>157</v>
      </c>
      <c r="AH3" s="114" t="s">
        <v>158</v>
      </c>
      <c r="AI3" s="110" t="s">
        <v>159</v>
      </c>
    </row>
    <row r="4" spans="1:39" ht="18.75" customHeight="1" x14ac:dyDescent="0.35">
      <c r="A4" s="116">
        <v>2024</v>
      </c>
      <c r="B4" t="s">
        <v>106</v>
      </c>
      <c r="C4" t="s">
        <v>160</v>
      </c>
      <c r="D4" t="s">
        <v>23</v>
      </c>
      <c r="E4" t="s">
        <v>26</v>
      </c>
      <c r="F4" s="116">
        <v>0</v>
      </c>
      <c r="G4" s="116">
        <v>1</v>
      </c>
      <c r="H4" s="116">
        <v>2</v>
      </c>
      <c r="I4" s="116">
        <v>2</v>
      </c>
      <c r="J4" s="116">
        <v>2</v>
      </c>
      <c r="K4" s="116">
        <v>4</v>
      </c>
      <c r="L4" s="116">
        <v>5</v>
      </c>
      <c r="M4" s="116">
        <v>1</v>
      </c>
      <c r="N4" s="116">
        <v>1</v>
      </c>
      <c r="S4" s="116">
        <v>0</v>
      </c>
      <c r="T4" s="116">
        <v>2025</v>
      </c>
      <c r="U4" t="s">
        <v>133</v>
      </c>
      <c r="V4" t="s">
        <v>160</v>
      </c>
      <c r="W4" t="s">
        <v>23</v>
      </c>
      <c r="X4" t="s">
        <v>26</v>
      </c>
      <c r="Y4" s="116">
        <v>1</v>
      </c>
      <c r="Z4" s="116">
        <v>3</v>
      </c>
      <c r="AA4" s="116">
        <v>0</v>
      </c>
      <c r="AB4" s="116">
        <v>10</v>
      </c>
      <c r="AC4" s="116">
        <v>10</v>
      </c>
      <c r="AD4" s="116">
        <v>11</v>
      </c>
    </row>
    <row r="5" spans="1:39" ht="18.75" customHeight="1" x14ac:dyDescent="0.35">
      <c r="A5" s="116">
        <v>2024</v>
      </c>
      <c r="B5" t="s">
        <v>104</v>
      </c>
      <c r="C5" t="s">
        <v>160</v>
      </c>
      <c r="D5" t="s">
        <v>23</v>
      </c>
      <c r="E5" t="s">
        <v>26</v>
      </c>
      <c r="N5" s="116">
        <v>1</v>
      </c>
      <c r="S5" s="116">
        <v>0</v>
      </c>
      <c r="T5" s="116">
        <v>2025</v>
      </c>
      <c r="U5" t="s">
        <v>147</v>
      </c>
      <c r="V5" t="s">
        <v>160</v>
      </c>
      <c r="W5" t="s">
        <v>20</v>
      </c>
      <c r="X5" t="s">
        <v>21</v>
      </c>
      <c r="Y5" s="116">
        <v>0</v>
      </c>
      <c r="Z5" s="116">
        <v>0</v>
      </c>
      <c r="AA5" s="116">
        <v>0</v>
      </c>
      <c r="AB5" s="116">
        <v>0</v>
      </c>
      <c r="AC5" s="116">
        <v>93773133</v>
      </c>
      <c r="AD5" s="116">
        <v>13420205</v>
      </c>
    </row>
    <row r="6" spans="1:39" ht="18.75" customHeight="1" x14ac:dyDescent="0.35">
      <c r="A6" s="116">
        <v>2024</v>
      </c>
      <c r="B6" t="s">
        <v>102</v>
      </c>
      <c r="C6" t="s">
        <v>160</v>
      </c>
      <c r="D6" t="s">
        <v>23</v>
      </c>
      <c r="E6" t="s">
        <v>26</v>
      </c>
      <c r="N6" s="116">
        <v>1</v>
      </c>
      <c r="S6" s="116">
        <v>0</v>
      </c>
      <c r="T6" s="116">
        <v>2025</v>
      </c>
      <c r="U6" t="s">
        <v>146</v>
      </c>
      <c r="V6" t="s">
        <v>160</v>
      </c>
      <c r="W6" t="s">
        <v>20</v>
      </c>
      <c r="X6" t="s">
        <v>21</v>
      </c>
      <c r="Y6" s="116">
        <v>16755078</v>
      </c>
      <c r="Z6" s="116">
        <v>29126200</v>
      </c>
      <c r="AA6" s="116">
        <v>39631857</v>
      </c>
      <c r="AB6" s="116">
        <v>116292787</v>
      </c>
      <c r="AC6" s="116">
        <v>18957206</v>
      </c>
      <c r="AD6" s="116">
        <v>97439592</v>
      </c>
    </row>
    <row r="7" spans="1:39" ht="18.75" customHeight="1" x14ac:dyDescent="0.35">
      <c r="A7" s="116">
        <v>2024</v>
      </c>
      <c r="B7" t="s">
        <v>103</v>
      </c>
      <c r="C7" t="s">
        <v>160</v>
      </c>
      <c r="D7" t="s">
        <v>23</v>
      </c>
      <c r="E7" t="s">
        <v>26</v>
      </c>
      <c r="S7" s="116">
        <v>0</v>
      </c>
      <c r="T7" s="116">
        <v>2025</v>
      </c>
      <c r="U7" t="s">
        <v>135</v>
      </c>
      <c r="V7" t="s">
        <v>160</v>
      </c>
      <c r="W7" t="s">
        <v>20</v>
      </c>
      <c r="X7" t="s">
        <v>21</v>
      </c>
      <c r="Y7" s="116">
        <v>79000</v>
      </c>
      <c r="Z7" s="116">
        <v>16800</v>
      </c>
      <c r="AA7" s="116">
        <v>3396547</v>
      </c>
      <c r="AB7" s="116">
        <v>1087480</v>
      </c>
      <c r="AC7" s="116">
        <v>2803741</v>
      </c>
      <c r="AD7" s="116">
        <v>5153560</v>
      </c>
    </row>
    <row r="8" spans="1:39" ht="18.75" customHeight="1" x14ac:dyDescent="0.35">
      <c r="A8" s="116">
        <v>2024</v>
      </c>
      <c r="B8" t="s">
        <v>105</v>
      </c>
      <c r="C8" t="s">
        <v>160</v>
      </c>
      <c r="D8" t="s">
        <v>23</v>
      </c>
      <c r="E8" t="s">
        <v>26</v>
      </c>
      <c r="S8" s="116">
        <v>0</v>
      </c>
      <c r="T8" s="116">
        <v>2025</v>
      </c>
      <c r="U8" t="s">
        <v>78</v>
      </c>
      <c r="V8" t="s">
        <v>160</v>
      </c>
      <c r="W8" t="s">
        <v>20</v>
      </c>
      <c r="X8" t="s">
        <v>21</v>
      </c>
      <c r="Y8" s="116">
        <v>0</v>
      </c>
      <c r="Z8" s="116">
        <v>360000000</v>
      </c>
      <c r="AA8" s="116">
        <v>0</v>
      </c>
      <c r="AB8" s="116">
        <v>0</v>
      </c>
      <c r="AC8" s="116">
        <v>0</v>
      </c>
      <c r="AD8" s="116">
        <v>0</v>
      </c>
      <c r="AL8" s="117">
        <v>435.52276740847952</v>
      </c>
      <c r="AM8" s="117">
        <v>436</v>
      </c>
    </row>
    <row r="9" spans="1:39" ht="18.75" customHeight="1" x14ac:dyDescent="0.35">
      <c r="A9" s="116">
        <v>2024</v>
      </c>
      <c r="B9" t="s">
        <v>107</v>
      </c>
      <c r="C9" t="s">
        <v>160</v>
      </c>
      <c r="D9" t="s">
        <v>23</v>
      </c>
      <c r="E9" t="s">
        <v>26</v>
      </c>
      <c r="F9" s="118">
        <v>0.90700000000000003</v>
      </c>
      <c r="G9" s="118">
        <v>0.91859999999999997</v>
      </c>
      <c r="H9" s="118">
        <v>0.90910000000000002</v>
      </c>
      <c r="I9" s="118">
        <v>0.89949999999999997</v>
      </c>
      <c r="J9" s="118">
        <v>0.90180000000000005</v>
      </c>
      <c r="K9" s="118">
        <v>0.9042</v>
      </c>
      <c r="L9" s="118">
        <v>0.90300000000000002</v>
      </c>
      <c r="M9" s="118">
        <v>0.89570000000000005</v>
      </c>
      <c r="S9" s="118">
        <v>0.91739329967875172</v>
      </c>
      <c r="T9" s="116">
        <v>2024</v>
      </c>
      <c r="U9" t="s">
        <v>75</v>
      </c>
      <c r="V9" t="s">
        <v>160</v>
      </c>
      <c r="W9" t="s">
        <v>23</v>
      </c>
      <c r="X9" t="s">
        <v>35</v>
      </c>
      <c r="Y9" s="118">
        <v>0.87896995708154502</v>
      </c>
      <c r="Z9" s="118">
        <v>0.78529956763434217</v>
      </c>
      <c r="AA9" s="118">
        <v>0.82089741960086438</v>
      </c>
      <c r="AB9" s="118">
        <v>0.87620640844164199</v>
      </c>
      <c r="AC9" s="118">
        <v>0.57429429429429435</v>
      </c>
      <c r="AD9" s="118">
        <v>0.6207820032137118</v>
      </c>
      <c r="AE9" s="118">
        <v>0.67839013778100077</v>
      </c>
      <c r="AF9" s="118">
        <v>0.87652153558052437</v>
      </c>
      <c r="AG9" s="118">
        <v>0.67580612035325527</v>
      </c>
      <c r="AH9" s="118">
        <v>0.75167294019238817</v>
      </c>
      <c r="AL9" s="117">
        <v>1553.4923409081578</v>
      </c>
      <c r="AM9" s="117">
        <v>1553</v>
      </c>
    </row>
    <row r="10" spans="1:39" ht="18.75" customHeight="1" x14ac:dyDescent="0.35">
      <c r="A10" s="116">
        <v>2024</v>
      </c>
      <c r="B10" t="s">
        <v>161</v>
      </c>
      <c r="C10" t="s">
        <v>160</v>
      </c>
      <c r="D10" t="s">
        <v>23</v>
      </c>
      <c r="E10" t="s">
        <v>26</v>
      </c>
      <c r="F10" s="116">
        <v>1</v>
      </c>
      <c r="G10" s="116">
        <v>15</v>
      </c>
      <c r="H10" s="116">
        <v>8</v>
      </c>
      <c r="I10" s="116">
        <v>8</v>
      </c>
      <c r="J10" s="116">
        <v>5</v>
      </c>
      <c r="K10" s="116">
        <v>8</v>
      </c>
      <c r="L10" s="116">
        <v>12</v>
      </c>
      <c r="M10" s="116">
        <v>4</v>
      </c>
      <c r="N10" s="116">
        <v>1</v>
      </c>
      <c r="S10" s="116">
        <v>1</v>
      </c>
      <c r="T10" s="116">
        <v>2025</v>
      </c>
      <c r="U10" t="s">
        <v>132</v>
      </c>
      <c r="V10" t="s">
        <v>160</v>
      </c>
      <c r="W10" t="s">
        <v>23</v>
      </c>
      <c r="X10" t="s">
        <v>26</v>
      </c>
      <c r="Y10" s="116">
        <v>6</v>
      </c>
      <c r="Z10" s="116">
        <v>10</v>
      </c>
      <c r="AA10" s="116">
        <v>6</v>
      </c>
      <c r="AB10" s="116">
        <v>22</v>
      </c>
      <c r="AC10" s="116">
        <v>26</v>
      </c>
      <c r="AD10" s="116">
        <v>32</v>
      </c>
      <c r="AL10" s="117">
        <v>1220.3880511361435</v>
      </c>
      <c r="AM10" s="117">
        <v>1220</v>
      </c>
    </row>
    <row r="11" spans="1:39" ht="18.75" customHeight="1" x14ac:dyDescent="0.35">
      <c r="A11" s="116">
        <v>2025</v>
      </c>
      <c r="B11" t="s">
        <v>106</v>
      </c>
      <c r="C11" t="s">
        <v>160</v>
      </c>
      <c r="D11" t="s">
        <v>23</v>
      </c>
      <c r="E11" t="s">
        <v>26</v>
      </c>
      <c r="F11" s="116">
        <v>0</v>
      </c>
      <c r="G11" s="116">
        <v>2</v>
      </c>
      <c r="H11" s="116">
        <v>1</v>
      </c>
      <c r="I11" s="116">
        <v>1</v>
      </c>
      <c r="J11" s="116">
        <v>2</v>
      </c>
      <c r="K11" s="116">
        <v>1</v>
      </c>
      <c r="L11" s="116">
        <v>0</v>
      </c>
      <c r="S11" s="116">
        <v>3</v>
      </c>
      <c r="T11" s="116">
        <v>2024</v>
      </c>
      <c r="U11" t="s">
        <v>76</v>
      </c>
      <c r="V11" t="s">
        <v>160</v>
      </c>
      <c r="W11" t="s">
        <v>23</v>
      </c>
      <c r="X11" t="s">
        <v>26</v>
      </c>
      <c r="Y11" s="116">
        <v>6</v>
      </c>
      <c r="Z11" s="116">
        <v>7</v>
      </c>
      <c r="AA11" s="116">
        <v>17</v>
      </c>
      <c r="AB11" s="116">
        <v>6</v>
      </c>
      <c r="AL11" s="117">
        <v>810.8791690312197</v>
      </c>
      <c r="AM11" s="117">
        <v>811</v>
      </c>
    </row>
    <row r="12" spans="1:39" ht="18.75" customHeight="1" x14ac:dyDescent="0.35">
      <c r="A12" s="116">
        <v>2025</v>
      </c>
      <c r="B12" t="s">
        <v>104</v>
      </c>
      <c r="C12" t="s">
        <v>160</v>
      </c>
      <c r="D12" t="s">
        <v>23</v>
      </c>
      <c r="E12" t="s">
        <v>26</v>
      </c>
      <c r="F12" s="116">
        <v>7</v>
      </c>
      <c r="G12" s="116">
        <v>7</v>
      </c>
      <c r="H12" s="116">
        <v>7</v>
      </c>
      <c r="I12" s="116">
        <v>7</v>
      </c>
      <c r="J12" s="116">
        <v>7</v>
      </c>
      <c r="K12" s="116">
        <v>7</v>
      </c>
      <c r="L12" s="116">
        <v>184</v>
      </c>
      <c r="S12" s="116">
        <v>4</v>
      </c>
      <c r="T12" s="116">
        <v>2025</v>
      </c>
      <c r="U12" t="s">
        <v>76</v>
      </c>
      <c r="V12" t="s">
        <v>160</v>
      </c>
      <c r="W12" t="s">
        <v>23</v>
      </c>
      <c r="X12" t="s">
        <v>26</v>
      </c>
      <c r="Y12" s="116">
        <v>7</v>
      </c>
      <c r="Z12" s="116">
        <v>7</v>
      </c>
      <c r="AA12" s="116">
        <v>17</v>
      </c>
      <c r="AB12" s="116">
        <v>6</v>
      </c>
      <c r="AC12" s="116">
        <v>9</v>
      </c>
      <c r="AD12" s="116">
        <v>4</v>
      </c>
      <c r="AL12" s="117">
        <v>419.27006375157112</v>
      </c>
      <c r="AM12" s="117">
        <v>419</v>
      </c>
    </row>
    <row r="13" spans="1:39" ht="18.75" customHeight="1" x14ac:dyDescent="0.35">
      <c r="A13" s="116">
        <v>2025</v>
      </c>
      <c r="B13" t="s">
        <v>76</v>
      </c>
      <c r="C13" t="s">
        <v>160</v>
      </c>
      <c r="D13" t="s">
        <v>23</v>
      </c>
      <c r="E13" t="s">
        <v>26</v>
      </c>
      <c r="F13" s="116">
        <v>13</v>
      </c>
      <c r="G13" s="116">
        <v>3</v>
      </c>
      <c r="H13" s="116">
        <v>3</v>
      </c>
      <c r="I13" s="116">
        <v>11</v>
      </c>
      <c r="J13" s="116">
        <v>3</v>
      </c>
      <c r="K13" s="116">
        <v>3</v>
      </c>
      <c r="L13" s="116">
        <v>15</v>
      </c>
      <c r="S13" s="116">
        <v>6</v>
      </c>
      <c r="T13" s="116">
        <v>2025</v>
      </c>
      <c r="U13" t="s">
        <v>134</v>
      </c>
      <c r="V13" t="s">
        <v>160</v>
      </c>
      <c r="W13" t="s">
        <v>23</v>
      </c>
      <c r="X13" t="s">
        <v>26</v>
      </c>
      <c r="Y13" s="116">
        <v>26</v>
      </c>
      <c r="Z13" s="116">
        <v>48</v>
      </c>
      <c r="AA13" s="116">
        <v>8</v>
      </c>
      <c r="AB13" s="116">
        <v>69</v>
      </c>
      <c r="AC13" s="116">
        <v>43</v>
      </c>
      <c r="AD13" s="116">
        <v>51</v>
      </c>
      <c r="AL13" s="117">
        <v>43.033659060138739</v>
      </c>
      <c r="AM13" s="117">
        <v>43</v>
      </c>
    </row>
    <row r="14" spans="1:39" ht="18.75" customHeight="1" x14ac:dyDescent="0.35">
      <c r="A14" s="116">
        <v>2025</v>
      </c>
      <c r="B14" t="s">
        <v>102</v>
      </c>
      <c r="C14" t="s">
        <v>160</v>
      </c>
      <c r="D14" t="s">
        <v>23</v>
      </c>
      <c r="E14" t="s">
        <v>26</v>
      </c>
      <c r="F14" s="116">
        <v>9</v>
      </c>
      <c r="G14" s="116">
        <v>9</v>
      </c>
      <c r="H14" s="116">
        <v>9</v>
      </c>
      <c r="I14" s="116">
        <v>17</v>
      </c>
      <c r="J14" s="116">
        <v>17</v>
      </c>
      <c r="K14" s="116">
        <v>17</v>
      </c>
      <c r="L14" s="116">
        <v>17</v>
      </c>
      <c r="S14" s="116">
        <v>12</v>
      </c>
      <c r="T14" s="116">
        <v>2025</v>
      </c>
      <c r="U14" t="s">
        <v>137</v>
      </c>
      <c r="V14" t="s">
        <v>160</v>
      </c>
      <c r="W14" t="s">
        <v>23</v>
      </c>
      <c r="X14" t="s">
        <v>26</v>
      </c>
      <c r="Y14" s="116">
        <v>12</v>
      </c>
      <c r="Z14" s="116">
        <v>12</v>
      </c>
      <c r="AA14" s="116">
        <v>12</v>
      </c>
      <c r="AB14" s="116">
        <v>12</v>
      </c>
      <c r="AC14" s="116">
        <v>12</v>
      </c>
      <c r="AD14" s="116">
        <v>12</v>
      </c>
      <c r="AL14" s="117">
        <v>1162.5799959166532</v>
      </c>
      <c r="AM14" s="117">
        <v>1163</v>
      </c>
    </row>
    <row r="15" spans="1:39" ht="18.75" customHeight="1" x14ac:dyDescent="0.35">
      <c r="A15" s="116">
        <v>2025</v>
      </c>
      <c r="B15" t="s">
        <v>103</v>
      </c>
      <c r="C15" t="s">
        <v>160</v>
      </c>
      <c r="D15" t="s">
        <v>23</v>
      </c>
      <c r="E15" t="s">
        <v>26</v>
      </c>
      <c r="F15" s="116">
        <v>9</v>
      </c>
      <c r="G15" s="116">
        <v>9</v>
      </c>
      <c r="H15" s="116">
        <v>9</v>
      </c>
      <c r="I15" s="116">
        <v>1</v>
      </c>
      <c r="J15" s="116">
        <v>1</v>
      </c>
      <c r="K15" s="116">
        <v>1</v>
      </c>
      <c r="L15" s="116">
        <v>1</v>
      </c>
      <c r="S15" s="116">
        <v>16</v>
      </c>
      <c r="T15" s="116">
        <v>2025</v>
      </c>
      <c r="U15" t="s">
        <v>102</v>
      </c>
      <c r="V15" t="s">
        <v>160</v>
      </c>
      <c r="W15" t="s">
        <v>23</v>
      </c>
      <c r="X15" t="s">
        <v>26</v>
      </c>
      <c r="Y15" s="116">
        <v>16</v>
      </c>
      <c r="Z15" s="116">
        <v>16</v>
      </c>
      <c r="AA15" s="116">
        <v>16</v>
      </c>
      <c r="AB15" s="116">
        <v>16</v>
      </c>
      <c r="AC15" s="116">
        <v>16</v>
      </c>
      <c r="AD15" s="116">
        <v>16</v>
      </c>
      <c r="AL15" s="117">
        <v>1580.7382851384853</v>
      </c>
      <c r="AM15" s="117">
        <v>1581</v>
      </c>
    </row>
    <row r="16" spans="1:39" ht="18.75" customHeight="1" x14ac:dyDescent="0.35">
      <c r="A16" s="116">
        <v>2025</v>
      </c>
      <c r="B16" t="s">
        <v>105</v>
      </c>
      <c r="C16" t="s">
        <v>160</v>
      </c>
      <c r="D16" t="s">
        <v>23</v>
      </c>
      <c r="E16" t="s">
        <v>26</v>
      </c>
      <c r="F16" s="116">
        <v>21083</v>
      </c>
      <c r="G16" s="116">
        <v>1620</v>
      </c>
      <c r="H16" s="116">
        <v>1226</v>
      </c>
      <c r="I16" s="116">
        <v>1328</v>
      </c>
      <c r="J16" s="116">
        <v>1607</v>
      </c>
      <c r="K16" s="116">
        <v>1416</v>
      </c>
      <c r="L16" s="116">
        <v>8236</v>
      </c>
      <c r="S16" s="116">
        <v>23</v>
      </c>
      <c r="T16" s="116">
        <v>2025</v>
      </c>
      <c r="U16" t="s">
        <v>131</v>
      </c>
      <c r="V16" t="s">
        <v>160</v>
      </c>
      <c r="W16" t="s">
        <v>23</v>
      </c>
      <c r="X16" t="s">
        <v>26</v>
      </c>
      <c r="Y16" s="116">
        <v>62</v>
      </c>
      <c r="Z16" s="116">
        <v>87</v>
      </c>
      <c r="AA16" s="116">
        <v>71</v>
      </c>
      <c r="AB16" s="116">
        <v>86</v>
      </c>
      <c r="AC16" s="116">
        <v>83</v>
      </c>
      <c r="AD16" s="116">
        <v>62</v>
      </c>
      <c r="AL16" s="117">
        <v>1956.1274143299809</v>
      </c>
      <c r="AM16" s="117">
        <v>1957</v>
      </c>
    </row>
    <row r="17" spans="1:39" ht="18.75" customHeight="1" x14ac:dyDescent="0.35">
      <c r="A17" s="116">
        <v>2025</v>
      </c>
      <c r="B17" t="s">
        <v>107</v>
      </c>
      <c r="C17" t="s">
        <v>160</v>
      </c>
      <c r="D17" t="s">
        <v>23</v>
      </c>
      <c r="E17" t="s">
        <v>26</v>
      </c>
      <c r="F17" s="116">
        <v>1200</v>
      </c>
      <c r="G17" s="116">
        <v>1197</v>
      </c>
      <c r="I17" s="116">
        <v>914</v>
      </c>
      <c r="J17" s="116">
        <v>874</v>
      </c>
      <c r="K17" s="116">
        <v>1502</v>
      </c>
      <c r="L17" s="116">
        <v>258</v>
      </c>
      <c r="S17" s="116">
        <v>28</v>
      </c>
      <c r="T17" s="116">
        <v>2024</v>
      </c>
      <c r="U17" t="s">
        <v>72</v>
      </c>
      <c r="V17" t="s">
        <v>160</v>
      </c>
      <c r="W17" t="s">
        <v>23</v>
      </c>
      <c r="X17" t="s">
        <v>26</v>
      </c>
      <c r="Y17" s="116">
        <v>84</v>
      </c>
      <c r="Z17" s="116">
        <v>106</v>
      </c>
      <c r="AA17" s="116">
        <v>163</v>
      </c>
      <c r="AB17" s="116">
        <v>138</v>
      </c>
      <c r="AC17" s="116">
        <v>120</v>
      </c>
      <c r="AD17" s="116">
        <v>124</v>
      </c>
      <c r="AE17" s="116">
        <v>122</v>
      </c>
      <c r="AF17" s="116">
        <v>142</v>
      </c>
      <c r="AG17" s="116">
        <v>192</v>
      </c>
      <c r="AH17" s="116">
        <v>129</v>
      </c>
      <c r="AI17" s="116">
        <v>323</v>
      </c>
      <c r="AL17" s="117">
        <v>265.39253927142113</v>
      </c>
      <c r="AM17" s="117">
        <v>265</v>
      </c>
    </row>
    <row r="18" spans="1:39" ht="18.75" customHeight="1" x14ac:dyDescent="0.35">
      <c r="A18" s="116">
        <v>2025</v>
      </c>
      <c r="B18" t="s">
        <v>162</v>
      </c>
      <c r="C18" t="s">
        <v>160</v>
      </c>
      <c r="D18" t="s">
        <v>23</v>
      </c>
      <c r="E18" t="s">
        <v>26</v>
      </c>
      <c r="F18" s="116">
        <v>5</v>
      </c>
      <c r="G18" s="116">
        <v>5</v>
      </c>
      <c r="H18" s="116">
        <v>13</v>
      </c>
      <c r="I18" s="116">
        <v>6</v>
      </c>
      <c r="J18" s="116">
        <v>13</v>
      </c>
      <c r="K18" s="116">
        <v>8</v>
      </c>
      <c r="L18" s="116">
        <v>15</v>
      </c>
      <c r="S18" s="116">
        <v>31</v>
      </c>
      <c r="T18" s="116">
        <v>2024</v>
      </c>
      <c r="U18" t="s">
        <v>73</v>
      </c>
      <c r="V18" t="s">
        <v>160</v>
      </c>
      <c r="W18" t="s">
        <v>23</v>
      </c>
      <c r="X18" t="s">
        <v>26</v>
      </c>
      <c r="Y18" s="116">
        <v>37</v>
      </c>
      <c r="Z18" s="116">
        <v>62</v>
      </c>
      <c r="AA18" s="116">
        <v>74</v>
      </c>
      <c r="AB18" s="116">
        <v>84</v>
      </c>
      <c r="AC18" s="116">
        <v>92</v>
      </c>
      <c r="AD18" s="116">
        <v>80</v>
      </c>
      <c r="AE18" s="116">
        <v>75</v>
      </c>
      <c r="AF18" s="116">
        <v>83</v>
      </c>
      <c r="AG18" s="116">
        <v>64</v>
      </c>
      <c r="AH18" s="116">
        <v>77</v>
      </c>
      <c r="AI18" s="116">
        <v>154</v>
      </c>
      <c r="AL18" s="117">
        <v>1285.2895729537263</v>
      </c>
      <c r="AM18" s="117">
        <v>1285</v>
      </c>
    </row>
    <row r="19" spans="1:39" ht="18.75" customHeight="1" x14ac:dyDescent="0.35">
      <c r="A19" s="112" t="s">
        <v>163</v>
      </c>
      <c r="F19" s="118">
        <v>22327.906999999999</v>
      </c>
      <c r="G19" s="118">
        <v>2868.9186</v>
      </c>
      <c r="H19" s="118">
        <v>1278.9091000000001</v>
      </c>
      <c r="I19" s="118">
        <v>2295.8995</v>
      </c>
      <c r="J19" s="118">
        <v>2531.9018000000001</v>
      </c>
      <c r="K19" s="118">
        <v>2967.9041999999999</v>
      </c>
      <c r="L19" s="118">
        <v>8743.9030000000002</v>
      </c>
      <c r="M19" s="118">
        <v>5.8956999999999997</v>
      </c>
      <c r="N19" s="116">
        <v>4</v>
      </c>
      <c r="S19" s="116">
        <v>40</v>
      </c>
      <c r="T19" s="116">
        <v>2025</v>
      </c>
      <c r="U19" t="s">
        <v>130</v>
      </c>
      <c r="V19" t="s">
        <v>160</v>
      </c>
      <c r="W19" t="s">
        <v>23</v>
      </c>
      <c r="X19" t="s">
        <v>26</v>
      </c>
      <c r="Y19" s="116">
        <v>82</v>
      </c>
      <c r="Z19" s="116">
        <v>127</v>
      </c>
      <c r="AA19" s="116">
        <v>173</v>
      </c>
      <c r="AB19" s="116">
        <v>120</v>
      </c>
      <c r="AC19" s="116">
        <v>149</v>
      </c>
      <c r="AD19" s="116">
        <v>111</v>
      </c>
      <c r="AL19" s="117">
        <v>586.1047289939105</v>
      </c>
      <c r="AM19" s="117">
        <v>586</v>
      </c>
    </row>
    <row r="20" spans="1:39" ht="18.75" customHeight="1" x14ac:dyDescent="0.35">
      <c r="S20" s="116">
        <v>1237</v>
      </c>
      <c r="T20" s="116">
        <v>2024</v>
      </c>
      <c r="U20" t="s">
        <v>79</v>
      </c>
      <c r="V20" t="s">
        <v>160</v>
      </c>
      <c r="W20" t="s">
        <v>23</v>
      </c>
      <c r="X20" t="s">
        <v>26</v>
      </c>
      <c r="Y20" s="116">
        <v>1300</v>
      </c>
      <c r="Z20" s="116">
        <v>1319</v>
      </c>
      <c r="AA20" s="116">
        <v>1329</v>
      </c>
      <c r="AB20" s="116">
        <v>1331</v>
      </c>
      <c r="AL20" s="117">
        <v>346.38628170657404</v>
      </c>
      <c r="AM20" s="117">
        <v>346</v>
      </c>
    </row>
    <row r="21" spans="1:39" ht="18.75" customHeight="1" x14ac:dyDescent="0.35">
      <c r="S21" s="116">
        <v>1283</v>
      </c>
      <c r="T21" s="116">
        <v>2025</v>
      </c>
      <c r="U21" t="s">
        <v>79</v>
      </c>
      <c r="V21" t="s">
        <v>160</v>
      </c>
      <c r="W21" t="s">
        <v>23</v>
      </c>
      <c r="X21" t="s">
        <v>26</v>
      </c>
      <c r="Y21" s="116">
        <v>1290</v>
      </c>
      <c r="Z21" s="116">
        <v>1295</v>
      </c>
      <c r="AA21" s="116">
        <v>1311</v>
      </c>
      <c r="AB21" s="116">
        <v>1321</v>
      </c>
      <c r="AC21" s="116">
        <v>1327</v>
      </c>
      <c r="AD21" s="116">
        <v>1329</v>
      </c>
      <c r="AL21" s="117">
        <v>75.795130393538372</v>
      </c>
      <c r="AM21" s="117">
        <v>76</v>
      </c>
    </row>
    <row r="22" spans="1:39" ht="18.75" customHeight="1" x14ac:dyDescent="0.35">
      <c r="S22" s="116">
        <v>1599</v>
      </c>
      <c r="T22" s="116">
        <v>2025</v>
      </c>
      <c r="U22" t="s">
        <v>71</v>
      </c>
      <c r="V22" t="s">
        <v>160</v>
      </c>
      <c r="W22" t="s">
        <v>23</v>
      </c>
      <c r="X22" t="s">
        <v>26</v>
      </c>
      <c r="Y22" s="116">
        <v>1479</v>
      </c>
      <c r="Z22" s="116">
        <v>1662</v>
      </c>
      <c r="AA22" s="116">
        <v>1108</v>
      </c>
      <c r="AB22" s="116">
        <v>795</v>
      </c>
      <c r="AC22" s="116">
        <v>699</v>
      </c>
      <c r="AD22" s="116">
        <v>395</v>
      </c>
      <c r="AL22" s="117">
        <v>130</v>
      </c>
      <c r="AM22" s="117">
        <v>130</v>
      </c>
    </row>
    <row r="23" spans="1:39" ht="18.75" customHeight="1" x14ac:dyDescent="0.35">
      <c r="S23" s="116">
        <v>1604</v>
      </c>
      <c r="T23" s="116">
        <v>2024</v>
      </c>
      <c r="U23" t="s">
        <v>71</v>
      </c>
      <c r="V23" t="s">
        <v>160</v>
      </c>
      <c r="W23" t="s">
        <v>23</v>
      </c>
      <c r="X23" t="s">
        <v>26</v>
      </c>
      <c r="Y23" s="116">
        <v>1830</v>
      </c>
      <c r="Z23" s="116">
        <v>2210</v>
      </c>
      <c r="AA23" s="116">
        <v>1888</v>
      </c>
      <c r="AB23" s="116">
        <v>1889</v>
      </c>
      <c r="AC23" s="116">
        <v>1858</v>
      </c>
      <c r="AD23" s="116">
        <v>1918</v>
      </c>
      <c r="AE23" s="116">
        <v>1839</v>
      </c>
      <c r="AF23" s="116">
        <v>1946</v>
      </c>
      <c r="AG23" s="116">
        <v>1675</v>
      </c>
      <c r="AH23" s="116">
        <v>1473</v>
      </c>
      <c r="AI23" s="116">
        <v>1520</v>
      </c>
      <c r="AL23" s="117">
        <v>97</v>
      </c>
      <c r="AM23" s="117">
        <v>97</v>
      </c>
    </row>
    <row r="24" spans="1:39" ht="18.75" customHeight="1" x14ac:dyDescent="0.35">
      <c r="S24" s="116">
        <v>3203</v>
      </c>
      <c r="T24" s="116">
        <v>2024</v>
      </c>
      <c r="U24" t="s">
        <v>70</v>
      </c>
      <c r="V24" t="s">
        <v>160</v>
      </c>
      <c r="W24" t="s">
        <v>23</v>
      </c>
      <c r="X24" t="s">
        <v>26</v>
      </c>
      <c r="Y24" s="116">
        <v>6413</v>
      </c>
      <c r="Z24" s="116">
        <v>6745</v>
      </c>
      <c r="AA24" s="116">
        <v>6779</v>
      </c>
      <c r="AB24" s="116">
        <v>7082</v>
      </c>
      <c r="AC24" s="116">
        <v>7413</v>
      </c>
      <c r="AD24" s="116">
        <v>8176</v>
      </c>
      <c r="AE24" s="116">
        <v>7362</v>
      </c>
      <c r="AF24" s="116">
        <v>7562</v>
      </c>
      <c r="AG24" s="116">
        <v>9368</v>
      </c>
      <c r="AH24" s="116">
        <v>9542</v>
      </c>
      <c r="AI24" s="116">
        <v>8375</v>
      </c>
    </row>
    <row r="25" spans="1:39" ht="18.75" customHeight="1" x14ac:dyDescent="0.35">
      <c r="S25" s="116">
        <v>7256</v>
      </c>
      <c r="T25" s="116">
        <v>2025</v>
      </c>
      <c r="U25" t="s">
        <v>70</v>
      </c>
      <c r="V25" t="s">
        <v>160</v>
      </c>
      <c r="W25" t="s">
        <v>23</v>
      </c>
      <c r="X25" t="s">
        <v>26</v>
      </c>
      <c r="Y25" s="116">
        <v>8036</v>
      </c>
      <c r="Z25" s="116">
        <v>8043</v>
      </c>
      <c r="AA25" s="116">
        <v>8269</v>
      </c>
      <c r="AB25" s="116">
        <v>9283</v>
      </c>
      <c r="AC25" s="116">
        <v>9663</v>
      </c>
      <c r="AD25" s="116">
        <v>11346</v>
      </c>
    </row>
    <row r="26" spans="1:39" ht="18.75" customHeight="1" x14ac:dyDescent="0.35">
      <c r="S26" s="112" t="s">
        <v>160</v>
      </c>
      <c r="T26" s="116">
        <v>2024</v>
      </c>
      <c r="U26" t="s">
        <v>74</v>
      </c>
      <c r="V26" t="s">
        <v>160</v>
      </c>
      <c r="W26" t="s">
        <v>20</v>
      </c>
      <c r="X26" t="s">
        <v>21</v>
      </c>
      <c r="AB26" s="116">
        <v>2625812</v>
      </c>
    </row>
    <row r="27" spans="1:39" ht="18.75" customHeight="1" x14ac:dyDescent="0.35">
      <c r="S27" s="112" t="s">
        <v>160</v>
      </c>
      <c r="T27" s="116">
        <v>2024</v>
      </c>
      <c r="U27" t="s">
        <v>77</v>
      </c>
      <c r="V27" t="s">
        <v>160</v>
      </c>
      <c r="W27" t="s">
        <v>23</v>
      </c>
      <c r="X27" t="s">
        <v>26</v>
      </c>
      <c r="Y27" s="116">
        <v>1</v>
      </c>
    </row>
    <row r="28" spans="1:39" ht="18.75" customHeight="1" x14ac:dyDescent="0.35">
      <c r="S28" s="112" t="s">
        <v>160</v>
      </c>
      <c r="T28" s="116">
        <v>2024</v>
      </c>
      <c r="U28" t="s">
        <v>78</v>
      </c>
      <c r="V28" t="s">
        <v>160</v>
      </c>
      <c r="W28" t="s">
        <v>20</v>
      </c>
      <c r="X28" t="s">
        <v>21</v>
      </c>
      <c r="AG28" s="116">
        <v>216542249</v>
      </c>
    </row>
    <row r="29" spans="1:39" ht="18.75" customHeight="1" x14ac:dyDescent="0.35">
      <c r="S29" s="112" t="s">
        <v>160</v>
      </c>
      <c r="T29" s="116">
        <v>2025</v>
      </c>
      <c r="U29" t="s">
        <v>136</v>
      </c>
      <c r="V29" t="s">
        <v>160</v>
      </c>
      <c r="W29" t="s">
        <v>23</v>
      </c>
      <c r="X29" t="s">
        <v>35</v>
      </c>
      <c r="Z29" s="118">
        <v>0.72</v>
      </c>
      <c r="AA29" s="118">
        <v>0.75</v>
      </c>
      <c r="AB29" s="118">
        <v>0.84</v>
      </c>
      <c r="AC29" s="118">
        <v>0.93</v>
      </c>
      <c r="AD29" s="118">
        <v>0.95</v>
      </c>
    </row>
    <row r="30" spans="1:39" ht="18.75" customHeight="1" x14ac:dyDescent="0.35">
      <c r="S30" s="112" t="s">
        <v>163</v>
      </c>
      <c r="Y30" s="118">
        <v>16854766.878969956</v>
      </c>
      <c r="Z30" s="118">
        <v>389164760.50529957</v>
      </c>
      <c r="AA30" s="118">
        <v>43049646.570897423</v>
      </c>
      <c r="AB30" s="118">
        <v>120028350.71620642</v>
      </c>
      <c r="AC30" s="118">
        <v>115555601.50429431</v>
      </c>
      <c r="AD30" s="118">
        <v>116037025.57078201</v>
      </c>
      <c r="AE30" s="118">
        <v>9398.6783901377803</v>
      </c>
      <c r="AF30" s="118">
        <v>9733.8765215355816</v>
      </c>
      <c r="AG30" s="118">
        <v>216553548.67580613</v>
      </c>
      <c r="AH30" s="118">
        <v>11221.751672940192</v>
      </c>
      <c r="AI30" s="116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bestFit="1" customWidth="1"/>
    <col min="2" max="2" width="4.81640625" style="110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style="111" bestFit="1" customWidth="1"/>
    <col min="7" max="10" width="12" style="110" bestFit="1" customWidth="1"/>
    <col min="11" max="11" width="13" style="110" bestFit="1" customWidth="1"/>
    <col min="12" max="12" width="12" style="110" bestFit="1" customWidth="1"/>
    <col min="13" max="13" width="14.453125" style="110" bestFit="1" customWidth="1"/>
    <col min="14" max="14" width="12.81640625" style="112" bestFit="1" customWidth="1"/>
    <col min="15" max="15" width="12" style="112" bestFit="1" customWidth="1"/>
    <col min="16" max="16" width="15.453125" style="112" bestFit="1" customWidth="1"/>
    <col min="17" max="17" width="12" style="112" bestFit="1" customWidth="1"/>
    <col min="18" max="18" width="12.81640625" style="112" bestFit="1" customWidth="1"/>
  </cols>
  <sheetData>
    <row r="1" spans="1:18" ht="18.75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t="18.75" hidden="1" customHeight="1" x14ac:dyDescent="0.35">
      <c r="A2" s="4" t="s">
        <v>18</v>
      </c>
      <c r="B2" s="5">
        <v>2024</v>
      </c>
      <c r="C2" s="6" t="s">
        <v>19</v>
      </c>
      <c r="D2" s="6"/>
      <c r="E2" s="6" t="s">
        <v>20</v>
      </c>
      <c r="F2" s="7" t="s">
        <v>21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18</v>
      </c>
      <c r="B3" s="13">
        <v>2024</v>
      </c>
      <c r="C3" s="14" t="s">
        <v>22</v>
      </c>
      <c r="D3" s="14"/>
      <c r="E3" s="14" t="s">
        <v>23</v>
      </c>
      <c r="F3" s="15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18</v>
      </c>
      <c r="B4" s="5">
        <v>2024</v>
      </c>
      <c r="C4" s="6" t="s">
        <v>25</v>
      </c>
      <c r="D4" s="6"/>
      <c r="E4" s="6" t="s">
        <v>23</v>
      </c>
      <c r="F4" s="7" t="s">
        <v>26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18</v>
      </c>
      <c r="B5" s="13">
        <v>2024</v>
      </c>
      <c r="C5" s="14" t="s">
        <v>27</v>
      </c>
      <c r="D5" s="14"/>
      <c r="E5" s="14" t="s">
        <v>20</v>
      </c>
      <c r="F5" s="15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18</v>
      </c>
      <c r="B6" s="5">
        <v>2024</v>
      </c>
      <c r="C6" s="6" t="s">
        <v>28</v>
      </c>
      <c r="D6" s="6"/>
      <c r="E6" s="6" t="s">
        <v>20</v>
      </c>
      <c r="F6" s="7" t="s">
        <v>21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18</v>
      </c>
      <c r="B7" s="13">
        <v>2024</v>
      </c>
      <c r="C7" s="14" t="s">
        <v>29</v>
      </c>
      <c r="D7" s="14"/>
      <c r="E7" s="14" t="s">
        <v>20</v>
      </c>
      <c r="F7" s="15" t="s">
        <v>21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18</v>
      </c>
      <c r="B8" s="5">
        <v>2024</v>
      </c>
      <c r="C8" s="6" t="s">
        <v>30</v>
      </c>
      <c r="D8" s="6"/>
      <c r="E8" s="6" t="s">
        <v>20</v>
      </c>
      <c r="F8" s="7" t="s">
        <v>21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18</v>
      </c>
      <c r="B9" s="13">
        <v>2024</v>
      </c>
      <c r="C9" s="14" t="s">
        <v>31</v>
      </c>
      <c r="D9" s="14"/>
      <c r="E9" s="14" t="s">
        <v>23</v>
      </c>
      <c r="F9" s="15" t="s">
        <v>26</v>
      </c>
      <c r="G9" s="13">
        <v>775</v>
      </c>
      <c r="H9" s="19">
        <v>557</v>
      </c>
      <c r="I9" s="19">
        <v>735</v>
      </c>
      <c r="J9" s="19">
        <v>1099</v>
      </c>
      <c r="K9" s="19">
        <v>1088</v>
      </c>
      <c r="L9" s="19">
        <v>759</v>
      </c>
      <c r="M9" s="19">
        <v>1150</v>
      </c>
      <c r="N9" s="19">
        <v>1016</v>
      </c>
      <c r="O9" s="19">
        <v>835</v>
      </c>
      <c r="P9" s="19">
        <v>2035</v>
      </c>
      <c r="Q9" s="19">
        <v>1368</v>
      </c>
      <c r="R9" s="19">
        <v>951</v>
      </c>
    </row>
    <row r="10" spans="1:18" ht="18.75" hidden="1" customHeight="1" x14ac:dyDescent="0.35">
      <c r="A10" s="4" t="s">
        <v>18</v>
      </c>
      <c r="B10" s="5">
        <v>2024</v>
      </c>
      <c r="C10" s="6" t="s">
        <v>32</v>
      </c>
      <c r="D10" s="6"/>
      <c r="E10" s="6" t="s">
        <v>23</v>
      </c>
      <c r="F10" s="7" t="s">
        <v>26</v>
      </c>
      <c r="G10" s="11">
        <v>531</v>
      </c>
      <c r="H10" s="5">
        <v>286</v>
      </c>
      <c r="I10" s="11">
        <v>402</v>
      </c>
      <c r="J10" s="20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18</v>
      </c>
      <c r="B11" s="13">
        <v>2024</v>
      </c>
      <c r="C11" s="14" t="s">
        <v>33</v>
      </c>
      <c r="D11" s="14"/>
      <c r="E11" s="14" t="s">
        <v>23</v>
      </c>
      <c r="F11" s="15" t="s">
        <v>26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21" t="s">
        <v>18</v>
      </c>
      <c r="B12" s="5">
        <v>2024</v>
      </c>
      <c r="C12" s="22" t="s">
        <v>34</v>
      </c>
      <c r="D12" s="22"/>
      <c r="E12" s="22" t="s">
        <v>23</v>
      </c>
      <c r="F12" s="23" t="s">
        <v>35</v>
      </c>
      <c r="G12" s="24">
        <f t="shared" ref="G12:R12" si="1">G10/G9</f>
        <v>0.68516129032258066</v>
      </c>
      <c r="H12" s="24">
        <f t="shared" si="1"/>
        <v>0.51346499102333931</v>
      </c>
      <c r="I12" s="24">
        <f t="shared" si="1"/>
        <v>0.54693877551020409</v>
      </c>
      <c r="J12" s="24">
        <f t="shared" si="1"/>
        <v>0.85077343039126474</v>
      </c>
      <c r="K12" s="24">
        <f t="shared" si="1"/>
        <v>0.80882352941176472</v>
      </c>
      <c r="L12" s="24">
        <f t="shared" si="1"/>
        <v>0.90909090909090906</v>
      </c>
      <c r="M12" s="24">
        <f t="shared" si="1"/>
        <v>0.80956521739130438</v>
      </c>
      <c r="N12" s="24">
        <f t="shared" si="1"/>
        <v>0.702755905511811</v>
      </c>
      <c r="O12" s="24">
        <f t="shared" si="1"/>
        <v>0.72335329341317367</v>
      </c>
      <c r="P12" s="24">
        <f t="shared" si="1"/>
        <v>0.88648648648648654</v>
      </c>
      <c r="Q12" s="24">
        <f t="shared" si="1"/>
        <v>0.92324561403508776</v>
      </c>
      <c r="R12" s="24">
        <f t="shared" si="1"/>
        <v>0.91062039957939012</v>
      </c>
    </row>
    <row r="13" spans="1:18" ht="18.75" hidden="1" customHeight="1" x14ac:dyDescent="0.35">
      <c r="A13" s="25" t="s">
        <v>36</v>
      </c>
      <c r="B13" s="13">
        <v>2024</v>
      </c>
      <c r="C13" s="26" t="s">
        <v>37</v>
      </c>
      <c r="D13" s="26"/>
      <c r="E13" s="26" t="s">
        <v>23</v>
      </c>
      <c r="F13" s="27" t="s">
        <v>35</v>
      </c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1:18" ht="18.75" hidden="1" customHeight="1" x14ac:dyDescent="0.35">
      <c r="A14" s="21" t="s">
        <v>18</v>
      </c>
      <c r="B14" s="5">
        <v>2024</v>
      </c>
      <c r="C14" s="29" t="s">
        <v>38</v>
      </c>
      <c r="D14" s="22"/>
      <c r="E14" s="22" t="s">
        <v>23</v>
      </c>
      <c r="F14" s="23" t="s">
        <v>26</v>
      </c>
      <c r="G14" s="30">
        <v>1077</v>
      </c>
      <c r="H14" s="31">
        <v>1007</v>
      </c>
      <c r="I14" s="31">
        <v>1073</v>
      </c>
      <c r="J14" s="31">
        <v>1197</v>
      </c>
      <c r="K14" s="31">
        <v>1116</v>
      </c>
      <c r="L14" s="31">
        <v>1061</v>
      </c>
      <c r="M14" s="31">
        <v>1111</v>
      </c>
      <c r="N14" s="31">
        <v>1033</v>
      </c>
      <c r="O14" s="31">
        <v>1069</v>
      </c>
      <c r="P14" s="31">
        <v>1074</v>
      </c>
      <c r="Q14" s="31">
        <v>1071</v>
      </c>
      <c r="R14" s="31">
        <v>1109</v>
      </c>
    </row>
    <row r="15" spans="1:18" ht="18.75" hidden="1" customHeight="1" x14ac:dyDescent="0.35">
      <c r="A15" s="21" t="s">
        <v>18</v>
      </c>
      <c r="B15" s="13">
        <v>2024</v>
      </c>
      <c r="C15" s="14" t="s">
        <v>39</v>
      </c>
      <c r="D15" s="22"/>
      <c r="E15" s="22" t="s">
        <v>23</v>
      </c>
      <c r="F15" s="23" t="s">
        <v>26</v>
      </c>
      <c r="G15" s="32"/>
      <c r="H15" s="33"/>
      <c r="I15" s="33"/>
      <c r="J15" s="31">
        <v>1</v>
      </c>
      <c r="K15" s="33"/>
      <c r="L15" s="33"/>
      <c r="M15" s="33"/>
      <c r="N15" s="33"/>
      <c r="O15" s="34">
        <v>3</v>
      </c>
      <c r="P15" s="31">
        <v>1</v>
      </c>
      <c r="Q15" s="31">
        <v>4</v>
      </c>
      <c r="R15" s="33"/>
    </row>
    <row r="16" spans="1:18" ht="18.75" hidden="1" customHeight="1" x14ac:dyDescent="0.35">
      <c r="A16" s="21" t="s">
        <v>18</v>
      </c>
      <c r="B16" s="5">
        <v>2024</v>
      </c>
      <c r="C16" s="29" t="s">
        <v>40</v>
      </c>
      <c r="D16" s="22"/>
      <c r="E16" s="22" t="s">
        <v>23</v>
      </c>
      <c r="F16" s="23" t="s">
        <v>26</v>
      </c>
      <c r="G16" s="32"/>
      <c r="H16" s="33"/>
      <c r="I16" s="33"/>
      <c r="J16" s="33"/>
      <c r="K16" s="33"/>
      <c r="L16" s="33"/>
      <c r="M16" s="33"/>
      <c r="N16" s="33"/>
      <c r="O16" s="33"/>
      <c r="P16" s="33"/>
      <c r="Q16" s="31">
        <v>373</v>
      </c>
      <c r="R16" s="31">
        <v>7</v>
      </c>
    </row>
    <row r="17" spans="1:18" ht="18.75" hidden="1" customHeight="1" x14ac:dyDescent="0.35">
      <c r="A17" s="12" t="s">
        <v>18</v>
      </c>
      <c r="B17" s="13">
        <v>2024</v>
      </c>
      <c r="C17" s="35" t="s">
        <v>41</v>
      </c>
      <c r="D17" s="36" t="s">
        <v>42</v>
      </c>
      <c r="E17" s="35" t="s">
        <v>23</v>
      </c>
      <c r="F17" s="15" t="s">
        <v>26</v>
      </c>
      <c r="G17" s="19">
        <v>507</v>
      </c>
      <c r="H17" s="19">
        <v>622</v>
      </c>
      <c r="I17" s="19">
        <v>660</v>
      </c>
      <c r="J17" s="19">
        <v>992</v>
      </c>
      <c r="K17" s="19">
        <v>616</v>
      </c>
      <c r="L17" s="19">
        <v>720</v>
      </c>
      <c r="M17" s="19">
        <v>619</v>
      </c>
      <c r="N17" s="19">
        <v>577</v>
      </c>
      <c r="O17" s="19">
        <v>640</v>
      </c>
      <c r="P17" s="19">
        <v>470</v>
      </c>
      <c r="Q17" s="19">
        <v>473</v>
      </c>
      <c r="R17" s="19">
        <v>1702</v>
      </c>
    </row>
    <row r="18" spans="1:18" ht="18.75" hidden="1" customHeight="1" x14ac:dyDescent="0.35">
      <c r="A18" s="4" t="s">
        <v>18</v>
      </c>
      <c r="B18" s="5">
        <v>2024</v>
      </c>
      <c r="C18" s="37" t="s">
        <v>41</v>
      </c>
      <c r="D18" s="38" t="s">
        <v>43</v>
      </c>
      <c r="E18" s="37" t="s">
        <v>23</v>
      </c>
      <c r="F18" s="7" t="s">
        <v>26</v>
      </c>
      <c r="G18" s="20">
        <v>9</v>
      </c>
      <c r="H18" s="20">
        <v>950</v>
      </c>
      <c r="I18" s="20">
        <v>1001</v>
      </c>
      <c r="J18" s="20">
        <v>2813</v>
      </c>
      <c r="K18" s="20">
        <v>1084</v>
      </c>
      <c r="L18" s="20">
        <v>1012</v>
      </c>
      <c r="M18" s="20">
        <v>963</v>
      </c>
      <c r="N18" s="20">
        <v>961</v>
      </c>
      <c r="O18" s="20">
        <v>1009</v>
      </c>
      <c r="P18" s="20">
        <v>1227</v>
      </c>
      <c r="Q18" s="20">
        <v>845</v>
      </c>
      <c r="R18" s="20">
        <v>2336</v>
      </c>
    </row>
    <row r="19" spans="1:18" ht="18.75" hidden="1" customHeight="1" x14ac:dyDescent="0.35">
      <c r="A19" s="12" t="s">
        <v>18</v>
      </c>
      <c r="B19" s="13">
        <v>2024</v>
      </c>
      <c r="C19" s="35" t="s">
        <v>41</v>
      </c>
      <c r="D19" s="36" t="s">
        <v>44</v>
      </c>
      <c r="E19" s="35" t="s">
        <v>23</v>
      </c>
      <c r="F19" s="15" t="s">
        <v>26</v>
      </c>
      <c r="G19" s="19">
        <v>869</v>
      </c>
      <c r="H19" s="19">
        <v>765</v>
      </c>
      <c r="I19" s="19">
        <v>937</v>
      </c>
      <c r="J19" s="19">
        <v>1335</v>
      </c>
      <c r="K19" s="19">
        <v>824</v>
      </c>
      <c r="L19" s="19">
        <v>800</v>
      </c>
      <c r="M19" s="19">
        <v>941</v>
      </c>
      <c r="N19" s="19">
        <v>996</v>
      </c>
      <c r="O19" s="19">
        <v>1020</v>
      </c>
      <c r="P19" s="19">
        <v>1220</v>
      </c>
      <c r="Q19" s="19">
        <v>876</v>
      </c>
      <c r="R19" s="19">
        <v>1102</v>
      </c>
    </row>
    <row r="20" spans="1:18" ht="18.75" hidden="1" customHeight="1" x14ac:dyDescent="0.35">
      <c r="A20" s="4" t="s">
        <v>18</v>
      </c>
      <c r="B20" s="5">
        <v>2024</v>
      </c>
      <c r="C20" s="37" t="s">
        <v>41</v>
      </c>
      <c r="D20" s="38" t="s">
        <v>45</v>
      </c>
      <c r="E20" s="37" t="s">
        <v>23</v>
      </c>
      <c r="F20" s="7" t="s">
        <v>26</v>
      </c>
      <c r="G20" s="20">
        <v>518</v>
      </c>
      <c r="H20" s="20">
        <v>758</v>
      </c>
      <c r="I20" s="20">
        <v>569</v>
      </c>
      <c r="J20" s="20">
        <v>1011</v>
      </c>
      <c r="K20" s="20">
        <v>843</v>
      </c>
      <c r="L20" s="20">
        <v>789</v>
      </c>
      <c r="M20" s="20">
        <v>781</v>
      </c>
      <c r="N20" s="20">
        <v>827</v>
      </c>
      <c r="O20" s="20">
        <v>811</v>
      </c>
      <c r="P20" s="20">
        <v>680</v>
      </c>
      <c r="Q20" s="20">
        <v>550</v>
      </c>
      <c r="R20" s="20">
        <v>423</v>
      </c>
    </row>
    <row r="21" spans="1:18" ht="18.75" hidden="1" customHeight="1" x14ac:dyDescent="0.35">
      <c r="A21" s="12" t="s">
        <v>18</v>
      </c>
      <c r="B21" s="13">
        <v>2024</v>
      </c>
      <c r="C21" s="35" t="s">
        <v>41</v>
      </c>
      <c r="D21" s="36" t="s">
        <v>46</v>
      </c>
      <c r="E21" s="35" t="s">
        <v>23</v>
      </c>
      <c r="F21" s="15" t="s">
        <v>26</v>
      </c>
      <c r="G21" s="19">
        <v>4</v>
      </c>
      <c r="H21" s="19">
        <v>647</v>
      </c>
      <c r="I21" s="19">
        <v>0</v>
      </c>
      <c r="J21" s="19">
        <v>0</v>
      </c>
      <c r="K21" s="19">
        <v>240</v>
      </c>
      <c r="L21" s="19">
        <v>39</v>
      </c>
      <c r="M21" s="19">
        <v>1024</v>
      </c>
      <c r="N21" s="19">
        <v>702</v>
      </c>
      <c r="O21" s="19">
        <v>135</v>
      </c>
      <c r="P21" s="19">
        <v>231</v>
      </c>
      <c r="Q21" s="19">
        <v>0</v>
      </c>
      <c r="R21" s="19">
        <v>73</v>
      </c>
    </row>
    <row r="22" spans="1:18" ht="18.75" hidden="1" customHeight="1" x14ac:dyDescent="0.35">
      <c r="A22" s="4" t="s">
        <v>18</v>
      </c>
      <c r="B22" s="5">
        <v>2024</v>
      </c>
      <c r="C22" s="37" t="s">
        <v>41</v>
      </c>
      <c r="D22" s="38" t="s">
        <v>47</v>
      </c>
      <c r="E22" s="37" t="s">
        <v>23</v>
      </c>
      <c r="F22" s="7" t="s">
        <v>26</v>
      </c>
      <c r="G22" s="20">
        <v>0</v>
      </c>
      <c r="H22" s="20">
        <v>31</v>
      </c>
      <c r="I22" s="20">
        <v>0</v>
      </c>
      <c r="J22" s="20">
        <v>63</v>
      </c>
      <c r="K22" s="20">
        <v>34</v>
      </c>
      <c r="L22" s="20">
        <v>37</v>
      </c>
      <c r="M22" s="20">
        <v>29</v>
      </c>
      <c r="N22" s="20">
        <v>29</v>
      </c>
      <c r="O22" s="20">
        <v>38</v>
      </c>
      <c r="P22" s="20">
        <v>45</v>
      </c>
      <c r="Q22" s="20">
        <v>34</v>
      </c>
      <c r="R22" s="20">
        <v>66</v>
      </c>
    </row>
    <row r="23" spans="1:18" ht="18.75" hidden="1" customHeight="1" x14ac:dyDescent="0.35">
      <c r="A23" s="12" t="s">
        <v>18</v>
      </c>
      <c r="B23" s="13">
        <v>2024</v>
      </c>
      <c r="C23" s="35" t="s">
        <v>41</v>
      </c>
      <c r="D23" s="36" t="s">
        <v>48</v>
      </c>
      <c r="E23" s="35" t="s">
        <v>23</v>
      </c>
      <c r="F23" s="15" t="s">
        <v>26</v>
      </c>
      <c r="G23" s="19">
        <v>0</v>
      </c>
      <c r="H23" s="19">
        <v>1018</v>
      </c>
      <c r="I23" s="19">
        <v>1588</v>
      </c>
      <c r="J23" s="19">
        <v>0</v>
      </c>
      <c r="K23" s="19">
        <v>2032</v>
      </c>
      <c r="L23" s="19">
        <v>2198</v>
      </c>
      <c r="M23" s="19">
        <v>1735</v>
      </c>
      <c r="N23" s="19">
        <v>1337</v>
      </c>
      <c r="O23" s="19">
        <v>2186</v>
      </c>
      <c r="P23" s="19">
        <v>2512</v>
      </c>
      <c r="Q23" s="19">
        <v>2.3380000000000001</v>
      </c>
      <c r="R23" s="19">
        <v>640</v>
      </c>
    </row>
    <row r="24" spans="1:18" ht="18.75" hidden="1" customHeight="1" x14ac:dyDescent="0.35">
      <c r="A24" s="4" t="s">
        <v>18</v>
      </c>
      <c r="B24" s="5">
        <v>2024</v>
      </c>
      <c r="C24" s="37" t="s">
        <v>41</v>
      </c>
      <c r="D24" s="38" t="s">
        <v>49</v>
      </c>
      <c r="E24" s="37" t="s">
        <v>23</v>
      </c>
      <c r="F24" s="7" t="s">
        <v>26</v>
      </c>
      <c r="G24" s="20">
        <v>769</v>
      </c>
      <c r="H24" s="20">
        <v>802</v>
      </c>
      <c r="I24" s="20">
        <v>805</v>
      </c>
      <c r="J24" s="20">
        <v>1222</v>
      </c>
      <c r="K24" s="20">
        <v>836</v>
      </c>
      <c r="L24" s="20">
        <v>980</v>
      </c>
      <c r="M24" s="20">
        <v>1554</v>
      </c>
      <c r="N24" s="20">
        <v>861</v>
      </c>
      <c r="O24" s="20">
        <v>853</v>
      </c>
      <c r="P24" s="20">
        <v>1103</v>
      </c>
      <c r="Q24" s="20">
        <v>1.353</v>
      </c>
      <c r="R24" s="20">
        <v>612</v>
      </c>
    </row>
    <row r="25" spans="1:18" ht="18.75" hidden="1" customHeight="1" x14ac:dyDescent="0.35">
      <c r="A25" s="12" t="s">
        <v>18</v>
      </c>
      <c r="B25" s="13">
        <v>2024</v>
      </c>
      <c r="C25" s="35" t="s">
        <v>41</v>
      </c>
      <c r="D25" s="36" t="s">
        <v>50</v>
      </c>
      <c r="E25" s="35" t="s">
        <v>23</v>
      </c>
      <c r="F25" s="15" t="s">
        <v>26</v>
      </c>
      <c r="G25" s="19">
        <v>1075</v>
      </c>
      <c r="H25" s="19">
        <v>1121</v>
      </c>
      <c r="I25" s="19">
        <v>1022</v>
      </c>
      <c r="J25" s="19">
        <v>1567</v>
      </c>
      <c r="K25" s="19">
        <v>1081</v>
      </c>
      <c r="L25" s="19">
        <v>1180</v>
      </c>
      <c r="M25" s="19">
        <v>1051</v>
      </c>
      <c r="N25" s="19">
        <v>1098</v>
      </c>
      <c r="O25" s="19">
        <v>980</v>
      </c>
      <c r="P25" s="19">
        <v>1532</v>
      </c>
      <c r="Q25" s="19">
        <v>1.58</v>
      </c>
      <c r="R25" s="19">
        <v>1515</v>
      </c>
    </row>
    <row r="26" spans="1:18" ht="18.75" hidden="1" customHeight="1" x14ac:dyDescent="0.35">
      <c r="A26" s="4" t="s">
        <v>18</v>
      </c>
      <c r="B26" s="5">
        <v>2024</v>
      </c>
      <c r="C26" s="37" t="s">
        <v>41</v>
      </c>
      <c r="D26" s="38" t="s">
        <v>51</v>
      </c>
      <c r="E26" s="37" t="s">
        <v>23</v>
      </c>
      <c r="F26" s="7" t="s">
        <v>26</v>
      </c>
      <c r="G26" s="20">
        <v>769</v>
      </c>
      <c r="H26" s="20">
        <v>894</v>
      </c>
      <c r="I26" s="20">
        <v>2233</v>
      </c>
      <c r="J26" s="20">
        <v>30</v>
      </c>
      <c r="K26" s="20">
        <v>1045</v>
      </c>
      <c r="L26" s="20">
        <v>1125</v>
      </c>
      <c r="M26" s="20">
        <v>992</v>
      </c>
      <c r="N26" s="20">
        <v>1045</v>
      </c>
      <c r="O26" s="20">
        <v>1058</v>
      </c>
      <c r="P26" s="20">
        <v>998</v>
      </c>
      <c r="Q26" s="20">
        <v>792</v>
      </c>
      <c r="R26" s="20">
        <v>723</v>
      </c>
    </row>
    <row r="27" spans="1:18" ht="18.75" hidden="1" customHeight="1" x14ac:dyDescent="0.35">
      <c r="A27" s="12" t="s">
        <v>18</v>
      </c>
      <c r="B27" s="13">
        <v>2024</v>
      </c>
      <c r="C27" s="35" t="s">
        <v>41</v>
      </c>
      <c r="D27" s="36" t="s">
        <v>52</v>
      </c>
      <c r="E27" s="35" t="s">
        <v>23</v>
      </c>
      <c r="F27" s="15" t="s">
        <v>26</v>
      </c>
      <c r="G27" s="19">
        <v>409</v>
      </c>
      <c r="H27" s="19">
        <v>477</v>
      </c>
      <c r="I27" s="19">
        <v>472</v>
      </c>
      <c r="J27" s="19">
        <v>655</v>
      </c>
      <c r="K27" s="19">
        <v>487</v>
      </c>
      <c r="L27" s="19">
        <v>477</v>
      </c>
      <c r="M27" s="19">
        <v>623</v>
      </c>
      <c r="N27" s="19">
        <v>486</v>
      </c>
      <c r="O27" s="19">
        <v>519</v>
      </c>
      <c r="P27" s="19">
        <v>637</v>
      </c>
      <c r="Q27" s="19">
        <v>557</v>
      </c>
      <c r="R27" s="19">
        <v>459</v>
      </c>
    </row>
    <row r="28" spans="1:18" ht="18.75" hidden="1" customHeight="1" x14ac:dyDescent="0.35">
      <c r="A28" s="4" t="s">
        <v>18</v>
      </c>
      <c r="B28" s="5">
        <v>2024</v>
      </c>
      <c r="C28" s="37" t="s">
        <v>41</v>
      </c>
      <c r="D28" s="38" t="s">
        <v>53</v>
      </c>
      <c r="E28" s="37" t="s">
        <v>23</v>
      </c>
      <c r="F28" s="7" t="s">
        <v>26</v>
      </c>
      <c r="G28" s="20">
        <v>89</v>
      </c>
      <c r="H28" s="20">
        <v>359</v>
      </c>
      <c r="I28" s="20">
        <v>493</v>
      </c>
      <c r="J28" s="20">
        <v>185</v>
      </c>
      <c r="K28" s="20">
        <v>281</v>
      </c>
      <c r="L28" s="20">
        <v>298</v>
      </c>
      <c r="M28" s="20">
        <v>224</v>
      </c>
      <c r="N28" s="20">
        <v>239</v>
      </c>
      <c r="O28" s="20">
        <v>241</v>
      </c>
      <c r="P28" s="20">
        <v>378</v>
      </c>
      <c r="Q28" s="20">
        <v>1.609</v>
      </c>
      <c r="R28" s="20">
        <v>229</v>
      </c>
    </row>
    <row r="29" spans="1:18" ht="18.75" hidden="1" customHeight="1" x14ac:dyDescent="0.35">
      <c r="A29" s="12" t="s">
        <v>18</v>
      </c>
      <c r="B29" s="13">
        <v>2024</v>
      </c>
      <c r="C29" s="35" t="s">
        <v>41</v>
      </c>
      <c r="D29" s="36" t="s">
        <v>54</v>
      </c>
      <c r="E29" s="35" t="s">
        <v>23</v>
      </c>
      <c r="F29" s="15" t="s">
        <v>26</v>
      </c>
      <c r="G29" s="19">
        <v>1</v>
      </c>
      <c r="H29" s="19">
        <v>1</v>
      </c>
      <c r="I29" s="19">
        <v>3</v>
      </c>
      <c r="J29" s="19">
        <v>5</v>
      </c>
      <c r="K29" s="19">
        <v>3</v>
      </c>
      <c r="L29" s="19"/>
      <c r="M29" s="19">
        <v>21</v>
      </c>
      <c r="N29" s="19">
        <v>43</v>
      </c>
      <c r="O29" s="19">
        <v>16</v>
      </c>
      <c r="P29" s="19">
        <v>9</v>
      </c>
      <c r="Q29" s="19">
        <v>7</v>
      </c>
      <c r="R29" s="19">
        <v>15</v>
      </c>
    </row>
    <row r="30" spans="1:18" ht="18.75" hidden="1" customHeight="1" x14ac:dyDescent="0.35">
      <c r="A30" s="4" t="s">
        <v>18</v>
      </c>
      <c r="B30" s="5">
        <v>2024</v>
      </c>
      <c r="C30" s="6" t="s">
        <v>55</v>
      </c>
      <c r="D30" s="6" t="s">
        <v>56</v>
      </c>
      <c r="E30" s="37" t="s">
        <v>23</v>
      </c>
      <c r="F30" s="7" t="s">
        <v>26</v>
      </c>
      <c r="G30" s="39">
        <v>41</v>
      </c>
      <c r="H30" s="39">
        <v>71</v>
      </c>
      <c r="I30" s="39">
        <v>74</v>
      </c>
      <c r="J30" s="39">
        <v>95</v>
      </c>
      <c r="K30" s="39">
        <v>74</v>
      </c>
      <c r="L30" s="39">
        <v>122</v>
      </c>
      <c r="M30" s="39">
        <v>128</v>
      </c>
      <c r="N30" s="39">
        <v>126</v>
      </c>
      <c r="O30" s="39">
        <v>114</v>
      </c>
      <c r="P30" s="39">
        <v>102</v>
      </c>
      <c r="Q30" s="39">
        <v>111</v>
      </c>
      <c r="R30" s="39">
        <v>108</v>
      </c>
    </row>
    <row r="31" spans="1:18" ht="18.75" hidden="1" customHeight="1" x14ac:dyDescent="0.35">
      <c r="A31" s="12" t="s">
        <v>18</v>
      </c>
      <c r="B31" s="13">
        <v>2024</v>
      </c>
      <c r="C31" s="14" t="s">
        <v>57</v>
      </c>
      <c r="D31" s="14" t="s">
        <v>58</v>
      </c>
      <c r="E31" s="35" t="s">
        <v>23</v>
      </c>
      <c r="F31" s="15" t="s">
        <v>26</v>
      </c>
      <c r="G31" s="40">
        <v>19</v>
      </c>
      <c r="H31" s="40">
        <v>45</v>
      </c>
      <c r="I31" s="40">
        <v>42</v>
      </c>
      <c r="J31" s="40">
        <v>67</v>
      </c>
      <c r="K31" s="40">
        <v>77</v>
      </c>
      <c r="L31" s="40">
        <v>77</v>
      </c>
      <c r="M31" s="40">
        <v>59</v>
      </c>
      <c r="N31" s="40">
        <v>81</v>
      </c>
      <c r="O31" s="40">
        <v>71</v>
      </c>
      <c r="P31" s="40">
        <v>106</v>
      </c>
      <c r="Q31" s="40">
        <v>88</v>
      </c>
      <c r="R31" s="40">
        <v>93</v>
      </c>
    </row>
    <row r="32" spans="1:18" ht="18.75" hidden="1" customHeight="1" x14ac:dyDescent="0.35">
      <c r="A32" s="4" t="s">
        <v>59</v>
      </c>
      <c r="B32" s="5">
        <v>2024</v>
      </c>
      <c r="C32" s="6" t="s">
        <v>60</v>
      </c>
      <c r="D32" s="6"/>
      <c r="E32" s="6" t="s">
        <v>20</v>
      </c>
      <c r="F32" s="7" t="s">
        <v>61</v>
      </c>
      <c r="G32" s="17"/>
      <c r="H32" s="17"/>
      <c r="I32" s="17"/>
      <c r="J32" s="17"/>
      <c r="K32" s="17"/>
      <c r="L32" s="17"/>
      <c r="M32" s="41">
        <v>1874782402</v>
      </c>
      <c r="N32" s="41">
        <v>153065829</v>
      </c>
      <c r="O32" s="41"/>
      <c r="P32" s="41"/>
      <c r="Q32" s="41"/>
      <c r="R32" s="41">
        <v>287387483</v>
      </c>
    </row>
    <row r="33" spans="1:18" ht="18.75" hidden="1" customHeight="1" x14ac:dyDescent="0.35">
      <c r="A33" s="12" t="s">
        <v>59</v>
      </c>
      <c r="B33" s="13">
        <v>2024</v>
      </c>
      <c r="C33" s="14" t="s">
        <v>62</v>
      </c>
      <c r="D33" s="14"/>
      <c r="E33" s="14" t="s">
        <v>23</v>
      </c>
      <c r="F33" s="15" t="s">
        <v>63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59</v>
      </c>
      <c r="B34" s="5">
        <v>2024</v>
      </c>
      <c r="C34" s="6" t="s">
        <v>64</v>
      </c>
      <c r="D34" s="6"/>
      <c r="E34" s="6" t="s">
        <v>23</v>
      </c>
      <c r="F34" s="7" t="s">
        <v>63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59</v>
      </c>
      <c r="B35" s="13">
        <v>2024</v>
      </c>
      <c r="C35" s="14" t="s">
        <v>65</v>
      </c>
      <c r="D35" s="14"/>
      <c r="E35" s="14" t="s">
        <v>23</v>
      </c>
      <c r="F35" s="15" t="s">
        <v>63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59</v>
      </c>
      <c r="B36" s="5">
        <v>2024</v>
      </c>
      <c r="C36" s="6" t="s">
        <v>66</v>
      </c>
      <c r="D36" s="6"/>
      <c r="E36" s="6" t="s">
        <v>23</v>
      </c>
      <c r="F36" s="7" t="s">
        <v>63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59</v>
      </c>
      <c r="B37" s="13">
        <v>2024</v>
      </c>
      <c r="C37" s="14" t="s">
        <v>67</v>
      </c>
      <c r="D37" s="14"/>
      <c r="E37" s="14" t="s">
        <v>23</v>
      </c>
      <c r="F37" s="15" t="s">
        <v>63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59</v>
      </c>
      <c r="B38" s="5">
        <v>2024</v>
      </c>
      <c r="C38" s="6" t="s">
        <v>68</v>
      </c>
      <c r="D38" s="6"/>
      <c r="E38" s="6" t="s">
        <v>20</v>
      </c>
      <c r="F38" s="7" t="s">
        <v>61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41">
        <v>96825026</v>
      </c>
    </row>
    <row r="39" spans="1:18" ht="18.75" hidden="1" customHeight="1" x14ac:dyDescent="0.35">
      <c r="A39" s="12" t="s">
        <v>69</v>
      </c>
      <c r="B39" s="13">
        <v>2024</v>
      </c>
      <c r="C39" s="14" t="s">
        <v>70</v>
      </c>
      <c r="D39" s="14"/>
      <c r="E39" s="14" t="s">
        <v>23</v>
      </c>
      <c r="F39" s="42" t="s">
        <v>26</v>
      </c>
      <c r="G39" s="40">
        <v>3203</v>
      </c>
      <c r="H39" s="40">
        <v>6413</v>
      </c>
      <c r="I39" s="40">
        <v>6745</v>
      </c>
      <c r="J39" s="40">
        <v>6779</v>
      </c>
      <c r="K39" s="40">
        <v>7082</v>
      </c>
      <c r="L39" s="40">
        <v>7413</v>
      </c>
      <c r="M39" s="40">
        <v>8176</v>
      </c>
      <c r="N39" s="40">
        <v>7362</v>
      </c>
      <c r="O39" s="40">
        <v>7562</v>
      </c>
      <c r="P39" s="40">
        <v>9368</v>
      </c>
      <c r="Q39" s="40">
        <v>9542</v>
      </c>
      <c r="R39" s="40">
        <v>8375</v>
      </c>
    </row>
    <row r="40" spans="1:18" ht="18.75" hidden="1" customHeight="1" x14ac:dyDescent="0.35">
      <c r="A40" s="4" t="s">
        <v>69</v>
      </c>
      <c r="B40" s="5">
        <v>2024</v>
      </c>
      <c r="C40" s="6" t="s">
        <v>71</v>
      </c>
      <c r="D40" s="6"/>
      <c r="E40" s="6" t="s">
        <v>23</v>
      </c>
      <c r="F40" s="43" t="s">
        <v>26</v>
      </c>
      <c r="G40" s="39">
        <v>1604</v>
      </c>
      <c r="H40" s="39">
        <v>1830</v>
      </c>
      <c r="I40" s="39">
        <v>2210</v>
      </c>
      <c r="J40" s="39">
        <v>1888</v>
      </c>
      <c r="K40" s="39">
        <v>1889</v>
      </c>
      <c r="L40" s="39">
        <v>1858</v>
      </c>
      <c r="M40" s="39">
        <v>1918</v>
      </c>
      <c r="N40" s="39">
        <v>1839</v>
      </c>
      <c r="O40" s="39">
        <v>1946</v>
      </c>
      <c r="P40" s="39">
        <v>1675</v>
      </c>
      <c r="Q40" s="39">
        <v>1473</v>
      </c>
      <c r="R40" s="39">
        <v>1520</v>
      </c>
    </row>
    <row r="41" spans="1:18" ht="18.75" hidden="1" customHeight="1" x14ac:dyDescent="0.35">
      <c r="A41" s="12" t="s">
        <v>69</v>
      </c>
      <c r="B41" s="13">
        <v>2024</v>
      </c>
      <c r="C41" s="14" t="s">
        <v>72</v>
      </c>
      <c r="D41" s="14"/>
      <c r="E41" s="14" t="s">
        <v>23</v>
      </c>
      <c r="F41" s="42" t="s">
        <v>26</v>
      </c>
      <c r="G41" s="40">
        <v>28</v>
      </c>
      <c r="H41" s="40">
        <v>84</v>
      </c>
      <c r="I41" s="40">
        <v>106</v>
      </c>
      <c r="J41" s="40">
        <v>163</v>
      </c>
      <c r="K41" s="40">
        <v>138</v>
      </c>
      <c r="L41" s="40">
        <v>120</v>
      </c>
      <c r="M41" s="40">
        <v>124</v>
      </c>
      <c r="N41" s="40">
        <v>122</v>
      </c>
      <c r="O41" s="40">
        <v>142</v>
      </c>
      <c r="P41" s="40">
        <v>192</v>
      </c>
      <c r="Q41" s="40">
        <v>129</v>
      </c>
      <c r="R41" s="40">
        <v>323</v>
      </c>
    </row>
    <row r="42" spans="1:18" ht="18.75" hidden="1" customHeight="1" x14ac:dyDescent="0.35">
      <c r="A42" s="4" t="s">
        <v>69</v>
      </c>
      <c r="B42" s="5">
        <v>2024</v>
      </c>
      <c r="C42" s="6" t="s">
        <v>73</v>
      </c>
      <c r="D42" s="6"/>
      <c r="E42" s="6" t="s">
        <v>23</v>
      </c>
      <c r="F42" s="43" t="s">
        <v>26</v>
      </c>
      <c r="G42" s="39">
        <v>31</v>
      </c>
      <c r="H42" s="39">
        <v>37</v>
      </c>
      <c r="I42" s="39">
        <v>62</v>
      </c>
      <c r="J42" s="39">
        <v>74</v>
      </c>
      <c r="K42" s="39">
        <v>84</v>
      </c>
      <c r="L42" s="39">
        <v>92</v>
      </c>
      <c r="M42" s="39">
        <v>80</v>
      </c>
      <c r="N42" s="39">
        <v>75</v>
      </c>
      <c r="O42" s="39">
        <v>83</v>
      </c>
      <c r="P42" s="39">
        <v>64</v>
      </c>
      <c r="Q42" s="39">
        <v>77</v>
      </c>
      <c r="R42" s="39">
        <v>154</v>
      </c>
    </row>
    <row r="43" spans="1:18" ht="18.75" hidden="1" customHeight="1" x14ac:dyDescent="0.4">
      <c r="A43" s="12" t="s">
        <v>69</v>
      </c>
      <c r="B43" s="13">
        <v>2024</v>
      </c>
      <c r="C43" s="14" t="s">
        <v>74</v>
      </c>
      <c r="D43" s="14"/>
      <c r="E43" s="14" t="s">
        <v>20</v>
      </c>
      <c r="F43" s="42" t="s">
        <v>21</v>
      </c>
      <c r="G43" s="40"/>
      <c r="H43" s="40"/>
      <c r="I43" s="40"/>
      <c r="J43" s="40"/>
      <c r="K43" s="44">
        <v>2625812</v>
      </c>
      <c r="L43" s="40"/>
      <c r="M43" s="40"/>
      <c r="N43" s="40"/>
      <c r="O43" s="40"/>
      <c r="P43" s="45"/>
      <c r="Q43" s="45"/>
      <c r="R43" s="45"/>
    </row>
    <row r="44" spans="1:18" ht="18.75" hidden="1" customHeight="1" x14ac:dyDescent="0.4">
      <c r="A44" s="21" t="s">
        <v>69</v>
      </c>
      <c r="B44" s="5">
        <v>2024</v>
      </c>
      <c r="C44" s="22" t="s">
        <v>75</v>
      </c>
      <c r="D44" s="22"/>
      <c r="E44" s="22" t="s">
        <v>23</v>
      </c>
      <c r="F44" s="46" t="s">
        <v>35</v>
      </c>
      <c r="G44" s="47">
        <v>0.91739329967875172</v>
      </c>
      <c r="H44" s="47">
        <v>0.87896995708154502</v>
      </c>
      <c r="I44" s="47">
        <v>0.78529956763434217</v>
      </c>
      <c r="J44" s="47">
        <v>0.82089741960086438</v>
      </c>
      <c r="K44" s="48">
        <v>0.87620640844164199</v>
      </c>
      <c r="L44" s="47">
        <v>0.57429429429429435</v>
      </c>
      <c r="M44" s="47">
        <v>0.6207820032137118</v>
      </c>
      <c r="N44" s="47">
        <v>0.67839013778100077</v>
      </c>
      <c r="O44" s="47">
        <v>0.87652153558052437</v>
      </c>
      <c r="P44" s="47">
        <v>0.67580612035325527</v>
      </c>
      <c r="Q44" s="47">
        <v>0.75167294019238817</v>
      </c>
      <c r="R44" s="47"/>
    </row>
    <row r="45" spans="1:18" ht="18.75" hidden="1" customHeight="1" x14ac:dyDescent="0.35">
      <c r="A45" s="12" t="s">
        <v>69</v>
      </c>
      <c r="B45" s="13">
        <v>2024</v>
      </c>
      <c r="C45" s="14" t="s">
        <v>76</v>
      </c>
      <c r="D45" s="14"/>
      <c r="E45" s="14" t="s">
        <v>23</v>
      </c>
      <c r="F45" s="42" t="s">
        <v>26</v>
      </c>
      <c r="G45" s="40">
        <v>3</v>
      </c>
      <c r="H45" s="40">
        <v>6</v>
      </c>
      <c r="I45" s="40">
        <v>7</v>
      </c>
      <c r="J45" s="40">
        <v>17</v>
      </c>
      <c r="K45" s="40">
        <v>6</v>
      </c>
      <c r="L45" s="40"/>
      <c r="M45" s="40"/>
      <c r="N45" s="40"/>
      <c r="O45" s="40"/>
      <c r="P45" s="45"/>
      <c r="Q45" s="45"/>
      <c r="R45" s="45"/>
    </row>
    <row r="46" spans="1:18" ht="18.75" hidden="1" customHeight="1" x14ac:dyDescent="0.35">
      <c r="A46" s="4" t="s">
        <v>69</v>
      </c>
      <c r="B46" s="5">
        <v>2024</v>
      </c>
      <c r="C46" s="6" t="s">
        <v>77</v>
      </c>
      <c r="D46" s="6"/>
      <c r="E46" s="6" t="s">
        <v>23</v>
      </c>
      <c r="F46" s="43" t="s">
        <v>26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69</v>
      </c>
      <c r="B47" s="13">
        <v>2024</v>
      </c>
      <c r="C47" s="14" t="s">
        <v>78</v>
      </c>
      <c r="D47" s="14"/>
      <c r="E47" s="14" t="s">
        <v>20</v>
      </c>
      <c r="F47" s="42" t="s">
        <v>21</v>
      </c>
      <c r="G47" s="18"/>
      <c r="H47" s="18"/>
      <c r="I47" s="18"/>
      <c r="J47" s="18"/>
      <c r="K47" s="18"/>
      <c r="L47" s="18"/>
      <c r="M47" s="18"/>
      <c r="N47" s="18"/>
      <c r="O47" s="18"/>
      <c r="P47" s="44">
        <v>216542249</v>
      </c>
      <c r="Q47" s="44"/>
      <c r="R47" s="44"/>
    </row>
    <row r="48" spans="1:18" ht="18.75" hidden="1" customHeight="1" x14ac:dyDescent="0.4">
      <c r="A48" s="4" t="s">
        <v>69</v>
      </c>
      <c r="B48" s="5">
        <v>2024</v>
      </c>
      <c r="C48" s="6" t="s">
        <v>79</v>
      </c>
      <c r="D48" s="6"/>
      <c r="E48" s="6" t="s">
        <v>23</v>
      </c>
      <c r="F48" s="7" t="s">
        <v>26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49"/>
      <c r="Q48" s="49"/>
      <c r="R48" s="49"/>
    </row>
    <row r="49" spans="1:18" ht="18.75" hidden="1" customHeight="1" x14ac:dyDescent="0.35">
      <c r="A49" s="50" t="s">
        <v>80</v>
      </c>
      <c r="B49" s="13">
        <v>2024</v>
      </c>
      <c r="C49" s="51" t="s">
        <v>81</v>
      </c>
      <c r="D49" s="51"/>
      <c r="E49" s="51" t="s">
        <v>23</v>
      </c>
      <c r="F49" s="52" t="s">
        <v>26</v>
      </c>
      <c r="G49" s="53">
        <v>1</v>
      </c>
      <c r="H49" s="53">
        <v>0</v>
      </c>
      <c r="I49" s="53">
        <v>0</v>
      </c>
      <c r="J49" s="53">
        <v>1</v>
      </c>
      <c r="K49" s="53">
        <v>0</v>
      </c>
      <c r="L49" s="53">
        <v>0</v>
      </c>
      <c r="M49" s="53">
        <v>0</v>
      </c>
      <c r="N49" s="53">
        <v>2</v>
      </c>
      <c r="O49" s="53">
        <v>4</v>
      </c>
      <c r="P49" s="53">
        <v>6</v>
      </c>
      <c r="Q49" s="53">
        <f>6+2+2</f>
        <v>10</v>
      </c>
      <c r="R49" s="54"/>
    </row>
    <row r="50" spans="1:18" ht="18.75" hidden="1" customHeight="1" x14ac:dyDescent="0.35">
      <c r="A50" s="4" t="s">
        <v>80</v>
      </c>
      <c r="B50" s="5">
        <v>2024</v>
      </c>
      <c r="C50" s="6" t="s">
        <v>82</v>
      </c>
      <c r="D50" s="6"/>
      <c r="E50" s="6" t="s">
        <v>23</v>
      </c>
      <c r="F50" s="43" t="s">
        <v>26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21" t="s">
        <v>80</v>
      </c>
      <c r="B51" s="13">
        <v>2024</v>
      </c>
      <c r="C51" s="22" t="s">
        <v>83</v>
      </c>
      <c r="D51" s="22"/>
      <c r="E51" s="22" t="s">
        <v>23</v>
      </c>
      <c r="F51" s="46" t="s">
        <v>26</v>
      </c>
      <c r="G51" s="30">
        <v>1</v>
      </c>
      <c r="H51" s="30">
        <v>1</v>
      </c>
      <c r="I51" s="30">
        <v>2</v>
      </c>
      <c r="J51" s="30">
        <v>1</v>
      </c>
      <c r="K51" s="30">
        <v>0</v>
      </c>
      <c r="L51" s="30">
        <v>0</v>
      </c>
      <c r="M51" s="30">
        <v>3</v>
      </c>
      <c r="N51" s="30">
        <v>6</v>
      </c>
      <c r="O51" s="30">
        <v>4</v>
      </c>
      <c r="P51" s="30">
        <v>3</v>
      </c>
      <c r="Q51" s="30">
        <v>1</v>
      </c>
      <c r="R51" s="32"/>
    </row>
    <row r="52" spans="1:18" ht="18.75" hidden="1" customHeight="1" x14ac:dyDescent="0.35">
      <c r="A52" s="25" t="s">
        <v>80</v>
      </c>
      <c r="B52" s="5">
        <v>2024</v>
      </c>
      <c r="C52" s="26" t="s">
        <v>84</v>
      </c>
      <c r="D52" s="26"/>
      <c r="E52" s="26" t="s">
        <v>23</v>
      </c>
      <c r="F52" s="55" t="s">
        <v>26</v>
      </c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ht="18.75" hidden="1" customHeight="1" x14ac:dyDescent="0.35">
      <c r="A53" s="12" t="s">
        <v>80</v>
      </c>
      <c r="B53" s="13">
        <v>2024</v>
      </c>
      <c r="C53" s="14" t="s">
        <v>85</v>
      </c>
      <c r="D53" s="14"/>
      <c r="E53" s="14" t="s">
        <v>23</v>
      </c>
      <c r="F53" s="42" t="s">
        <v>26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80</v>
      </c>
      <c r="B54" s="5">
        <v>2024</v>
      </c>
      <c r="C54" s="6" t="s">
        <v>86</v>
      </c>
      <c r="D54" s="6"/>
      <c r="E54" s="6" t="s">
        <v>23</v>
      </c>
      <c r="F54" s="43" t="s">
        <v>26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80</v>
      </c>
      <c r="B55" s="13">
        <v>2024</v>
      </c>
      <c r="C55" s="35" t="s">
        <v>87</v>
      </c>
      <c r="D55" s="35"/>
      <c r="E55" s="14" t="s">
        <v>23</v>
      </c>
      <c r="F55" s="42" t="s">
        <v>26</v>
      </c>
      <c r="G55" s="13">
        <v>43</v>
      </c>
      <c r="H55" s="56">
        <v>29</v>
      </c>
      <c r="I55" s="13">
        <v>45</v>
      </c>
      <c r="J55" s="56">
        <v>31</v>
      </c>
      <c r="K55" s="13">
        <v>27</v>
      </c>
      <c r="L55" s="13">
        <v>19</v>
      </c>
      <c r="M55" s="56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80</v>
      </c>
      <c r="B56" s="5">
        <v>2024</v>
      </c>
      <c r="C56" s="37" t="s">
        <v>88</v>
      </c>
      <c r="D56" s="37"/>
      <c r="E56" s="6" t="s">
        <v>23</v>
      </c>
      <c r="F56" s="43" t="s">
        <v>26</v>
      </c>
      <c r="G56" s="5">
        <v>0</v>
      </c>
      <c r="H56" s="56">
        <v>1</v>
      </c>
      <c r="I56" s="5">
        <v>0</v>
      </c>
      <c r="J56" s="56">
        <v>14</v>
      </c>
      <c r="K56" s="5">
        <v>0</v>
      </c>
      <c r="L56" s="5">
        <v>0</v>
      </c>
      <c r="M56" s="56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80</v>
      </c>
      <c r="B57" s="13">
        <v>2024</v>
      </c>
      <c r="C57" s="6" t="s">
        <v>89</v>
      </c>
      <c r="D57" s="6"/>
      <c r="E57" s="6" t="s">
        <v>23</v>
      </c>
      <c r="F57" s="43" t="s">
        <v>26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80</v>
      </c>
      <c r="B58" s="5">
        <v>2024</v>
      </c>
      <c r="C58" s="6" t="s">
        <v>90</v>
      </c>
      <c r="D58" s="6"/>
      <c r="E58" s="6" t="s">
        <v>20</v>
      </c>
      <c r="F58" s="7" t="s">
        <v>21</v>
      </c>
      <c r="G58" s="41">
        <v>1759768</v>
      </c>
      <c r="H58" s="41">
        <v>479311</v>
      </c>
      <c r="I58" s="41">
        <v>410763</v>
      </c>
      <c r="J58" s="41">
        <v>2604700</v>
      </c>
      <c r="K58" s="41">
        <v>592257</v>
      </c>
      <c r="L58" s="41">
        <v>1565026</v>
      </c>
      <c r="M58" s="41">
        <v>1766363</v>
      </c>
      <c r="N58" s="41">
        <v>939281</v>
      </c>
      <c r="O58" s="41">
        <v>2503626</v>
      </c>
      <c r="P58" s="41">
        <v>3754104</v>
      </c>
      <c r="Q58" s="41">
        <v>253970</v>
      </c>
      <c r="R58" s="41"/>
    </row>
    <row r="59" spans="1:18" ht="18.75" hidden="1" customHeight="1" x14ac:dyDescent="0.35">
      <c r="A59" s="12" t="s">
        <v>91</v>
      </c>
      <c r="B59" s="13">
        <v>2024</v>
      </c>
      <c r="C59" s="57" t="s">
        <v>92</v>
      </c>
      <c r="D59" s="14"/>
      <c r="E59" s="14" t="s">
        <v>23</v>
      </c>
      <c r="F59" s="42" t="s">
        <v>26</v>
      </c>
      <c r="G59" s="19">
        <v>1</v>
      </c>
      <c r="H59" s="19">
        <v>1</v>
      </c>
      <c r="I59" s="19">
        <v>1</v>
      </c>
      <c r="J59" s="19">
        <v>6</v>
      </c>
      <c r="K59" s="19">
        <v>2</v>
      </c>
      <c r="L59" s="19">
        <v>3</v>
      </c>
      <c r="M59" s="19">
        <v>10</v>
      </c>
      <c r="N59" s="19">
        <v>3</v>
      </c>
      <c r="O59" s="19">
        <v>5</v>
      </c>
      <c r="P59" s="19">
        <v>9</v>
      </c>
      <c r="Q59" s="19">
        <v>6</v>
      </c>
      <c r="R59" s="19">
        <v>7</v>
      </c>
    </row>
    <row r="60" spans="1:18" ht="18.75" hidden="1" customHeight="1" x14ac:dyDescent="0.35">
      <c r="A60" s="4" t="s">
        <v>91</v>
      </c>
      <c r="B60" s="5">
        <v>2024</v>
      </c>
      <c r="C60" s="57" t="s">
        <v>93</v>
      </c>
      <c r="D60" s="6"/>
      <c r="E60" s="6" t="s">
        <v>23</v>
      </c>
      <c r="F60" s="43" t="s">
        <v>26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57" t="s">
        <v>94</v>
      </c>
      <c r="D61" s="14"/>
      <c r="E61" s="14" t="s">
        <v>23</v>
      </c>
      <c r="F61" s="42" t="s">
        <v>26</v>
      </c>
      <c r="G61" s="19">
        <v>146</v>
      </c>
      <c r="H61" s="19">
        <v>50</v>
      </c>
      <c r="I61" s="19">
        <v>35</v>
      </c>
      <c r="J61" s="19">
        <v>50</v>
      </c>
      <c r="K61" s="19">
        <v>17</v>
      </c>
      <c r="L61" s="19">
        <v>15</v>
      </c>
      <c r="M61" s="19">
        <v>347</v>
      </c>
      <c r="N61" s="19">
        <v>124</v>
      </c>
      <c r="O61" s="19">
        <v>47</v>
      </c>
      <c r="P61" s="19">
        <v>121</v>
      </c>
      <c r="Q61" s="19">
        <v>64</v>
      </c>
      <c r="R61" s="19">
        <v>405</v>
      </c>
    </row>
    <row r="62" spans="1:18" ht="18.75" hidden="1" customHeight="1" x14ac:dyDescent="0.35">
      <c r="A62" s="4" t="s">
        <v>91</v>
      </c>
      <c r="B62" s="5">
        <v>2024</v>
      </c>
      <c r="C62" s="57" t="s">
        <v>95</v>
      </c>
      <c r="D62" s="6"/>
      <c r="E62" s="6" t="s">
        <v>23</v>
      </c>
      <c r="F62" s="43" t="s">
        <v>26</v>
      </c>
      <c r="G62" s="5">
        <v>77</v>
      </c>
      <c r="H62" s="58">
        <v>34</v>
      </c>
      <c r="I62" s="58">
        <v>104</v>
      </c>
      <c r="J62" s="58">
        <v>88</v>
      </c>
      <c r="K62" s="58">
        <v>93</v>
      </c>
      <c r="L62" s="58">
        <v>21</v>
      </c>
      <c r="M62" s="58">
        <v>80</v>
      </c>
      <c r="N62" s="58">
        <v>22</v>
      </c>
      <c r="O62" s="58">
        <v>73</v>
      </c>
      <c r="P62" s="58">
        <v>22</v>
      </c>
      <c r="Q62" s="58">
        <v>66</v>
      </c>
      <c r="R62" s="58">
        <v>28</v>
      </c>
    </row>
    <row r="63" spans="1:18" ht="18.75" hidden="1" customHeight="1" x14ac:dyDescent="0.35">
      <c r="A63" s="12" t="s">
        <v>91</v>
      </c>
      <c r="B63" s="13">
        <v>2024</v>
      </c>
      <c r="C63" s="57" t="s">
        <v>96</v>
      </c>
      <c r="D63" s="14"/>
      <c r="E63" s="14" t="s">
        <v>23</v>
      </c>
      <c r="F63" s="42" t="s">
        <v>26</v>
      </c>
      <c r="G63" s="13">
        <v>77</v>
      </c>
      <c r="H63" s="59">
        <v>3</v>
      </c>
      <c r="I63" s="59">
        <v>1</v>
      </c>
      <c r="J63" s="59">
        <v>43</v>
      </c>
      <c r="K63" s="59">
        <v>119</v>
      </c>
      <c r="L63" s="59">
        <v>37</v>
      </c>
      <c r="M63" s="59">
        <v>5</v>
      </c>
      <c r="N63" s="59">
        <v>15</v>
      </c>
      <c r="O63" s="59">
        <v>2</v>
      </c>
      <c r="P63" s="59">
        <v>0</v>
      </c>
      <c r="Q63" s="59">
        <v>0</v>
      </c>
      <c r="R63" s="59">
        <v>0</v>
      </c>
    </row>
    <row r="64" spans="1:18" ht="18.75" hidden="1" customHeight="1" x14ac:dyDescent="0.35">
      <c r="A64" s="4" t="s">
        <v>91</v>
      </c>
      <c r="B64" s="5">
        <v>2024</v>
      </c>
      <c r="C64" s="57" t="s">
        <v>97</v>
      </c>
      <c r="D64" s="6"/>
      <c r="E64" s="6" t="s">
        <v>20</v>
      </c>
      <c r="F64" s="43" t="s">
        <v>21</v>
      </c>
      <c r="G64" s="17"/>
      <c r="H64" s="17"/>
      <c r="I64" s="17"/>
      <c r="J64" s="17"/>
      <c r="K64" s="17"/>
      <c r="L64" s="17"/>
      <c r="M64" s="41">
        <v>6006000000</v>
      </c>
      <c r="N64" s="41"/>
      <c r="O64" s="60"/>
      <c r="P64" s="61">
        <v>1227000000</v>
      </c>
      <c r="Q64" s="61"/>
      <c r="R64" s="61"/>
    </row>
    <row r="65" spans="1:18" ht="18.75" hidden="1" customHeight="1" x14ac:dyDescent="0.35">
      <c r="A65" s="12" t="s">
        <v>91</v>
      </c>
      <c r="B65" s="13">
        <v>2024</v>
      </c>
      <c r="C65" s="57" t="s">
        <v>98</v>
      </c>
      <c r="D65" s="14"/>
      <c r="E65" s="14" t="s">
        <v>20</v>
      </c>
      <c r="F65" s="42" t="s">
        <v>21</v>
      </c>
      <c r="G65" s="18"/>
      <c r="H65" s="18"/>
      <c r="I65" s="18"/>
      <c r="J65" s="18"/>
      <c r="K65" s="18"/>
      <c r="L65" s="18"/>
      <c r="M65" s="62">
        <v>1167000000</v>
      </c>
      <c r="N65" s="62"/>
      <c r="O65" s="63"/>
      <c r="P65" s="64"/>
      <c r="Q65" s="64"/>
      <c r="R65" s="64"/>
    </row>
    <row r="66" spans="1:18" ht="18.75" hidden="1" customHeight="1" x14ac:dyDescent="0.35">
      <c r="A66" s="4" t="s">
        <v>91</v>
      </c>
      <c r="B66" s="5">
        <v>2024</v>
      </c>
      <c r="C66" s="57" t="s">
        <v>77</v>
      </c>
      <c r="D66" s="6"/>
      <c r="E66" s="6" t="s">
        <v>23</v>
      </c>
      <c r="F66" s="43" t="s">
        <v>26</v>
      </c>
      <c r="G66" s="17"/>
      <c r="H66" s="5">
        <v>1</v>
      </c>
      <c r="I66" s="17"/>
      <c r="J66" s="17"/>
      <c r="K66" s="17"/>
      <c r="L66" s="17"/>
      <c r="M66" s="65"/>
      <c r="N66" s="17"/>
      <c r="O66" s="66"/>
      <c r="P66" s="66"/>
      <c r="Q66" s="66"/>
      <c r="R66" s="66"/>
    </row>
    <row r="67" spans="1:18" ht="18.75" hidden="1" customHeight="1" x14ac:dyDescent="0.35">
      <c r="A67" s="12" t="s">
        <v>91</v>
      </c>
      <c r="B67" s="13">
        <v>2024</v>
      </c>
      <c r="C67" s="57" t="s">
        <v>99</v>
      </c>
      <c r="D67" s="14"/>
      <c r="E67" s="14" t="s">
        <v>23</v>
      </c>
      <c r="F67" s="42" t="s">
        <v>26</v>
      </c>
      <c r="G67" s="19">
        <v>1</v>
      </c>
      <c r="H67" s="67"/>
      <c r="I67" s="67"/>
      <c r="J67" s="67"/>
      <c r="K67" s="67"/>
      <c r="L67" s="67"/>
      <c r="M67" s="68"/>
      <c r="N67" s="67"/>
      <c r="O67" s="19">
        <v>1</v>
      </c>
      <c r="P67" s="67"/>
      <c r="Q67" s="19">
        <v>1</v>
      </c>
      <c r="R67" s="19">
        <v>1</v>
      </c>
    </row>
    <row r="68" spans="1:18" ht="18.75" hidden="1" customHeight="1" x14ac:dyDescent="0.35">
      <c r="A68" s="4" t="s">
        <v>91</v>
      </c>
      <c r="B68" s="5">
        <v>2024</v>
      </c>
      <c r="C68" s="57" t="s">
        <v>100</v>
      </c>
      <c r="D68" s="6"/>
      <c r="E68" s="6" t="s">
        <v>20</v>
      </c>
      <c r="F68" s="43" t="s">
        <v>21</v>
      </c>
      <c r="G68" s="17"/>
      <c r="H68" s="17"/>
      <c r="I68" s="17"/>
      <c r="J68" s="17"/>
      <c r="K68" s="41">
        <v>284000000</v>
      </c>
      <c r="L68" s="17"/>
      <c r="M68" s="17"/>
      <c r="N68" s="17"/>
      <c r="O68" s="66"/>
      <c r="P68" s="69"/>
      <c r="Q68" s="69"/>
      <c r="R68" s="69"/>
    </row>
    <row r="69" spans="1:18" ht="18.75" customHeight="1" x14ac:dyDescent="0.35">
      <c r="A69" s="12" t="s">
        <v>101</v>
      </c>
      <c r="B69" s="13">
        <v>2024</v>
      </c>
      <c r="C69" s="14" t="s">
        <v>102</v>
      </c>
      <c r="D69" s="14"/>
      <c r="E69" s="14" t="s">
        <v>23</v>
      </c>
      <c r="F69" s="42" t="s">
        <v>26</v>
      </c>
      <c r="G69" s="18"/>
      <c r="H69" s="18"/>
      <c r="I69" s="18"/>
      <c r="J69" s="18"/>
      <c r="K69" s="18"/>
      <c r="L69" s="18"/>
      <c r="M69" s="18"/>
      <c r="N69" s="18"/>
      <c r="O69" s="70">
        <v>1</v>
      </c>
      <c r="P69" s="71"/>
      <c r="Q69" s="71"/>
      <c r="R69" s="71"/>
    </row>
    <row r="70" spans="1:18" ht="18.75" customHeight="1" x14ac:dyDescent="0.35">
      <c r="A70" s="4" t="s">
        <v>101</v>
      </c>
      <c r="B70" s="5">
        <v>2024</v>
      </c>
      <c r="C70" s="6" t="s">
        <v>103</v>
      </c>
      <c r="D70" s="6"/>
      <c r="E70" s="6" t="s">
        <v>23</v>
      </c>
      <c r="F70" s="43" t="s">
        <v>26</v>
      </c>
      <c r="G70" s="17"/>
      <c r="H70" s="17"/>
      <c r="I70" s="17"/>
      <c r="J70" s="17"/>
      <c r="K70" s="17"/>
      <c r="L70" s="17"/>
      <c r="M70" s="17"/>
      <c r="N70" s="17"/>
      <c r="O70" s="66"/>
      <c r="P70" s="66"/>
      <c r="Q70" s="66"/>
      <c r="R70" s="66"/>
    </row>
    <row r="71" spans="1:18" ht="18.75" customHeight="1" x14ac:dyDescent="0.35">
      <c r="A71" s="12" t="s">
        <v>101</v>
      </c>
      <c r="B71" s="13">
        <v>2024</v>
      </c>
      <c r="C71" s="14" t="s">
        <v>104</v>
      </c>
      <c r="D71" s="14"/>
      <c r="E71" s="14" t="s">
        <v>23</v>
      </c>
      <c r="F71" s="42" t="s">
        <v>26</v>
      </c>
      <c r="G71" s="18"/>
      <c r="H71" s="18"/>
      <c r="I71" s="18"/>
      <c r="J71" s="18"/>
      <c r="K71" s="18"/>
      <c r="L71" s="18"/>
      <c r="M71" s="18"/>
      <c r="N71" s="18"/>
      <c r="O71" s="70">
        <v>1</v>
      </c>
      <c r="P71" s="71"/>
      <c r="Q71" s="71"/>
      <c r="R71" s="71"/>
    </row>
    <row r="72" spans="1:18" ht="18.75" customHeight="1" x14ac:dyDescent="0.35">
      <c r="A72" s="21" t="s">
        <v>101</v>
      </c>
      <c r="B72" s="5">
        <v>2024</v>
      </c>
      <c r="C72" s="22" t="s">
        <v>105</v>
      </c>
      <c r="D72" s="22"/>
      <c r="E72" s="22" t="s">
        <v>23</v>
      </c>
      <c r="F72" s="46" t="s">
        <v>26</v>
      </c>
      <c r="G72" s="32"/>
      <c r="H72" s="32"/>
      <c r="I72" s="32"/>
      <c r="J72" s="32"/>
      <c r="K72" s="32"/>
      <c r="L72" s="32"/>
      <c r="M72" s="32"/>
      <c r="N72" s="32"/>
      <c r="O72" s="72"/>
      <c r="P72" s="72"/>
      <c r="Q72" s="72"/>
      <c r="R72" s="72"/>
    </row>
    <row r="73" spans="1:18" ht="18.75" customHeight="1" x14ac:dyDescent="0.35">
      <c r="A73" s="12" t="s">
        <v>101</v>
      </c>
      <c r="B73" s="13">
        <v>2024</v>
      </c>
      <c r="C73" s="14" t="s">
        <v>106</v>
      </c>
      <c r="D73" s="14"/>
      <c r="E73" s="14" t="s">
        <v>23</v>
      </c>
      <c r="F73" s="42" t="s">
        <v>26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73" t="s">
        <v>101</v>
      </c>
      <c r="B74" s="5">
        <v>2024</v>
      </c>
      <c r="C74" s="74" t="s">
        <v>107</v>
      </c>
      <c r="D74" s="74"/>
      <c r="E74" s="74" t="s">
        <v>23</v>
      </c>
      <c r="F74" s="75" t="s">
        <v>26</v>
      </c>
      <c r="G74" s="76">
        <v>0.90700000000000003</v>
      </c>
      <c r="H74" s="76">
        <v>0.91859999999999997</v>
      </c>
      <c r="I74" s="76">
        <v>0.90910000000000002</v>
      </c>
      <c r="J74" s="76">
        <v>0.89949999999999997</v>
      </c>
      <c r="K74" s="76">
        <v>0.90180000000000005</v>
      </c>
      <c r="L74" s="76">
        <v>0.9042</v>
      </c>
      <c r="M74" s="76">
        <v>0.90300000000000002</v>
      </c>
      <c r="N74" s="76">
        <v>0.89570000000000005</v>
      </c>
      <c r="O74" s="76"/>
      <c r="P74" s="76"/>
      <c r="Q74" s="76"/>
      <c r="R74" s="76"/>
    </row>
    <row r="75" spans="1:18" ht="18.75" customHeight="1" x14ac:dyDescent="0.35">
      <c r="A75" s="73" t="s">
        <v>101</v>
      </c>
      <c r="B75" s="13">
        <v>2024</v>
      </c>
      <c r="C75" s="74" t="s">
        <v>108</v>
      </c>
      <c r="D75" s="74"/>
      <c r="E75" s="74" t="s">
        <v>23</v>
      </c>
      <c r="F75" s="75" t="s">
        <v>26</v>
      </c>
      <c r="G75" s="77">
        <v>1</v>
      </c>
      <c r="H75" s="77">
        <v>15</v>
      </c>
      <c r="I75" s="77">
        <v>8</v>
      </c>
      <c r="J75" s="77">
        <v>8</v>
      </c>
      <c r="K75" s="77">
        <v>5</v>
      </c>
      <c r="L75" s="77">
        <v>8</v>
      </c>
      <c r="M75" s="77">
        <v>12</v>
      </c>
      <c r="N75" s="77">
        <v>4</v>
      </c>
      <c r="O75" s="77">
        <v>1</v>
      </c>
      <c r="P75" s="78"/>
      <c r="Q75" s="78"/>
      <c r="R75" s="78"/>
    </row>
    <row r="76" spans="1:18" ht="18.75" hidden="1" customHeight="1" x14ac:dyDescent="0.35">
      <c r="A76" s="4" t="s">
        <v>80</v>
      </c>
      <c r="B76" s="5">
        <v>2024</v>
      </c>
      <c r="C76" s="6" t="s">
        <v>109</v>
      </c>
      <c r="D76" s="6"/>
      <c r="E76" s="6" t="s">
        <v>20</v>
      </c>
      <c r="F76" s="7" t="s">
        <v>21</v>
      </c>
      <c r="G76" s="41">
        <v>576783</v>
      </c>
      <c r="H76" s="41">
        <v>1012279</v>
      </c>
      <c r="I76" s="41">
        <v>1094022</v>
      </c>
      <c r="J76" s="41">
        <v>1396763</v>
      </c>
      <c r="K76" s="41">
        <v>1079691</v>
      </c>
      <c r="L76" s="41">
        <v>1921652</v>
      </c>
      <c r="M76" s="41">
        <v>1471341</v>
      </c>
      <c r="N76" s="41">
        <v>2487322</v>
      </c>
      <c r="O76" s="41">
        <v>2215974</v>
      </c>
      <c r="P76" s="41">
        <v>3241548</v>
      </c>
      <c r="Q76" s="41">
        <v>2536045</v>
      </c>
      <c r="R76" s="41"/>
    </row>
    <row r="77" spans="1:18" ht="18.75" hidden="1" customHeight="1" x14ac:dyDescent="0.35">
      <c r="A77" s="12" t="s">
        <v>80</v>
      </c>
      <c r="B77" s="13">
        <v>2024</v>
      </c>
      <c r="C77" s="14" t="s">
        <v>110</v>
      </c>
      <c r="D77" s="14"/>
      <c r="E77" s="14" t="s">
        <v>20</v>
      </c>
      <c r="F77" s="15" t="s">
        <v>21</v>
      </c>
      <c r="G77" s="62">
        <v>14062866</v>
      </c>
      <c r="H77" s="62">
        <v>24869790</v>
      </c>
      <c r="I77" s="62">
        <v>22638455</v>
      </c>
      <c r="J77" s="62">
        <v>43805106</v>
      </c>
      <c r="K77" s="62">
        <v>53465451</v>
      </c>
      <c r="L77" s="62">
        <v>31816261</v>
      </c>
      <c r="M77" s="62">
        <v>32548389</v>
      </c>
      <c r="N77" s="62">
        <v>29963058</v>
      </c>
      <c r="O77" s="62">
        <v>31831467</v>
      </c>
      <c r="P77" s="62">
        <v>45523887</v>
      </c>
      <c r="Q77" s="62">
        <v>52625935</v>
      </c>
      <c r="R77" s="62"/>
    </row>
    <row r="78" spans="1:18" ht="18.75" hidden="1" customHeight="1" x14ac:dyDescent="0.35">
      <c r="A78" s="4" t="s">
        <v>59</v>
      </c>
      <c r="B78" s="5">
        <v>2024</v>
      </c>
      <c r="C78" s="6" t="s">
        <v>111</v>
      </c>
      <c r="D78" s="6"/>
      <c r="E78" s="6" t="s">
        <v>23</v>
      </c>
      <c r="F78" s="7" t="s">
        <v>63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18</v>
      </c>
      <c r="B79" s="79">
        <v>2025</v>
      </c>
      <c r="C79" s="6" t="s">
        <v>22</v>
      </c>
      <c r="D79" s="6"/>
      <c r="E79" s="6" t="s">
        <v>23</v>
      </c>
      <c r="F79" s="7" t="s">
        <v>24</v>
      </c>
      <c r="G79" s="80">
        <v>4.5999999999999996</v>
      </c>
      <c r="H79" s="79">
        <v>4</v>
      </c>
      <c r="I79" s="80">
        <v>9.9</v>
      </c>
      <c r="J79" s="80">
        <v>6.6</v>
      </c>
      <c r="K79" s="80">
        <v>6.3</v>
      </c>
      <c r="L79" s="65">
        <v>5.9</v>
      </c>
      <c r="M79" s="5"/>
      <c r="N79" s="5"/>
      <c r="O79" s="5"/>
      <c r="P79" s="81"/>
      <c r="Q79" s="81"/>
      <c r="R79" s="5"/>
    </row>
    <row r="80" spans="1:18" ht="18.75" hidden="1" customHeight="1" x14ac:dyDescent="0.35">
      <c r="A80" s="12" t="s">
        <v>18</v>
      </c>
      <c r="B80" s="82">
        <v>2025</v>
      </c>
      <c r="C80" s="14" t="s">
        <v>25</v>
      </c>
      <c r="D80" s="14"/>
      <c r="E80" s="14" t="s">
        <v>23</v>
      </c>
      <c r="F80" s="15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18</v>
      </c>
      <c r="B81" s="79">
        <v>2025</v>
      </c>
      <c r="C81" s="6" t="s">
        <v>27</v>
      </c>
      <c r="D81" s="6"/>
      <c r="E81" s="6" t="s">
        <v>20</v>
      </c>
      <c r="F81" s="7" t="s">
        <v>21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83" t="s">
        <v>112</v>
      </c>
      <c r="L81" s="20" t="s">
        <v>112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18</v>
      </c>
      <c r="B82" s="82">
        <v>2025</v>
      </c>
      <c r="C82" s="14" t="s">
        <v>113</v>
      </c>
      <c r="D82" s="14"/>
      <c r="E82" s="14" t="s">
        <v>20</v>
      </c>
      <c r="F82" s="15" t="s">
        <v>21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18</v>
      </c>
      <c r="B83" s="79">
        <v>2025</v>
      </c>
      <c r="C83" s="6" t="s">
        <v>29</v>
      </c>
      <c r="D83" s="6"/>
      <c r="E83" s="6" t="s">
        <v>20</v>
      </c>
      <c r="F83" s="7" t="s">
        <v>21</v>
      </c>
      <c r="G83" s="84">
        <v>0</v>
      </c>
      <c r="H83" s="84">
        <v>0</v>
      </c>
      <c r="I83" s="84">
        <v>0</v>
      </c>
      <c r="J83" s="8">
        <v>22221345</v>
      </c>
      <c r="K83" s="84">
        <v>0</v>
      </c>
      <c r="L83" s="84">
        <v>0</v>
      </c>
      <c r="M83" s="84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18</v>
      </c>
      <c r="B84" s="82">
        <v>2025</v>
      </c>
      <c r="C84" s="14" t="s">
        <v>30</v>
      </c>
      <c r="D84" s="14"/>
      <c r="E84" s="14" t="s">
        <v>20</v>
      </c>
      <c r="F84" s="15" t="s">
        <v>21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18</v>
      </c>
      <c r="B85" s="79">
        <v>2025</v>
      </c>
      <c r="C85" s="6" t="s">
        <v>114</v>
      </c>
      <c r="D85" s="6"/>
      <c r="E85" s="6" t="s">
        <v>23</v>
      </c>
      <c r="F85" s="7" t="s">
        <v>26</v>
      </c>
      <c r="G85" s="17"/>
      <c r="H85" s="85">
        <v>286</v>
      </c>
      <c r="I85" s="20">
        <v>164</v>
      </c>
      <c r="J85" s="20">
        <v>99</v>
      </c>
      <c r="K85" s="20">
        <v>35</v>
      </c>
      <c r="L85" s="20">
        <v>17</v>
      </c>
      <c r="M85" s="83"/>
      <c r="N85" s="83"/>
      <c r="O85" s="83"/>
      <c r="P85" s="83"/>
      <c r="Q85" s="83"/>
      <c r="R85" s="83"/>
    </row>
    <row r="86" spans="1:18" ht="18.75" hidden="1" customHeight="1" x14ac:dyDescent="0.35">
      <c r="A86" s="12" t="s">
        <v>18</v>
      </c>
      <c r="B86" s="82">
        <v>2025</v>
      </c>
      <c r="C86" s="14" t="s">
        <v>115</v>
      </c>
      <c r="D86" s="14"/>
      <c r="E86" s="14" t="s">
        <v>23</v>
      </c>
      <c r="F86" s="15" t="s">
        <v>26</v>
      </c>
      <c r="G86" s="67"/>
      <c r="H86" s="82">
        <v>382</v>
      </c>
      <c r="I86" s="19">
        <v>1020</v>
      </c>
      <c r="J86" s="19">
        <v>756</v>
      </c>
      <c r="K86" s="19">
        <v>1032</v>
      </c>
      <c r="L86" s="19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18</v>
      </c>
      <c r="B87" s="79">
        <v>2025</v>
      </c>
      <c r="C87" s="6" t="s">
        <v>116</v>
      </c>
      <c r="D87" s="6"/>
      <c r="E87" s="6" t="s">
        <v>23</v>
      </c>
      <c r="F87" s="7" t="s">
        <v>26</v>
      </c>
      <c r="G87" s="17"/>
      <c r="H87" s="79">
        <v>396</v>
      </c>
      <c r="I87" s="5">
        <v>1778</v>
      </c>
      <c r="J87" s="5">
        <v>1226</v>
      </c>
      <c r="K87" s="20">
        <v>1250</v>
      </c>
      <c r="L87" s="20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18</v>
      </c>
      <c r="B88" s="82">
        <v>2025</v>
      </c>
      <c r="C88" s="14" t="s">
        <v>117</v>
      </c>
      <c r="D88" s="14"/>
      <c r="E88" s="14" t="s">
        <v>23</v>
      </c>
      <c r="F88" s="15" t="s">
        <v>35</v>
      </c>
      <c r="G88" s="86"/>
      <c r="H88" s="87">
        <f t="shared" ref="H88:R88" si="2">IFERROR((H86+H85)/(H87+H85),"")</f>
        <v>0.97947214076246336</v>
      </c>
      <c r="I88" s="87">
        <f t="shared" si="2"/>
        <v>0.60968074150360452</v>
      </c>
      <c r="J88" s="87">
        <f t="shared" si="2"/>
        <v>0.6452830188679245</v>
      </c>
      <c r="K88" s="87">
        <f t="shared" si="2"/>
        <v>0.83035019455252923</v>
      </c>
      <c r="L88" s="86">
        <f t="shared" si="2"/>
        <v>0.88060781476121563</v>
      </c>
      <c r="M88" s="87" t="str">
        <f t="shared" si="2"/>
        <v/>
      </c>
      <c r="N88" s="87" t="str">
        <f t="shared" si="2"/>
        <v/>
      </c>
      <c r="O88" s="87" t="str">
        <f t="shared" si="2"/>
        <v/>
      </c>
      <c r="P88" s="87" t="str">
        <f t="shared" si="2"/>
        <v/>
      </c>
      <c r="Q88" s="87" t="str">
        <f t="shared" si="2"/>
        <v/>
      </c>
      <c r="R88" s="87" t="str">
        <f t="shared" si="2"/>
        <v/>
      </c>
    </row>
    <row r="89" spans="1:18" ht="18.75" hidden="1" customHeight="1" x14ac:dyDescent="0.35">
      <c r="A89" s="88" t="s">
        <v>18</v>
      </c>
      <c r="B89" s="79">
        <v>2025</v>
      </c>
      <c r="C89" s="89" t="s">
        <v>118</v>
      </c>
      <c r="D89" s="89"/>
      <c r="E89" s="89" t="s">
        <v>23</v>
      </c>
      <c r="F89" s="90" t="s">
        <v>26</v>
      </c>
      <c r="G89" s="79">
        <v>1</v>
      </c>
      <c r="H89" s="69"/>
      <c r="I89" s="91">
        <v>3</v>
      </c>
      <c r="J89" s="91">
        <v>14</v>
      </c>
      <c r="K89" s="91">
        <v>5</v>
      </c>
      <c r="L89" s="91"/>
      <c r="M89" s="69"/>
      <c r="N89" s="69"/>
      <c r="O89" s="69"/>
      <c r="P89" s="69"/>
      <c r="Q89" s="69"/>
      <c r="R89" s="69"/>
    </row>
    <row r="90" spans="1:18" ht="18.75" hidden="1" customHeight="1" x14ac:dyDescent="0.35">
      <c r="A90" s="12" t="s">
        <v>18</v>
      </c>
      <c r="B90" s="82">
        <v>2025</v>
      </c>
      <c r="C90" s="14" t="s">
        <v>119</v>
      </c>
      <c r="D90" s="14"/>
      <c r="E90" s="14" t="s">
        <v>23</v>
      </c>
      <c r="F90" s="42" t="s">
        <v>26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18</v>
      </c>
      <c r="B91" s="79">
        <v>2025</v>
      </c>
      <c r="C91" s="6" t="s">
        <v>38</v>
      </c>
      <c r="D91" s="6"/>
      <c r="E91" s="6" t="s">
        <v>23</v>
      </c>
      <c r="F91" s="7" t="s">
        <v>26</v>
      </c>
      <c r="G91" s="5">
        <v>1052</v>
      </c>
      <c r="H91" s="20">
        <v>983</v>
      </c>
      <c r="I91" s="20">
        <v>997</v>
      </c>
      <c r="J91" s="20">
        <v>1135</v>
      </c>
      <c r="K91" s="20">
        <v>1106</v>
      </c>
      <c r="L91" s="20">
        <v>1080</v>
      </c>
      <c r="M91" s="20">
        <v>1095</v>
      </c>
      <c r="N91" s="83"/>
      <c r="O91" s="83"/>
      <c r="P91" s="83"/>
      <c r="Q91" s="83"/>
      <c r="R91" s="83"/>
    </row>
    <row r="92" spans="1:18" ht="18.75" hidden="1" customHeight="1" x14ac:dyDescent="0.35">
      <c r="A92" s="12" t="s">
        <v>18</v>
      </c>
      <c r="B92" s="82">
        <v>2025</v>
      </c>
      <c r="C92" s="14" t="s">
        <v>120</v>
      </c>
      <c r="D92" s="14"/>
      <c r="E92" s="14" t="s">
        <v>23</v>
      </c>
      <c r="F92" s="15" t="s">
        <v>26</v>
      </c>
      <c r="G92" s="13">
        <v>416</v>
      </c>
      <c r="H92" s="19">
        <v>437</v>
      </c>
      <c r="I92" s="19">
        <v>443</v>
      </c>
      <c r="J92" s="19">
        <v>456</v>
      </c>
      <c r="K92" s="19">
        <v>459</v>
      </c>
      <c r="L92" s="19">
        <v>458</v>
      </c>
      <c r="M92" s="19">
        <v>458</v>
      </c>
      <c r="N92" s="67"/>
      <c r="O92" s="67"/>
      <c r="P92" s="67"/>
      <c r="Q92" s="67"/>
      <c r="R92" s="67"/>
    </row>
    <row r="93" spans="1:18" ht="18.75" hidden="1" customHeight="1" x14ac:dyDescent="0.35">
      <c r="A93" s="4" t="s">
        <v>18</v>
      </c>
      <c r="B93" s="79">
        <v>2025</v>
      </c>
      <c r="C93" s="37" t="s">
        <v>41</v>
      </c>
      <c r="D93" s="38" t="s">
        <v>42</v>
      </c>
      <c r="E93" s="37" t="s">
        <v>23</v>
      </c>
      <c r="F93" s="7" t="s">
        <v>26</v>
      </c>
      <c r="G93" s="20">
        <v>716</v>
      </c>
      <c r="H93" s="20">
        <v>525</v>
      </c>
      <c r="I93" s="20">
        <v>628</v>
      </c>
      <c r="J93" s="20">
        <v>727</v>
      </c>
      <c r="K93" s="20">
        <v>564</v>
      </c>
      <c r="L93" s="20">
        <v>655</v>
      </c>
      <c r="M93" s="20">
        <v>435.52276740847952</v>
      </c>
      <c r="N93" s="20"/>
      <c r="O93" s="92"/>
      <c r="P93" s="20"/>
      <c r="Q93" s="20"/>
      <c r="R93" s="20"/>
    </row>
    <row r="94" spans="1:18" ht="18.75" hidden="1" customHeight="1" x14ac:dyDescent="0.35">
      <c r="A94" s="12" t="s">
        <v>18</v>
      </c>
      <c r="B94" s="82">
        <v>2025</v>
      </c>
      <c r="C94" s="35" t="s">
        <v>41</v>
      </c>
      <c r="D94" s="36" t="s">
        <v>43</v>
      </c>
      <c r="E94" s="35" t="s">
        <v>23</v>
      </c>
      <c r="F94" s="15" t="s">
        <v>26</v>
      </c>
      <c r="G94" s="19">
        <v>927</v>
      </c>
      <c r="H94" s="19">
        <v>1209</v>
      </c>
      <c r="I94" s="19">
        <v>981</v>
      </c>
      <c r="J94" s="19">
        <v>1607</v>
      </c>
      <c r="K94" s="19">
        <v>957</v>
      </c>
      <c r="L94" s="19">
        <v>964</v>
      </c>
      <c r="M94" s="19">
        <v>1553.4923409081578</v>
      </c>
      <c r="N94" s="19"/>
      <c r="O94" s="67"/>
      <c r="P94" s="19"/>
      <c r="Q94" s="19"/>
      <c r="R94" s="19"/>
    </row>
    <row r="95" spans="1:18" ht="18.75" hidden="1" customHeight="1" x14ac:dyDescent="0.35">
      <c r="A95" s="4" t="s">
        <v>18</v>
      </c>
      <c r="B95" s="79">
        <v>2025</v>
      </c>
      <c r="C95" s="37" t="s">
        <v>41</v>
      </c>
      <c r="D95" s="38" t="s">
        <v>44</v>
      </c>
      <c r="E95" s="37" t="s">
        <v>23</v>
      </c>
      <c r="F95" s="7" t="s">
        <v>26</v>
      </c>
      <c r="G95" s="20">
        <v>1226</v>
      </c>
      <c r="H95" s="20">
        <v>735</v>
      </c>
      <c r="I95" s="20">
        <v>819</v>
      </c>
      <c r="J95" s="20">
        <v>1254</v>
      </c>
      <c r="K95" s="20">
        <v>957</v>
      </c>
      <c r="L95" s="20">
        <v>785</v>
      </c>
      <c r="M95" s="20">
        <v>1220.3880511361435</v>
      </c>
      <c r="N95" s="20"/>
      <c r="O95" s="83"/>
      <c r="P95" s="20"/>
      <c r="Q95" s="20"/>
      <c r="R95" s="20"/>
    </row>
    <row r="96" spans="1:18" ht="18.75" hidden="1" customHeight="1" x14ac:dyDescent="0.35">
      <c r="A96" s="12" t="s">
        <v>18</v>
      </c>
      <c r="B96" s="82">
        <v>2025</v>
      </c>
      <c r="C96" s="35" t="s">
        <v>41</v>
      </c>
      <c r="D96" s="36" t="s">
        <v>45</v>
      </c>
      <c r="E96" s="35" t="s">
        <v>23</v>
      </c>
      <c r="F96" s="15" t="s">
        <v>26</v>
      </c>
      <c r="G96" s="19">
        <v>429</v>
      </c>
      <c r="H96" s="19">
        <v>555</v>
      </c>
      <c r="I96" s="19">
        <v>609</v>
      </c>
      <c r="J96" s="19">
        <v>569</v>
      </c>
      <c r="K96" s="19">
        <v>635</v>
      </c>
      <c r="L96" s="19">
        <v>606</v>
      </c>
      <c r="M96" s="19">
        <v>810.8791690312197</v>
      </c>
      <c r="N96" s="19"/>
      <c r="O96" s="67"/>
      <c r="P96" s="19"/>
      <c r="Q96" s="19"/>
      <c r="R96" s="19"/>
    </row>
    <row r="97" spans="1:18" ht="18.75" hidden="1" customHeight="1" x14ac:dyDescent="0.35">
      <c r="A97" s="4" t="s">
        <v>18</v>
      </c>
      <c r="B97" s="79">
        <v>2025</v>
      </c>
      <c r="C97" s="37" t="s">
        <v>41</v>
      </c>
      <c r="D97" s="38" t="s">
        <v>46</v>
      </c>
      <c r="E97" s="37" t="s">
        <v>23</v>
      </c>
      <c r="F97" s="7" t="s">
        <v>26</v>
      </c>
      <c r="G97" s="20">
        <v>140</v>
      </c>
      <c r="H97" s="20">
        <v>141</v>
      </c>
      <c r="I97" s="20">
        <v>314</v>
      </c>
      <c r="J97" s="20">
        <v>329</v>
      </c>
      <c r="K97" s="20">
        <v>181</v>
      </c>
      <c r="L97" s="20">
        <v>368</v>
      </c>
      <c r="M97" s="20">
        <v>419.27006375157112</v>
      </c>
      <c r="N97" s="20"/>
      <c r="O97" s="83"/>
      <c r="P97" s="20"/>
      <c r="Q97" s="20"/>
      <c r="R97" s="20"/>
    </row>
    <row r="98" spans="1:18" ht="18.75" hidden="1" customHeight="1" x14ac:dyDescent="0.35">
      <c r="A98" s="12" t="s">
        <v>18</v>
      </c>
      <c r="B98" s="82">
        <v>2025</v>
      </c>
      <c r="C98" s="35" t="s">
        <v>41</v>
      </c>
      <c r="D98" s="36" t="s">
        <v>47</v>
      </c>
      <c r="E98" s="35" t="s">
        <v>23</v>
      </c>
      <c r="F98" s="15" t="s">
        <v>26</v>
      </c>
      <c r="G98" s="19">
        <v>30</v>
      </c>
      <c r="H98" s="19">
        <v>37</v>
      </c>
      <c r="I98" s="19">
        <v>38</v>
      </c>
      <c r="J98" s="19">
        <v>76</v>
      </c>
      <c r="K98" s="19">
        <v>40</v>
      </c>
      <c r="L98" s="19">
        <v>43</v>
      </c>
      <c r="M98" s="19">
        <v>43.033659060138739</v>
      </c>
      <c r="N98" s="19"/>
      <c r="O98" s="67"/>
      <c r="P98" s="19"/>
      <c r="Q98" s="19"/>
      <c r="R98" s="19"/>
    </row>
    <row r="99" spans="1:18" ht="18.75" hidden="1" customHeight="1" x14ac:dyDescent="0.35">
      <c r="A99" s="4" t="s">
        <v>18</v>
      </c>
      <c r="B99" s="79">
        <v>2025</v>
      </c>
      <c r="C99" s="37" t="s">
        <v>41</v>
      </c>
      <c r="D99" s="38" t="s">
        <v>48</v>
      </c>
      <c r="E99" s="37" t="s">
        <v>23</v>
      </c>
      <c r="F99" s="7" t="s">
        <v>26</v>
      </c>
      <c r="G99" s="20">
        <v>982</v>
      </c>
      <c r="H99" s="20">
        <v>2598</v>
      </c>
      <c r="I99" s="20">
        <v>2495</v>
      </c>
      <c r="J99" s="20">
        <v>0</v>
      </c>
      <c r="K99" s="20">
        <v>2479</v>
      </c>
      <c r="L99" s="20">
        <v>2529</v>
      </c>
      <c r="M99" s="20">
        <v>1162.5799959166532</v>
      </c>
      <c r="N99" s="20"/>
      <c r="O99" s="83"/>
      <c r="P99" s="20"/>
      <c r="Q99" s="20"/>
      <c r="R99" s="20"/>
    </row>
    <row r="100" spans="1:18" ht="18.75" hidden="1" customHeight="1" x14ac:dyDescent="0.35">
      <c r="A100" s="12" t="s">
        <v>18</v>
      </c>
      <c r="B100" s="82">
        <v>2025</v>
      </c>
      <c r="C100" s="35" t="s">
        <v>41</v>
      </c>
      <c r="D100" s="36" t="s">
        <v>49</v>
      </c>
      <c r="E100" s="35" t="s">
        <v>23</v>
      </c>
      <c r="F100" s="15" t="s">
        <v>26</v>
      </c>
      <c r="G100" s="19">
        <v>1150</v>
      </c>
      <c r="H100" s="19">
        <v>879</v>
      </c>
      <c r="I100" s="19">
        <v>886</v>
      </c>
      <c r="J100" s="19">
        <v>1398</v>
      </c>
      <c r="K100" s="19">
        <v>828</v>
      </c>
      <c r="L100" s="19">
        <v>931</v>
      </c>
      <c r="M100" s="19">
        <v>1580.7382851384853</v>
      </c>
      <c r="N100" s="19"/>
      <c r="O100" s="67"/>
      <c r="P100" s="19"/>
      <c r="Q100" s="19"/>
      <c r="R100" s="19"/>
    </row>
    <row r="101" spans="1:18" ht="18.75" hidden="1" customHeight="1" x14ac:dyDescent="0.35">
      <c r="A101" s="4" t="s">
        <v>18</v>
      </c>
      <c r="B101" s="79">
        <v>2025</v>
      </c>
      <c r="C101" s="37" t="s">
        <v>41</v>
      </c>
      <c r="D101" s="38" t="s">
        <v>50</v>
      </c>
      <c r="E101" s="37" t="s">
        <v>23</v>
      </c>
      <c r="F101" s="7" t="s">
        <v>26</v>
      </c>
      <c r="G101" s="20">
        <v>1474</v>
      </c>
      <c r="H101" s="20">
        <v>951</v>
      </c>
      <c r="I101" s="20">
        <v>1124</v>
      </c>
      <c r="J101" s="20">
        <v>1323</v>
      </c>
      <c r="K101" s="20">
        <v>1078</v>
      </c>
      <c r="L101" s="20">
        <v>1217</v>
      </c>
      <c r="M101" s="20">
        <v>1956.1274143299809</v>
      </c>
      <c r="N101" s="20"/>
      <c r="O101" s="83"/>
      <c r="P101" s="20"/>
      <c r="Q101" s="20"/>
      <c r="R101" s="20"/>
    </row>
    <row r="102" spans="1:18" ht="18.75" hidden="1" customHeight="1" x14ac:dyDescent="0.35">
      <c r="A102" s="12" t="s">
        <v>18</v>
      </c>
      <c r="B102" s="82">
        <v>2025</v>
      </c>
      <c r="C102" s="35" t="s">
        <v>41</v>
      </c>
      <c r="D102" s="36" t="s">
        <v>121</v>
      </c>
      <c r="E102" s="35" t="s">
        <v>23</v>
      </c>
      <c r="F102" s="15" t="s">
        <v>26</v>
      </c>
      <c r="G102" s="19">
        <v>0</v>
      </c>
      <c r="H102" s="19">
        <v>0</v>
      </c>
      <c r="I102" s="19">
        <v>0</v>
      </c>
      <c r="J102" s="19">
        <v>0</v>
      </c>
      <c r="K102" s="19">
        <v>786</v>
      </c>
      <c r="L102" s="19">
        <v>173</v>
      </c>
      <c r="M102" s="19">
        <v>265.39253927142113</v>
      </c>
      <c r="N102" s="19"/>
      <c r="O102" s="67"/>
      <c r="P102" s="19"/>
      <c r="Q102" s="19"/>
      <c r="R102" s="19"/>
    </row>
    <row r="103" spans="1:18" ht="18.75" hidden="1" customHeight="1" x14ac:dyDescent="0.35">
      <c r="A103" s="4" t="s">
        <v>18</v>
      </c>
      <c r="B103" s="79">
        <v>2025</v>
      </c>
      <c r="C103" s="37" t="s">
        <v>41</v>
      </c>
      <c r="D103" s="38" t="s">
        <v>51</v>
      </c>
      <c r="E103" s="37" t="s">
        <v>23</v>
      </c>
      <c r="F103" s="7" t="s">
        <v>26</v>
      </c>
      <c r="G103" s="20">
        <v>822</v>
      </c>
      <c r="H103" s="20">
        <v>817</v>
      </c>
      <c r="I103" s="20">
        <v>838</v>
      </c>
      <c r="J103" s="20">
        <v>1172</v>
      </c>
      <c r="K103" s="20">
        <v>847</v>
      </c>
      <c r="L103" s="20">
        <v>1194</v>
      </c>
      <c r="M103" s="20">
        <v>1285.2895729537263</v>
      </c>
      <c r="N103" s="20"/>
      <c r="O103" s="83"/>
      <c r="P103" s="20"/>
      <c r="Q103" s="20"/>
      <c r="R103" s="20"/>
    </row>
    <row r="104" spans="1:18" ht="18.75" hidden="1" customHeight="1" x14ac:dyDescent="0.35">
      <c r="A104" s="12" t="s">
        <v>18</v>
      </c>
      <c r="B104" s="82">
        <v>2025</v>
      </c>
      <c r="C104" s="35" t="s">
        <v>41</v>
      </c>
      <c r="D104" s="36" t="s">
        <v>52</v>
      </c>
      <c r="E104" s="35" t="s">
        <v>23</v>
      </c>
      <c r="F104" s="15" t="s">
        <v>26</v>
      </c>
      <c r="G104" s="19">
        <v>503</v>
      </c>
      <c r="H104" s="19">
        <v>377</v>
      </c>
      <c r="I104" s="19">
        <v>400</v>
      </c>
      <c r="J104" s="19">
        <v>498</v>
      </c>
      <c r="K104" s="19">
        <v>333</v>
      </c>
      <c r="L104" s="19">
        <v>413</v>
      </c>
      <c r="M104" s="19">
        <v>586.1047289939105</v>
      </c>
      <c r="N104" s="19"/>
      <c r="O104" s="67"/>
      <c r="P104" s="19"/>
      <c r="Q104" s="19"/>
      <c r="R104" s="19"/>
    </row>
    <row r="105" spans="1:18" ht="18.75" hidden="1" customHeight="1" x14ac:dyDescent="0.35">
      <c r="A105" s="4" t="s">
        <v>18</v>
      </c>
      <c r="B105" s="79">
        <v>2025</v>
      </c>
      <c r="C105" s="37" t="s">
        <v>41</v>
      </c>
      <c r="D105" s="38" t="s">
        <v>53</v>
      </c>
      <c r="E105" s="37" t="s">
        <v>23</v>
      </c>
      <c r="F105" s="7" t="s">
        <v>26</v>
      </c>
      <c r="G105" s="20">
        <v>291</v>
      </c>
      <c r="H105" s="20">
        <v>458</v>
      </c>
      <c r="I105" s="20">
        <v>352</v>
      </c>
      <c r="J105" s="20">
        <v>227</v>
      </c>
      <c r="K105" s="20">
        <v>333</v>
      </c>
      <c r="L105" s="20">
        <v>431</v>
      </c>
      <c r="M105" s="20">
        <v>346.38628170657404</v>
      </c>
      <c r="N105" s="20"/>
      <c r="O105" s="83"/>
      <c r="P105" s="20"/>
      <c r="Q105" s="20"/>
      <c r="R105" s="20"/>
    </row>
    <row r="106" spans="1:18" ht="18.75" hidden="1" customHeight="1" x14ac:dyDescent="0.35">
      <c r="A106" s="12" t="s">
        <v>18</v>
      </c>
      <c r="B106" s="82">
        <v>2025</v>
      </c>
      <c r="C106" s="35" t="s">
        <v>41</v>
      </c>
      <c r="D106" s="36" t="s">
        <v>54</v>
      </c>
      <c r="E106" s="35" t="s">
        <v>23</v>
      </c>
      <c r="F106" s="15" t="s">
        <v>26</v>
      </c>
      <c r="G106" s="19">
        <v>5</v>
      </c>
      <c r="H106" s="19">
        <v>53</v>
      </c>
      <c r="I106" s="19">
        <v>38</v>
      </c>
      <c r="J106" s="19">
        <v>29</v>
      </c>
      <c r="K106" s="19">
        <v>60</v>
      </c>
      <c r="L106" s="19">
        <v>54</v>
      </c>
      <c r="M106" s="19">
        <v>75.795130393538372</v>
      </c>
      <c r="N106" s="19"/>
      <c r="O106" s="67"/>
      <c r="P106" s="19"/>
      <c r="Q106" s="19"/>
      <c r="R106" s="19"/>
    </row>
    <row r="107" spans="1:18" ht="18.75" hidden="1" customHeight="1" x14ac:dyDescent="0.35">
      <c r="A107" s="4" t="s">
        <v>18</v>
      </c>
      <c r="B107" s="79">
        <v>2025</v>
      </c>
      <c r="C107" s="6" t="s">
        <v>55</v>
      </c>
      <c r="D107" s="6" t="s">
        <v>56</v>
      </c>
      <c r="E107" s="37" t="s">
        <v>23</v>
      </c>
      <c r="F107" s="7" t="s">
        <v>26</v>
      </c>
      <c r="G107" s="39">
        <v>92</v>
      </c>
      <c r="H107" s="39">
        <v>109</v>
      </c>
      <c r="I107" s="39">
        <v>105</v>
      </c>
      <c r="J107" s="39">
        <v>100</v>
      </c>
      <c r="K107" s="39">
        <v>96</v>
      </c>
      <c r="L107" s="39">
        <v>158</v>
      </c>
      <c r="M107" s="39">
        <v>130</v>
      </c>
      <c r="N107" s="39"/>
      <c r="O107" s="39"/>
      <c r="P107" s="39"/>
      <c r="Q107" s="39"/>
      <c r="R107" s="39"/>
    </row>
    <row r="108" spans="1:18" ht="18.75" hidden="1" customHeight="1" x14ac:dyDescent="0.35">
      <c r="A108" s="12" t="s">
        <v>18</v>
      </c>
      <c r="B108" s="82">
        <v>2025</v>
      </c>
      <c r="C108" s="14" t="s">
        <v>57</v>
      </c>
      <c r="D108" s="14" t="s">
        <v>58</v>
      </c>
      <c r="E108" s="35" t="s">
        <v>23</v>
      </c>
      <c r="F108" s="15" t="s">
        <v>26</v>
      </c>
      <c r="G108" s="40">
        <v>68</v>
      </c>
      <c r="H108" s="40">
        <v>71</v>
      </c>
      <c r="I108" s="40">
        <v>77</v>
      </c>
      <c r="J108" s="40">
        <v>65</v>
      </c>
      <c r="K108" s="40">
        <v>91</v>
      </c>
      <c r="L108" s="40">
        <v>65</v>
      </c>
      <c r="M108" s="40">
        <v>97</v>
      </c>
      <c r="N108" s="40"/>
      <c r="O108" s="40"/>
      <c r="P108" s="40"/>
      <c r="Q108" s="40"/>
      <c r="R108" s="40"/>
    </row>
    <row r="109" spans="1:18" ht="18.75" hidden="1" customHeight="1" x14ac:dyDescent="0.35">
      <c r="A109" s="93" t="s">
        <v>36</v>
      </c>
      <c r="B109" s="79">
        <v>2025</v>
      </c>
      <c r="C109" s="94" t="s">
        <v>122</v>
      </c>
      <c r="D109" s="94"/>
      <c r="E109" s="94" t="s">
        <v>23</v>
      </c>
      <c r="F109" s="95" t="s">
        <v>35</v>
      </c>
      <c r="G109" s="96">
        <v>0.96</v>
      </c>
      <c r="H109" s="96">
        <v>0.98</v>
      </c>
      <c r="I109" s="96">
        <v>0.99</v>
      </c>
      <c r="J109" s="96">
        <v>1</v>
      </c>
      <c r="K109" s="96">
        <v>1</v>
      </c>
      <c r="L109" s="96">
        <v>1</v>
      </c>
      <c r="M109" s="97"/>
      <c r="N109" s="97"/>
      <c r="O109" s="97"/>
      <c r="P109" s="97"/>
      <c r="Q109" s="97"/>
      <c r="R109" s="97"/>
    </row>
    <row r="110" spans="1:18" ht="18.75" hidden="1" customHeight="1" x14ac:dyDescent="0.35">
      <c r="A110" s="12" t="s">
        <v>123</v>
      </c>
      <c r="B110" s="13">
        <v>2025</v>
      </c>
      <c r="C110" s="14" t="s">
        <v>19</v>
      </c>
      <c r="D110" s="14"/>
      <c r="E110" s="14" t="s">
        <v>20</v>
      </c>
      <c r="F110" s="15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9"/>
      <c r="Q110" s="19"/>
      <c r="R110" s="19"/>
    </row>
    <row r="111" spans="1:18" ht="18.75" hidden="1" customHeight="1" x14ac:dyDescent="0.35">
      <c r="A111" s="4" t="s">
        <v>59</v>
      </c>
      <c r="B111" s="5">
        <v>2025</v>
      </c>
      <c r="C111" s="6" t="s">
        <v>64</v>
      </c>
      <c r="D111" s="6"/>
      <c r="E111" s="6" t="s">
        <v>23</v>
      </c>
      <c r="F111" s="7" t="s">
        <v>63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59</v>
      </c>
      <c r="B112" s="13">
        <v>2025</v>
      </c>
      <c r="C112" s="14" t="s">
        <v>124</v>
      </c>
      <c r="D112" s="14"/>
      <c r="E112" s="14" t="s">
        <v>23</v>
      </c>
      <c r="F112" s="15" t="s">
        <v>63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59</v>
      </c>
      <c r="B113" s="5">
        <v>2025</v>
      </c>
      <c r="C113" s="6" t="s">
        <v>65</v>
      </c>
      <c r="D113" s="6"/>
      <c r="E113" s="6" t="s">
        <v>23</v>
      </c>
      <c r="F113" s="7" t="s">
        <v>63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59</v>
      </c>
      <c r="B114" s="13">
        <v>2025</v>
      </c>
      <c r="C114" s="14" t="s">
        <v>66</v>
      </c>
      <c r="D114" s="14"/>
      <c r="E114" s="14" t="s">
        <v>23</v>
      </c>
      <c r="F114" s="15" t="s">
        <v>63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59</v>
      </c>
      <c r="B115" s="5">
        <v>2025</v>
      </c>
      <c r="C115" s="6" t="s">
        <v>125</v>
      </c>
      <c r="D115" s="6"/>
      <c r="E115" s="6" t="s">
        <v>23</v>
      </c>
      <c r="F115" s="7" t="s">
        <v>63</v>
      </c>
      <c r="G115" s="65">
        <f>3836050+297544</f>
        <v>4133594</v>
      </c>
      <c r="H115" s="65">
        <f>3827396+318731</f>
        <v>4146127</v>
      </c>
      <c r="I115" s="65">
        <f>3927679+340554</f>
        <v>4268233</v>
      </c>
      <c r="J115" s="65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59</v>
      </c>
      <c r="B116" s="13">
        <v>2025</v>
      </c>
      <c r="C116" s="14" t="s">
        <v>126</v>
      </c>
      <c r="D116" s="14"/>
      <c r="E116" s="14" t="s">
        <v>20</v>
      </c>
      <c r="F116" s="15" t="s">
        <v>61</v>
      </c>
      <c r="G116" s="98">
        <v>19426375</v>
      </c>
      <c r="H116" s="98">
        <v>11107955</v>
      </c>
      <c r="I116" s="98">
        <v>18463922</v>
      </c>
      <c r="J116" s="98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59</v>
      </c>
      <c r="B117" s="5">
        <v>2025</v>
      </c>
      <c r="C117" s="6" t="s">
        <v>127</v>
      </c>
      <c r="D117" s="6"/>
      <c r="E117" s="6" t="s">
        <v>23</v>
      </c>
      <c r="F117" s="7" t="s">
        <v>63</v>
      </c>
      <c r="G117" s="65">
        <f>+(-771)+(-392)</f>
        <v>-1163</v>
      </c>
      <c r="H117" s="65">
        <f>+(-7813)+(-6258)</f>
        <v>-14071</v>
      </c>
      <c r="I117" s="65">
        <f>+(-5687)+(-135)</f>
        <v>-5822</v>
      </c>
      <c r="J117" s="65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59</v>
      </c>
      <c r="B118" s="13">
        <v>2025</v>
      </c>
      <c r="C118" s="14" t="s">
        <v>128</v>
      </c>
      <c r="D118" s="14"/>
      <c r="E118" s="14" t="s">
        <v>23</v>
      </c>
      <c r="F118" s="15" t="s">
        <v>63</v>
      </c>
      <c r="G118" s="98">
        <f>+(-43073270)+(-22803841)</f>
        <v>-65877111</v>
      </c>
      <c r="H118" s="98">
        <f>+(-523386901)+(-250851824)</f>
        <v>-774238725</v>
      </c>
      <c r="I118" s="98">
        <f>+(-438820043)+(-8284545)</f>
        <v>-447104588</v>
      </c>
      <c r="J118" s="98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59</v>
      </c>
      <c r="B119" s="5">
        <v>2025</v>
      </c>
      <c r="C119" s="6" t="s">
        <v>111</v>
      </c>
      <c r="D119" s="6"/>
      <c r="E119" s="6" t="s">
        <v>23</v>
      </c>
      <c r="F119" s="7" t="s">
        <v>63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59</v>
      </c>
      <c r="B120" s="13">
        <v>2025</v>
      </c>
      <c r="C120" s="14" t="s">
        <v>129</v>
      </c>
      <c r="D120" s="14"/>
      <c r="E120" s="14" t="s">
        <v>23</v>
      </c>
      <c r="F120" s="15" t="s">
        <v>63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69</v>
      </c>
      <c r="B121" s="5">
        <v>2025</v>
      </c>
      <c r="C121" s="6" t="s">
        <v>70</v>
      </c>
      <c r="D121" s="6"/>
      <c r="E121" s="6" t="s">
        <v>23</v>
      </c>
      <c r="F121" s="43" t="s">
        <v>26</v>
      </c>
      <c r="G121" s="39">
        <v>7256</v>
      </c>
      <c r="H121" s="39">
        <v>8036</v>
      </c>
      <c r="I121" s="39">
        <v>8043</v>
      </c>
      <c r="J121" s="39">
        <v>8269</v>
      </c>
      <c r="K121" s="39">
        <v>9283</v>
      </c>
      <c r="L121" s="39">
        <v>9663</v>
      </c>
      <c r="M121" s="39">
        <v>11346</v>
      </c>
      <c r="N121" s="39"/>
      <c r="O121" s="39"/>
      <c r="P121" s="39"/>
      <c r="Q121" s="39"/>
      <c r="R121" s="39"/>
    </row>
    <row r="122" spans="1:18" ht="18.75" hidden="1" customHeight="1" x14ac:dyDescent="0.35">
      <c r="A122" s="12" t="s">
        <v>69</v>
      </c>
      <c r="B122" s="13">
        <v>2025</v>
      </c>
      <c r="C122" s="14" t="s">
        <v>71</v>
      </c>
      <c r="D122" s="14"/>
      <c r="E122" s="14" t="s">
        <v>23</v>
      </c>
      <c r="F122" s="42" t="s">
        <v>26</v>
      </c>
      <c r="G122" s="40">
        <v>1599</v>
      </c>
      <c r="H122" s="40">
        <v>1479</v>
      </c>
      <c r="I122" s="40">
        <v>1662</v>
      </c>
      <c r="J122" s="40">
        <v>1108</v>
      </c>
      <c r="K122" s="40">
        <v>795</v>
      </c>
      <c r="L122" s="40">
        <v>699</v>
      </c>
      <c r="M122" s="40">
        <v>395</v>
      </c>
      <c r="N122" s="40"/>
      <c r="O122" s="40"/>
      <c r="P122" s="40"/>
      <c r="Q122" s="40"/>
      <c r="R122" s="40"/>
    </row>
    <row r="123" spans="1:18" ht="18.75" hidden="1" customHeight="1" x14ac:dyDescent="0.35">
      <c r="A123" s="4" t="s">
        <v>69</v>
      </c>
      <c r="B123" s="5">
        <v>2025</v>
      </c>
      <c r="C123" s="6" t="s">
        <v>130</v>
      </c>
      <c r="D123" s="6"/>
      <c r="E123" s="6" t="s">
        <v>23</v>
      </c>
      <c r="F123" s="43" t="s">
        <v>26</v>
      </c>
      <c r="G123" s="39">
        <v>40</v>
      </c>
      <c r="H123" s="39">
        <v>82</v>
      </c>
      <c r="I123" s="39">
        <v>127</v>
      </c>
      <c r="J123" s="39">
        <v>173</v>
      </c>
      <c r="K123" s="39">
        <v>120</v>
      </c>
      <c r="L123" s="39">
        <v>149</v>
      </c>
      <c r="M123" s="39">
        <v>111</v>
      </c>
      <c r="N123" s="39"/>
      <c r="O123" s="39"/>
      <c r="P123" s="39"/>
      <c r="Q123" s="39"/>
      <c r="R123" s="39"/>
    </row>
    <row r="124" spans="1:18" ht="18.75" hidden="1" customHeight="1" x14ac:dyDescent="0.35">
      <c r="A124" s="12" t="s">
        <v>69</v>
      </c>
      <c r="B124" s="13">
        <v>2025</v>
      </c>
      <c r="C124" s="14" t="s">
        <v>131</v>
      </c>
      <c r="D124" s="14"/>
      <c r="E124" s="14" t="s">
        <v>23</v>
      </c>
      <c r="F124" s="42" t="s">
        <v>26</v>
      </c>
      <c r="G124" s="40">
        <v>23</v>
      </c>
      <c r="H124" s="40">
        <v>62</v>
      </c>
      <c r="I124" s="40">
        <v>87</v>
      </c>
      <c r="J124" s="40">
        <v>71</v>
      </c>
      <c r="K124" s="40">
        <v>86</v>
      </c>
      <c r="L124" s="40">
        <v>83</v>
      </c>
      <c r="M124" s="40">
        <v>62</v>
      </c>
      <c r="N124" s="40"/>
      <c r="O124" s="40"/>
      <c r="P124" s="40"/>
      <c r="Q124" s="40"/>
      <c r="R124" s="40"/>
    </row>
    <row r="125" spans="1:18" ht="18.75" hidden="1" customHeight="1" x14ac:dyDescent="0.35">
      <c r="A125" s="4" t="s">
        <v>69</v>
      </c>
      <c r="B125" s="5">
        <v>2025</v>
      </c>
      <c r="C125" s="6" t="s">
        <v>132</v>
      </c>
      <c r="D125" s="6"/>
      <c r="E125" s="6" t="s">
        <v>23</v>
      </c>
      <c r="F125" s="43" t="s">
        <v>26</v>
      </c>
      <c r="G125" s="39">
        <v>1</v>
      </c>
      <c r="H125" s="39">
        <v>6</v>
      </c>
      <c r="I125" s="39">
        <v>10</v>
      </c>
      <c r="J125" s="39">
        <v>6</v>
      </c>
      <c r="K125" s="39">
        <v>22</v>
      </c>
      <c r="L125" s="39">
        <v>26</v>
      </c>
      <c r="M125" s="39">
        <v>32</v>
      </c>
      <c r="N125" s="39"/>
      <c r="O125" s="39"/>
      <c r="P125" s="39"/>
      <c r="Q125" s="39"/>
      <c r="R125" s="39"/>
    </row>
    <row r="126" spans="1:18" ht="18.75" hidden="1" customHeight="1" x14ac:dyDescent="0.35">
      <c r="A126" s="12" t="s">
        <v>69</v>
      </c>
      <c r="B126" s="13">
        <v>2025</v>
      </c>
      <c r="C126" s="14" t="s">
        <v>133</v>
      </c>
      <c r="D126" s="14"/>
      <c r="E126" s="14" t="s">
        <v>23</v>
      </c>
      <c r="F126" s="42" t="s">
        <v>26</v>
      </c>
      <c r="G126" s="40">
        <v>0</v>
      </c>
      <c r="H126" s="40">
        <v>1</v>
      </c>
      <c r="I126" s="40">
        <v>3</v>
      </c>
      <c r="J126" s="40">
        <v>0</v>
      </c>
      <c r="K126" s="40">
        <v>10</v>
      </c>
      <c r="L126" s="40">
        <v>10</v>
      </c>
      <c r="M126" s="40">
        <v>11</v>
      </c>
      <c r="N126" s="40"/>
      <c r="O126" s="40"/>
      <c r="P126" s="40"/>
      <c r="Q126" s="40"/>
      <c r="R126" s="40"/>
    </row>
    <row r="127" spans="1:18" ht="18.75" hidden="1" customHeight="1" x14ac:dyDescent="0.35">
      <c r="A127" s="4" t="s">
        <v>69</v>
      </c>
      <c r="B127" s="5">
        <v>2025</v>
      </c>
      <c r="C127" s="6" t="s">
        <v>134</v>
      </c>
      <c r="D127" s="6"/>
      <c r="E127" s="6" t="s">
        <v>23</v>
      </c>
      <c r="F127" s="43" t="s">
        <v>26</v>
      </c>
      <c r="G127" s="39">
        <v>6</v>
      </c>
      <c r="H127" s="39">
        <v>26</v>
      </c>
      <c r="I127" s="39">
        <v>48</v>
      </c>
      <c r="J127" s="39">
        <v>8</v>
      </c>
      <c r="K127" s="39">
        <v>69</v>
      </c>
      <c r="L127" s="39">
        <v>43</v>
      </c>
      <c r="M127" s="39">
        <v>51</v>
      </c>
      <c r="N127" s="39"/>
      <c r="O127" s="39"/>
      <c r="P127" s="39"/>
      <c r="Q127" s="39"/>
      <c r="R127" s="39"/>
    </row>
    <row r="128" spans="1:18" ht="18.75" hidden="1" customHeight="1" x14ac:dyDescent="0.35">
      <c r="A128" s="12" t="s">
        <v>69</v>
      </c>
      <c r="B128" s="13">
        <v>2025</v>
      </c>
      <c r="C128" s="14" t="s">
        <v>135</v>
      </c>
      <c r="D128" s="14"/>
      <c r="E128" s="14" t="s">
        <v>20</v>
      </c>
      <c r="F128" s="42" t="s">
        <v>21</v>
      </c>
      <c r="G128" s="40">
        <v>0</v>
      </c>
      <c r="H128" s="40">
        <v>79000</v>
      </c>
      <c r="I128" s="40">
        <v>16800</v>
      </c>
      <c r="J128" s="40">
        <v>3396547</v>
      </c>
      <c r="K128" s="40">
        <v>1087480</v>
      </c>
      <c r="L128" s="40">
        <v>2803741</v>
      </c>
      <c r="M128" s="40">
        <v>5153560</v>
      </c>
      <c r="N128" s="40"/>
      <c r="O128" s="40"/>
      <c r="P128" s="45"/>
      <c r="Q128" s="45"/>
      <c r="R128" s="45"/>
    </row>
    <row r="129" spans="1:18" ht="18.75" hidden="1" customHeight="1" x14ac:dyDescent="0.35">
      <c r="A129" s="4" t="s">
        <v>69</v>
      </c>
      <c r="B129" s="5">
        <v>2025</v>
      </c>
      <c r="C129" s="6" t="s">
        <v>136</v>
      </c>
      <c r="D129" s="6"/>
      <c r="E129" s="6" t="s">
        <v>23</v>
      </c>
      <c r="F129" s="43" t="s">
        <v>35</v>
      </c>
      <c r="G129" s="96"/>
      <c r="H129" s="96"/>
      <c r="I129" s="96">
        <v>0.72</v>
      </c>
      <c r="J129" s="96">
        <v>0.75</v>
      </c>
      <c r="K129" s="96">
        <v>0.84</v>
      </c>
      <c r="L129" s="96">
        <v>0.93</v>
      </c>
      <c r="M129" s="96">
        <v>0.95</v>
      </c>
      <c r="N129" s="96"/>
      <c r="O129" s="96"/>
      <c r="P129" s="96"/>
      <c r="Q129" s="96"/>
      <c r="R129" s="96"/>
    </row>
    <row r="130" spans="1:18" ht="18.75" hidden="1" customHeight="1" x14ac:dyDescent="0.35">
      <c r="A130" s="12" t="s">
        <v>69</v>
      </c>
      <c r="B130" s="13">
        <v>2025</v>
      </c>
      <c r="C130" s="14" t="s">
        <v>102</v>
      </c>
      <c r="D130" s="14"/>
      <c r="E130" s="14" t="s">
        <v>23</v>
      </c>
      <c r="F130" s="42" t="s">
        <v>26</v>
      </c>
      <c r="G130" s="40">
        <v>16</v>
      </c>
      <c r="H130" s="40">
        <v>16</v>
      </c>
      <c r="I130" s="40">
        <v>16</v>
      </c>
      <c r="J130" s="40">
        <v>16</v>
      </c>
      <c r="K130" s="40">
        <v>16</v>
      </c>
      <c r="L130" s="40">
        <v>16</v>
      </c>
      <c r="M130" s="40">
        <v>16</v>
      </c>
      <c r="N130" s="99"/>
      <c r="O130" s="99"/>
      <c r="P130" s="99"/>
      <c r="Q130" s="99"/>
      <c r="R130" s="99"/>
    </row>
    <row r="131" spans="1:18" ht="18.75" hidden="1" customHeight="1" x14ac:dyDescent="0.35">
      <c r="A131" s="4" t="s">
        <v>69</v>
      </c>
      <c r="B131" s="5">
        <v>2025</v>
      </c>
      <c r="C131" s="6" t="s">
        <v>137</v>
      </c>
      <c r="D131" s="6"/>
      <c r="E131" s="6" t="s">
        <v>23</v>
      </c>
      <c r="F131" s="43" t="s">
        <v>26</v>
      </c>
      <c r="G131" s="39">
        <v>12</v>
      </c>
      <c r="H131" s="39">
        <v>12</v>
      </c>
      <c r="I131" s="39">
        <v>12</v>
      </c>
      <c r="J131" s="39">
        <v>12</v>
      </c>
      <c r="K131" s="39">
        <v>12</v>
      </c>
      <c r="L131" s="39">
        <v>12</v>
      </c>
      <c r="M131" s="39">
        <v>12</v>
      </c>
      <c r="N131" s="96"/>
      <c r="O131" s="96"/>
      <c r="P131" s="96"/>
      <c r="Q131" s="96"/>
      <c r="R131" s="96"/>
    </row>
    <row r="132" spans="1:18" ht="18.75" hidden="1" customHeight="1" x14ac:dyDescent="0.35">
      <c r="A132" s="12" t="s">
        <v>69</v>
      </c>
      <c r="B132" s="13">
        <v>2025</v>
      </c>
      <c r="C132" s="14" t="s">
        <v>76</v>
      </c>
      <c r="D132" s="14"/>
      <c r="E132" s="14" t="s">
        <v>23</v>
      </c>
      <c r="F132" s="42" t="s">
        <v>26</v>
      </c>
      <c r="G132" s="40">
        <v>4</v>
      </c>
      <c r="H132" s="40">
        <v>7</v>
      </c>
      <c r="I132" s="40">
        <v>7</v>
      </c>
      <c r="J132" s="40">
        <v>17</v>
      </c>
      <c r="K132" s="40">
        <v>6</v>
      </c>
      <c r="L132" s="40">
        <v>9</v>
      </c>
      <c r="M132" s="40">
        <v>4</v>
      </c>
      <c r="N132" s="40"/>
      <c r="O132" s="40"/>
      <c r="P132" s="45"/>
      <c r="Q132" s="45"/>
      <c r="R132" s="45"/>
    </row>
    <row r="133" spans="1:18" ht="18.75" hidden="1" customHeight="1" x14ac:dyDescent="0.4">
      <c r="A133" s="4" t="s">
        <v>69</v>
      </c>
      <c r="B133" s="5">
        <v>2025</v>
      </c>
      <c r="C133" s="6" t="s">
        <v>78</v>
      </c>
      <c r="D133" s="6"/>
      <c r="E133" s="6" t="s">
        <v>20</v>
      </c>
      <c r="F133" s="43" t="s">
        <v>21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49"/>
      <c r="Q133" s="49"/>
      <c r="R133" s="49"/>
    </row>
    <row r="134" spans="1:18" ht="18.75" hidden="1" customHeight="1" x14ac:dyDescent="0.4">
      <c r="A134" s="12" t="s">
        <v>69</v>
      </c>
      <c r="B134" s="13">
        <v>2025</v>
      </c>
      <c r="C134" s="14" t="s">
        <v>79</v>
      </c>
      <c r="D134" s="14"/>
      <c r="E134" s="14" t="s">
        <v>23</v>
      </c>
      <c r="F134" s="15" t="s">
        <v>26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100"/>
      <c r="Q134" s="100"/>
      <c r="R134" s="100"/>
    </row>
    <row r="135" spans="1:18" ht="18.75" hidden="1" customHeight="1" x14ac:dyDescent="0.35">
      <c r="A135" s="4" t="s">
        <v>80</v>
      </c>
      <c r="B135" s="5">
        <v>2025</v>
      </c>
      <c r="C135" s="6" t="s">
        <v>82</v>
      </c>
      <c r="D135" s="6"/>
      <c r="E135" s="6" t="s">
        <v>23</v>
      </c>
      <c r="F135" s="43" t="s">
        <v>26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80</v>
      </c>
      <c r="B136" s="13">
        <v>2025</v>
      </c>
      <c r="C136" s="14" t="s">
        <v>83</v>
      </c>
      <c r="D136" s="14"/>
      <c r="E136" s="14" t="s">
        <v>23</v>
      </c>
      <c r="F136" s="42" t="s">
        <v>26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80</v>
      </c>
      <c r="B137" s="5">
        <v>2025</v>
      </c>
      <c r="C137" s="6" t="s">
        <v>84</v>
      </c>
      <c r="D137" s="6"/>
      <c r="E137" s="6" t="s">
        <v>23</v>
      </c>
      <c r="F137" s="43" t="s">
        <v>26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80</v>
      </c>
      <c r="B138" s="13">
        <v>2025</v>
      </c>
      <c r="C138" s="14" t="s">
        <v>138</v>
      </c>
      <c r="D138" s="14"/>
      <c r="E138" s="14" t="s">
        <v>23</v>
      </c>
      <c r="F138" s="42" t="s">
        <v>26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80</v>
      </c>
      <c r="B139" s="5">
        <v>2025</v>
      </c>
      <c r="C139" s="6" t="s">
        <v>86</v>
      </c>
      <c r="D139" s="6"/>
      <c r="E139" s="6" t="s">
        <v>23</v>
      </c>
      <c r="F139" s="43" t="s">
        <v>26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80</v>
      </c>
      <c r="B140" s="13">
        <v>2025</v>
      </c>
      <c r="C140" s="35" t="s">
        <v>87</v>
      </c>
      <c r="D140" s="35"/>
      <c r="E140" s="14" t="s">
        <v>23</v>
      </c>
      <c r="F140" s="42" t="s">
        <v>26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80</v>
      </c>
      <c r="B141" s="5">
        <v>2025</v>
      </c>
      <c r="C141" s="37" t="s">
        <v>88</v>
      </c>
      <c r="D141" s="37"/>
      <c r="E141" s="6" t="s">
        <v>23</v>
      </c>
      <c r="F141" s="43" t="s">
        <v>26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80</v>
      </c>
      <c r="B142" s="13">
        <v>2025</v>
      </c>
      <c r="C142" s="14" t="s">
        <v>89</v>
      </c>
      <c r="D142" s="14"/>
      <c r="E142" s="14" t="s">
        <v>23</v>
      </c>
      <c r="F142" s="42" t="s">
        <v>26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80</v>
      </c>
      <c r="B143" s="5">
        <v>2025</v>
      </c>
      <c r="C143" s="6" t="s">
        <v>90</v>
      </c>
      <c r="D143" s="6"/>
      <c r="E143" s="6" t="s">
        <v>20</v>
      </c>
      <c r="F143" s="7" t="s">
        <v>21</v>
      </c>
      <c r="G143" s="41">
        <v>1681551</v>
      </c>
      <c r="H143" s="41">
        <v>324129</v>
      </c>
      <c r="I143" s="41">
        <v>178153</v>
      </c>
      <c r="J143" s="41">
        <v>137005</v>
      </c>
      <c r="K143" s="41">
        <v>520194</v>
      </c>
      <c r="L143" s="41">
        <v>680887</v>
      </c>
      <c r="M143" s="41">
        <v>538368</v>
      </c>
      <c r="N143" s="41"/>
      <c r="O143" s="41"/>
      <c r="P143" s="41"/>
      <c r="Q143" s="41"/>
      <c r="R143" s="41"/>
    </row>
    <row r="144" spans="1:18" ht="18.75" hidden="1" customHeight="1" x14ac:dyDescent="0.35">
      <c r="A144" s="12" t="s">
        <v>80</v>
      </c>
      <c r="B144" s="13">
        <v>2025</v>
      </c>
      <c r="C144" s="14" t="s">
        <v>139</v>
      </c>
      <c r="D144" s="14"/>
      <c r="E144" s="14" t="s">
        <v>20</v>
      </c>
      <c r="F144" s="42" t="s">
        <v>21</v>
      </c>
      <c r="G144" s="62">
        <v>0</v>
      </c>
      <c r="H144" s="62">
        <v>9908828</v>
      </c>
      <c r="I144" s="62">
        <v>0</v>
      </c>
      <c r="J144" s="62">
        <v>1492621</v>
      </c>
      <c r="K144" s="62">
        <v>0</v>
      </c>
      <c r="L144" s="62">
        <v>4415441</v>
      </c>
      <c r="M144" s="62">
        <v>6355532</v>
      </c>
      <c r="N144" s="18"/>
      <c r="O144" s="71"/>
      <c r="P144" s="71"/>
      <c r="Q144" s="71"/>
      <c r="R144" s="71"/>
    </row>
    <row r="145" spans="1:18" ht="18.75" hidden="1" customHeight="1" x14ac:dyDescent="0.35">
      <c r="A145" s="4" t="s">
        <v>80</v>
      </c>
      <c r="B145" s="5">
        <v>2025</v>
      </c>
      <c r="C145" s="6" t="s">
        <v>109</v>
      </c>
      <c r="D145" s="6"/>
      <c r="E145" s="6" t="s">
        <v>20</v>
      </c>
      <c r="F145" s="7" t="s">
        <v>21</v>
      </c>
      <c r="G145" s="41">
        <v>27136071</v>
      </c>
      <c r="H145" s="41">
        <v>2224907</v>
      </c>
      <c r="I145" s="41">
        <v>2154030</v>
      </c>
      <c r="J145" s="41">
        <v>1496608</v>
      </c>
      <c r="K145" s="41">
        <v>2585129</v>
      </c>
      <c r="L145" s="41">
        <v>1652767</v>
      </c>
      <c r="M145" s="41">
        <v>1556520</v>
      </c>
      <c r="N145" s="41"/>
      <c r="O145" s="41"/>
      <c r="P145" s="41"/>
      <c r="Q145" s="41"/>
      <c r="R145" s="41"/>
    </row>
    <row r="146" spans="1:18" ht="18.75" hidden="1" customHeight="1" x14ac:dyDescent="0.35">
      <c r="A146" s="12" t="s">
        <v>80</v>
      </c>
      <c r="B146" s="13">
        <v>2025</v>
      </c>
      <c r="C146" s="14" t="s">
        <v>110</v>
      </c>
      <c r="D146" s="14"/>
      <c r="E146" s="14" t="s">
        <v>20</v>
      </c>
      <c r="F146" s="15" t="s">
        <v>21</v>
      </c>
      <c r="G146" s="62">
        <v>20357465</v>
      </c>
      <c r="H146" s="62">
        <v>26013078</v>
      </c>
      <c r="I146" s="62">
        <v>35835250</v>
      </c>
      <c r="J146" s="62">
        <v>39163406</v>
      </c>
      <c r="K146" s="62">
        <v>48792669</v>
      </c>
      <c r="L146" s="62">
        <v>32298975</v>
      </c>
      <c r="M146" s="62">
        <v>28520120</v>
      </c>
      <c r="N146" s="62"/>
      <c r="O146" s="62"/>
      <c r="P146" s="62"/>
      <c r="Q146" s="62"/>
      <c r="R146" s="62"/>
    </row>
    <row r="147" spans="1:18" ht="18.75" hidden="1" customHeight="1" x14ac:dyDescent="0.35">
      <c r="A147" s="88" t="s">
        <v>80</v>
      </c>
      <c r="B147" s="5">
        <v>2025</v>
      </c>
      <c r="C147" s="89" t="s">
        <v>140</v>
      </c>
      <c r="D147" s="89"/>
      <c r="E147" s="89" t="s">
        <v>23</v>
      </c>
      <c r="F147" s="90" t="s">
        <v>63</v>
      </c>
      <c r="G147" s="91">
        <v>21</v>
      </c>
      <c r="H147" s="91">
        <v>36</v>
      </c>
      <c r="I147" s="91">
        <v>10</v>
      </c>
      <c r="J147" s="91">
        <v>13</v>
      </c>
      <c r="K147" s="91">
        <v>11</v>
      </c>
      <c r="L147" s="91">
        <v>50</v>
      </c>
      <c r="M147" s="91">
        <v>25</v>
      </c>
      <c r="N147" s="69"/>
      <c r="O147" s="69"/>
      <c r="P147" s="69"/>
      <c r="Q147" s="69"/>
      <c r="R147" s="69"/>
    </row>
    <row r="148" spans="1:18" ht="18.75" hidden="1" customHeight="1" x14ac:dyDescent="0.35">
      <c r="A148" s="101" t="s">
        <v>141</v>
      </c>
      <c r="B148" s="13">
        <v>2025</v>
      </c>
      <c r="C148" s="102" t="s">
        <v>81</v>
      </c>
      <c r="D148" s="102"/>
      <c r="E148" s="102" t="s">
        <v>23</v>
      </c>
      <c r="F148" s="103" t="s">
        <v>26</v>
      </c>
      <c r="G148" s="104">
        <v>9</v>
      </c>
      <c r="H148" s="104">
        <v>8</v>
      </c>
      <c r="I148" s="104">
        <v>7</v>
      </c>
      <c r="J148" s="104">
        <v>20</v>
      </c>
      <c r="K148" s="104">
        <v>7</v>
      </c>
      <c r="L148" s="104">
        <v>6</v>
      </c>
      <c r="M148" s="105"/>
      <c r="N148" s="105"/>
      <c r="O148" s="105"/>
      <c r="P148" s="105"/>
      <c r="Q148" s="105"/>
      <c r="R148" s="105"/>
    </row>
    <row r="149" spans="1:18" ht="18.75" hidden="1" customHeight="1" x14ac:dyDescent="0.35">
      <c r="A149" s="88" t="s">
        <v>80</v>
      </c>
      <c r="B149" s="5">
        <v>2025</v>
      </c>
      <c r="C149" s="89" t="s">
        <v>142</v>
      </c>
      <c r="D149" s="89"/>
      <c r="E149" s="6" t="s">
        <v>20</v>
      </c>
      <c r="F149" s="7" t="s">
        <v>21</v>
      </c>
      <c r="G149" s="41">
        <v>98883018</v>
      </c>
      <c r="H149" s="41">
        <v>76629957</v>
      </c>
      <c r="I149" s="41">
        <v>104023403</v>
      </c>
      <c r="J149" s="41">
        <v>96715244</v>
      </c>
      <c r="K149" s="41">
        <v>97324083</v>
      </c>
      <c r="L149" s="41">
        <v>57510314</v>
      </c>
      <c r="M149" s="41"/>
      <c r="N149" s="41"/>
      <c r="O149" s="41"/>
      <c r="P149" s="41"/>
      <c r="Q149" s="41"/>
      <c r="R149" s="41"/>
    </row>
    <row r="150" spans="1:18" ht="18.75" hidden="1" customHeight="1" x14ac:dyDescent="0.35">
      <c r="A150" s="12" t="s">
        <v>91</v>
      </c>
      <c r="B150" s="13">
        <v>2025</v>
      </c>
      <c r="C150" s="14" t="s">
        <v>102</v>
      </c>
      <c r="D150" s="14"/>
      <c r="E150" s="14" t="s">
        <v>23</v>
      </c>
      <c r="F150" s="42" t="s">
        <v>26</v>
      </c>
      <c r="G150" s="40">
        <v>24</v>
      </c>
      <c r="H150" s="40">
        <v>24</v>
      </c>
      <c r="I150" s="40">
        <v>24</v>
      </c>
      <c r="J150" s="40">
        <v>24</v>
      </c>
      <c r="K150" s="40">
        <v>24</v>
      </c>
      <c r="L150" s="40">
        <v>24</v>
      </c>
      <c r="M150" s="40">
        <v>24</v>
      </c>
      <c r="N150" s="99"/>
      <c r="O150" s="99"/>
      <c r="P150" s="99"/>
      <c r="Q150" s="99"/>
      <c r="R150" s="99"/>
    </row>
    <row r="151" spans="1:18" ht="18.75" hidden="1" customHeight="1" x14ac:dyDescent="0.35">
      <c r="A151" s="4" t="s">
        <v>91</v>
      </c>
      <c r="B151" s="5">
        <v>2025</v>
      </c>
      <c r="C151" s="6" t="s">
        <v>143</v>
      </c>
      <c r="D151" s="6"/>
      <c r="E151" s="6" t="s">
        <v>23</v>
      </c>
      <c r="F151" s="43" t="s">
        <v>26</v>
      </c>
      <c r="G151" s="106">
        <v>25</v>
      </c>
      <c r="H151" s="106">
        <v>25</v>
      </c>
      <c r="I151" s="106">
        <v>25</v>
      </c>
      <c r="J151" s="106">
        <v>25</v>
      </c>
      <c r="K151" s="106">
        <v>25</v>
      </c>
      <c r="L151" s="106">
        <v>25</v>
      </c>
      <c r="M151" s="106">
        <v>25</v>
      </c>
      <c r="N151" s="41"/>
      <c r="O151" s="41"/>
      <c r="P151" s="41"/>
      <c r="Q151" s="41"/>
      <c r="R151" s="41"/>
    </row>
    <row r="152" spans="1:18" ht="18.75" hidden="1" customHeight="1" x14ac:dyDescent="0.35">
      <c r="A152" s="12" t="s">
        <v>91</v>
      </c>
      <c r="B152" s="13">
        <v>2025</v>
      </c>
      <c r="C152" s="107" t="s">
        <v>92</v>
      </c>
      <c r="D152" s="14"/>
      <c r="E152" s="14" t="s">
        <v>23</v>
      </c>
      <c r="F152" s="42" t="s">
        <v>26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71"/>
      <c r="P152" s="71"/>
      <c r="Q152" s="71"/>
      <c r="R152" s="71"/>
    </row>
    <row r="153" spans="1:18" ht="18.75" hidden="1" customHeight="1" x14ac:dyDescent="0.35">
      <c r="A153" s="4" t="s">
        <v>91</v>
      </c>
      <c r="B153" s="5">
        <v>2025</v>
      </c>
      <c r="C153" s="108" t="s">
        <v>144</v>
      </c>
      <c r="D153" s="6"/>
      <c r="E153" s="6" t="s">
        <v>23</v>
      </c>
      <c r="F153" s="43" t="s">
        <v>26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66"/>
      <c r="P153" s="66"/>
      <c r="Q153" s="66"/>
      <c r="R153" s="66"/>
    </row>
    <row r="154" spans="1:18" ht="18.75" hidden="1" customHeight="1" x14ac:dyDescent="0.35">
      <c r="A154" s="12" t="s">
        <v>91</v>
      </c>
      <c r="B154" s="13">
        <v>2025</v>
      </c>
      <c r="C154" s="14" t="s">
        <v>94</v>
      </c>
      <c r="D154" s="14"/>
      <c r="E154" s="14" t="s">
        <v>23</v>
      </c>
      <c r="F154" s="42" t="s">
        <v>26</v>
      </c>
      <c r="G154" s="19">
        <v>4</v>
      </c>
      <c r="H154" s="19">
        <v>45</v>
      </c>
      <c r="I154" s="19">
        <v>24</v>
      </c>
      <c r="J154" s="19">
        <v>60</v>
      </c>
      <c r="K154" s="19">
        <v>37</v>
      </c>
      <c r="L154" s="13">
        <v>22</v>
      </c>
      <c r="M154" s="13">
        <v>551</v>
      </c>
      <c r="N154" s="18"/>
      <c r="O154" s="71"/>
      <c r="P154" s="71"/>
      <c r="Q154" s="71"/>
      <c r="R154" s="71"/>
    </row>
    <row r="155" spans="1:18" ht="18.75" hidden="1" customHeight="1" x14ac:dyDescent="0.35">
      <c r="A155" s="4" t="s">
        <v>91</v>
      </c>
      <c r="B155" s="5">
        <v>2025</v>
      </c>
      <c r="C155" s="6" t="s">
        <v>95</v>
      </c>
      <c r="D155" s="6"/>
      <c r="E155" s="6" t="s">
        <v>23</v>
      </c>
      <c r="F155" s="43" t="s">
        <v>26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66"/>
      <c r="P155" s="66"/>
      <c r="Q155" s="66"/>
      <c r="R155" s="66"/>
    </row>
    <row r="156" spans="1:18" ht="18.75" hidden="1" customHeight="1" x14ac:dyDescent="0.35">
      <c r="A156" s="12" t="s">
        <v>91</v>
      </c>
      <c r="B156" s="13">
        <v>2025</v>
      </c>
      <c r="C156" s="14" t="s">
        <v>96</v>
      </c>
      <c r="D156" s="14"/>
      <c r="E156" s="14" t="s">
        <v>23</v>
      </c>
      <c r="F156" s="42" t="s">
        <v>26</v>
      </c>
      <c r="G156" s="19">
        <v>1</v>
      </c>
      <c r="H156" s="19">
        <v>0</v>
      </c>
      <c r="I156" s="19">
        <v>6</v>
      </c>
      <c r="J156" s="19">
        <v>26</v>
      </c>
      <c r="K156" s="19">
        <v>122</v>
      </c>
      <c r="L156" s="13">
        <v>47</v>
      </c>
      <c r="M156" s="13">
        <v>9</v>
      </c>
      <c r="N156" s="18"/>
      <c r="O156" s="71"/>
      <c r="P156" s="71"/>
      <c r="Q156" s="71"/>
      <c r="R156" s="71"/>
    </row>
    <row r="157" spans="1:18" ht="18.75" hidden="1" customHeight="1" x14ac:dyDescent="0.35">
      <c r="A157" s="4" t="s">
        <v>91</v>
      </c>
      <c r="B157" s="5">
        <v>2025</v>
      </c>
      <c r="C157" s="6" t="s">
        <v>97</v>
      </c>
      <c r="D157" s="6"/>
      <c r="E157" s="6" t="s">
        <v>20</v>
      </c>
      <c r="F157" s="43" t="s">
        <v>21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41"/>
      <c r="O157" s="60"/>
      <c r="P157" s="61"/>
      <c r="Q157" s="61"/>
      <c r="R157" s="61"/>
    </row>
    <row r="158" spans="1:18" ht="18.75" hidden="1" customHeight="1" x14ac:dyDescent="0.35">
      <c r="A158" s="12" t="s">
        <v>91</v>
      </c>
      <c r="B158" s="13">
        <v>2025</v>
      </c>
      <c r="C158" s="14" t="s">
        <v>99</v>
      </c>
      <c r="D158" s="14"/>
      <c r="E158" s="14" t="s">
        <v>23</v>
      </c>
      <c r="F158" s="42" t="s">
        <v>26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71"/>
      <c r="P158" s="71"/>
      <c r="Q158" s="71"/>
      <c r="R158" s="71"/>
    </row>
    <row r="159" spans="1:18" ht="18.75" customHeight="1" x14ac:dyDescent="0.35">
      <c r="A159" s="4" t="s">
        <v>101</v>
      </c>
      <c r="B159" s="5">
        <v>2025</v>
      </c>
      <c r="C159" s="6" t="s">
        <v>102</v>
      </c>
      <c r="D159" s="6"/>
      <c r="E159" s="6" t="s">
        <v>23</v>
      </c>
      <c r="F159" s="43" t="s">
        <v>26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66"/>
      <c r="P159" s="66"/>
      <c r="Q159" s="66"/>
      <c r="R159" s="66"/>
    </row>
    <row r="160" spans="1:18" ht="18.75" customHeight="1" x14ac:dyDescent="0.35">
      <c r="A160" s="12" t="s">
        <v>101</v>
      </c>
      <c r="B160" s="13">
        <v>2025</v>
      </c>
      <c r="C160" s="14" t="s">
        <v>103</v>
      </c>
      <c r="D160" s="14"/>
      <c r="E160" s="14" t="s">
        <v>23</v>
      </c>
      <c r="F160" s="42" t="s">
        <v>26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71"/>
      <c r="P160" s="71"/>
      <c r="Q160" s="71"/>
      <c r="R160" s="71"/>
    </row>
    <row r="161" spans="1:18" ht="18.75" customHeight="1" x14ac:dyDescent="0.35">
      <c r="A161" s="4" t="s">
        <v>101</v>
      </c>
      <c r="B161" s="5">
        <v>2025</v>
      </c>
      <c r="C161" s="6" t="s">
        <v>104</v>
      </c>
      <c r="D161" s="6"/>
      <c r="E161" s="6" t="s">
        <v>23</v>
      </c>
      <c r="F161" s="43" t="s">
        <v>26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66"/>
      <c r="P161" s="66"/>
      <c r="Q161" s="66"/>
      <c r="R161" s="66"/>
    </row>
    <row r="162" spans="1:18" ht="18.75" customHeight="1" x14ac:dyDescent="0.35">
      <c r="A162" s="12" t="s">
        <v>101</v>
      </c>
      <c r="B162" s="13">
        <v>2025</v>
      </c>
      <c r="C162" s="14" t="s">
        <v>105</v>
      </c>
      <c r="D162" s="14"/>
      <c r="E162" s="14" t="s">
        <v>23</v>
      </c>
      <c r="F162" s="42" t="s">
        <v>26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71"/>
      <c r="P162" s="71"/>
      <c r="Q162" s="71"/>
      <c r="R162" s="71"/>
    </row>
    <row r="163" spans="1:18" ht="18.75" customHeight="1" x14ac:dyDescent="0.35">
      <c r="A163" s="4" t="s">
        <v>101</v>
      </c>
      <c r="B163" s="5">
        <v>2025</v>
      </c>
      <c r="C163" s="6" t="s">
        <v>106</v>
      </c>
      <c r="D163" s="6"/>
      <c r="E163" s="6" t="s">
        <v>23</v>
      </c>
      <c r="F163" s="43" t="s">
        <v>26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101</v>
      </c>
      <c r="B164" s="13">
        <v>2025</v>
      </c>
      <c r="C164" s="14" t="s">
        <v>76</v>
      </c>
      <c r="D164" s="14"/>
      <c r="E164" s="14" t="s">
        <v>23</v>
      </c>
      <c r="F164" s="42" t="s">
        <v>26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101</v>
      </c>
      <c r="B165" s="5">
        <v>2025</v>
      </c>
      <c r="C165" s="6" t="s">
        <v>107</v>
      </c>
      <c r="D165" s="6"/>
      <c r="E165" s="6" t="s">
        <v>23</v>
      </c>
      <c r="F165" s="43" t="s">
        <v>26</v>
      </c>
      <c r="G165" s="106">
        <v>1200</v>
      </c>
      <c r="H165" s="106">
        <v>1197</v>
      </c>
      <c r="I165" s="109"/>
      <c r="J165" s="106">
        <v>914</v>
      </c>
      <c r="K165" s="106">
        <v>874</v>
      </c>
      <c r="L165" s="106">
        <v>1502</v>
      </c>
      <c r="M165" s="106">
        <v>258</v>
      </c>
      <c r="N165" s="109"/>
      <c r="O165" s="109"/>
      <c r="P165" s="109"/>
      <c r="Q165" s="109"/>
      <c r="R165" s="109"/>
    </row>
    <row r="166" spans="1:18" ht="18.75" customHeight="1" x14ac:dyDescent="0.35">
      <c r="A166" s="12" t="s">
        <v>101</v>
      </c>
      <c r="B166" s="13">
        <v>2025</v>
      </c>
      <c r="C166" s="35" t="s">
        <v>145</v>
      </c>
      <c r="D166" s="14"/>
      <c r="E166" s="14" t="s">
        <v>23</v>
      </c>
      <c r="F166" s="42" t="s">
        <v>26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69</v>
      </c>
      <c r="B167" s="5">
        <v>2025</v>
      </c>
      <c r="C167" s="6" t="s">
        <v>146</v>
      </c>
      <c r="D167" s="6"/>
      <c r="E167" s="6" t="s">
        <v>20</v>
      </c>
      <c r="F167" s="43" t="s">
        <v>21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49"/>
      <c r="Q167" s="49"/>
      <c r="R167" s="49"/>
    </row>
    <row r="168" spans="1:18" ht="18.75" hidden="1" customHeight="1" x14ac:dyDescent="0.4">
      <c r="A168" s="12" t="s">
        <v>69</v>
      </c>
      <c r="B168" s="13">
        <v>2025</v>
      </c>
      <c r="C168" s="14" t="s">
        <v>147</v>
      </c>
      <c r="D168" s="14"/>
      <c r="E168" s="14" t="s">
        <v>20</v>
      </c>
      <c r="F168" s="15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100"/>
      <c r="Q168" s="100"/>
      <c r="R168" s="10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  <vt:lpstr>Administrativa!_FilterDatabase</vt:lpstr>
      <vt:lpstr>'Analítica de Contraloría'!_FilterDatabase</vt:lpstr>
      <vt:lpstr>'Conceptos Ant'!_FilterDatabase</vt:lpstr>
      <vt:lpstr>Contabilidad!_FilterDatabase</vt:lpstr>
      <vt:lpstr>'data consol'!_FilterDatabase</vt:lpstr>
      <vt:lpstr>'Riesgos y Cumplimiento'!_FilterDatabase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Aprendiz Programación Software 2</cp:lastModifiedBy>
  <dcterms:created xsi:type="dcterms:W3CDTF">2025-12-29T19:46:54Z</dcterms:created>
  <dcterms:modified xsi:type="dcterms:W3CDTF">2025-12-29T19:58:54Z</dcterms:modified>
</cp:coreProperties>
</file>